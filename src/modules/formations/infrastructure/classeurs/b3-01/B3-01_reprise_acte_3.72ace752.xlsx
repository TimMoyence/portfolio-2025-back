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" state="visible" r:id="rId4"/>
    <sheet sheetId="2" name="Quarantaine" state="visible" r:id="rId5"/>
    <sheet sheetId="3" name="Clients" state="visible" r:id="rId6"/>
    <sheet sheetId="4" name="Produits" state="visible" r:id="rId7"/>
    <sheet sheetId="5" name="Agences" state="visible" r:id="rId8"/>
    <sheet sheetId="6" name="Objectifs" state="visible" r:id="rId9"/>
  </sheets>
  <calcPr calcId="171027"/>
</workbook>
</file>

<file path=xl/sharedStrings.xml><?xml version="1.0" encoding="utf-8"?>
<sst xmlns="http://schemas.openxmlformats.org/spreadsheetml/2006/main" count="27530" uniqueCount="3072">
  <si>
    <t>n_commande</t>
  </si>
  <si>
    <t>date_commande</t>
  </si>
  <si>
    <t>date_livraison</t>
  </si>
  <si>
    <t>client_id</t>
  </si>
  <si>
    <t>ville</t>
  </si>
  <si>
    <t>agence_id</t>
  </si>
  <si>
    <t>commercial_id</t>
  </si>
  <si>
    <t>produit_id</t>
  </si>
  <si>
    <t>quantite</t>
  </si>
  <si>
    <t>prix_unitaire_ht</t>
  </si>
  <si>
    <t>remise</t>
  </si>
  <si>
    <t>ca_ht</t>
  </si>
  <si>
    <t>facturee</t>
  </si>
  <si>
    <t>annee</t>
  </si>
  <si>
    <t>region</t>
  </si>
  <si>
    <t>categorie</t>
  </si>
  <si>
    <t>cout</t>
  </si>
  <si>
    <t>marge</t>
  </si>
  <si>
    <t>delai_ouvre</t>
  </si>
  <si>
    <t>date_promise</t>
  </si>
  <si>
    <t>en_retard</t>
  </si>
  <si>
    <t>C-11615</t>
  </si>
  <si>
    <t>CL056</t>
  </si>
  <si>
    <t>Tourcoing</t>
  </si>
  <si>
    <t>AG01</t>
  </si>
  <si>
    <t>C01</t>
  </si>
  <si>
    <t>P036</t>
  </si>
  <si>
    <t>P011</t>
  </si>
  <si>
    <t>C-11589</t>
  </si>
  <si>
    <t>CL436</t>
  </si>
  <si>
    <t>Saint-Malo</t>
  </si>
  <si>
    <t>AG06</t>
  </si>
  <si>
    <t>C16</t>
  </si>
  <si>
    <t>P018</t>
  </si>
  <si>
    <t>P024</t>
  </si>
  <si>
    <t>P004</t>
  </si>
  <si>
    <t>C-11616</t>
  </si>
  <si>
    <t>CL040</t>
  </si>
  <si>
    <t>Pessac</t>
  </si>
  <si>
    <t>AG07</t>
  </si>
  <si>
    <t>C20</t>
  </si>
  <si>
    <t>P015</t>
  </si>
  <si>
    <t>P039</t>
  </si>
  <si>
    <t>C-11617</t>
  </si>
  <si>
    <t>CL379</t>
  </si>
  <si>
    <t>Lyon</t>
  </si>
  <si>
    <t>AG11</t>
  </si>
  <si>
    <t>C33</t>
  </si>
  <si>
    <t>P007</t>
  </si>
  <si>
    <t>P035</t>
  </si>
  <si>
    <t>P021</t>
  </si>
  <si>
    <t>P040</t>
  </si>
  <si>
    <t>C-11618</t>
  </si>
  <si>
    <t>CL380</t>
  </si>
  <si>
    <t>Colmar</t>
  </si>
  <si>
    <t>AG12</t>
  </si>
  <si>
    <t>C36</t>
  </si>
  <si>
    <t>P022</t>
  </si>
  <si>
    <t>P002</t>
  </si>
  <si>
    <t>C-11612</t>
  </si>
  <si>
    <t>CL108</t>
  </si>
  <si>
    <t>Toulon</t>
  </si>
  <si>
    <t>AG09</t>
  </si>
  <si>
    <t>C25</t>
  </si>
  <si>
    <t>P033</t>
  </si>
  <si>
    <t>C-11613</t>
  </si>
  <si>
    <t>CL593</t>
  </si>
  <si>
    <t>Martigues</t>
  </si>
  <si>
    <t>C27</t>
  </si>
  <si>
    <t>C-11614</t>
  </si>
  <si>
    <t>CL459</t>
  </si>
  <si>
    <t>C35</t>
  </si>
  <si>
    <t>P016</t>
  </si>
  <si>
    <t>C-11608</t>
  </si>
  <si>
    <t>CL492</t>
  </si>
  <si>
    <t>Versailles</t>
  </si>
  <si>
    <t>AG04</t>
  </si>
  <si>
    <t>C10</t>
  </si>
  <si>
    <t>P014</t>
  </si>
  <si>
    <t>P026</t>
  </si>
  <si>
    <t>C-11609</t>
  </si>
  <si>
    <t>CL025</t>
  </si>
  <si>
    <t>Mérignac</t>
  </si>
  <si>
    <t>P012</t>
  </si>
  <si>
    <t>P006</t>
  </si>
  <si>
    <t>C-11610</t>
  </si>
  <si>
    <t>CL489</t>
  </si>
  <si>
    <t>Montauban</t>
  </si>
  <si>
    <t>AG08</t>
  </si>
  <si>
    <t>C23</t>
  </si>
  <si>
    <t>P032</t>
  </si>
  <si>
    <t>C-11611</t>
  </si>
  <si>
    <t>CL360</t>
  </si>
  <si>
    <t>Béziers</t>
  </si>
  <si>
    <t>AG10</t>
  </si>
  <si>
    <t>C29</t>
  </si>
  <si>
    <t>C-11604</t>
  </si>
  <si>
    <t>CL055</t>
  </si>
  <si>
    <t>Évreux</t>
  </si>
  <si>
    <t>AG02</t>
  </si>
  <si>
    <t>C06</t>
  </si>
  <si>
    <t>C-11605</t>
  </si>
  <si>
    <t>CL557</t>
  </si>
  <si>
    <t>P009</t>
  </si>
  <si>
    <t>C-11606</t>
  </si>
  <si>
    <t>CL084</t>
  </si>
  <si>
    <t>C26</t>
  </si>
  <si>
    <t>P023</t>
  </si>
  <si>
    <t>P034</t>
  </si>
  <si>
    <t>C-11607</t>
  </si>
  <si>
    <t>CL153</t>
  </si>
  <si>
    <t>C31</t>
  </si>
  <si>
    <t>P008</t>
  </si>
  <si>
    <t>C-11598</t>
  </si>
  <si>
    <t>CL005</t>
  </si>
  <si>
    <t>Roubaix</t>
  </si>
  <si>
    <t>C02</t>
  </si>
  <si>
    <t>C-11599</t>
  </si>
  <si>
    <t>CL082</t>
  </si>
  <si>
    <t>Douai</t>
  </si>
  <si>
    <t>C-11600</t>
  </si>
  <si>
    <t>CL178</t>
  </si>
  <si>
    <t>Lille</t>
  </si>
  <si>
    <t>P028</t>
  </si>
  <si>
    <t>C-11601</t>
  </si>
  <si>
    <t>CL450</t>
  </si>
  <si>
    <t>Le Havre</t>
  </si>
  <si>
    <t>P019</t>
  </si>
  <si>
    <t>C-11602</t>
  </si>
  <si>
    <t>CL376</t>
  </si>
  <si>
    <t>Libourne</t>
  </si>
  <si>
    <t>C19</t>
  </si>
  <si>
    <t>P038</t>
  </si>
  <si>
    <t>C-11603</t>
  </si>
  <si>
    <t>CL326</t>
  </si>
  <si>
    <t>C-11595</t>
  </si>
  <si>
    <t>CL094</t>
  </si>
  <si>
    <t>Paris</t>
  </si>
  <si>
    <t>AG03</t>
  </si>
  <si>
    <t>C07</t>
  </si>
  <si>
    <t>C-11596</t>
  </si>
  <si>
    <t>CL088</t>
  </si>
  <si>
    <t>C22</t>
  </si>
  <si>
    <t>C-11597</t>
  </si>
  <si>
    <t>CL210</t>
  </si>
  <si>
    <t>C-11594</t>
  </si>
  <si>
    <t>CL333</t>
  </si>
  <si>
    <t>C-11591</t>
  </si>
  <si>
    <t>CL138</t>
  </si>
  <si>
    <t>Blagnac</t>
  </si>
  <si>
    <t>P020</t>
  </si>
  <si>
    <t>C-11592</t>
  </si>
  <si>
    <t>CL235</t>
  </si>
  <si>
    <t>Sète</t>
  </si>
  <si>
    <t>C28</t>
  </si>
  <si>
    <t>C-11593</t>
  </si>
  <si>
    <t>CL296</t>
  </si>
  <si>
    <t>Saint-Étienne</t>
  </si>
  <si>
    <t>C32</t>
  </si>
  <si>
    <t>C-11587</t>
  </si>
  <si>
    <t>CL439</t>
  </si>
  <si>
    <t>P027</t>
  </si>
  <si>
    <t>P001</t>
  </si>
  <si>
    <t>C-11588</t>
  </si>
  <si>
    <t>CL308</t>
  </si>
  <si>
    <t>Nantes</t>
  </si>
  <si>
    <t>AG05</t>
  </si>
  <si>
    <t>C15</t>
  </si>
  <si>
    <t>C-11590</t>
  </si>
  <si>
    <t>CL136</t>
  </si>
  <si>
    <t>C-11583</t>
  </si>
  <si>
    <t>CL069</t>
  </si>
  <si>
    <t>Rouen</t>
  </si>
  <si>
    <t>C-11584</t>
  </si>
  <si>
    <t>CL200</t>
  </si>
  <si>
    <t>Nanterre</t>
  </si>
  <si>
    <t>C12</t>
  </si>
  <si>
    <t>C-11585</t>
  </si>
  <si>
    <t>CL462</t>
  </si>
  <si>
    <t>C14</t>
  </si>
  <si>
    <t>C-11586</t>
  </si>
  <si>
    <t>CL244</t>
  </si>
  <si>
    <t>C30</t>
  </si>
  <si>
    <t>C-11579</t>
  </si>
  <si>
    <t>CL544</t>
  </si>
  <si>
    <t>Rennes</t>
  </si>
  <si>
    <t>C18</t>
  </si>
  <si>
    <t>C-11580</t>
  </si>
  <si>
    <t>CL483</t>
  </si>
  <si>
    <t>C-11581</t>
  </si>
  <si>
    <t>CL372</t>
  </si>
  <si>
    <t>Marseille</t>
  </si>
  <si>
    <t>C-11582</t>
  </si>
  <si>
    <t>CL366</t>
  </si>
  <si>
    <t>Mulhouse</t>
  </si>
  <si>
    <t>C34</t>
  </si>
  <si>
    <t>P030</t>
  </si>
  <si>
    <t>C-11576</t>
  </si>
  <si>
    <t>CL352</t>
  </si>
  <si>
    <t>C03</t>
  </si>
  <si>
    <t>C-11577</t>
  </si>
  <si>
    <t>CL514</t>
  </si>
  <si>
    <t>Créteil</t>
  </si>
  <si>
    <t>C-11578</t>
  </si>
  <si>
    <t>CL370</t>
  </si>
  <si>
    <t>P003</t>
  </si>
  <si>
    <t>P031</t>
  </si>
  <si>
    <t>C-11573</t>
  </si>
  <si>
    <t>CL444</t>
  </si>
  <si>
    <t>Dieppe</t>
  </si>
  <si>
    <t>C05</t>
  </si>
  <si>
    <t>C-11574</t>
  </si>
  <si>
    <t>CL491</t>
  </si>
  <si>
    <t>Montreuil</t>
  </si>
  <si>
    <t>C09</t>
  </si>
  <si>
    <t>C-11575</t>
  </si>
  <si>
    <t>CL061</t>
  </si>
  <si>
    <t>P013</t>
  </si>
  <si>
    <t>C-11569</t>
  </si>
  <si>
    <t>CL348</t>
  </si>
  <si>
    <t>C08</t>
  </si>
  <si>
    <t>C-11570</t>
  </si>
  <si>
    <t>CL485</t>
  </si>
  <si>
    <t>C-11571</t>
  </si>
  <si>
    <t>CL329</t>
  </si>
  <si>
    <t>Colomiers</t>
  </si>
  <si>
    <t>C24</t>
  </si>
  <si>
    <t>C-11572</t>
  </si>
  <si>
    <t>CL184</t>
  </si>
  <si>
    <t>Strasbourg</t>
  </si>
  <si>
    <t>C-11565</t>
  </si>
  <si>
    <t>CL537</t>
  </si>
  <si>
    <t>C11</t>
  </si>
  <si>
    <t>P025</t>
  </si>
  <si>
    <t>C-11566</t>
  </si>
  <si>
    <t>CL258</t>
  </si>
  <si>
    <t>Bordeaux</t>
  </si>
  <si>
    <t>P005</t>
  </si>
  <si>
    <t>C-11567</t>
  </si>
  <si>
    <t>CL065</t>
  </si>
  <si>
    <t>C-11568</t>
  </si>
  <si>
    <t>CL560</t>
  </si>
  <si>
    <t>Montpellier</t>
  </si>
  <si>
    <t>C-11557</t>
  </si>
  <si>
    <t>C-11558</t>
  </si>
  <si>
    <t>CL455</t>
  </si>
  <si>
    <t>C-11559</t>
  </si>
  <si>
    <t>CL565</t>
  </si>
  <si>
    <t>C13</t>
  </si>
  <si>
    <t>C-11560</t>
  </si>
  <si>
    <t>CL217</t>
  </si>
  <si>
    <t>Cholet</t>
  </si>
  <si>
    <t>C-11561</t>
  </si>
  <si>
    <t>CL429</t>
  </si>
  <si>
    <t>C-11562</t>
  </si>
  <si>
    <t>CL272</t>
  </si>
  <si>
    <t>Toulouse</t>
  </si>
  <si>
    <t>C-11563</t>
  </si>
  <si>
    <t>CL011</t>
  </si>
  <si>
    <t>C-11564</t>
  </si>
  <si>
    <t>CL139</t>
  </si>
  <si>
    <t>C-11556</t>
  </si>
  <si>
    <t>CL225</t>
  </si>
  <si>
    <t>C-11554</t>
  </si>
  <si>
    <t>CL585</t>
  </si>
  <si>
    <t>C04</t>
  </si>
  <si>
    <t>C-11555</t>
  </si>
  <si>
    <t>CL539</t>
  </si>
  <si>
    <t>C-11550</t>
  </si>
  <si>
    <t>CL237</t>
  </si>
  <si>
    <t>Courbevoie</t>
  </si>
  <si>
    <t>C-11551</t>
  </si>
  <si>
    <t>CL335</t>
  </si>
  <si>
    <t>C-11552</t>
  </si>
  <si>
    <t>CL281</t>
  </si>
  <si>
    <t>C-11553</t>
  </si>
  <si>
    <t>CL536</t>
  </si>
  <si>
    <t>C-11546</t>
  </si>
  <si>
    <t>CL338</t>
  </si>
  <si>
    <t>C-11547</t>
  </si>
  <si>
    <t>CL382</t>
  </si>
  <si>
    <t>C-11548</t>
  </si>
  <si>
    <t>CL357</t>
  </si>
  <si>
    <t>C-11549</t>
  </si>
  <si>
    <t>CL218</t>
  </si>
  <si>
    <t>C-11542</t>
  </si>
  <si>
    <t>CL438</t>
  </si>
  <si>
    <t>C-11543</t>
  </si>
  <si>
    <t>CL222</t>
  </si>
  <si>
    <t>C-11544</t>
  </si>
  <si>
    <t>CL393</t>
  </si>
  <si>
    <t>C-11545</t>
  </si>
  <si>
    <t>CL480</t>
  </si>
  <si>
    <t>C-11540</t>
  </si>
  <si>
    <t>CL267</t>
  </si>
  <si>
    <t>C-11541</t>
  </si>
  <si>
    <t>CL131</t>
  </si>
  <si>
    <t>C-11537</t>
  </si>
  <si>
    <t>CL104</t>
  </si>
  <si>
    <t>C-11538</t>
  </si>
  <si>
    <t>CL149</t>
  </si>
  <si>
    <t>C-11539</t>
  </si>
  <si>
    <t>CL174</t>
  </si>
  <si>
    <t>C-11533</t>
  </si>
  <si>
    <t>CL103</t>
  </si>
  <si>
    <t>C-11534</t>
  </si>
  <si>
    <t>CL414</t>
  </si>
  <si>
    <t>Boulogne-Billancourt</t>
  </si>
  <si>
    <t>C-11535</t>
  </si>
  <si>
    <t>CL341</t>
  </si>
  <si>
    <t>C-11536</t>
  </si>
  <si>
    <t>CL555</t>
  </si>
  <si>
    <t>C-11531</t>
  </si>
  <si>
    <t>CL449</t>
  </si>
  <si>
    <t>C-11532</t>
  </si>
  <si>
    <t>CL548</t>
  </si>
  <si>
    <t>Vénissieux</t>
  </si>
  <si>
    <t>C-11526</t>
  </si>
  <si>
    <t>CL316</t>
  </si>
  <si>
    <t>P017</t>
  </si>
  <si>
    <t>C-11527</t>
  </si>
  <si>
    <t>CL332</t>
  </si>
  <si>
    <t>C21</t>
  </si>
  <si>
    <t>C-11528</t>
  </si>
  <si>
    <t>CL156</t>
  </si>
  <si>
    <t>C-11529</t>
  </si>
  <si>
    <t>CL500</t>
  </si>
  <si>
    <t>C-11530</t>
  </si>
  <si>
    <t>CL509</t>
  </si>
  <si>
    <t>C-11521</t>
  </si>
  <si>
    <t>CL525</t>
  </si>
  <si>
    <t>C-11522</t>
  </si>
  <si>
    <t>CL176</t>
  </si>
  <si>
    <t>Vincennes</t>
  </si>
  <si>
    <t>C-11523</t>
  </si>
  <si>
    <t>CL215</t>
  </si>
  <si>
    <t>Saint-Nazaire</t>
  </si>
  <si>
    <t>C-11524</t>
  </si>
  <si>
    <t>CL199</t>
  </si>
  <si>
    <t>Fougères</t>
  </si>
  <si>
    <t>C-11525</t>
  </si>
  <si>
    <t>CL207</t>
  </si>
  <si>
    <t>C-11517</t>
  </si>
  <si>
    <t>CL587</t>
  </si>
  <si>
    <t>C-11518</t>
  </si>
  <si>
    <t>CL469</t>
  </si>
  <si>
    <t>C-11519</t>
  </si>
  <si>
    <t>CL190</t>
  </si>
  <si>
    <t>C-11520</t>
  </si>
  <si>
    <t>CL193</t>
  </si>
  <si>
    <t>C-11513</t>
  </si>
  <si>
    <t>CL192</t>
  </si>
  <si>
    <t>C-11514</t>
  </si>
  <si>
    <t>CL467</t>
  </si>
  <si>
    <t>C-11515</t>
  </si>
  <si>
    <t>CL406</t>
  </si>
  <si>
    <t>C-11516</t>
  </si>
  <si>
    <t>CL274</t>
  </si>
  <si>
    <t>C-11510</t>
  </si>
  <si>
    <t>CL067</t>
  </si>
  <si>
    <t>C-11511</t>
  </si>
  <si>
    <t>CL482</t>
  </si>
  <si>
    <t>C-11512</t>
  </si>
  <si>
    <t>CL221</t>
  </si>
  <si>
    <t>C-11507</t>
  </si>
  <si>
    <t>CL245</t>
  </si>
  <si>
    <t>C-11508</t>
  </si>
  <si>
    <t>CL424</t>
  </si>
  <si>
    <t>C-11509</t>
  </si>
  <si>
    <t>CL522</t>
  </si>
  <si>
    <t>C-11504</t>
  </si>
  <si>
    <t>CL385</t>
  </si>
  <si>
    <t>C-11505</t>
  </si>
  <si>
    <t>CL349</t>
  </si>
  <si>
    <t>Vannes</t>
  </si>
  <si>
    <t>C17</t>
  </si>
  <si>
    <t>C-11506</t>
  </si>
  <si>
    <t>CL411</t>
  </si>
  <si>
    <t>C-11501</t>
  </si>
  <si>
    <t>CL093</t>
  </si>
  <si>
    <t>C-11502</t>
  </si>
  <si>
    <t>CL391</t>
  </si>
  <si>
    <t>C-11503</t>
  </si>
  <si>
    <t>CL566</t>
  </si>
  <si>
    <t>Villeurbanne</t>
  </si>
  <si>
    <t>C-11496</t>
  </si>
  <si>
    <t>CL549</t>
  </si>
  <si>
    <t>C-11497</t>
  </si>
  <si>
    <t>C-11498</t>
  </si>
  <si>
    <t>CL188</t>
  </si>
  <si>
    <t>C-11499</t>
  </si>
  <si>
    <t>CL130</t>
  </si>
  <si>
    <t>C-11500</t>
  </si>
  <si>
    <t>CL596</t>
  </si>
  <si>
    <t>C-11495</t>
  </si>
  <si>
    <t>CL556</t>
  </si>
  <si>
    <t>C-11493</t>
  </si>
  <si>
    <t>C-11494</t>
  </si>
  <si>
    <t>CL090</t>
  </si>
  <si>
    <t>Angers</t>
  </si>
  <si>
    <t>C-11490</t>
  </si>
  <si>
    <t>CL389</t>
  </si>
  <si>
    <t>C-11491</t>
  </si>
  <si>
    <t>CL127</t>
  </si>
  <si>
    <t>C-11492</t>
  </si>
  <si>
    <t>CL578</t>
  </si>
  <si>
    <t>C-11487</t>
  </si>
  <si>
    <t>C-11488</t>
  </si>
  <si>
    <t>CL262</t>
  </si>
  <si>
    <t>C-11489</t>
  </si>
  <si>
    <t>CL059</t>
  </si>
  <si>
    <t>C-11481</t>
  </si>
  <si>
    <t>CL276</t>
  </si>
  <si>
    <t>C-11482</t>
  </si>
  <si>
    <t>CL240</t>
  </si>
  <si>
    <t>C-11483</t>
  </si>
  <si>
    <t>CL334</t>
  </si>
  <si>
    <t>C-11484</t>
  </si>
  <si>
    <t>CL395</t>
  </si>
  <si>
    <t>Aubagne</t>
  </si>
  <si>
    <t>C-11485</t>
  </si>
  <si>
    <t>CL077</t>
  </si>
  <si>
    <t>C-11486</t>
  </si>
  <si>
    <t>CL141</t>
  </si>
  <si>
    <t>C-11479</t>
  </si>
  <si>
    <t>CL172</t>
  </si>
  <si>
    <t>C-11480</t>
  </si>
  <si>
    <t>CL146</t>
  </si>
  <si>
    <t>C-11476</t>
  </si>
  <si>
    <t>CL058</t>
  </si>
  <si>
    <t>C-11477</t>
  </si>
  <si>
    <t>CL228</t>
  </si>
  <si>
    <t>C-11478</t>
  </si>
  <si>
    <t>CL209</t>
  </si>
  <si>
    <t>Haguenau</t>
  </si>
  <si>
    <t>C-11474</t>
  </si>
  <si>
    <t>CL031</t>
  </si>
  <si>
    <t>C-11475</t>
  </si>
  <si>
    <t>CL034</t>
  </si>
  <si>
    <t>C-11469</t>
  </si>
  <si>
    <t>CL501</t>
  </si>
  <si>
    <t>C-11470</t>
  </si>
  <si>
    <t>CL152</t>
  </si>
  <si>
    <t>C-11471</t>
  </si>
  <si>
    <t>CL519</t>
  </si>
  <si>
    <t>C-11472</t>
  </si>
  <si>
    <t>CL486</t>
  </si>
  <si>
    <t>C-11473</t>
  </si>
  <si>
    <t>CL493</t>
  </si>
  <si>
    <t>Nîmes</t>
  </si>
  <si>
    <t>C-11466</t>
  </si>
  <si>
    <t>CL355</t>
  </si>
  <si>
    <t>C-11467</t>
  </si>
  <si>
    <t>CL321</t>
  </si>
  <si>
    <t>C-11468</t>
  </si>
  <si>
    <t>CL327</t>
  </si>
  <si>
    <t>C-11464</t>
  </si>
  <si>
    <t>C-11465</t>
  </si>
  <si>
    <t>CL208</t>
  </si>
  <si>
    <t>C-11462</t>
  </si>
  <si>
    <t>C-11463</t>
  </si>
  <si>
    <t>CL398</t>
  </si>
  <si>
    <t>C-11459</t>
  </si>
  <si>
    <t>CL468</t>
  </si>
  <si>
    <t>C-11460</t>
  </si>
  <si>
    <t>CL277</t>
  </si>
  <si>
    <t>C-11461</t>
  </si>
  <si>
    <t>CL189</t>
  </si>
  <si>
    <t>C-11456</t>
  </si>
  <si>
    <t>CL351</t>
  </si>
  <si>
    <t>C-11457</t>
  </si>
  <si>
    <t>CL584</t>
  </si>
  <si>
    <t>C-11458</t>
  </si>
  <si>
    <t>CL238</t>
  </si>
  <si>
    <t>C-11449</t>
  </si>
  <si>
    <t>CL026</t>
  </si>
  <si>
    <t>C-11450</t>
  </si>
  <si>
    <t>CL275</t>
  </si>
  <si>
    <t>C-11451</t>
  </si>
  <si>
    <t>C-11452</t>
  </si>
  <si>
    <t>CL371</t>
  </si>
  <si>
    <t>C-11453</t>
  </si>
  <si>
    <t>CL299</t>
  </si>
  <si>
    <t>C-11454</t>
  </si>
  <si>
    <t>CL042</t>
  </si>
  <si>
    <t>C-11455</t>
  </si>
  <si>
    <t>CL081</t>
  </si>
  <si>
    <t>C-11448</t>
  </si>
  <si>
    <t>CL571</t>
  </si>
  <si>
    <t>C-11440</t>
  </si>
  <si>
    <t>C-11441</t>
  </si>
  <si>
    <t>CL386</t>
  </si>
  <si>
    <t>C-11442</t>
  </si>
  <si>
    <t>C-11443</t>
  </si>
  <si>
    <t>CL422</t>
  </si>
  <si>
    <t>C-11444</t>
  </si>
  <si>
    <t>C-11445</t>
  </si>
  <si>
    <t>C-11446</t>
  </si>
  <si>
    <t>CL460</t>
  </si>
  <si>
    <t>C-11447</t>
  </si>
  <si>
    <t>C-11439</t>
  </si>
  <si>
    <t>C-11438</t>
  </si>
  <si>
    <t>CL579</t>
  </si>
  <si>
    <t>C-11435</t>
  </si>
  <si>
    <t>CL270</t>
  </si>
  <si>
    <t>C-11436</t>
  </si>
  <si>
    <t>C-11437</t>
  </si>
  <si>
    <t>CL403</t>
  </si>
  <si>
    <t>C-11432</t>
  </si>
  <si>
    <t>CL226</t>
  </si>
  <si>
    <t>C-11433</t>
  </si>
  <si>
    <t>CL569</t>
  </si>
  <si>
    <t>C-11434</t>
  </si>
  <si>
    <t>CL290</t>
  </si>
  <si>
    <t>C-11429</t>
  </si>
  <si>
    <t>CL472</t>
  </si>
  <si>
    <t>C-11430</t>
  </si>
  <si>
    <t>C-11431</t>
  </si>
  <si>
    <t>C-11422</t>
  </si>
  <si>
    <t>CL297</t>
  </si>
  <si>
    <t>C-11423</t>
  </si>
  <si>
    <t>CL106</t>
  </si>
  <si>
    <t>C-11424</t>
  </si>
  <si>
    <t>CL001</t>
  </si>
  <si>
    <t>C-11425</t>
  </si>
  <si>
    <t>CL562</t>
  </si>
  <si>
    <t>C-11426</t>
  </si>
  <si>
    <t>CL163</t>
  </si>
  <si>
    <t>C-11427</t>
  </si>
  <si>
    <t>C-11428</t>
  </si>
  <si>
    <t>CL405</t>
  </si>
  <si>
    <t>C-11420</t>
  </si>
  <si>
    <t>CL257</t>
  </si>
  <si>
    <t>C-11421</t>
  </si>
  <si>
    <t>C-11416</t>
  </si>
  <si>
    <t>CL410</t>
  </si>
  <si>
    <t>C-11417</t>
  </si>
  <si>
    <t>C-11418</t>
  </si>
  <si>
    <t>CL165</t>
  </si>
  <si>
    <t>C-11419</t>
  </si>
  <si>
    <t>C-11411</t>
  </si>
  <si>
    <t>CL558</t>
  </si>
  <si>
    <t>C-11412</t>
  </si>
  <si>
    <t>CL157</t>
  </si>
  <si>
    <t>C-11413</t>
  </si>
  <si>
    <t>CL060</t>
  </si>
  <si>
    <t>C-11414</t>
  </si>
  <si>
    <t>C-11415</t>
  </si>
  <si>
    <t>CL538</t>
  </si>
  <si>
    <t>C-11406</t>
  </si>
  <si>
    <t>CL134</t>
  </si>
  <si>
    <t>C-11407</t>
  </si>
  <si>
    <t>CL242</t>
  </si>
  <si>
    <t>C-11408</t>
  </si>
  <si>
    <t>CL396</t>
  </si>
  <si>
    <t>C-11409</t>
  </si>
  <si>
    <t>CL478</t>
  </si>
  <si>
    <t>C-11410</t>
  </si>
  <si>
    <t>CL412</t>
  </si>
  <si>
    <t>C-11402</t>
  </si>
  <si>
    <t>C-11403</t>
  </si>
  <si>
    <t>CL008</t>
  </si>
  <si>
    <t>C-11404</t>
  </si>
  <si>
    <t>C-11405</t>
  </si>
  <si>
    <t>C-11400</t>
  </si>
  <si>
    <t>CL328</t>
  </si>
  <si>
    <t>C-11401</t>
  </si>
  <si>
    <t>CL479</t>
  </si>
  <si>
    <t>C-11397</t>
  </si>
  <si>
    <t>C-11398</t>
  </si>
  <si>
    <t>CL121</t>
  </si>
  <si>
    <t>C-11399</t>
  </si>
  <si>
    <t>C-11393</t>
  </si>
  <si>
    <t>CL317</t>
  </si>
  <si>
    <t>C-11394</t>
  </si>
  <si>
    <t>CL133</t>
  </si>
  <si>
    <t>C-11395</t>
  </si>
  <si>
    <t>C-11396</t>
  </si>
  <si>
    <t>C-11386</t>
  </si>
  <si>
    <t>CL430</t>
  </si>
  <si>
    <t>C-11387</t>
  </si>
  <si>
    <t>CL300</t>
  </si>
  <si>
    <t>C-11388</t>
  </si>
  <si>
    <t>CL128</t>
  </si>
  <si>
    <t>C-11389</t>
  </si>
  <si>
    <t>CL022</t>
  </si>
  <si>
    <t>C-11390</t>
  </si>
  <si>
    <t>C-11391</t>
  </si>
  <si>
    <t>CL129</t>
  </si>
  <si>
    <t>C-11392</t>
  </si>
  <si>
    <t>C-11381</t>
  </si>
  <si>
    <t>C-11382</t>
  </si>
  <si>
    <t>CL568</t>
  </si>
  <si>
    <t>C-11383</t>
  </si>
  <si>
    <t>CL044</t>
  </si>
  <si>
    <t>C-11384</t>
  </si>
  <si>
    <t>C-11385</t>
  </si>
  <si>
    <t>CL173</t>
  </si>
  <si>
    <t>C-11378</t>
  </si>
  <si>
    <t>CL356</t>
  </si>
  <si>
    <t>C-11379</t>
  </si>
  <si>
    <t>C-11380</t>
  </si>
  <si>
    <t>C-11376</t>
  </si>
  <si>
    <t>C-11377</t>
  </si>
  <si>
    <t>CL496</t>
  </si>
  <si>
    <t>C-11371</t>
  </si>
  <si>
    <t>P010</t>
  </si>
  <si>
    <t>C-11372</t>
  </si>
  <si>
    <t>CL194</t>
  </si>
  <si>
    <t>C-11373</t>
  </si>
  <si>
    <t>CL583</t>
  </si>
  <si>
    <t>C-11374</t>
  </si>
  <si>
    <t>CL086</t>
  </si>
  <si>
    <t>C-11375</t>
  </si>
  <si>
    <t>CL070</t>
  </si>
  <si>
    <t>C-11367</t>
  </si>
  <si>
    <t>C-11368</t>
  </si>
  <si>
    <t>CL076</t>
  </si>
  <si>
    <t>C-11369</t>
  </si>
  <si>
    <t>CL122</t>
  </si>
  <si>
    <t>C-11370</t>
  </si>
  <si>
    <t>CL246</t>
  </si>
  <si>
    <t>C-11363</t>
  </si>
  <si>
    <t>CL142</t>
  </si>
  <si>
    <t>C-11364</t>
  </si>
  <si>
    <t>C-11365</t>
  </si>
  <si>
    <t>C-11366</t>
  </si>
  <si>
    <t>CL241</t>
  </si>
  <si>
    <t>C-11359</t>
  </si>
  <si>
    <t>CL309</t>
  </si>
  <si>
    <t>C-11360</t>
  </si>
  <si>
    <t>C-11361</t>
  </si>
  <si>
    <t>C-11362</t>
  </si>
  <si>
    <t>C-11351</t>
  </si>
  <si>
    <t>CL179</t>
  </si>
  <si>
    <t>C-11352</t>
  </si>
  <si>
    <t>C-11353</t>
  </si>
  <si>
    <t>CL551</t>
  </si>
  <si>
    <t>C-11354</t>
  </si>
  <si>
    <t>CL588</t>
  </si>
  <si>
    <t>C-11355</t>
  </si>
  <si>
    <t>C-11356</t>
  </si>
  <si>
    <t>C-11357</t>
  </si>
  <si>
    <t>CL423</t>
  </si>
  <si>
    <t>C-11358</t>
  </si>
  <si>
    <t>C-11349</t>
  </si>
  <si>
    <t>C-11350</t>
  </si>
  <si>
    <t>C-11347</t>
  </si>
  <si>
    <t>CL533</t>
  </si>
  <si>
    <t>C-11348</t>
  </si>
  <si>
    <t>C-11345</t>
  </si>
  <si>
    <t>C-11346</t>
  </si>
  <si>
    <t>CL185</t>
  </si>
  <si>
    <t>C-11344</t>
  </si>
  <si>
    <t>CL331</t>
  </si>
  <si>
    <t>C-11340</t>
  </si>
  <si>
    <t>CL002</t>
  </si>
  <si>
    <t>C-11341</t>
  </si>
  <si>
    <t>C-11342</t>
  </si>
  <si>
    <t>C-11343</t>
  </si>
  <si>
    <t>CL148</t>
  </si>
  <si>
    <t>C-11337</t>
  </si>
  <si>
    <t>CL397</t>
  </si>
  <si>
    <t>C-11338</t>
  </si>
  <si>
    <t>CL206</t>
  </si>
  <si>
    <t>C-11339</t>
  </si>
  <si>
    <t>CL373</t>
  </si>
  <si>
    <t>C-11332</t>
  </si>
  <si>
    <t>C-11333</t>
  </si>
  <si>
    <t>CL114</t>
  </si>
  <si>
    <t>C-11334</t>
  </si>
  <si>
    <t>C-11335</t>
  </si>
  <si>
    <t>C-11336</t>
  </si>
  <si>
    <t>CL243</t>
  </si>
  <si>
    <t>C-11330</t>
  </si>
  <si>
    <t>CL041</t>
  </si>
  <si>
    <t>C-11331</t>
  </si>
  <si>
    <t>C-11326</t>
  </si>
  <si>
    <t>CL111</t>
  </si>
  <si>
    <t>C-11327</t>
  </si>
  <si>
    <t>C-11328</t>
  </si>
  <si>
    <t>CL233</t>
  </si>
  <si>
    <t>C-11329</t>
  </si>
  <si>
    <t>CL428</t>
  </si>
  <si>
    <t>C-11324</t>
  </si>
  <si>
    <t>C-11325</t>
  </si>
  <si>
    <t>CL502</t>
  </si>
  <si>
    <t>C-11320</t>
  </si>
  <si>
    <t>C-11321</t>
  </si>
  <si>
    <t>CL464</t>
  </si>
  <si>
    <t>C-11322</t>
  </si>
  <si>
    <t>C-11323</t>
  </si>
  <si>
    <t>CL311</t>
  </si>
  <si>
    <t>C-11319</t>
  </si>
  <si>
    <t>CL582</t>
  </si>
  <si>
    <t>C-11315</t>
  </si>
  <si>
    <t>CL145</t>
  </si>
  <si>
    <t>C-11316</t>
  </si>
  <si>
    <t>C-11317</t>
  </si>
  <si>
    <t>CL369</t>
  </si>
  <si>
    <t>C-11318</t>
  </si>
  <si>
    <t>CL101</t>
  </si>
  <si>
    <t>C-11313</t>
  </si>
  <si>
    <t>C-11314</t>
  </si>
  <si>
    <t>CL269</t>
  </si>
  <si>
    <t>C-11308</t>
  </si>
  <si>
    <t>C-11309</t>
  </si>
  <si>
    <t>C-11310</t>
  </si>
  <si>
    <t>C-11311</t>
  </si>
  <si>
    <t>CL358</t>
  </si>
  <si>
    <t>C-11312</t>
  </si>
  <si>
    <t>CL280</t>
  </si>
  <si>
    <t>C-11303</t>
  </si>
  <si>
    <t>C-11304</t>
  </si>
  <si>
    <t>CL325</t>
  </si>
  <si>
    <t>C-11305</t>
  </si>
  <si>
    <t>CL431</t>
  </si>
  <si>
    <t>C-11306</t>
  </si>
  <si>
    <t>C-11307</t>
  </si>
  <si>
    <t>CL195</t>
  </si>
  <si>
    <t>C-11300</t>
  </si>
  <si>
    <t>CL010</t>
  </si>
  <si>
    <t>C-11301</t>
  </si>
  <si>
    <t>CL202</t>
  </si>
  <si>
    <t>C-11302</t>
  </si>
  <si>
    <t>C-11297</t>
  </si>
  <si>
    <t>C-11298</t>
  </si>
  <si>
    <t>C-11299</t>
  </si>
  <si>
    <t>C-11292</t>
  </si>
  <si>
    <t>CL213</t>
  </si>
  <si>
    <t>C-11293</t>
  </si>
  <si>
    <t>CL581</t>
  </si>
  <si>
    <t>C-11294</t>
  </si>
  <si>
    <t>CL017</t>
  </si>
  <si>
    <t>C-11295</t>
  </si>
  <si>
    <t>C-11296</t>
  </si>
  <si>
    <t>CL550</t>
  </si>
  <si>
    <t>C-11285</t>
  </si>
  <si>
    <t>CL524</t>
  </si>
  <si>
    <t>C-11286</t>
  </si>
  <si>
    <t>CL337</t>
  </si>
  <si>
    <t>C-11287</t>
  </si>
  <si>
    <t>CL285</t>
  </si>
  <si>
    <t>C-11288</t>
  </si>
  <si>
    <t>C-11289</t>
  </si>
  <si>
    <t>CL454</t>
  </si>
  <si>
    <t>C-11290</t>
  </si>
  <si>
    <t>C-11291</t>
  </si>
  <si>
    <t>CL499</t>
  </si>
  <si>
    <t>C-11284</t>
  </si>
  <si>
    <t>CL508</t>
  </si>
  <si>
    <t>C-11281</t>
  </si>
  <si>
    <t>CL517</t>
  </si>
  <si>
    <t>C-11282</t>
  </si>
  <si>
    <t>CL559</t>
  </si>
  <si>
    <t>C-11283</t>
  </si>
  <si>
    <t>C-11274</t>
  </si>
  <si>
    <t>C-11275</t>
  </si>
  <si>
    <t>CL575</t>
  </si>
  <si>
    <t>C-11276</t>
  </si>
  <si>
    <t>CL283</t>
  </si>
  <si>
    <t>C-11277</t>
  </si>
  <si>
    <t>CL437</t>
  </si>
  <si>
    <t>C-11278</t>
  </si>
  <si>
    <t>C-11279</t>
  </si>
  <si>
    <t>CL110</t>
  </si>
  <si>
    <t>C-11280</t>
  </si>
  <si>
    <t>CL384</t>
  </si>
  <si>
    <t>C-11270</t>
  </si>
  <si>
    <t>C-11271</t>
  </si>
  <si>
    <t>CL394</t>
  </si>
  <si>
    <t>C-11272</t>
  </si>
  <si>
    <t>C-11273</t>
  </si>
  <si>
    <t>CL594</t>
  </si>
  <si>
    <t>C-11267</t>
  </si>
  <si>
    <t>CL531</t>
  </si>
  <si>
    <t>C-11268</t>
  </si>
  <si>
    <t>CL323</t>
  </si>
  <si>
    <t>C-11269</t>
  </si>
  <si>
    <t>C-11262</t>
  </si>
  <si>
    <t>C-11263</t>
  </si>
  <si>
    <t>CL271</t>
  </si>
  <si>
    <t>C-11264</t>
  </si>
  <si>
    <t>C-11265</t>
  </si>
  <si>
    <t>CL381</t>
  </si>
  <si>
    <t>C-11266</t>
  </si>
  <si>
    <t>C-11259</t>
  </si>
  <si>
    <t>CL013</t>
  </si>
  <si>
    <t>C-11260</t>
  </si>
  <si>
    <t>CL336</t>
  </si>
  <si>
    <t>C-11261</t>
  </si>
  <si>
    <t>C-11255</t>
  </si>
  <si>
    <t>CL273</t>
  </si>
  <si>
    <t>C-11256</t>
  </si>
  <si>
    <t>C-11257</t>
  </si>
  <si>
    <t>C-11258</t>
  </si>
  <si>
    <t>CL198</t>
  </si>
  <si>
    <t>C-11250</t>
  </si>
  <si>
    <t>C-11251</t>
  </si>
  <si>
    <t>C-11252</t>
  </si>
  <si>
    <t>CL452</t>
  </si>
  <si>
    <t>C-11253</t>
  </si>
  <si>
    <t>CL030</t>
  </si>
  <si>
    <t>P029</t>
  </si>
  <si>
    <t>C-11254</t>
  </si>
  <si>
    <t>C-11246</t>
  </si>
  <si>
    <t>C-11247</t>
  </si>
  <si>
    <t>C-11248</t>
  </si>
  <si>
    <t>CL388</t>
  </si>
  <si>
    <t>C-11249</t>
  </si>
  <si>
    <t>CL023</t>
  </si>
  <si>
    <t>C-11244</t>
  </si>
  <si>
    <t>CL445</t>
  </si>
  <si>
    <t>C-11245</t>
  </si>
  <si>
    <t>C-11240</t>
  </si>
  <si>
    <t>CL068</t>
  </si>
  <si>
    <t>C-11241</t>
  </si>
  <si>
    <t>CL028</t>
  </si>
  <si>
    <t>C-11242</t>
  </si>
  <si>
    <t>CL004</t>
  </si>
  <si>
    <t>C-11243</t>
  </si>
  <si>
    <t>CL407</t>
  </si>
  <si>
    <t>C-11237</t>
  </si>
  <si>
    <t>CL367</t>
  </si>
  <si>
    <t>C-11238</t>
  </si>
  <si>
    <t>CL282</t>
  </si>
  <si>
    <t>C-11239</t>
  </si>
  <si>
    <t>C-11233</t>
  </si>
  <si>
    <t>CL175</t>
  </si>
  <si>
    <t>C-11234</t>
  </si>
  <si>
    <t>CL191</t>
  </si>
  <si>
    <t>C-11235</t>
  </si>
  <si>
    <t>CL239</t>
  </si>
  <si>
    <t>C-11236</t>
  </si>
  <si>
    <t>CL080</t>
  </si>
  <si>
    <t>C-11229</t>
  </si>
  <si>
    <t>C-11230</t>
  </si>
  <si>
    <t>C-11231</t>
  </si>
  <si>
    <t>C-11232</t>
  </si>
  <si>
    <t>C-11224</t>
  </si>
  <si>
    <t>CL343</t>
  </si>
  <si>
    <t>C-11225</t>
  </si>
  <si>
    <t>CL572</t>
  </si>
  <si>
    <t>C-11226</t>
  </si>
  <si>
    <t>CL470</t>
  </si>
  <si>
    <t>C-11227</t>
  </si>
  <si>
    <t>C-11228</t>
  </si>
  <si>
    <t>C-11222</t>
  </si>
  <si>
    <t>CL564</t>
  </si>
  <si>
    <t>C-11223</t>
  </si>
  <si>
    <t>CL563</t>
  </si>
  <si>
    <t>C-11219</t>
  </si>
  <si>
    <t>C-11220</t>
  </si>
  <si>
    <t>C-11221</t>
  </si>
  <si>
    <t>CL169</t>
  </si>
  <si>
    <t>C-11218</t>
  </si>
  <si>
    <t>CL442</t>
  </si>
  <si>
    <t>C-11213</t>
  </si>
  <si>
    <t>CL085</t>
  </si>
  <si>
    <t>C-11214</t>
  </si>
  <si>
    <t>C-11215</t>
  </si>
  <si>
    <t>CL574</t>
  </si>
  <si>
    <t>C-11216</t>
  </si>
  <si>
    <t>C-11217</t>
  </si>
  <si>
    <t>C-11208</t>
  </si>
  <si>
    <t>CL074</t>
  </si>
  <si>
    <t>C-11209</t>
  </si>
  <si>
    <t>CL591</t>
  </si>
  <si>
    <t>C-11210</t>
  </si>
  <si>
    <t>CL363</t>
  </si>
  <si>
    <t>C-11211</t>
  </si>
  <si>
    <t>C-11212</t>
  </si>
  <si>
    <t>C-11205</t>
  </si>
  <si>
    <t>CL543</t>
  </si>
  <si>
    <t>C-11206</t>
  </si>
  <si>
    <t>CL409</t>
  </si>
  <si>
    <t>C-11207</t>
  </si>
  <si>
    <t>CL140</t>
  </si>
  <si>
    <t>C-11201</t>
  </si>
  <si>
    <t>CL567</t>
  </si>
  <si>
    <t>C-11202</t>
  </si>
  <si>
    <t>C-11203</t>
  </si>
  <si>
    <t>CL441</t>
  </si>
  <si>
    <t>C-11204</t>
  </si>
  <si>
    <t>CL073</t>
  </si>
  <si>
    <t>C-11196</t>
  </si>
  <si>
    <t>CL183</t>
  </si>
  <si>
    <t>C-11197</t>
  </si>
  <si>
    <t>C-11198</t>
  </si>
  <si>
    <t>CL006</t>
  </si>
  <si>
    <t>C-11199</t>
  </si>
  <si>
    <t>CL186</t>
  </si>
  <si>
    <t>C-11200</t>
  </si>
  <si>
    <t>CL364</t>
  </si>
  <si>
    <t>C-11193</t>
  </si>
  <si>
    <t>C-11194</t>
  </si>
  <si>
    <t>C-11195</t>
  </si>
  <si>
    <t>CL521</t>
  </si>
  <si>
    <t>C-11189</t>
  </si>
  <si>
    <t>CL079</t>
  </si>
  <si>
    <t>C-11190</t>
  </si>
  <si>
    <t>C-11191</t>
  </si>
  <si>
    <t>CL375</t>
  </si>
  <si>
    <t>C-11192</t>
  </si>
  <si>
    <t>CL278</t>
  </si>
  <si>
    <t>C-11187</t>
  </si>
  <si>
    <t>CL471</t>
  </si>
  <si>
    <t>C-11188</t>
  </si>
  <si>
    <t>CL100</t>
  </si>
  <si>
    <t>C-11180</t>
  </si>
  <si>
    <t>C-11181</t>
  </si>
  <si>
    <t>CL137</t>
  </si>
  <si>
    <t>C-11182</t>
  </si>
  <si>
    <t>CL506</t>
  </si>
  <si>
    <t>C-11183</t>
  </si>
  <si>
    <t>C-11184</t>
  </si>
  <si>
    <t>C-11185</t>
  </si>
  <si>
    <t>CL476</t>
  </si>
  <si>
    <t>C-11186</t>
  </si>
  <si>
    <t>C-11175</t>
  </si>
  <si>
    <t>CL250</t>
  </si>
  <si>
    <t>C-11176</t>
  </si>
  <si>
    <t>C-11177</t>
  </si>
  <si>
    <t>C-11178</t>
  </si>
  <si>
    <t>CL378</t>
  </si>
  <si>
    <t>C-11179</t>
  </si>
  <si>
    <t>CL204</t>
  </si>
  <si>
    <t>C-11169</t>
  </si>
  <si>
    <t>C-11170</t>
  </si>
  <si>
    <t>C-11171</t>
  </si>
  <si>
    <t>CL330</t>
  </si>
  <si>
    <t>C-11172</t>
  </si>
  <si>
    <t>CL027</t>
  </si>
  <si>
    <t>C-11173</t>
  </si>
  <si>
    <t>CL434</t>
  </si>
  <si>
    <t>C-11174</t>
  </si>
  <si>
    <t>C-11165</t>
  </si>
  <si>
    <t>C-11166</t>
  </si>
  <si>
    <t>C-11167</t>
  </si>
  <si>
    <t>CL087</t>
  </si>
  <si>
    <t>C-11168</t>
  </si>
  <si>
    <t>C-11158</t>
  </si>
  <si>
    <t>C-11159</t>
  </si>
  <si>
    <t>C-11160</t>
  </si>
  <si>
    <t>C-11161</t>
  </si>
  <si>
    <t>C-11162</t>
  </si>
  <si>
    <t>C-11163</t>
  </si>
  <si>
    <t>C-11164</t>
  </si>
  <si>
    <t>CL003</t>
  </si>
  <si>
    <t>C-11156</t>
  </si>
  <si>
    <t>C-11157</t>
  </si>
  <si>
    <t>CL529</t>
  </si>
  <si>
    <t>C-11155</t>
  </si>
  <si>
    <t>CL361</t>
  </si>
  <si>
    <t>C-11149</t>
  </si>
  <si>
    <t>CL600</t>
  </si>
  <si>
    <t>C-11150</t>
  </si>
  <si>
    <t>CL443</t>
  </si>
  <si>
    <t>C-11151</t>
  </si>
  <si>
    <t>CL368</t>
  </si>
  <si>
    <t>C-11152</t>
  </si>
  <si>
    <t>C-11153</t>
  </si>
  <si>
    <t>C-11154</t>
  </si>
  <si>
    <t>C-11146</t>
  </si>
  <si>
    <t>CL168</t>
  </si>
  <si>
    <t>C-11147</t>
  </si>
  <si>
    <t>CL359</t>
  </si>
  <si>
    <t>C-11148</t>
  </si>
  <si>
    <t>C-11143</t>
  </si>
  <si>
    <t>C-11144</t>
  </si>
  <si>
    <t>CL503</t>
  </si>
  <si>
    <t>C-11145</t>
  </si>
  <si>
    <t>CL160</t>
  </si>
  <si>
    <t>C-11139</t>
  </si>
  <si>
    <t>C-11140</t>
  </si>
  <si>
    <t>CL029</t>
  </si>
  <si>
    <t>C-11141</t>
  </si>
  <si>
    <t>CL293</t>
  </si>
  <si>
    <t>C-11142</t>
  </si>
  <si>
    <t>C-11137</t>
  </si>
  <si>
    <t>C-11138</t>
  </si>
  <si>
    <t>C-11130</t>
  </si>
  <si>
    <t>CL115</t>
  </si>
  <si>
    <t>C-11131</t>
  </si>
  <si>
    <t>C-11132</t>
  </si>
  <si>
    <t>C-11133</t>
  </si>
  <si>
    <t>C-11134</t>
  </si>
  <si>
    <t>C-11135</t>
  </si>
  <si>
    <t>CL054</t>
  </si>
  <si>
    <t>C-11136</t>
  </si>
  <si>
    <t>C-11125</t>
  </si>
  <si>
    <t>CL481</t>
  </si>
  <si>
    <t>C-11126</t>
  </si>
  <si>
    <t>C-11127</t>
  </si>
  <si>
    <t>CL345</t>
  </si>
  <si>
    <t>C-11128</t>
  </si>
  <si>
    <t>C-11129</t>
  </si>
  <si>
    <t>CL265</t>
  </si>
  <si>
    <t>C-11121</t>
  </si>
  <si>
    <t>C-11122</t>
  </si>
  <si>
    <t>C-11123</t>
  </si>
  <si>
    <t>C-11124</t>
  </si>
  <si>
    <t>CL064</t>
  </si>
  <si>
    <t>C-11119</t>
  </si>
  <si>
    <t>C-11120</t>
  </si>
  <si>
    <t>C-11111</t>
  </si>
  <si>
    <t>CL304</t>
  </si>
  <si>
    <t>C-11112</t>
  </si>
  <si>
    <t>C-11113</t>
  </si>
  <si>
    <t>CL212</t>
  </si>
  <si>
    <t>C-11114</t>
  </si>
  <si>
    <t>C-11115</t>
  </si>
  <si>
    <t>C-11116</t>
  </si>
  <si>
    <t>CL580</t>
  </si>
  <si>
    <t>C-11117</t>
  </si>
  <si>
    <t>C-11118</t>
  </si>
  <si>
    <t>CL126</t>
  </si>
  <si>
    <t>C-11106</t>
  </si>
  <si>
    <t>C-11107</t>
  </si>
  <si>
    <t>C-11108</t>
  </si>
  <si>
    <t>C-11109</t>
  </si>
  <si>
    <t>CL490</t>
  </si>
  <si>
    <t>C-11110</t>
  </si>
  <si>
    <t>C-11102</t>
  </si>
  <si>
    <t>C-11103</t>
  </si>
  <si>
    <t>C-11104</t>
  </si>
  <si>
    <t>CL259</t>
  </si>
  <si>
    <t>C-11105</t>
  </si>
  <si>
    <t>C-11099</t>
  </si>
  <si>
    <t>C-11100</t>
  </si>
  <si>
    <t>CL507</t>
  </si>
  <si>
    <t>C-11101</t>
  </si>
  <si>
    <t>C-11096</t>
  </si>
  <si>
    <t>C-11097</t>
  </si>
  <si>
    <t>C-11098</t>
  </si>
  <si>
    <t>C-11090</t>
  </si>
  <si>
    <t>CL097</t>
  </si>
  <si>
    <t>C-11091</t>
  </si>
  <si>
    <t>C-11092</t>
  </si>
  <si>
    <t>CL161</t>
  </si>
  <si>
    <t>C-11093</t>
  </si>
  <si>
    <t>CL383</t>
  </si>
  <si>
    <t>C-11094</t>
  </si>
  <si>
    <t>C-11095</t>
  </si>
  <si>
    <t>C-11088</t>
  </si>
  <si>
    <t>CL135</t>
  </si>
  <si>
    <t>C-11089</t>
  </si>
  <si>
    <t>C-11087</t>
  </si>
  <si>
    <t>C-11081</t>
  </si>
  <si>
    <t>CL451</t>
  </si>
  <si>
    <t>C-11082</t>
  </si>
  <si>
    <t>CL092</t>
  </si>
  <si>
    <t>C-11083</t>
  </si>
  <si>
    <t>C-11084</t>
  </si>
  <si>
    <t>C-11085</t>
  </si>
  <si>
    <t>C-11086</t>
  </si>
  <si>
    <t>CL387</t>
  </si>
  <si>
    <t>C-11080</t>
  </si>
  <si>
    <t>CL247</t>
  </si>
  <si>
    <t>C-11075</t>
  </si>
  <si>
    <t>C-11076</t>
  </si>
  <si>
    <t>CL049</t>
  </si>
  <si>
    <t>C-11077</t>
  </si>
  <si>
    <t>C-11078</t>
  </si>
  <si>
    <t>CL036</t>
  </si>
  <si>
    <t>C-11079</t>
  </si>
  <si>
    <t>C-11073</t>
  </si>
  <si>
    <t>C-11074</t>
  </si>
  <si>
    <t>C-11071</t>
  </si>
  <si>
    <t>C-11072</t>
  </si>
  <si>
    <t>CL107</t>
  </si>
  <si>
    <t>C-11070</t>
  </si>
  <si>
    <t>C-11067</t>
  </si>
  <si>
    <t>C-11068</t>
  </si>
  <si>
    <t>C-11069</t>
  </si>
  <si>
    <t>CL261</t>
  </si>
  <si>
    <t>C-11062</t>
  </si>
  <si>
    <t>CL050</t>
  </si>
  <si>
    <t>C-11063</t>
  </si>
  <si>
    <t>C-11064</t>
  </si>
  <si>
    <t>C-11065</t>
  </si>
  <si>
    <t>C-11066</t>
  </si>
  <si>
    <t>C-11054</t>
  </si>
  <si>
    <t>C-11055</t>
  </si>
  <si>
    <t>CL432</t>
  </si>
  <si>
    <t>C-11056</t>
  </si>
  <si>
    <t>C-11057</t>
  </si>
  <si>
    <t>CL227</t>
  </si>
  <si>
    <t>C-11058</t>
  </si>
  <si>
    <t>C-11059</t>
  </si>
  <si>
    <t>C-11060</t>
  </si>
  <si>
    <t>C-11061</t>
  </si>
  <si>
    <t>C-11050</t>
  </si>
  <si>
    <t>C-11051</t>
  </si>
  <si>
    <t>C-11052</t>
  </si>
  <si>
    <t>C-11053</t>
  </si>
  <si>
    <t>CL205</t>
  </si>
  <si>
    <t>C-11042</t>
  </si>
  <si>
    <t>CL306</t>
  </si>
  <si>
    <t>C-11043</t>
  </si>
  <si>
    <t>C-11044</t>
  </si>
  <si>
    <t>CL495</t>
  </si>
  <si>
    <t>C-11045</t>
  </si>
  <si>
    <t>C-11046</t>
  </si>
  <si>
    <t>C-11047</t>
  </si>
  <si>
    <t>CL091</t>
  </si>
  <si>
    <t>C-11048</t>
  </si>
  <si>
    <t>CL597</t>
  </si>
  <si>
    <t>C-11049</t>
  </si>
  <si>
    <t>CL266</t>
  </si>
  <si>
    <t>C-11037</t>
  </si>
  <si>
    <t>C-11038</t>
  </si>
  <si>
    <t>CL473</t>
  </si>
  <si>
    <t>C-11039</t>
  </si>
  <si>
    <t>CL109</t>
  </si>
  <si>
    <t>C-11040</t>
  </si>
  <si>
    <t>CL159</t>
  </si>
  <si>
    <t>C-11041</t>
  </si>
  <si>
    <t>C-11035</t>
  </si>
  <si>
    <t>C-11036</t>
  </si>
  <si>
    <t>CL203</t>
  </si>
  <si>
    <t>C-11029</t>
  </si>
  <si>
    <t>C-11030</t>
  </si>
  <si>
    <t>C-11031</t>
  </si>
  <si>
    <t>C-11032</t>
  </si>
  <si>
    <t>CL012</t>
  </si>
  <si>
    <t>C-11033</t>
  </si>
  <si>
    <t>CL181</t>
  </si>
  <si>
    <t>C-11034</t>
  </si>
  <si>
    <t>C-11022</t>
  </si>
  <si>
    <t>C-11023</t>
  </si>
  <si>
    <t>CL390</t>
  </si>
  <si>
    <t>C-11024</t>
  </si>
  <si>
    <t>C-11025</t>
  </si>
  <si>
    <t>C-11026</t>
  </si>
  <si>
    <t>C-11027</t>
  </si>
  <si>
    <t>CL018</t>
  </si>
  <si>
    <t>C-11028</t>
  </si>
  <si>
    <t>C-11017</t>
  </si>
  <si>
    <t>CL408</t>
  </si>
  <si>
    <t>C-11018</t>
  </si>
  <si>
    <t>C-11019</t>
  </si>
  <si>
    <t>CL312</t>
  </si>
  <si>
    <t>C-11020</t>
  </si>
  <si>
    <t>C-11021</t>
  </si>
  <si>
    <t>C-11015</t>
  </si>
  <si>
    <t>CL547</t>
  </si>
  <si>
    <t>C-11016</t>
  </si>
  <si>
    <t>C-11010</t>
  </si>
  <si>
    <t>C-11011</t>
  </si>
  <si>
    <t>C-11012</t>
  </si>
  <si>
    <t>C-11013</t>
  </si>
  <si>
    <t>CL553</t>
  </si>
  <si>
    <t>C-11014</t>
  </si>
  <si>
    <t>C-11008</t>
  </si>
  <si>
    <t>C-11009</t>
  </si>
  <si>
    <t>C-11006</t>
  </si>
  <si>
    <t>C-11007</t>
  </si>
  <si>
    <t>C-11002</t>
  </si>
  <si>
    <t>C-11003</t>
  </si>
  <si>
    <t>C-11004</t>
  </si>
  <si>
    <t>CL287</t>
  </si>
  <si>
    <t>C-11005</t>
  </si>
  <si>
    <t>CL021</t>
  </si>
  <si>
    <t>C-10997</t>
  </si>
  <si>
    <t>C-10998</t>
  </si>
  <si>
    <t>CL599</t>
  </si>
  <si>
    <t>C-10999</t>
  </si>
  <si>
    <t>CL078</t>
  </si>
  <si>
    <t>C-11000</t>
  </si>
  <si>
    <t>CL433</t>
  </si>
  <si>
    <t>C-11001</t>
  </si>
  <si>
    <t>C-10995</t>
  </si>
  <si>
    <t>CL592</t>
  </si>
  <si>
    <t>C-10996</t>
  </si>
  <si>
    <t>C-10992</t>
  </si>
  <si>
    <t>C-10993</t>
  </si>
  <si>
    <t>C-10994</t>
  </si>
  <si>
    <t>CL187</t>
  </si>
  <si>
    <t>C-10991</t>
  </si>
  <si>
    <t>C-10989</t>
  </si>
  <si>
    <t>C-10990</t>
  </si>
  <si>
    <t>CL051</t>
  </si>
  <si>
    <t>C-10987</t>
  </si>
  <si>
    <t>C-10988</t>
  </si>
  <si>
    <t>C-10980</t>
  </si>
  <si>
    <t>CL120</t>
  </si>
  <si>
    <t>C-10981</t>
  </si>
  <si>
    <t>CL400</t>
  </si>
  <si>
    <t>C-10982</t>
  </si>
  <si>
    <t>CL119</t>
  </si>
  <si>
    <t>C-10983</t>
  </si>
  <si>
    <t>CL595</t>
  </si>
  <si>
    <t>C-10984</t>
  </si>
  <si>
    <t>C-10985</t>
  </si>
  <si>
    <t>CL453</t>
  </si>
  <si>
    <t>C-10986</t>
  </si>
  <si>
    <t>CL512</t>
  </si>
  <si>
    <t>C-10975</t>
  </si>
  <si>
    <t>C-10976</t>
  </si>
  <si>
    <t>C-10977</t>
  </si>
  <si>
    <t>CL319</t>
  </si>
  <si>
    <t>C-10978</t>
  </si>
  <si>
    <t>C-10979</t>
  </si>
  <si>
    <t>C-10971</t>
  </si>
  <si>
    <t>C-10972</t>
  </si>
  <si>
    <t>C-10973</t>
  </si>
  <si>
    <t>C-10974</t>
  </si>
  <si>
    <t>C-10967</t>
  </si>
  <si>
    <t>CL291</t>
  </si>
  <si>
    <t>C-10968</t>
  </si>
  <si>
    <t>C-10969</t>
  </si>
  <si>
    <t>CL590</t>
  </si>
  <si>
    <t>C-10970</t>
  </si>
  <si>
    <t>CL251</t>
  </si>
  <si>
    <t>C-10963</t>
  </si>
  <si>
    <t>C-10964</t>
  </si>
  <si>
    <t>C-10965</t>
  </si>
  <si>
    <t>C-10966</t>
  </si>
  <si>
    <t>C-10956</t>
  </si>
  <si>
    <t>C-10958</t>
  </si>
  <si>
    <t>C-10959</t>
  </si>
  <si>
    <t>C-10960</t>
  </si>
  <si>
    <t>CL576</t>
  </si>
  <si>
    <t>C-10961</t>
  </si>
  <si>
    <t>C-10962</t>
  </si>
  <si>
    <t>C-10952</t>
  </si>
  <si>
    <t>CL197</t>
  </si>
  <si>
    <t>C-10953</t>
  </si>
  <si>
    <t>C-10954</t>
  </si>
  <si>
    <t>C-10955</t>
  </si>
  <si>
    <t>CL377</t>
  </si>
  <si>
    <t>C-10948</t>
  </si>
  <si>
    <t>CL151</t>
  </si>
  <si>
    <t>C-10949</t>
  </si>
  <si>
    <t>C-10950</t>
  </si>
  <si>
    <t>C-10951</t>
  </si>
  <si>
    <t>CL518</t>
  </si>
  <si>
    <t>C-10946</t>
  </si>
  <si>
    <t>C-10947</t>
  </si>
  <si>
    <t>CL488</t>
  </si>
  <si>
    <t>C-10945</t>
  </si>
  <si>
    <t>C-10940</t>
  </si>
  <si>
    <t>C-10941</t>
  </si>
  <si>
    <t>CL214</t>
  </si>
  <si>
    <t>C-10942</t>
  </si>
  <si>
    <t>CL541</t>
  </si>
  <si>
    <t>C-10943</t>
  </si>
  <si>
    <t>C-10944</t>
  </si>
  <si>
    <t>C-10939</t>
  </si>
  <si>
    <t>C-10937</t>
  </si>
  <si>
    <t>C-10938</t>
  </si>
  <si>
    <t>CL105</t>
  </si>
  <si>
    <t>C-10936</t>
  </si>
  <si>
    <t>C-10932</t>
  </si>
  <si>
    <t>C-10933</t>
  </si>
  <si>
    <t>CL072</t>
  </si>
  <si>
    <t>C-10934</t>
  </si>
  <si>
    <t>C-10935</t>
  </si>
  <si>
    <t>CL440</t>
  </si>
  <si>
    <t>C-10931</t>
  </si>
  <si>
    <t>C-10922</t>
  </si>
  <si>
    <t>C-10923</t>
  </si>
  <si>
    <t>C-10924</t>
  </si>
  <si>
    <t>C-10925</t>
  </si>
  <si>
    <t>C-10926</t>
  </si>
  <si>
    <t>C-10927</t>
  </si>
  <si>
    <t>C-10928</t>
  </si>
  <si>
    <t>CL365</t>
  </si>
  <si>
    <t>C-10929</t>
  </si>
  <si>
    <t>C-10919</t>
  </si>
  <si>
    <t>CL305</t>
  </si>
  <si>
    <t>C-10920</t>
  </si>
  <si>
    <t>C-10921</t>
  </si>
  <si>
    <t>C-10916</t>
  </si>
  <si>
    <t>C-10917</t>
  </si>
  <si>
    <t>C-10918</t>
  </si>
  <si>
    <t>C-10911</t>
  </si>
  <si>
    <t>CL322</t>
  </si>
  <si>
    <t>C-10912</t>
  </si>
  <si>
    <t>C-10913</t>
  </si>
  <si>
    <t>C-10914</t>
  </si>
  <si>
    <t>C-10915</t>
  </si>
  <si>
    <t>C-10907</t>
  </si>
  <si>
    <t>CL510</t>
  </si>
  <si>
    <t>C-10908</t>
  </si>
  <si>
    <t>C-10909</t>
  </si>
  <si>
    <t>CL413</t>
  </si>
  <si>
    <t>C-10910</t>
  </si>
  <si>
    <t>C-10905</t>
  </si>
  <si>
    <t>CL033</t>
  </si>
  <si>
    <t>C-10906</t>
  </si>
  <si>
    <t>C-10902</t>
  </si>
  <si>
    <t>C-10903</t>
  </si>
  <si>
    <t>CL279</t>
  </si>
  <si>
    <t>C-10904</t>
  </si>
  <si>
    <t>C-10897</t>
  </si>
  <si>
    <t>C-10898</t>
  </si>
  <si>
    <t>C-10899</t>
  </si>
  <si>
    <t>C-10900</t>
  </si>
  <si>
    <t>CL196</t>
  </si>
  <si>
    <t>C-10901</t>
  </si>
  <si>
    <t>C-10893</t>
  </si>
  <si>
    <t>C-10894</t>
  </si>
  <si>
    <t>C-10895</t>
  </si>
  <si>
    <t>CL561</t>
  </si>
  <si>
    <t>C-10896</t>
  </si>
  <si>
    <t>C-10889</t>
  </si>
  <si>
    <t>CL535</t>
  </si>
  <si>
    <t>C-10890</t>
  </si>
  <si>
    <t>C-10891</t>
  </si>
  <si>
    <t>CL301</t>
  </si>
  <si>
    <t>C-10892</t>
  </si>
  <si>
    <t>CL118</t>
  </si>
  <si>
    <t>C-10887</t>
  </si>
  <si>
    <t>C-10888</t>
  </si>
  <si>
    <t>CL162</t>
  </si>
  <si>
    <t>C-10880</t>
  </si>
  <si>
    <t>CL254</t>
  </si>
  <si>
    <t>C-10881</t>
  </si>
  <si>
    <t>CL420</t>
  </si>
  <si>
    <t>C-10882</t>
  </si>
  <si>
    <t>C-10883</t>
  </si>
  <si>
    <t>CL484</t>
  </si>
  <si>
    <t>C-10884</t>
  </si>
  <si>
    <t>CL089</t>
  </si>
  <si>
    <t>C-10885</t>
  </si>
  <si>
    <t>C-10886</t>
  </si>
  <si>
    <t>CL019</t>
  </si>
  <si>
    <t>C-10878</t>
  </si>
  <si>
    <t>C-10879</t>
  </si>
  <si>
    <t>CL589</t>
  </si>
  <si>
    <t>C-10875</t>
  </si>
  <si>
    <t>C-10876</t>
  </si>
  <si>
    <t>C-10877</t>
  </si>
  <si>
    <t>C-10870</t>
  </si>
  <si>
    <t>C-10871</t>
  </si>
  <si>
    <t>CL465</t>
  </si>
  <si>
    <t>C-10872</t>
  </si>
  <si>
    <t>C-10873</t>
  </si>
  <si>
    <t>C-10874</t>
  </si>
  <si>
    <t>C-10865</t>
  </si>
  <si>
    <t>C-10866</t>
  </si>
  <si>
    <t>CL062</t>
  </si>
  <si>
    <t>C-10867</t>
  </si>
  <si>
    <t>CL292</t>
  </si>
  <si>
    <t>C-10868</t>
  </si>
  <si>
    <t>C-10869</t>
  </si>
  <si>
    <t>C-10859</t>
  </si>
  <si>
    <t>C-10860</t>
  </si>
  <si>
    <t>C-10861</t>
  </si>
  <si>
    <t>C-10862</t>
  </si>
  <si>
    <t>C-10863</t>
  </si>
  <si>
    <t>C-10864</t>
  </si>
  <si>
    <t>C-10857</t>
  </si>
  <si>
    <t>C-10858</t>
  </si>
  <si>
    <t>CL497</t>
  </si>
  <si>
    <t>C-10852</t>
  </si>
  <si>
    <t>C-10853</t>
  </si>
  <si>
    <t>CL344</t>
  </si>
  <si>
    <t>C-10854</t>
  </si>
  <si>
    <t>C-10855</t>
  </si>
  <si>
    <t>C-10856</t>
  </si>
  <si>
    <t>C-10849</t>
  </si>
  <si>
    <t>CL039</t>
  </si>
  <si>
    <t>C-10850</t>
  </si>
  <si>
    <t>CL043</t>
  </si>
  <si>
    <t>C-10851</t>
  </si>
  <si>
    <t>CL014</t>
  </si>
  <si>
    <t>C-10844</t>
  </si>
  <si>
    <t>CL047</t>
  </si>
  <si>
    <t>C-10845</t>
  </si>
  <si>
    <t>C-10846</t>
  </si>
  <si>
    <t>C-10847</t>
  </si>
  <si>
    <t>CL177</t>
  </si>
  <si>
    <t>C-10848</t>
  </si>
  <si>
    <t>CL147</t>
  </si>
  <si>
    <t>C-10839</t>
  </si>
  <si>
    <t>C-10840</t>
  </si>
  <si>
    <t>C-10841</t>
  </si>
  <si>
    <t>C-10842</t>
  </si>
  <si>
    <t>C-10843</t>
  </si>
  <si>
    <t>C-10831</t>
  </si>
  <si>
    <t>C-10832</t>
  </si>
  <si>
    <t>C-10833</t>
  </si>
  <si>
    <t>CL211</t>
  </si>
  <si>
    <t>C-10834</t>
  </si>
  <si>
    <t>C-10835</t>
  </si>
  <si>
    <t>C-10836</t>
  </si>
  <si>
    <t>CL416</t>
  </si>
  <si>
    <t>C-10837</t>
  </si>
  <si>
    <t>CL256</t>
  </si>
  <si>
    <t>C-10838</t>
  </si>
  <si>
    <t>C-10829</t>
  </si>
  <si>
    <t>CL035</t>
  </si>
  <si>
    <t>C-10830</t>
  </si>
  <si>
    <t>C-10824</t>
  </si>
  <si>
    <t>CL418</t>
  </si>
  <si>
    <t>C-10825</t>
  </si>
  <si>
    <t>CL167</t>
  </si>
  <si>
    <t>C-10826</t>
  </si>
  <si>
    <t>CL427</t>
  </si>
  <si>
    <t>C-10827</t>
  </si>
  <si>
    <t>C-10828</t>
  </si>
  <si>
    <t>C-10819</t>
  </si>
  <si>
    <t>C-10820</t>
  </si>
  <si>
    <t>C-10821</t>
  </si>
  <si>
    <t>C-10822</t>
  </si>
  <si>
    <t>C-10823</t>
  </si>
  <si>
    <t>C-10815</t>
  </si>
  <si>
    <t>C-10816</t>
  </si>
  <si>
    <t>CL286</t>
  </si>
  <si>
    <t>C-10817</t>
  </si>
  <si>
    <t>CL511</t>
  </si>
  <si>
    <t>C-10818</t>
  </si>
  <si>
    <t>C-10812</t>
  </si>
  <si>
    <t>C-10813</t>
  </si>
  <si>
    <t>CL477</t>
  </si>
  <si>
    <t>C-10814</t>
  </si>
  <si>
    <t>CL399</t>
  </si>
  <si>
    <t>C-10807</t>
  </si>
  <si>
    <t>C-10808</t>
  </si>
  <si>
    <t>CL232</t>
  </si>
  <si>
    <t>C-10809</t>
  </si>
  <si>
    <t>C-10810</t>
  </si>
  <si>
    <t>C-10811</t>
  </si>
  <si>
    <t>CL374</t>
  </si>
  <si>
    <t>C-10803</t>
  </si>
  <si>
    <t>C-10804</t>
  </si>
  <si>
    <t>C-10805</t>
  </si>
  <si>
    <t>C-10806</t>
  </si>
  <si>
    <t>CL421</t>
  </si>
  <si>
    <t>C-10798</t>
  </si>
  <si>
    <t>C-10799</t>
  </si>
  <si>
    <t>C-10800</t>
  </si>
  <si>
    <t>C-10801</t>
  </si>
  <si>
    <t>C-10802</t>
  </si>
  <si>
    <t>C-10793</t>
  </si>
  <si>
    <t>C-10794</t>
  </si>
  <si>
    <t>C-10795</t>
  </si>
  <si>
    <t>C-10796</t>
  </si>
  <si>
    <t>CL310</t>
  </si>
  <si>
    <t>C-10797</t>
  </si>
  <si>
    <t>C-10789</t>
  </si>
  <si>
    <t>C-10790</t>
  </si>
  <si>
    <t>C-10791</t>
  </si>
  <si>
    <t>CL154</t>
  </si>
  <si>
    <t>C-10792</t>
  </si>
  <si>
    <t>C-10784</t>
  </si>
  <si>
    <t>C-10785</t>
  </si>
  <si>
    <t>C-10786</t>
  </si>
  <si>
    <t>CL302</t>
  </si>
  <si>
    <t>C-10787</t>
  </si>
  <si>
    <t>C-10788</t>
  </si>
  <si>
    <t>C-10781</t>
  </si>
  <si>
    <t>CL052</t>
  </si>
  <si>
    <t>C-10782</t>
  </si>
  <si>
    <t>C-10783</t>
  </si>
  <si>
    <t>C-10776</t>
  </si>
  <si>
    <t>C-10777</t>
  </si>
  <si>
    <t>C-10778</t>
  </si>
  <si>
    <t>C-10779</t>
  </si>
  <si>
    <t>C-10780</t>
  </si>
  <si>
    <t>C-10774</t>
  </si>
  <si>
    <t>C-10775</t>
  </si>
  <si>
    <t>C-10772</t>
  </si>
  <si>
    <t>C-10773</t>
  </si>
  <si>
    <t>CL268</t>
  </si>
  <si>
    <t>C-10768</t>
  </si>
  <si>
    <t>C-10769</t>
  </si>
  <si>
    <t>C-10770</t>
  </si>
  <si>
    <t>C-10771</t>
  </si>
  <si>
    <t>C-10767</t>
  </si>
  <si>
    <t>C-10763</t>
  </si>
  <si>
    <t>C-10764</t>
  </si>
  <si>
    <t>C-10765</t>
  </si>
  <si>
    <t>CL598</t>
  </si>
  <si>
    <t>C-10766</t>
  </si>
  <si>
    <t>C-10762</t>
  </si>
  <si>
    <t>C-10757</t>
  </si>
  <si>
    <t>C-10758</t>
  </si>
  <si>
    <t>CL362</t>
  </si>
  <si>
    <t>C-10759</t>
  </si>
  <si>
    <t>C-10760</t>
  </si>
  <si>
    <t>C-10761</t>
  </si>
  <si>
    <t>C-10754</t>
  </si>
  <si>
    <t>C-10755</t>
  </si>
  <si>
    <t>C-10756</t>
  </si>
  <si>
    <t>C-10752</t>
  </si>
  <si>
    <t>C-10753</t>
  </si>
  <si>
    <t>C-10750</t>
  </si>
  <si>
    <t>C-10751</t>
  </si>
  <si>
    <t>C-10749</t>
  </si>
  <si>
    <t>CL248</t>
  </si>
  <si>
    <t>C-10748</t>
  </si>
  <si>
    <t>CL448</t>
  </si>
  <si>
    <t>C-10742</t>
  </si>
  <si>
    <t>C-10743</t>
  </si>
  <si>
    <t>C-10744</t>
  </si>
  <si>
    <t>C-10745</t>
  </si>
  <si>
    <t>C-10746</t>
  </si>
  <si>
    <t>C-10747</t>
  </si>
  <si>
    <t>C-10737</t>
  </si>
  <si>
    <t>C-10738</t>
  </si>
  <si>
    <t>C-10739</t>
  </si>
  <si>
    <t>C-10740</t>
  </si>
  <si>
    <t>CL143</t>
  </si>
  <si>
    <t>C-10741</t>
  </si>
  <si>
    <t>C-10736</t>
  </si>
  <si>
    <t>C-10731</t>
  </si>
  <si>
    <t>C-10732</t>
  </si>
  <si>
    <t>CL170</t>
  </si>
  <si>
    <t>C-10733</t>
  </si>
  <si>
    <t>C-10734</t>
  </si>
  <si>
    <t>C-10735</t>
  </si>
  <si>
    <t>CL546</t>
  </si>
  <si>
    <t>C-10727</t>
  </si>
  <si>
    <t>CL474</t>
  </si>
  <si>
    <t>C-10728</t>
  </si>
  <si>
    <t>CL404</t>
  </si>
  <si>
    <t>C-10729</t>
  </si>
  <si>
    <t>C-10730</t>
  </si>
  <si>
    <t>C-10724</t>
  </si>
  <si>
    <t>C-10725</t>
  </si>
  <si>
    <t>C-10726</t>
  </si>
  <si>
    <t>C-10723</t>
  </si>
  <si>
    <t>C-10720</t>
  </si>
  <si>
    <t>C-10721</t>
  </si>
  <si>
    <t>C-10722</t>
  </si>
  <si>
    <t>CL570</t>
  </si>
  <si>
    <t>C-10717</t>
  </si>
  <si>
    <t>CL099</t>
  </si>
  <si>
    <t>C-10718</t>
  </si>
  <si>
    <t>C-10719</t>
  </si>
  <si>
    <t>C-10715</t>
  </si>
  <si>
    <t>CL095</t>
  </si>
  <si>
    <t>C-10716</t>
  </si>
  <si>
    <t>C-10708</t>
  </si>
  <si>
    <t>C-10709</t>
  </si>
  <si>
    <t>C-10710</t>
  </si>
  <si>
    <t>C-10711</t>
  </si>
  <si>
    <t>C-10712</t>
  </si>
  <si>
    <t>C-10713</t>
  </si>
  <si>
    <t>CL347</t>
  </si>
  <si>
    <t>C-10714</t>
  </si>
  <si>
    <t>C-10702</t>
  </si>
  <si>
    <t>C-10703</t>
  </si>
  <si>
    <t>C-10704</t>
  </si>
  <si>
    <t>C-10705</t>
  </si>
  <si>
    <t>C-10706</t>
  </si>
  <si>
    <t>C-10707</t>
  </si>
  <si>
    <t>C-10696</t>
  </si>
  <si>
    <t>C-10697</t>
  </si>
  <si>
    <t>C-10698</t>
  </si>
  <si>
    <t>C-10699</t>
  </si>
  <si>
    <t>C-10700</t>
  </si>
  <si>
    <t>C-10701</t>
  </si>
  <si>
    <t>C-10694</t>
  </si>
  <si>
    <t>C-10695</t>
  </si>
  <si>
    <t>C-10690</t>
  </si>
  <si>
    <t>C-10691</t>
  </si>
  <si>
    <t>C-10692</t>
  </si>
  <si>
    <t>C-10693</t>
  </si>
  <si>
    <t>C-10687</t>
  </si>
  <si>
    <t>C-10688</t>
  </si>
  <si>
    <t>C-10689</t>
  </si>
  <si>
    <t>C-10683</t>
  </si>
  <si>
    <t>C-10684</t>
  </si>
  <si>
    <t>C-10685</t>
  </si>
  <si>
    <t>C-10686</t>
  </si>
  <si>
    <t>CL113</t>
  </si>
  <si>
    <t>C-10679</t>
  </si>
  <si>
    <t>CL289</t>
  </si>
  <si>
    <t>C-10680</t>
  </si>
  <si>
    <t>C-10681</t>
  </si>
  <si>
    <t>C-10682</t>
  </si>
  <si>
    <t>C-10672</t>
  </si>
  <si>
    <t>C-10673</t>
  </si>
  <si>
    <t>C-10674</t>
  </si>
  <si>
    <t>CL487</t>
  </si>
  <si>
    <t>C-10675</t>
  </si>
  <si>
    <t>C-10676</t>
  </si>
  <si>
    <t>C-10677</t>
  </si>
  <si>
    <t>C-10678</t>
  </si>
  <si>
    <t>C-10668</t>
  </si>
  <si>
    <t>CL116</t>
  </si>
  <si>
    <t>C-10669</t>
  </si>
  <si>
    <t>CL392</t>
  </si>
  <si>
    <t>C-10670</t>
  </si>
  <si>
    <t>C-10671</t>
  </si>
  <si>
    <t>C-10664</t>
  </si>
  <si>
    <t>C-10665</t>
  </si>
  <si>
    <t>C-10666</t>
  </si>
  <si>
    <t>C-10667</t>
  </si>
  <si>
    <t>C-10660</t>
  </si>
  <si>
    <t>CL515</t>
  </si>
  <si>
    <t>C-10661</t>
  </si>
  <si>
    <t>C-10662</t>
  </si>
  <si>
    <t>C-10663</t>
  </si>
  <si>
    <t>CL294</t>
  </si>
  <si>
    <t>C-10658</t>
  </si>
  <si>
    <t>C-10659</t>
  </si>
  <si>
    <t>CL324</t>
  </si>
  <si>
    <t>C-10657</t>
  </si>
  <si>
    <t>C-10651</t>
  </si>
  <si>
    <t>C-10652</t>
  </si>
  <si>
    <t>C-10653</t>
  </si>
  <si>
    <t>C-10654</t>
  </si>
  <si>
    <t>CL252</t>
  </si>
  <si>
    <t>C-10655</t>
  </si>
  <si>
    <t>C-10656</t>
  </si>
  <si>
    <t>C-10648</t>
  </si>
  <si>
    <t>C-10649</t>
  </si>
  <si>
    <t>CL523</t>
  </si>
  <si>
    <t>C-10650</t>
  </si>
  <si>
    <t>C-10645</t>
  </si>
  <si>
    <t>C-10646</t>
  </si>
  <si>
    <t>C-10647</t>
  </si>
  <si>
    <t>C-10642</t>
  </si>
  <si>
    <t>C-10643</t>
  </si>
  <si>
    <t>CL516</t>
  </si>
  <si>
    <t>C-10644</t>
  </si>
  <si>
    <t>C-10641</t>
  </si>
  <si>
    <t>C-10638</t>
  </si>
  <si>
    <t>C-10639</t>
  </si>
  <si>
    <t>C-10640</t>
  </si>
  <si>
    <t>C-10633</t>
  </si>
  <si>
    <t>C-10634</t>
  </si>
  <si>
    <t>CL057</t>
  </si>
  <si>
    <t>C-10635</t>
  </si>
  <si>
    <t>C-10636</t>
  </si>
  <si>
    <t>C-10637</t>
  </si>
  <si>
    <t>C-10631</t>
  </si>
  <si>
    <t>C-10632</t>
  </si>
  <si>
    <t>C-10625</t>
  </si>
  <si>
    <t>CL234</t>
  </si>
  <si>
    <t>C-10626</t>
  </si>
  <si>
    <t>C-10627</t>
  </si>
  <si>
    <t>C-10628</t>
  </si>
  <si>
    <t>C-10629</t>
  </si>
  <si>
    <t>C-10630</t>
  </si>
  <si>
    <t>CL415</t>
  </si>
  <si>
    <t>C-10622</t>
  </si>
  <si>
    <t>CL313</t>
  </si>
  <si>
    <t>C-10623</t>
  </si>
  <si>
    <t>CL498</t>
  </si>
  <si>
    <t>C-10624</t>
  </si>
  <si>
    <t>C-10615</t>
  </si>
  <si>
    <t>CL457</t>
  </si>
  <si>
    <t>C-10616</t>
  </si>
  <si>
    <t>C-10617</t>
  </si>
  <si>
    <t>C-10618</t>
  </si>
  <si>
    <t>C-10619</t>
  </si>
  <si>
    <t>C-10620</t>
  </si>
  <si>
    <t>C-10621</t>
  </si>
  <si>
    <t>C-10614</t>
  </si>
  <si>
    <t>C-10608</t>
  </si>
  <si>
    <t>CL586</t>
  </si>
  <si>
    <t>C-10609</t>
  </si>
  <si>
    <t>C-10610</t>
  </si>
  <si>
    <t>CL063</t>
  </si>
  <si>
    <t>C-10611</t>
  </si>
  <si>
    <t>C-10612</t>
  </si>
  <si>
    <t>C-10613</t>
  </si>
  <si>
    <t>C-10606</t>
  </si>
  <si>
    <t>CL419</t>
  </si>
  <si>
    <t>C-10607</t>
  </si>
  <si>
    <t>C-10602</t>
  </si>
  <si>
    <t>C-10603</t>
  </si>
  <si>
    <t>C-10604</t>
  </si>
  <si>
    <t>C-10605</t>
  </si>
  <si>
    <t>C-10600</t>
  </si>
  <si>
    <t>C-10601</t>
  </si>
  <si>
    <t>CL295</t>
  </si>
  <si>
    <t>C-10597</t>
  </si>
  <si>
    <t>C-10598</t>
  </si>
  <si>
    <t>C-10599</t>
  </si>
  <si>
    <t>C-10594</t>
  </si>
  <si>
    <t>C-10595</t>
  </si>
  <si>
    <t>CL020</t>
  </si>
  <si>
    <t>C-10596</t>
  </si>
  <si>
    <t>C-10589</t>
  </si>
  <si>
    <t>CL048</t>
  </si>
  <si>
    <t>C-10590</t>
  </si>
  <si>
    <t>CL435</t>
  </si>
  <si>
    <t>C-10591</t>
  </si>
  <si>
    <t>C-10592</t>
  </si>
  <si>
    <t>C-10593</t>
  </si>
  <si>
    <t>C-10586</t>
  </si>
  <si>
    <t>CL263</t>
  </si>
  <si>
    <t>C-10587</t>
  </si>
  <si>
    <t>C-10588</t>
  </si>
  <si>
    <t>C-10583</t>
  </si>
  <si>
    <t>C-10584</t>
  </si>
  <si>
    <t>C-10585</t>
  </si>
  <si>
    <t>C-10576</t>
  </si>
  <si>
    <t>CL260</t>
  </si>
  <si>
    <t>C-10577</t>
  </si>
  <si>
    <t>C-10578</t>
  </si>
  <si>
    <t>C-10579</t>
  </si>
  <si>
    <t>C-10580</t>
  </si>
  <si>
    <t>C-10581</t>
  </si>
  <si>
    <t>C-10582</t>
  </si>
  <si>
    <t>C-10575</t>
  </si>
  <si>
    <t>C-10573</t>
  </si>
  <si>
    <t>CL155</t>
  </si>
  <si>
    <t>C-10574</t>
  </si>
  <si>
    <t>C-10571</t>
  </si>
  <si>
    <t>C-10572</t>
  </si>
  <si>
    <t>C-10567</t>
  </si>
  <si>
    <t>C-10568</t>
  </si>
  <si>
    <t>C-10569</t>
  </si>
  <si>
    <t>CL456</t>
  </si>
  <si>
    <t>C-10570</t>
  </si>
  <si>
    <t>C-10566</t>
  </si>
  <si>
    <t>C-10563</t>
  </si>
  <si>
    <t>C-10564</t>
  </si>
  <si>
    <t>C-10565</t>
  </si>
  <si>
    <t>CL166</t>
  </si>
  <si>
    <t>C-10561</t>
  </si>
  <si>
    <t>C-10562</t>
  </si>
  <si>
    <t>C-10557</t>
  </si>
  <si>
    <t>CL102</t>
  </si>
  <si>
    <t>C-10558</t>
  </si>
  <si>
    <t>C-10559</t>
  </si>
  <si>
    <t>C-10560</t>
  </si>
  <si>
    <t>C-10556</t>
  </si>
  <si>
    <t>C-10551</t>
  </si>
  <si>
    <t>C-10552</t>
  </si>
  <si>
    <t>C-10553</t>
  </si>
  <si>
    <t>C-10554</t>
  </si>
  <si>
    <t>C-10555</t>
  </si>
  <si>
    <t>C-10549</t>
  </si>
  <si>
    <t>C-10550</t>
  </si>
  <si>
    <t>CL417</t>
  </si>
  <si>
    <t>C-10544</t>
  </si>
  <si>
    <t>CL164</t>
  </si>
  <si>
    <t>C-10545</t>
  </si>
  <si>
    <t>C-10546</t>
  </si>
  <si>
    <t>C-10547</t>
  </si>
  <si>
    <t>CL125</t>
  </si>
  <si>
    <t>C-10548</t>
  </si>
  <si>
    <t>CL461</t>
  </si>
  <si>
    <t>C-10540</t>
  </si>
  <si>
    <t>C-10541</t>
  </si>
  <si>
    <t>C-10542</t>
  </si>
  <si>
    <t>C-10543</t>
  </si>
  <si>
    <t>C-10537</t>
  </si>
  <si>
    <t>C-10538</t>
  </si>
  <si>
    <t>C-10539</t>
  </si>
  <si>
    <t>C-10535</t>
  </si>
  <si>
    <t>C-10536</t>
  </si>
  <si>
    <t>C-10533</t>
  </si>
  <si>
    <t>C-10534</t>
  </si>
  <si>
    <t>C-10532</t>
  </si>
  <si>
    <t>C-10529</t>
  </si>
  <si>
    <t>C-10530</t>
  </si>
  <si>
    <t>C-10531</t>
  </si>
  <si>
    <t>CL220</t>
  </si>
  <si>
    <t>C-10527</t>
  </si>
  <si>
    <t>C-10528</t>
  </si>
  <si>
    <t>C-10523</t>
  </si>
  <si>
    <t>C-10524</t>
  </si>
  <si>
    <t>C-10525</t>
  </si>
  <si>
    <t>C-10526</t>
  </si>
  <si>
    <t>C-10518</t>
  </si>
  <si>
    <t>C-10519</t>
  </si>
  <si>
    <t>C-10520</t>
  </si>
  <si>
    <t>C-10521</t>
  </si>
  <si>
    <t>C-10522</t>
  </si>
  <si>
    <t>C-10515</t>
  </si>
  <si>
    <t>CL016</t>
  </si>
  <si>
    <t>C-10516</t>
  </si>
  <si>
    <t>C-10517</t>
  </si>
  <si>
    <t>C-10514</t>
  </si>
  <si>
    <t>C-10509</t>
  </si>
  <si>
    <t>C-10510</t>
  </si>
  <si>
    <t>C-10511</t>
  </si>
  <si>
    <t>C-10512</t>
  </si>
  <si>
    <t>CL350</t>
  </si>
  <si>
    <t>C-10513</t>
  </si>
  <si>
    <t>C-10507</t>
  </si>
  <si>
    <t>C-10508</t>
  </si>
  <si>
    <t>CL526</t>
  </si>
  <si>
    <t>C-10504</t>
  </si>
  <si>
    <t>C-10505</t>
  </si>
  <si>
    <t>CL201</t>
  </si>
  <si>
    <t>C-10506</t>
  </si>
  <si>
    <t>C-10501</t>
  </si>
  <si>
    <t>C-10502</t>
  </si>
  <si>
    <t>CL447</t>
  </si>
  <si>
    <t>C-10503</t>
  </si>
  <si>
    <t>C-10498</t>
  </si>
  <si>
    <t>C-10499</t>
  </si>
  <si>
    <t>C-10500</t>
  </si>
  <si>
    <t>C-10493</t>
  </si>
  <si>
    <t>C-10494</t>
  </si>
  <si>
    <t>C-10495</t>
  </si>
  <si>
    <t>C-10496</t>
  </si>
  <si>
    <t>C-10497</t>
  </si>
  <si>
    <t>C-10490</t>
  </si>
  <si>
    <t>CL577</t>
  </si>
  <si>
    <t>C-10491</t>
  </si>
  <si>
    <t>C-10492</t>
  </si>
  <si>
    <t>C-10488</t>
  </si>
  <si>
    <t>C-10489</t>
  </si>
  <si>
    <t>C-10483</t>
  </si>
  <si>
    <t>C-10484</t>
  </si>
  <si>
    <t>C-10485</t>
  </si>
  <si>
    <t>C-10486</t>
  </si>
  <si>
    <t>C-10487</t>
  </si>
  <si>
    <t>CL314</t>
  </si>
  <si>
    <t>C-10480</t>
  </si>
  <si>
    <t>C-10481</t>
  </si>
  <si>
    <t>C-10482</t>
  </si>
  <si>
    <t>C-10476</t>
  </si>
  <si>
    <t>C-10477</t>
  </si>
  <si>
    <t>C-10478</t>
  </si>
  <si>
    <t>C-10479</t>
  </si>
  <si>
    <t>C-10469</t>
  </si>
  <si>
    <t>C-10470</t>
  </si>
  <si>
    <t>C-10471</t>
  </si>
  <si>
    <t>C-10472</t>
  </si>
  <si>
    <t>C-10473</t>
  </si>
  <si>
    <t>CL307</t>
  </si>
  <si>
    <t>C-10474</t>
  </si>
  <si>
    <t>C-10475</t>
  </si>
  <si>
    <t>C-10464</t>
  </si>
  <si>
    <t>C-10465</t>
  </si>
  <si>
    <t>C-10466</t>
  </si>
  <si>
    <t>C-10467</t>
  </si>
  <si>
    <t>C-10468</t>
  </si>
  <si>
    <t>C-10459</t>
  </si>
  <si>
    <t>C-10460</t>
  </si>
  <si>
    <t>C-10461</t>
  </si>
  <si>
    <t>C-10462</t>
  </si>
  <si>
    <t>C-10463</t>
  </si>
  <si>
    <t>CL573</t>
  </si>
  <si>
    <t>C-10457</t>
  </si>
  <si>
    <t>C-10458</t>
  </si>
  <si>
    <t>C-10451</t>
  </si>
  <si>
    <t>C-10452</t>
  </si>
  <si>
    <t>CL219</t>
  </si>
  <si>
    <t>C-10453</t>
  </si>
  <si>
    <t>C-10454</t>
  </si>
  <si>
    <t>CL171</t>
  </si>
  <si>
    <t>C-10455</t>
  </si>
  <si>
    <t>C-10456</t>
  </si>
  <si>
    <t>C-10446</t>
  </si>
  <si>
    <t>C-10447</t>
  </si>
  <si>
    <t>C-10448</t>
  </si>
  <si>
    <t>C-10449</t>
  </si>
  <si>
    <t>C-10450</t>
  </si>
  <si>
    <t>C-10444</t>
  </si>
  <si>
    <t>C-10445</t>
  </si>
  <si>
    <t>C-10440</t>
  </si>
  <si>
    <t>C-10441</t>
  </si>
  <si>
    <t>C-10442</t>
  </si>
  <si>
    <t>C-10443</t>
  </si>
  <si>
    <t>C-10436</t>
  </si>
  <si>
    <t>C-10437</t>
  </si>
  <si>
    <t>C-10438</t>
  </si>
  <si>
    <t>CL504</t>
  </si>
  <si>
    <t>C-10439</t>
  </si>
  <si>
    <t>C-10434</t>
  </si>
  <si>
    <t>C-10435</t>
  </si>
  <si>
    <t>C-10431</t>
  </si>
  <si>
    <t>C-10432</t>
  </si>
  <si>
    <t>C-10433</t>
  </si>
  <si>
    <t>C-10426</t>
  </si>
  <si>
    <t>C-10427</t>
  </si>
  <si>
    <t>CL264</t>
  </si>
  <si>
    <t>C-10428</t>
  </si>
  <si>
    <t>C-10429</t>
  </si>
  <si>
    <t>CL402</t>
  </si>
  <si>
    <t>C-10430</t>
  </si>
  <si>
    <t>C-10422</t>
  </si>
  <si>
    <t>C-10423</t>
  </si>
  <si>
    <t>CL475</t>
  </si>
  <si>
    <t>C-10424</t>
  </si>
  <si>
    <t>C-10425</t>
  </si>
  <si>
    <t>CL534</t>
  </si>
  <si>
    <t>C-10421</t>
  </si>
  <si>
    <t>C-10413</t>
  </si>
  <si>
    <t>C-10414</t>
  </si>
  <si>
    <t>C-10415</t>
  </si>
  <si>
    <t>CL463</t>
  </si>
  <si>
    <t>C-10416</t>
  </si>
  <si>
    <t>C-10417</t>
  </si>
  <si>
    <t>C-10418</t>
  </si>
  <si>
    <t>C-10419</t>
  </si>
  <si>
    <t>C-10420</t>
  </si>
  <si>
    <t>C-10412</t>
  </si>
  <si>
    <t>C-10410</t>
  </si>
  <si>
    <t>C-10411</t>
  </si>
  <si>
    <t>C-10405</t>
  </si>
  <si>
    <t>C-10406</t>
  </si>
  <si>
    <t>C-10407</t>
  </si>
  <si>
    <t>C-10408</t>
  </si>
  <si>
    <t>C-10409</t>
  </si>
  <si>
    <t>C-10400</t>
  </si>
  <si>
    <t>C-10401</t>
  </si>
  <si>
    <t>C-10402</t>
  </si>
  <si>
    <t>C-10403</t>
  </si>
  <si>
    <t>C-10404</t>
  </si>
  <si>
    <t>C-10396</t>
  </si>
  <si>
    <t>C-10397</t>
  </si>
  <si>
    <t>C-10398</t>
  </si>
  <si>
    <t>C-10399</t>
  </si>
  <si>
    <t>CL182</t>
  </si>
  <si>
    <t>C-10393</t>
  </si>
  <si>
    <t>C-10394</t>
  </si>
  <si>
    <t>CL071</t>
  </si>
  <si>
    <t>C-10395</t>
  </si>
  <si>
    <t>C-10388</t>
  </si>
  <si>
    <t>C-10389</t>
  </si>
  <si>
    <t>C-10390</t>
  </si>
  <si>
    <t>C-10391</t>
  </si>
  <si>
    <t>C-10392</t>
  </si>
  <si>
    <t>CL231</t>
  </si>
  <si>
    <t>C-10385</t>
  </si>
  <si>
    <t>C-10386</t>
  </si>
  <si>
    <t>CL253</t>
  </si>
  <si>
    <t>C-10387</t>
  </si>
  <si>
    <t>C-10384</t>
  </si>
  <si>
    <t>C-10382</t>
  </si>
  <si>
    <t>C-10383</t>
  </si>
  <si>
    <t>C-10376</t>
  </si>
  <si>
    <t>C-10377</t>
  </si>
  <si>
    <t>C-10378</t>
  </si>
  <si>
    <t>C-10379</t>
  </si>
  <si>
    <t>C-10380</t>
  </si>
  <si>
    <t>C-10381</t>
  </si>
  <si>
    <t>C-10374</t>
  </si>
  <si>
    <t>C-10375</t>
  </si>
  <si>
    <t>C-10371</t>
  </si>
  <si>
    <t>C-10372</t>
  </si>
  <si>
    <t>C-10373</t>
  </si>
  <si>
    <t>C-10367</t>
  </si>
  <si>
    <t>C-10368</t>
  </si>
  <si>
    <t>C-10369</t>
  </si>
  <si>
    <t>C-10370</t>
  </si>
  <si>
    <t>C-10364</t>
  </si>
  <si>
    <t>C-10365</t>
  </si>
  <si>
    <t>C-10366</t>
  </si>
  <si>
    <t>C-10363</t>
  </si>
  <si>
    <t>CL340</t>
  </si>
  <si>
    <t>C-10360</t>
  </si>
  <si>
    <t>C-10361</t>
  </si>
  <si>
    <t>C-10362</t>
  </si>
  <si>
    <t>C-10355</t>
  </si>
  <si>
    <t>C-10356</t>
  </si>
  <si>
    <t>C-10357</t>
  </si>
  <si>
    <t>C-10358</t>
  </si>
  <si>
    <t>C-10359</t>
  </si>
  <si>
    <t>C-10351</t>
  </si>
  <si>
    <t>C-10352</t>
  </si>
  <si>
    <t>C-10353</t>
  </si>
  <si>
    <t>C-10354</t>
  </si>
  <si>
    <t>C-10349</t>
  </si>
  <si>
    <t>C-10350</t>
  </si>
  <si>
    <t>C-10344</t>
  </si>
  <si>
    <t>C-10345</t>
  </si>
  <si>
    <t>C-10346</t>
  </si>
  <si>
    <t>C-10347</t>
  </si>
  <si>
    <t>C-10348</t>
  </si>
  <si>
    <t>C-10338</t>
  </si>
  <si>
    <t>C-10339</t>
  </si>
  <si>
    <t>C-10340</t>
  </si>
  <si>
    <t>C-10341</t>
  </si>
  <si>
    <t>C-10342</t>
  </si>
  <si>
    <t>C-10343</t>
  </si>
  <si>
    <t>C-10337</t>
  </si>
  <si>
    <t>C-10329</t>
  </si>
  <si>
    <t>C-10330</t>
  </si>
  <si>
    <t>C-10331</t>
  </si>
  <si>
    <t>C-10332</t>
  </si>
  <si>
    <t>C-10333</t>
  </si>
  <si>
    <t>C-10334</t>
  </si>
  <si>
    <t>C-10335</t>
  </si>
  <si>
    <t>CL401</t>
  </si>
  <si>
    <t>C-10336</t>
  </si>
  <si>
    <t>C-10323</t>
  </si>
  <si>
    <t>C-10324</t>
  </si>
  <si>
    <t>C-10325</t>
  </si>
  <si>
    <t>C-10326</t>
  </si>
  <si>
    <t>C-10327</t>
  </si>
  <si>
    <t>C-10328</t>
  </si>
  <si>
    <t>C-10317</t>
  </si>
  <si>
    <t>C-10318</t>
  </si>
  <si>
    <t>C-10319</t>
  </si>
  <si>
    <t>C-10320</t>
  </si>
  <si>
    <t>C-10321</t>
  </si>
  <si>
    <t>C-10322</t>
  </si>
  <si>
    <t>CL180</t>
  </si>
  <si>
    <t>C-10313</t>
  </si>
  <si>
    <t>CL083</t>
  </si>
  <si>
    <t>C-10314</t>
  </si>
  <si>
    <t>C-10315</t>
  </si>
  <si>
    <t>C-10316</t>
  </si>
  <si>
    <t>C-10308</t>
  </si>
  <si>
    <t>C-10309</t>
  </si>
  <si>
    <t>C-10310</t>
  </si>
  <si>
    <t>C-10311</t>
  </si>
  <si>
    <t>C-10312</t>
  </si>
  <si>
    <t>CL284</t>
  </si>
  <si>
    <t>C-10306</t>
  </si>
  <si>
    <t>C-10307</t>
  </si>
  <si>
    <t>C-10301</t>
  </si>
  <si>
    <t>CL530</t>
  </si>
  <si>
    <t>C-10302</t>
  </si>
  <si>
    <t>C-10303</t>
  </si>
  <si>
    <t>C-10304</t>
  </si>
  <si>
    <t>C-10305</t>
  </si>
  <si>
    <t>C-10295</t>
  </si>
  <si>
    <t>C-10296</t>
  </si>
  <si>
    <t>C-10297</t>
  </si>
  <si>
    <t>C-10298</t>
  </si>
  <si>
    <t>C-10299</t>
  </si>
  <si>
    <t>C-10300</t>
  </si>
  <si>
    <t>C-10293</t>
  </si>
  <si>
    <t>C-10294</t>
  </si>
  <si>
    <t>C-10292</t>
  </si>
  <si>
    <t>C-10287</t>
  </si>
  <si>
    <t>C-10288</t>
  </si>
  <si>
    <t>C-10289</t>
  </si>
  <si>
    <t>C-10290</t>
  </si>
  <si>
    <t>CL150</t>
  </si>
  <si>
    <t>C-10291</t>
  </si>
  <si>
    <t>C-10284</t>
  </si>
  <si>
    <t>C-10285</t>
  </si>
  <si>
    <t>C-10286</t>
  </si>
  <si>
    <t>C-10278</t>
  </si>
  <si>
    <t>C-10279</t>
  </si>
  <si>
    <t>C-10280</t>
  </si>
  <si>
    <t>C-10281</t>
  </si>
  <si>
    <t>C-10282</t>
  </si>
  <si>
    <t>C-10283</t>
  </si>
  <si>
    <t>C-10272</t>
  </si>
  <si>
    <t>C-10273</t>
  </si>
  <si>
    <t>C-10274</t>
  </si>
  <si>
    <t>C-10275</t>
  </si>
  <si>
    <t>C-10276</t>
  </si>
  <si>
    <t>C-10277</t>
  </si>
  <si>
    <t>C-10270</t>
  </si>
  <si>
    <t>C-10271</t>
  </si>
  <si>
    <t>C-10269</t>
  </si>
  <si>
    <t>C-10268</t>
  </si>
  <si>
    <t>C-10264</t>
  </si>
  <si>
    <t>C-10265</t>
  </si>
  <si>
    <t>CL446</t>
  </si>
  <si>
    <t>C-10266</t>
  </si>
  <si>
    <t>C-10267</t>
  </si>
  <si>
    <t>C-10262</t>
  </si>
  <si>
    <t>C-10263</t>
  </si>
  <si>
    <t>C-10260</t>
  </si>
  <si>
    <t>C-10261</t>
  </si>
  <si>
    <t>C-10256</t>
  </si>
  <si>
    <t>C-10257</t>
  </si>
  <si>
    <t>C-10258</t>
  </si>
  <si>
    <t>C-10259</t>
  </si>
  <si>
    <t>C-10252</t>
  </si>
  <si>
    <t>CL024</t>
  </si>
  <si>
    <t>C-10253</t>
  </si>
  <si>
    <t>C-10254</t>
  </si>
  <si>
    <t>C-10255</t>
  </si>
  <si>
    <t>CL520</t>
  </si>
  <si>
    <t>C-10247</t>
  </si>
  <si>
    <t>C-10248</t>
  </si>
  <si>
    <t>C-10249</t>
  </si>
  <si>
    <t>C-10250</t>
  </si>
  <si>
    <t>C-10251</t>
  </si>
  <si>
    <t>C-10245</t>
  </si>
  <si>
    <t>C-10246</t>
  </si>
  <si>
    <t>C-10243</t>
  </si>
  <si>
    <t>C-10244</t>
  </si>
  <si>
    <t>C-10239</t>
  </si>
  <si>
    <t>C-10240</t>
  </si>
  <si>
    <t>C-10241</t>
  </si>
  <si>
    <t>C-10242</t>
  </si>
  <si>
    <t>C-10234</t>
  </si>
  <si>
    <t>C-10235</t>
  </si>
  <si>
    <t>C-10236</t>
  </si>
  <si>
    <t>CL353</t>
  </si>
  <si>
    <t>C-10237</t>
  </si>
  <si>
    <t>C-10238</t>
  </si>
  <si>
    <t>C-10230</t>
  </si>
  <si>
    <t>C-10231</t>
  </si>
  <si>
    <t>CL053</t>
  </si>
  <si>
    <t>C-10232</t>
  </si>
  <si>
    <t>C-10233</t>
  </si>
  <si>
    <t>C-10223</t>
  </si>
  <si>
    <t>C-10224</t>
  </si>
  <si>
    <t>C-10225</t>
  </si>
  <si>
    <t>C-10226</t>
  </si>
  <si>
    <t>CL320</t>
  </si>
  <si>
    <t>C-10227</t>
  </si>
  <si>
    <t>C-10228</t>
  </si>
  <si>
    <t>C-10229</t>
  </si>
  <si>
    <t>C-10220</t>
  </si>
  <si>
    <t>C-10221</t>
  </si>
  <si>
    <t>C-10222</t>
  </si>
  <si>
    <t>C-10216</t>
  </si>
  <si>
    <t>C-10217</t>
  </si>
  <si>
    <t>C-10218</t>
  </si>
  <si>
    <t>C-10219</t>
  </si>
  <si>
    <t>C-10211</t>
  </si>
  <si>
    <t>CL015</t>
  </si>
  <si>
    <t>C-10212</t>
  </si>
  <si>
    <t>C-10213</t>
  </si>
  <si>
    <t>CL075</t>
  </si>
  <si>
    <t>C-10214</t>
  </si>
  <si>
    <t>C-10215</t>
  </si>
  <si>
    <t>C-10208</t>
  </si>
  <si>
    <t>C-10209</t>
  </si>
  <si>
    <t>C-10210</t>
  </si>
  <si>
    <t>C-10205</t>
  </si>
  <si>
    <t>C-10206</t>
  </si>
  <si>
    <t>C-10200</t>
  </si>
  <si>
    <t>CL318</t>
  </si>
  <si>
    <t>C-10201</t>
  </si>
  <si>
    <t>C-10202</t>
  </si>
  <si>
    <t>C-10203</t>
  </si>
  <si>
    <t>CL303</t>
  </si>
  <si>
    <t>C-10204</t>
  </si>
  <si>
    <t>C-10195</t>
  </si>
  <si>
    <t>CL144</t>
  </si>
  <si>
    <t>C-10196</t>
  </si>
  <si>
    <t>C-10197</t>
  </si>
  <si>
    <t>CL528</t>
  </si>
  <si>
    <t>C-10198</t>
  </si>
  <si>
    <t>C-10199</t>
  </si>
  <si>
    <t>C-10189</t>
  </si>
  <si>
    <t>C-10190</t>
  </si>
  <si>
    <t>C-10191</t>
  </si>
  <si>
    <t>C-10192</t>
  </si>
  <si>
    <t>C-10193</t>
  </si>
  <si>
    <t>C-10194</t>
  </si>
  <si>
    <t>C-10187</t>
  </si>
  <si>
    <t>C-10188</t>
  </si>
  <si>
    <t>C-10182</t>
  </si>
  <si>
    <t>C-10183</t>
  </si>
  <si>
    <t>C-10184</t>
  </si>
  <si>
    <t>C-10185</t>
  </si>
  <si>
    <t>C-10186</t>
  </si>
  <si>
    <t>C-10179</t>
  </si>
  <si>
    <t>C-10180</t>
  </si>
  <si>
    <t>C-10181</t>
  </si>
  <si>
    <t>C-10177</t>
  </si>
  <si>
    <t>C-10178</t>
  </si>
  <si>
    <t>C-10175</t>
  </si>
  <si>
    <t>C-10176</t>
  </si>
  <si>
    <t>C-10173</t>
  </si>
  <si>
    <t>C-10174</t>
  </si>
  <si>
    <t>C-10167</t>
  </si>
  <si>
    <t>C-10168</t>
  </si>
  <si>
    <t>C-10169</t>
  </si>
  <si>
    <t>C-10170</t>
  </si>
  <si>
    <t>C-10171</t>
  </si>
  <si>
    <t>C-10172</t>
  </si>
  <si>
    <t>C-10164</t>
  </si>
  <si>
    <t>C-10165</t>
  </si>
  <si>
    <t>CL532</t>
  </si>
  <si>
    <t>C-10166</t>
  </si>
  <si>
    <t>C-10163</t>
  </si>
  <si>
    <t>CL315</t>
  </si>
  <si>
    <t>C-10157</t>
  </si>
  <si>
    <t>C-10158</t>
  </si>
  <si>
    <t>C-10159</t>
  </si>
  <si>
    <t>C-10160</t>
  </si>
  <si>
    <t>C-10161</t>
  </si>
  <si>
    <t>C-10162</t>
  </si>
  <si>
    <t>C-10154</t>
  </si>
  <si>
    <t>C-10155</t>
  </si>
  <si>
    <t>C-10156</t>
  </si>
  <si>
    <t>C-10150</t>
  </si>
  <si>
    <t>C-10151</t>
  </si>
  <si>
    <t>C-10152</t>
  </si>
  <si>
    <t>C-10153</t>
  </si>
  <si>
    <t>C-10144</t>
  </si>
  <si>
    <t>C-10145</t>
  </si>
  <si>
    <t>C-10146</t>
  </si>
  <si>
    <t>C-10147</t>
  </si>
  <si>
    <t>C-10148</t>
  </si>
  <si>
    <t>C-10149</t>
  </si>
  <si>
    <t>C-10143</t>
  </si>
  <si>
    <t>C-10141</t>
  </si>
  <si>
    <t>C-10142</t>
  </si>
  <si>
    <t>C-10138</t>
  </si>
  <si>
    <t>C-10139</t>
  </si>
  <si>
    <t>C-10140</t>
  </si>
  <si>
    <t>C-10128</t>
  </si>
  <si>
    <t>C-10129</t>
  </si>
  <si>
    <t>C-10130</t>
  </si>
  <si>
    <t>C-10131</t>
  </si>
  <si>
    <t>C-10132</t>
  </si>
  <si>
    <t>C-10133</t>
  </si>
  <si>
    <t>C-10134</t>
  </si>
  <si>
    <t>C-10135</t>
  </si>
  <si>
    <t>C-10136</t>
  </si>
  <si>
    <t>C-10137</t>
  </si>
  <si>
    <t>C-10121</t>
  </si>
  <si>
    <t>C-10122</t>
  </si>
  <si>
    <t>CL158</t>
  </si>
  <si>
    <t>C-10123</t>
  </si>
  <si>
    <t>C-10124</t>
  </si>
  <si>
    <t>C-10125</t>
  </si>
  <si>
    <t>C-10126</t>
  </si>
  <si>
    <t>C-10127</t>
  </si>
  <si>
    <t>C-10112</t>
  </si>
  <si>
    <t>C-10113</t>
  </si>
  <si>
    <t>C-10114</t>
  </si>
  <si>
    <t>C-10115</t>
  </si>
  <si>
    <t>C-10116</t>
  </si>
  <si>
    <t>CL236</t>
  </si>
  <si>
    <t>C-10117</t>
  </si>
  <si>
    <t>C-10118</t>
  </si>
  <si>
    <t>CL545</t>
  </si>
  <si>
    <t>C-10119</t>
  </si>
  <si>
    <t>C-10109</t>
  </si>
  <si>
    <t>CL288</t>
  </si>
  <si>
    <t>C-10110</t>
  </si>
  <si>
    <t>C-10111</t>
  </si>
  <si>
    <t>C-10107</t>
  </si>
  <si>
    <t>C-10108</t>
  </si>
  <si>
    <t>C-10104</t>
  </si>
  <si>
    <t>C-10105</t>
  </si>
  <si>
    <t>C-10106</t>
  </si>
  <si>
    <t>C-10099</t>
  </si>
  <si>
    <t>C-10100</t>
  </si>
  <si>
    <t>C-10101</t>
  </si>
  <si>
    <t>C-10102</t>
  </si>
  <si>
    <t>C-10103</t>
  </si>
  <si>
    <t>C-10093</t>
  </si>
  <si>
    <t>C-10094</t>
  </si>
  <si>
    <t>C-10095</t>
  </si>
  <si>
    <t>C-10096</t>
  </si>
  <si>
    <t>C-10097</t>
  </si>
  <si>
    <t>C-10098</t>
  </si>
  <si>
    <t>C-10091</t>
  </si>
  <si>
    <t>C-10092</t>
  </si>
  <si>
    <t>C-10084</t>
  </si>
  <si>
    <t>C-10085</t>
  </si>
  <si>
    <t>C-10086</t>
  </si>
  <si>
    <t>C-10087</t>
  </si>
  <si>
    <t>C-10088</t>
  </si>
  <si>
    <t>CL098</t>
  </si>
  <si>
    <t>C-10089</t>
  </si>
  <si>
    <t>C-10090</t>
  </si>
  <si>
    <t>C-10079</t>
  </si>
  <si>
    <t>C-10080</t>
  </si>
  <si>
    <t>CL046</t>
  </si>
  <si>
    <t>C-10081</t>
  </si>
  <si>
    <t>C-10082</t>
  </si>
  <si>
    <t>C-10083</t>
  </si>
  <si>
    <t>C-10076</t>
  </si>
  <si>
    <t>C-10077</t>
  </si>
  <si>
    <t>C-10078</t>
  </si>
  <si>
    <t>CL298</t>
  </si>
  <si>
    <t>C-10069</t>
  </si>
  <si>
    <t>C-10070</t>
  </si>
  <si>
    <t>C-10071</t>
  </si>
  <si>
    <t>C-10072</t>
  </si>
  <si>
    <t>C-10073</t>
  </si>
  <si>
    <t>CL032</t>
  </si>
  <si>
    <t>C-10074</t>
  </si>
  <si>
    <t>C-10075</t>
  </si>
  <si>
    <t>C-10065</t>
  </si>
  <si>
    <t>C-10066</t>
  </si>
  <si>
    <t>C-10067</t>
  </si>
  <si>
    <t>C-10068</t>
  </si>
  <si>
    <t>C-10063</t>
  </si>
  <si>
    <t>C-10064</t>
  </si>
  <si>
    <t>CL346</t>
  </si>
  <si>
    <t>C-10062</t>
  </si>
  <si>
    <t>C-10057</t>
  </si>
  <si>
    <t>C-10058</t>
  </si>
  <si>
    <t>C-10059</t>
  </si>
  <si>
    <t>C-10060</t>
  </si>
  <si>
    <t>C-10061</t>
  </si>
  <si>
    <t>C-10056</t>
  </si>
  <si>
    <t>C-10051</t>
  </si>
  <si>
    <t>C-10052</t>
  </si>
  <si>
    <t>C-10053</t>
  </si>
  <si>
    <t>C-10054</t>
  </si>
  <si>
    <t>C-10055</t>
  </si>
  <si>
    <t>C-10050</t>
  </si>
  <si>
    <t>C-10047</t>
  </si>
  <si>
    <t>C-10048</t>
  </si>
  <si>
    <t>C-10049</t>
  </si>
  <si>
    <t>C-10045</t>
  </si>
  <si>
    <t>C-10046</t>
  </si>
  <si>
    <t>C-10041</t>
  </si>
  <si>
    <t>C-10042</t>
  </si>
  <si>
    <t>C-10043</t>
  </si>
  <si>
    <t>C-10044</t>
  </si>
  <si>
    <t>C-10035</t>
  </si>
  <si>
    <t>C-10036</t>
  </si>
  <si>
    <t>C-10037</t>
  </si>
  <si>
    <t>C-10038</t>
  </si>
  <si>
    <t>C-10039</t>
  </si>
  <si>
    <t>C-10040</t>
  </si>
  <si>
    <t>C-10032</t>
  </si>
  <si>
    <t>C-10033</t>
  </si>
  <si>
    <t>C-10034</t>
  </si>
  <si>
    <t>C-10031</t>
  </si>
  <si>
    <t>CL216</t>
  </si>
  <si>
    <t>C-10024</t>
  </si>
  <si>
    <t>C-10025</t>
  </si>
  <si>
    <t>C-10026</t>
  </si>
  <si>
    <t>C-10027</t>
  </si>
  <si>
    <t>CL552</t>
  </si>
  <si>
    <t>C-10028</t>
  </si>
  <si>
    <t>C-10029</t>
  </si>
  <si>
    <t>C-10030</t>
  </si>
  <si>
    <t>C-10017</t>
  </si>
  <si>
    <t>C-10018</t>
  </si>
  <si>
    <t>C-10019</t>
  </si>
  <si>
    <t>C-10020</t>
  </si>
  <si>
    <t>C-10021</t>
  </si>
  <si>
    <t>C-10022</t>
  </si>
  <si>
    <t>C-10023</t>
  </si>
  <si>
    <t>C-10014</t>
  </si>
  <si>
    <t>C-10015</t>
  </si>
  <si>
    <t>C-10016</t>
  </si>
  <si>
    <t>C-10010</t>
  </si>
  <si>
    <t>C-10011</t>
  </si>
  <si>
    <t>C-10012</t>
  </si>
  <si>
    <t>C-10013</t>
  </si>
  <si>
    <t>C-10007</t>
  </si>
  <si>
    <t>C-10008</t>
  </si>
  <si>
    <t>C-10009</t>
  </si>
  <si>
    <t>C-10004</t>
  </si>
  <si>
    <t>C-10005</t>
  </si>
  <si>
    <t>C-10006</t>
  </si>
  <si>
    <t>C-10001</t>
  </si>
  <si>
    <t>C-10002</t>
  </si>
  <si>
    <t>C-10003</t>
  </si>
  <si>
    <t>motif</t>
  </si>
  <si>
    <t>Livraison antérieure à la commande</t>
  </si>
  <si>
    <t>P051</t>
  </si>
  <si>
    <t>Produit absent du référentiel</t>
  </si>
  <si>
    <t>02/03/25</t>
  </si>
  <si>
    <t>Date au format inconnu</t>
  </si>
  <si>
    <t>P047</t>
  </si>
  <si>
    <t>C-10120</t>
  </si>
  <si>
    <t>CL425</t>
  </si>
  <si>
    <t>Commercial non renseigné</t>
  </si>
  <si>
    <t>Quantité négative</t>
  </si>
  <si>
    <t>Prix unitaire dix fois le prix catalogue</t>
  </si>
  <si>
    <t>03/05/25</t>
  </si>
  <si>
    <t>C-10207</t>
  </si>
  <si>
    <t>04/02/25</t>
  </si>
  <si>
    <t>06/09/25</t>
  </si>
  <si>
    <t>09/05/25</t>
  </si>
  <si>
    <t>10/08/25</t>
  </si>
  <si>
    <t>11/07/25</t>
  </si>
  <si>
    <t>12/01/25</t>
  </si>
  <si>
    <t>C-10930</t>
  </si>
  <si>
    <t>01/02/26</t>
  </si>
  <si>
    <t>C-10957</t>
  </si>
  <si>
    <t>03/06/26</t>
  </si>
  <si>
    <t>03/09/26</t>
  </si>
  <si>
    <t>08/04/26</t>
  </si>
  <si>
    <t>raison_sociale</t>
  </si>
  <si>
    <t>secteur</t>
  </si>
  <si>
    <t>date_premiere_commande</t>
  </si>
  <si>
    <t>doublon_probable</t>
  </si>
  <si>
    <t>Nicolas Assurances</t>
  </si>
  <si>
    <t>Services</t>
  </si>
  <si>
    <t>Duval Événements</t>
  </si>
  <si>
    <t>Denis Immobilier</t>
  </si>
  <si>
    <t>Barbier Ingénierie</t>
  </si>
  <si>
    <t>Industrie</t>
  </si>
  <si>
    <t>Nicolas Événements</t>
  </si>
  <si>
    <t>Legrand Événements</t>
  </si>
  <si>
    <t>CL007</t>
  </si>
  <si>
    <t>Moreau Services</t>
  </si>
  <si>
    <t>Simon Assurances</t>
  </si>
  <si>
    <t>CL009</t>
  </si>
  <si>
    <t>Mercier Événements</t>
  </si>
  <si>
    <t>Boyer Distribution</t>
  </si>
  <si>
    <t>Commerce</t>
  </si>
  <si>
    <t>Garcia Architecture</t>
  </si>
  <si>
    <t>BTP</t>
  </si>
  <si>
    <t>Vincent Assurances</t>
  </si>
  <si>
    <t>Garnier Ingénierie</t>
  </si>
  <si>
    <t>François Immobilier</t>
  </si>
  <si>
    <t>Guérin Industrie</t>
  </si>
  <si>
    <t>Simon Industrie</t>
  </si>
  <si>
    <t>François Santé</t>
  </si>
  <si>
    <t>Santé</t>
  </si>
  <si>
    <t>Girard Services</t>
  </si>
  <si>
    <t>Thomas Industrie</t>
  </si>
  <si>
    <t>Dumont Ingénierie</t>
  </si>
  <si>
    <t>André Industrie</t>
  </si>
  <si>
    <t>Morin Ingénierie</t>
  </si>
  <si>
    <t>Guérin Services</t>
  </si>
  <si>
    <t>Chevalier Bâtiment</t>
  </si>
  <si>
    <t>Marchand Services</t>
  </si>
  <si>
    <t>Masson Ingénierie</t>
  </si>
  <si>
    <t>Morin Conseil</t>
  </si>
  <si>
    <t>Moreau Bâtiment</t>
  </si>
  <si>
    <t>Nicolas Distribution</t>
  </si>
  <si>
    <t>Rousseau Ingénierie</t>
  </si>
  <si>
    <t>Lefebvre Architecture</t>
  </si>
  <si>
    <t>Morin Assurances</t>
  </si>
  <si>
    <t>Barbier Santé</t>
  </si>
  <si>
    <t>Gauthier Immobilier</t>
  </si>
  <si>
    <t>Martin Santé</t>
  </si>
  <si>
    <t>Dumont Assurances</t>
  </si>
  <si>
    <t>CL037</t>
  </si>
  <si>
    <t>François Transports</t>
  </si>
  <si>
    <t>Transport</t>
  </si>
  <si>
    <t>CL038</t>
  </si>
  <si>
    <t>François Distribution</t>
  </si>
  <si>
    <t>Legrand Distribution</t>
  </si>
  <si>
    <t>François Conseil</t>
  </si>
  <si>
    <t>Thomas Événements</t>
  </si>
  <si>
    <t>Henry Immobilier</t>
  </si>
  <si>
    <t>Lefebvre Ingénierie</t>
  </si>
  <si>
    <t>Denis Services</t>
  </si>
  <si>
    <t>CL045</t>
  </si>
  <si>
    <t>Legrand Assurances</t>
  </si>
  <si>
    <t>Martin Distribution</t>
  </si>
  <si>
    <t>Perrin Industrie</t>
  </si>
  <si>
    <t>Girard Événements</t>
  </si>
  <si>
    <t>Roux Santé</t>
  </si>
  <si>
    <t>Mathieu Distribution</t>
  </si>
  <si>
    <t>Laurent Transports</t>
  </si>
  <si>
    <t>Lemaire Distribution</t>
  </si>
  <si>
    <t>Robert Distribution</t>
  </si>
  <si>
    <t>Morin Architecture</t>
  </si>
  <si>
    <t>David Transports</t>
  </si>
  <si>
    <t>David Architecture</t>
  </si>
  <si>
    <t>Thomas Ingénierie</t>
  </si>
  <si>
    <t>Lefebvre Bâtiment</t>
  </si>
  <si>
    <t>Vincent Santé</t>
  </si>
  <si>
    <t>Roux Immobilier</t>
  </si>
  <si>
    <t>François Assurances</t>
  </si>
  <si>
    <t>Henry Distribution</t>
  </si>
  <si>
    <t>Legrand Architecture</t>
  </si>
  <si>
    <t>Nicolas Transports</t>
  </si>
  <si>
    <t>Martin Architecture</t>
  </si>
  <si>
    <t>CL066</t>
  </si>
  <si>
    <t>Thomas Architecture</t>
  </si>
  <si>
    <t>Lefebvre Événements</t>
  </si>
  <si>
    <t>Bernard Conseil</t>
  </si>
  <si>
    <t>Denis Assurances</t>
  </si>
  <si>
    <t>Robert Transports</t>
  </si>
  <si>
    <t>Robin Santé</t>
  </si>
  <si>
    <t>Henry Transports</t>
  </si>
  <si>
    <t>Barbier Services</t>
  </si>
  <si>
    <t>Michel Assurances</t>
  </si>
  <si>
    <t>Guérin Santé</t>
  </si>
  <si>
    <t>Boyer Assurances</t>
  </si>
  <si>
    <t>Robert Industrie</t>
  </si>
  <si>
    <t>Denis Architecture</t>
  </si>
  <si>
    <t>Vincent Bâtiment</t>
  </si>
  <si>
    <t>Masson Transports</t>
  </si>
  <si>
    <t>Robin Distribution</t>
  </si>
  <si>
    <t>Simon Conseil</t>
  </si>
  <si>
    <t>Laurent Logistique</t>
  </si>
  <si>
    <t>David Distribution</t>
  </si>
  <si>
    <t>Martin Bâtiment</t>
  </si>
  <si>
    <t>Moreau Conseil</t>
  </si>
  <si>
    <t>Mathieu Immobilier</t>
  </si>
  <si>
    <t>François Industrie</t>
  </si>
  <si>
    <t>Lemaire Santé</t>
  </si>
  <si>
    <t>Roux Logistique</t>
  </si>
  <si>
    <t>Guérin Transports</t>
  </si>
  <si>
    <t>Chevalier Conseil</t>
  </si>
  <si>
    <t>André Événements</t>
  </si>
  <si>
    <t>Blanc Transports</t>
  </si>
  <si>
    <t>Richard Événements</t>
  </si>
  <si>
    <t>CL096</t>
  </si>
  <si>
    <t>Chevalier Architecture</t>
  </si>
  <si>
    <t>Leroy Industrie</t>
  </si>
  <si>
    <t>Legrand Conseil</t>
  </si>
  <si>
    <t>Mercier Immobilier</t>
  </si>
  <si>
    <t>Lefebvre Services</t>
  </si>
  <si>
    <t>Bernard Événements</t>
  </si>
  <si>
    <t>Martin Ingénierie</t>
  </si>
  <si>
    <t>Girard Bâtiment</t>
  </si>
  <si>
    <t>Duval Santé</t>
  </si>
  <si>
    <t>Leroy Événements</t>
  </si>
  <si>
    <t>François Logistique</t>
  </si>
  <si>
    <t>David Logistique</t>
  </si>
  <si>
    <t>Bernard Services</t>
  </si>
  <si>
    <t>Morel Services</t>
  </si>
  <si>
    <t>Roux Bâtiment</t>
  </si>
  <si>
    <t>Lefebvre Immobilier</t>
  </si>
  <si>
    <t>CL112</t>
  </si>
  <si>
    <t>André Distribution</t>
  </si>
  <si>
    <t>Duval Architecture</t>
  </si>
  <si>
    <t>Rousseau Transports</t>
  </si>
  <si>
    <t>Rousseau Santé</t>
  </si>
  <si>
    <t>Robin Bâtiment</t>
  </si>
  <si>
    <t>CL117</t>
  </si>
  <si>
    <t>Boyer Santé</t>
  </si>
  <si>
    <t>Bertrand Ingénierie</t>
  </si>
  <si>
    <t>Boyer Industrie</t>
  </si>
  <si>
    <t>Fournier Logistique</t>
  </si>
  <si>
    <t>Clément Conseil</t>
  </si>
  <si>
    <t>Marchand Industrie</t>
  </si>
  <si>
    <t>CL123</t>
  </si>
  <si>
    <t>Leroy Immobilier</t>
  </si>
  <si>
    <t>CL124</t>
  </si>
  <si>
    <t>Gauthier Ingénierie</t>
  </si>
  <si>
    <t>Vincent Services</t>
  </si>
  <si>
    <t>Lefebvre Santé</t>
  </si>
  <si>
    <t>Garnier Assurances</t>
  </si>
  <si>
    <t>Moreau Distribution</t>
  </si>
  <si>
    <t>Morel Industrie</t>
  </si>
  <si>
    <t>Girard Assurances</t>
  </si>
  <si>
    <t>Laurent Conseil</t>
  </si>
  <si>
    <t>CL132</t>
  </si>
  <si>
    <t>Dumont Logistique</t>
  </si>
  <si>
    <t>Leroy Architecture</t>
  </si>
  <si>
    <t>Boyer Services</t>
  </si>
  <si>
    <t>Martin Assurances</t>
  </si>
  <si>
    <t>Rousseau Assurances</t>
  </si>
  <si>
    <t>Robin Logistique</t>
  </si>
  <si>
    <t>Roux Événements</t>
  </si>
  <si>
    <t>André Conseil</t>
  </si>
  <si>
    <t>Michel Événements</t>
  </si>
  <si>
    <t>Durand Conseil</t>
  </si>
  <si>
    <t>Perrin Services</t>
  </si>
  <si>
    <t>Lambert Transports</t>
  </si>
  <si>
    <t>Mathieu Transports</t>
  </si>
  <si>
    <t>Legrand Logistique</t>
  </si>
  <si>
    <t>Martin Logistique</t>
  </si>
  <si>
    <t>Duval Services</t>
  </si>
  <si>
    <t>Fournier Distribution</t>
  </si>
  <si>
    <t>Petit Transports</t>
  </si>
  <si>
    <t>Robert Assurances</t>
  </si>
  <si>
    <t>Roussel Architecture</t>
  </si>
  <si>
    <t>Roussel Immobilier</t>
  </si>
  <si>
    <t>Lambert Services</t>
  </si>
  <si>
    <t>Roux Transports</t>
  </si>
  <si>
    <t>Masson Distribution</t>
  </si>
  <si>
    <t>David Industrie</t>
  </si>
  <si>
    <t>Denis Santé</t>
  </si>
  <si>
    <t>Henry Événements</t>
  </si>
  <si>
    <t>Duval Distribution</t>
  </si>
  <si>
    <t>Girard Conseil</t>
  </si>
  <si>
    <t>Marchand Transports</t>
  </si>
  <si>
    <t>Girard Distribution</t>
  </si>
  <si>
    <t>Moreau Ingénierie</t>
  </si>
  <si>
    <t>Henry Industrie</t>
  </si>
  <si>
    <t>Barbier Industrie</t>
  </si>
  <si>
    <t>Clément Transports</t>
  </si>
  <si>
    <t>Morin Événements</t>
  </si>
  <si>
    <t>Marchand Logistique</t>
  </si>
  <si>
    <t>Lambert Architecture</t>
  </si>
  <si>
    <t>Blanc Conseil</t>
  </si>
  <si>
    <t>Roux Industrie</t>
  </si>
  <si>
    <t>Morel Logistique</t>
  </si>
  <si>
    <t>Blanc Assurances</t>
  </si>
  <si>
    <t>Simon Ingénierie</t>
  </si>
  <si>
    <t>Vincent Logistique</t>
  </si>
  <si>
    <t>Richard Architecture</t>
  </si>
  <si>
    <t>David Événements</t>
  </si>
  <si>
    <t>Richard Santé</t>
  </si>
  <si>
    <t>Dumont Bâtiment</t>
  </si>
  <si>
    <t>Nicolas Conseil</t>
  </si>
  <si>
    <t>Laurent Immobilier</t>
  </si>
  <si>
    <t>Bertrand Industrie</t>
  </si>
  <si>
    <t>Lambert Événements</t>
  </si>
  <si>
    <t>Duval Bâtiment</t>
  </si>
  <si>
    <t>Nicolas Ingénierie</t>
  </si>
  <si>
    <t>Chevalier Distribution</t>
  </si>
  <si>
    <t>Simon Bâtiment</t>
  </si>
  <si>
    <t>Laurent Industrie</t>
  </si>
  <si>
    <t>Morin Immobilier</t>
  </si>
  <si>
    <t>Moreau Architecture</t>
  </si>
  <si>
    <t>Bertrand Logistique</t>
  </si>
  <si>
    <t>Richard Immobilier</t>
  </si>
  <si>
    <t>Garnier Bâtiment</t>
  </si>
  <si>
    <t>Lemaire Industrie</t>
  </si>
  <si>
    <t>Rousseau Distribution</t>
  </si>
  <si>
    <t>Mathieu Logistique</t>
  </si>
  <si>
    <t>Petit Distribution</t>
  </si>
  <si>
    <t>Boyer Architecture</t>
  </si>
  <si>
    <t>Denis Ingénierie</t>
  </si>
  <si>
    <t>Gauthier Distribution</t>
  </si>
  <si>
    <t>Morin Logistique</t>
  </si>
  <si>
    <t>Henry Bâtiment</t>
  </si>
  <si>
    <t>Petit Santé</t>
  </si>
  <si>
    <t>Blanc Immobilier</t>
  </si>
  <si>
    <t>Blanc Bâtiment</t>
  </si>
  <si>
    <t>Henry Architecture</t>
  </si>
  <si>
    <t>Robin Transports</t>
  </si>
  <si>
    <t>Duval Ingénierie</t>
  </si>
  <si>
    <t>Denis Transports</t>
  </si>
  <si>
    <t>Guérin Ingénierie</t>
  </si>
  <si>
    <t>Garnier Industrie</t>
  </si>
  <si>
    <t>Garcia Santé</t>
  </si>
  <si>
    <t>Laurent Événements</t>
  </si>
  <si>
    <t>Robin Conseil</t>
  </si>
  <si>
    <t>Garnier Transports</t>
  </si>
  <si>
    <t>Marchand Bâtiment</t>
  </si>
  <si>
    <t>Chevalier Industrie</t>
  </si>
  <si>
    <t>Garnier Services</t>
  </si>
  <si>
    <t>Mathieu Architecture</t>
  </si>
  <si>
    <t>Barbier Transports</t>
  </si>
  <si>
    <t>David Services</t>
  </si>
  <si>
    <t>CL223</t>
  </si>
  <si>
    <t>Dumont Industrie</t>
  </si>
  <si>
    <t>CL224</t>
  </si>
  <si>
    <t>Barbier Conseil</t>
  </si>
  <si>
    <t>Thomas Assurances</t>
  </si>
  <si>
    <t>Bertrand Bâtiment</t>
  </si>
  <si>
    <t>Duval Transports</t>
  </si>
  <si>
    <t>Martin Services</t>
  </si>
  <si>
    <t>CL229</t>
  </si>
  <si>
    <t>Masson Conseil</t>
  </si>
  <si>
    <t>CL230</t>
  </si>
  <si>
    <t>Marchand Architecture</t>
  </si>
  <si>
    <t>Roussel Services</t>
  </si>
  <si>
    <t>Roussel Conseil</t>
  </si>
  <si>
    <t>Masson Immobilier</t>
  </si>
  <si>
    <t>Fontaine Distribution</t>
  </si>
  <si>
    <t>Blanc Ingénierie</t>
  </si>
  <si>
    <t>Fontaine Santé</t>
  </si>
  <si>
    <t>Bernard Logistique</t>
  </si>
  <si>
    <t>Garnier Distribution</t>
  </si>
  <si>
    <t>Lefebvre Transports</t>
  </si>
  <si>
    <t>Petit Services</t>
  </si>
  <si>
    <t>Michel Services</t>
  </si>
  <si>
    <t>Michel Conseil</t>
  </si>
  <si>
    <t>Chevalier Santé</t>
  </si>
  <si>
    <t>Blanc Événements</t>
  </si>
  <si>
    <t>Barbier Logistique</t>
  </si>
  <si>
    <t>Durand Distribution</t>
  </si>
  <si>
    <t>Perrin Architecture</t>
  </si>
  <si>
    <t>Roux Conseil</t>
  </si>
  <si>
    <t>CL249</t>
  </si>
  <si>
    <t>Moreau Santé</t>
  </si>
  <si>
    <t>Blanc Architecture</t>
  </si>
  <si>
    <t>Rousseau Événements</t>
  </si>
  <si>
    <t>Leroy Bâtiment</t>
  </si>
  <si>
    <t>Clément Immobilier</t>
  </si>
  <si>
    <t>Petit Logistique</t>
  </si>
  <si>
    <t>CL255</t>
  </si>
  <si>
    <t>Marchand Conseil</t>
  </si>
  <si>
    <t>Nicolas Bâtiment</t>
  </si>
  <si>
    <t>Guérin Distribution</t>
  </si>
  <si>
    <t>Fournier Industrie</t>
  </si>
  <si>
    <t>Lemaire Services</t>
  </si>
  <si>
    <t>Blanc Distribution</t>
  </si>
  <si>
    <t>Roussel Assurances</t>
  </si>
  <si>
    <t>Perrin Assurances</t>
  </si>
  <si>
    <t>Blanc Industrie</t>
  </si>
  <si>
    <t>Denis Distribution</t>
  </si>
  <si>
    <t>Petit Architecture</t>
  </si>
  <si>
    <t>Henry Ingénierie</t>
  </si>
  <si>
    <t>Fontaine Logistique</t>
  </si>
  <si>
    <t>Laurent Services</t>
  </si>
  <si>
    <t>Morel Assurances</t>
  </si>
  <si>
    <t>Perrin Logistique</t>
  </si>
  <si>
    <t>Robert Ingénierie</t>
  </si>
  <si>
    <t>Chevalier Immobilier</t>
  </si>
  <si>
    <t>Bernard Industrie</t>
  </si>
  <si>
    <t>Lemaire Ingénierie</t>
  </si>
  <si>
    <t>Michel Logistique</t>
  </si>
  <si>
    <t>Robert Services</t>
  </si>
  <si>
    <t>Bertrand Assurances</t>
  </si>
  <si>
    <t>Laurent Architecture</t>
  </si>
  <si>
    <t>Garnier Logistique</t>
  </si>
  <si>
    <t>Bertrand Événements</t>
  </si>
  <si>
    <t>Clément Événements</t>
  </si>
  <si>
    <t>Robin Immobilier</t>
  </si>
  <si>
    <t>Bertrand Santé</t>
  </si>
  <si>
    <t>Vincent Architecture</t>
  </si>
  <si>
    <t>Lambert Bâtiment</t>
  </si>
  <si>
    <t>Mercier Bâtiment</t>
  </si>
  <si>
    <t>Robert Conseil</t>
  </si>
  <si>
    <t>Garcia Industrie</t>
  </si>
  <si>
    <t>Girard Immobilier</t>
  </si>
  <si>
    <t>Fontaine Immobilier</t>
  </si>
  <si>
    <t>Morel Distribution</t>
  </si>
  <si>
    <t>Girard Santé</t>
  </si>
  <si>
    <t>Vincent Immobilier</t>
  </si>
  <si>
    <t>Lambert Logistique</t>
  </si>
  <si>
    <t>Henry Services</t>
  </si>
  <si>
    <t>Boyer Événements</t>
  </si>
  <si>
    <t>Blanc Services</t>
  </si>
  <si>
    <t>Boyer Bâtiment</t>
  </si>
  <si>
    <t>Girard Logistique</t>
  </si>
  <si>
    <t>Rousseau Immobilier</t>
  </si>
  <si>
    <t>Legrand Transports</t>
  </si>
  <si>
    <t>Henry Conseil</t>
  </si>
  <si>
    <t>Petit Bâtiment</t>
  </si>
  <si>
    <t>Henry Santé</t>
  </si>
  <si>
    <t>Lambert Immobilier</t>
  </si>
  <si>
    <t>Boyer Ingénierie</t>
  </si>
  <si>
    <t>Mathieu Santé</t>
  </si>
  <si>
    <t>Durand Santé</t>
  </si>
  <si>
    <t>Morel Événements</t>
  </si>
  <si>
    <t>Denis Industrie</t>
  </si>
  <si>
    <t>François Bâtiment</t>
  </si>
  <si>
    <t>Barbier Assurances</t>
  </si>
  <si>
    <t>Nicolas Industrie</t>
  </si>
  <si>
    <t>Roussel Événements</t>
  </si>
  <si>
    <t>Gauthier Conseil</t>
  </si>
  <si>
    <t>Gauthier Industrie</t>
  </si>
  <si>
    <t>Richard Transports</t>
  </si>
  <si>
    <t>Durand Industrie</t>
  </si>
  <si>
    <t>Richard Logistique</t>
  </si>
  <si>
    <t>Rousseau Architecture</t>
  </si>
  <si>
    <t>Gauthier Transports</t>
  </si>
  <si>
    <t>Barbier Événements</t>
  </si>
  <si>
    <t>Gauthier Assurances</t>
  </si>
  <si>
    <t>Robert Immobilier</t>
  </si>
  <si>
    <t>Garcia Immobilier</t>
  </si>
  <si>
    <t>Petit Ingénierie</t>
  </si>
  <si>
    <t>Morin Transports</t>
  </si>
  <si>
    <t>Bernard Distribution</t>
  </si>
  <si>
    <t>Rousseau Bâtiment</t>
  </si>
  <si>
    <t>Rousseau Industrie</t>
  </si>
  <si>
    <t>André Transports</t>
  </si>
  <si>
    <t>Bertrand Distribution</t>
  </si>
  <si>
    <t>Denis Conseil</t>
  </si>
  <si>
    <t>Rousseau Services</t>
  </si>
  <si>
    <t>Morel Transports</t>
  </si>
  <si>
    <t>Lefebvre Assurances</t>
  </si>
  <si>
    <t>Mercier Transports</t>
  </si>
  <si>
    <t>CL339</t>
  </si>
  <si>
    <t>Robin Services</t>
  </si>
  <si>
    <t>Thomas Services</t>
  </si>
  <si>
    <t>Robert Architecture</t>
  </si>
  <si>
    <t>CL342</t>
  </si>
  <si>
    <t>Dumont Événements</t>
  </si>
  <si>
    <t>André Logistique</t>
  </si>
  <si>
    <t>Martin Immobilier</t>
  </si>
  <si>
    <t>Bernard Assurances</t>
  </si>
  <si>
    <t>Bernard Immobilier</t>
  </si>
  <si>
    <t>Perrin Bâtiment</t>
  </si>
  <si>
    <t>Moreau Logistique</t>
  </si>
  <si>
    <t>David Santé</t>
  </si>
  <si>
    <t>Chevalier Ingénierie</t>
  </si>
  <si>
    <t>Morin Bâtiment</t>
  </si>
  <si>
    <t>Leroy Distribution</t>
  </si>
  <si>
    <t>Denis Logistique</t>
  </si>
  <si>
    <t>CL354</t>
  </si>
  <si>
    <t>Durand Événements</t>
  </si>
  <si>
    <t>Morel Architecture</t>
  </si>
  <si>
    <t>Garcia Transports</t>
  </si>
  <si>
    <t>Michel Bâtiment</t>
  </si>
  <si>
    <t>Lefebvre Distribution</t>
  </si>
  <si>
    <t>Masson Logistique</t>
  </si>
  <si>
    <t>Nicolas Logistique</t>
  </si>
  <si>
    <t>Thomas Bâtiment</t>
  </si>
  <si>
    <t>Garcia Ingénierie</t>
  </si>
  <si>
    <t>Gauthier Services</t>
  </si>
  <si>
    <t>Durand Assurances</t>
  </si>
  <si>
    <t>Richard Ingénierie</t>
  </si>
  <si>
    <t>Roussel Transports</t>
  </si>
  <si>
    <t>Thomas Immobilier</t>
  </si>
  <si>
    <t>Duval Assurances</t>
  </si>
  <si>
    <t>Gauthier Bâtiment</t>
  </si>
  <si>
    <t>Durand Bâtiment</t>
  </si>
  <si>
    <t>Robin Architecture</t>
  </si>
  <si>
    <t>Roussel Santé</t>
  </si>
  <si>
    <t>Guérin Conseil</t>
  </si>
  <si>
    <t>Legrand Immobilier</t>
  </si>
  <si>
    <t>Richard Assurances</t>
  </si>
  <si>
    <t>Morin Distribution</t>
  </si>
  <si>
    <t>Duval Immobilier</t>
  </si>
  <si>
    <t>Simon Santé</t>
  </si>
  <si>
    <t>Vincent Distribution</t>
  </si>
  <si>
    <t>Guérin Architecture</t>
  </si>
  <si>
    <t>David Assurances</t>
  </si>
  <si>
    <t>Clément Architecture</t>
  </si>
  <si>
    <t>André Immobilier</t>
  </si>
  <si>
    <t>Morel Ingénierie</t>
  </si>
  <si>
    <t>Garcia Services</t>
  </si>
  <si>
    <t>Leroy Santé</t>
  </si>
  <si>
    <t>Thomas Conseil</t>
  </si>
  <si>
    <t>Moreau Événements</t>
  </si>
  <si>
    <t>André Bâtiment</t>
  </si>
  <si>
    <t>Roussel Logistique</t>
  </si>
  <si>
    <t>Michel Immobilier</t>
  </si>
  <si>
    <t>Mercier Industrie</t>
  </si>
  <si>
    <t>Richard Conseil</t>
  </si>
  <si>
    <t>Blanc Santé</t>
  </si>
  <si>
    <t>Morel Santé</t>
  </si>
  <si>
    <t>Michel Industrie</t>
  </si>
  <si>
    <t>Legrand Services</t>
  </si>
  <si>
    <t>Boyer Conseil</t>
  </si>
  <si>
    <t>Henry Logistique</t>
  </si>
  <si>
    <t>Henry Assurances</t>
  </si>
  <si>
    <t>Nicolas Santé</t>
  </si>
  <si>
    <t>Legrand Santé</t>
  </si>
  <si>
    <t>Dumont Santé</t>
  </si>
  <si>
    <t>Fontaine Événements</t>
  </si>
  <si>
    <t>Clément Ingénierie</t>
  </si>
  <si>
    <t>Guérin Logistique</t>
  </si>
  <si>
    <t>Clément Industrie</t>
  </si>
  <si>
    <t>Clément Services</t>
  </si>
  <si>
    <t>Moreau Assurances</t>
  </si>
  <si>
    <t>Fournier Assurances</t>
  </si>
  <si>
    <t>Mercier Architecture</t>
  </si>
  <si>
    <t>Girard Industrie</t>
  </si>
  <si>
    <t>Dupont Bureautique</t>
  </si>
  <si>
    <t>Mathieu Industrie</t>
  </si>
  <si>
    <t>Guérin Immobilier</t>
  </si>
  <si>
    <t>Boyer Transports</t>
  </si>
  <si>
    <t>Garnier Santé</t>
  </si>
  <si>
    <t>Garcia Conseil</t>
  </si>
  <si>
    <t>Simon Logistique</t>
  </si>
  <si>
    <t>Laurent Assurances</t>
  </si>
  <si>
    <t>Vincent Événements</t>
  </si>
  <si>
    <t>Legrand Ingénierie</t>
  </si>
  <si>
    <t>Simon Immobilier</t>
  </si>
  <si>
    <t>Nicolas Immobilier</t>
  </si>
  <si>
    <t>CL426</t>
  </si>
  <si>
    <t>Richard Services</t>
  </si>
  <si>
    <t>Dupont &amp; Fils</t>
  </si>
  <si>
    <t>Garcia Événements</t>
  </si>
  <si>
    <t>Masson Santé</t>
  </si>
  <si>
    <t>Thomas Distribution</t>
  </si>
  <si>
    <t>Robert Événements</t>
  </si>
  <si>
    <t>Durand Transports</t>
  </si>
  <si>
    <t>Marchand Assurances</t>
  </si>
  <si>
    <t>François Architecture</t>
  </si>
  <si>
    <t>Marchand Événements</t>
  </si>
  <si>
    <t>Guérin Assurances</t>
  </si>
  <si>
    <t>Lambert Distribution</t>
  </si>
  <si>
    <t>Fournier Architecture</t>
  </si>
  <si>
    <t>Mercier Services</t>
  </si>
  <si>
    <t>Perrin Événements</t>
  </si>
  <si>
    <t>Roux Ingénierie</t>
  </si>
  <si>
    <t>Laurent Santé</t>
  </si>
  <si>
    <t>Masson Événements</t>
  </si>
  <si>
    <t>François Services</t>
  </si>
  <si>
    <t>Duval Conseil</t>
  </si>
  <si>
    <t>Fournier Ingénierie</t>
  </si>
  <si>
    <t>Laurent Ingénierie</t>
  </si>
  <si>
    <t>Durand Logistique</t>
  </si>
  <si>
    <t>Fontaine Industrie</t>
  </si>
  <si>
    <t>Garnier Événements</t>
  </si>
  <si>
    <t>Denis Événements</t>
  </si>
  <si>
    <t>Rousseau Logistique</t>
  </si>
  <si>
    <t>Barbier Architecture</t>
  </si>
  <si>
    <t>David Immobilier</t>
  </si>
  <si>
    <t>Dumont Transports</t>
  </si>
  <si>
    <t>Bertrand Transports</t>
  </si>
  <si>
    <t>Robin Industrie</t>
  </si>
  <si>
    <t>CL458</t>
  </si>
  <si>
    <t>Perrin Transports</t>
  </si>
  <si>
    <t>Garnier Conseil</t>
  </si>
  <si>
    <t>Bernard Santé</t>
  </si>
  <si>
    <t>Lemaire Logistique</t>
  </si>
  <si>
    <t>Chevalier Transports</t>
  </si>
  <si>
    <t>Duval Logistique</t>
  </si>
  <si>
    <t>Duval Industrie</t>
  </si>
  <si>
    <t>Morin Industrie</t>
  </si>
  <si>
    <t>CL466</t>
  </si>
  <si>
    <t>Roux Services</t>
  </si>
  <si>
    <t>Simon Distribution</t>
  </si>
  <si>
    <t>Morel Immobilier</t>
  </si>
  <si>
    <t>Martin Transports</t>
  </si>
  <si>
    <t>Michel Santé</t>
  </si>
  <si>
    <t>Blanc Logistique</t>
  </si>
  <si>
    <t>Guérin Bâtiment</t>
  </si>
  <si>
    <t>Bernard Bâtiment</t>
  </si>
  <si>
    <t>Rousseau Conseil</t>
  </si>
  <si>
    <t>André Santé</t>
  </si>
  <si>
    <t>Lefebvre Industrie</t>
  </si>
  <si>
    <t>Roux Architecture</t>
  </si>
  <si>
    <t>Petit Immobilier</t>
  </si>
  <si>
    <t>Durand Services</t>
  </si>
  <si>
    <t>Martin Industrie</t>
  </si>
  <si>
    <t>Fontaine Architecture</t>
  </si>
  <si>
    <t>Petit Assurances</t>
  </si>
  <si>
    <t>Vincent Industrie</t>
  </si>
  <si>
    <t>Lefebvre Conseil</t>
  </si>
  <si>
    <t>Barbier Distribution</t>
  </si>
  <si>
    <t>Nicolas Services</t>
  </si>
  <si>
    <t>Fournier Immobilier</t>
  </si>
  <si>
    <t>Guérin Événements</t>
  </si>
  <si>
    <t>Bertrand Immobilier</t>
  </si>
  <si>
    <t>Michel Transports</t>
  </si>
  <si>
    <t>Simon Architecture</t>
  </si>
  <si>
    <t>Masson Services</t>
  </si>
  <si>
    <t>Clément Distribution</t>
  </si>
  <si>
    <t>CL494</t>
  </si>
  <si>
    <t>Gauthier Santé</t>
  </si>
  <si>
    <t>Robert Bâtiment</t>
  </si>
  <si>
    <t>Perrin Immobilier</t>
  </si>
  <si>
    <t>Martin Événements</t>
  </si>
  <si>
    <t>Lambert Conseil</t>
  </si>
  <si>
    <t>Fontaine Ingénierie</t>
  </si>
  <si>
    <t>Dumont Services</t>
  </si>
  <si>
    <t>Dumont Architecture</t>
  </si>
  <si>
    <t>Laurent Distribution</t>
  </si>
  <si>
    <t>Durand Ingénierie</t>
  </si>
  <si>
    <t>CL505</t>
  </si>
  <si>
    <t>Petit Industrie</t>
  </si>
  <si>
    <t>Perrin Ingénierie</t>
  </si>
  <si>
    <t>François Événements</t>
  </si>
  <si>
    <t>André Services</t>
  </si>
  <si>
    <t>Perrin Distribution</t>
  </si>
  <si>
    <t>Perrin Conseil</t>
  </si>
  <si>
    <t>Fournier Bâtiment</t>
  </si>
  <si>
    <t>David Bâtiment</t>
  </si>
  <si>
    <t>CL513</t>
  </si>
  <si>
    <t>Simon Services</t>
  </si>
  <si>
    <t>Vincent Ingénierie</t>
  </si>
  <si>
    <t>Morel Bâtiment</t>
  </si>
  <si>
    <t>Barbier Bâtiment</t>
  </si>
  <si>
    <t>Moreau Transports</t>
  </si>
  <si>
    <t>Mathieu Ingénierie</t>
  </si>
  <si>
    <t>Boyer Logistique</t>
  </si>
  <si>
    <t>Chevalier Événements</t>
  </si>
  <si>
    <t>Fontaine Transports</t>
  </si>
  <si>
    <t>Lemaire Bâtiment</t>
  </si>
  <si>
    <t>Clément Logistique</t>
  </si>
  <si>
    <t>Mathieu Conseil</t>
  </si>
  <si>
    <t>Girard Architecture</t>
  </si>
  <si>
    <t>Marchand Ingénierie</t>
  </si>
  <si>
    <t>CL527</t>
  </si>
  <si>
    <t>Bernard Architecture</t>
  </si>
  <si>
    <t>Leroy Ingénierie</t>
  </si>
  <si>
    <t>Lemaire Assurances</t>
  </si>
  <si>
    <t>Robin Ingénierie</t>
  </si>
  <si>
    <t>Mathieu Assurances</t>
  </si>
  <si>
    <t>Clément Bâtiment</t>
  </si>
  <si>
    <t>Leroy Services</t>
  </si>
  <si>
    <t>Dumont Immobilier</t>
  </si>
  <si>
    <t>Michel Architecture</t>
  </si>
  <si>
    <t>Barbier Immobilier</t>
  </si>
  <si>
    <t>Lemaire Conseil</t>
  </si>
  <si>
    <t>David Ingénierie</t>
  </si>
  <si>
    <t>Marchand Immobilier</t>
  </si>
  <si>
    <t>CL540</t>
  </si>
  <si>
    <t>Garcia Assurances</t>
  </si>
  <si>
    <t>Simon Transports</t>
  </si>
  <si>
    <t>CL542</t>
  </si>
  <si>
    <t>Mercier Logistique</t>
  </si>
  <si>
    <t>Legrand Industrie</t>
  </si>
  <si>
    <t>Masson Bâtiment</t>
  </si>
  <si>
    <t>Mercier Ingénierie</t>
  </si>
  <si>
    <t>Thomas Santé</t>
  </si>
  <si>
    <t>Fontaine Services</t>
  </si>
  <si>
    <t>Durand Immobilier</t>
  </si>
  <si>
    <t>Garnier Architecture</t>
  </si>
  <si>
    <t>Denis Bâtiment</t>
  </si>
  <si>
    <t>Girard Ingénierie</t>
  </si>
  <si>
    <t>Mathieu Événements</t>
  </si>
  <si>
    <t>Fontaine Assurances</t>
  </si>
  <si>
    <t>CL554</t>
  </si>
  <si>
    <t>Robin Assurances</t>
  </si>
  <si>
    <t>Fournier Transports</t>
  </si>
  <si>
    <t>Dumont Conseil</t>
  </si>
  <si>
    <t>Roussel Industrie</t>
  </si>
  <si>
    <t>Morin Services</t>
  </si>
  <si>
    <t>Mercier Assurances</t>
  </si>
  <si>
    <t>Morel Conseil</t>
  </si>
  <si>
    <t>Garcia Distribution</t>
  </si>
  <si>
    <t>Mercier Distribution</t>
  </si>
  <si>
    <t>Fournier Services</t>
  </si>
  <si>
    <t>Mathieu Services</t>
  </si>
  <si>
    <t>Lambert Assurances</t>
  </si>
  <si>
    <t>Garcia Bâtiment</t>
  </si>
  <si>
    <t>Roussel Ingénierie</t>
  </si>
  <si>
    <t>François Ingénierie</t>
  </si>
  <si>
    <t>Lemaire Événements</t>
  </si>
  <si>
    <t>Masson Assurances</t>
  </si>
  <si>
    <t>Fournier Événements</t>
  </si>
  <si>
    <t>Robert Logistique</t>
  </si>
  <si>
    <t>Bernard Ingénierie</t>
  </si>
  <si>
    <t>Masson Architecture</t>
  </si>
  <si>
    <t>Mathieu Bâtiment</t>
  </si>
  <si>
    <t>Michel Ingénierie</t>
  </si>
  <si>
    <t>Richard Bâtiment</t>
  </si>
  <si>
    <t>Gauthier Architecture</t>
  </si>
  <si>
    <t>Boyer Immobilier</t>
  </si>
  <si>
    <t>Petit Événements</t>
  </si>
  <si>
    <t>Thomas Logistique</t>
  </si>
  <si>
    <t>Robin Événements</t>
  </si>
  <si>
    <t>Robert Santé</t>
  </si>
  <si>
    <t>Leroy Assurances</t>
  </si>
  <si>
    <t>Lambert Santé</t>
  </si>
  <si>
    <t>Chevalier Logistique</t>
  </si>
  <si>
    <t>Laurent Bâtiment</t>
  </si>
  <si>
    <t>Lemaire Transports</t>
  </si>
  <si>
    <t>André Architecture</t>
  </si>
  <si>
    <t>André Ingénierie</t>
  </si>
  <si>
    <t>Simon Événements</t>
  </si>
  <si>
    <t>Mercier Santé</t>
  </si>
  <si>
    <t>Garcia Logistique</t>
  </si>
  <si>
    <t>Roussel Distribution</t>
  </si>
  <si>
    <t>Fournier Conseil</t>
  </si>
  <si>
    <t>Roux Distribution</t>
  </si>
  <si>
    <t>Perrin Santé</t>
  </si>
  <si>
    <t>Chevalier Services</t>
  </si>
  <si>
    <t>André Assurances</t>
  </si>
  <si>
    <t>Marchand Santé</t>
  </si>
  <si>
    <t>libelle</t>
  </si>
  <si>
    <t>prix_catalogue_ht</t>
  </si>
  <si>
    <t>cout_unitaire</t>
  </si>
  <si>
    <t>Bureau droit 140 cm</t>
  </si>
  <si>
    <t>Mobilier</t>
  </si>
  <si>
    <t>Bureau réglable en hauteur</t>
  </si>
  <si>
    <t>Fauteuil ergonomique</t>
  </si>
  <si>
    <t>Chaise visiteur</t>
  </si>
  <si>
    <t>Table de réunion 8 places</t>
  </si>
  <si>
    <t>Armoire haute à portes</t>
  </si>
  <si>
    <t>Caisson mobile 3 tiroirs</t>
  </si>
  <si>
    <t>Étagère métallique</t>
  </si>
  <si>
    <t>Cloison acoustique</t>
  </si>
  <si>
    <t>Banque d’accueil</t>
  </si>
  <si>
    <t>Vestiaire 2 portes</t>
  </si>
  <si>
    <t>Lampe de bureau LED</t>
  </si>
  <si>
    <t>Ordinateur portable 14 pouces</t>
  </si>
  <si>
    <t>Informatique</t>
  </si>
  <si>
    <t>Ordinateur portable 16 pouces</t>
  </si>
  <si>
    <t>Unité centrale bureautique</t>
  </si>
  <si>
    <t>Écran 24 pouces</t>
  </si>
  <si>
    <t>Écran 27 pouces</t>
  </si>
  <si>
    <t>Station d’accueil USB-C</t>
  </si>
  <si>
    <t>Imprimante multifonction</t>
  </si>
  <si>
    <t>Vidéoprojecteur</t>
  </si>
  <si>
    <t>Clavier et souris sans fil</t>
  </si>
  <si>
    <t>Casque à réduction de bruit</t>
  </si>
  <si>
    <t>Disque dur externe 2 To</t>
  </si>
  <si>
    <t>Borne Wi-Fi professionnelle</t>
  </si>
  <si>
    <t>Ramettes papier A4 (carton de 5)</t>
  </si>
  <si>
    <t>Fournitures</t>
  </si>
  <si>
    <t>Stylos à bille (boîte de 50)</t>
  </si>
  <si>
    <t>Classeurs à levier (lot de 10)</t>
  </si>
  <si>
    <t>Cartouche d’encre noire</t>
  </si>
  <si>
    <t>Toner laser</t>
  </si>
  <si>
    <t>Blocs-notes A5 (lot de 20)</t>
  </si>
  <si>
    <t>Enveloppes C4 (boîte de 250)</t>
  </si>
  <si>
    <t>Agrafeuse et agrafes</t>
  </si>
  <si>
    <t>Notes repositionnables (lot de 12)</t>
  </si>
  <si>
    <t>Rouleaux d’étiquettes</t>
  </si>
  <si>
    <t>Installation de poste de travail</t>
  </si>
  <si>
    <t>Maintenance</t>
  </si>
  <si>
    <t>Intervention sur site (demi-journée)</t>
  </si>
  <si>
    <t>P037</t>
  </si>
  <si>
    <t>Contrat de maintenance annuel</t>
  </si>
  <si>
    <t>Formation utilisateur (journée)</t>
  </si>
  <si>
    <t>Montage de mobilier (heure)</t>
  </si>
  <si>
    <t>Reprise et recyclage du matériel</t>
  </si>
  <si>
    <t>responsable</t>
  </si>
  <si>
    <t>Nord</t>
  </si>
  <si>
    <t>Claire Vasseur</t>
  </si>
  <si>
    <t>Julien Lemoine</t>
  </si>
  <si>
    <t>Paris-Est</t>
  </si>
  <si>
    <t>Île-de-France</t>
  </si>
  <si>
    <t>Sonia Haddad</t>
  </si>
  <si>
    <t>Paris-Ouest</t>
  </si>
  <si>
    <t>Marc Delaunay</t>
  </si>
  <si>
    <t>Ouest</t>
  </si>
  <si>
    <t>Élodie Brunet</t>
  </si>
  <si>
    <t>Yann Le Goff</t>
  </si>
  <si>
    <t>Sud-Ouest</t>
  </si>
  <si>
    <t>Inès Lacaze</t>
  </si>
  <si>
    <t>Thomas Ribeiro</t>
  </si>
  <si>
    <t>Méditerranée</t>
  </si>
  <si>
    <t>Karim Benali</t>
  </si>
  <si>
    <t>Laure Fabre</t>
  </si>
  <si>
    <t>Est</t>
  </si>
  <si>
    <t>Nicolas Perret</t>
  </si>
  <si>
    <t>Anne Schmitt</t>
  </si>
  <si>
    <t>mois</t>
  </si>
  <si>
    <t>objectif_ca_ht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</si>
</sst>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.00\ &quot;€&quot;"/>
    <numFmt numFmtId="166" formatCode="mmmm 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  <xf numFmtId="9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Commandes" displayName="T_Commandes" ref="A1:U4039" totalsRowShown="1" headerRowCount="1">
  <autoFilter ref="A1:U403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</autoFilter>
  <tableColumns count="21">
    <tableColumn id="1" name="n_commande" totalsRowLabel="Total"/>
    <tableColumn id="2" name="date_commande" totalsRowFunction="none"/>
    <tableColumn id="3" name="date_livraison" totalsRowFunction="none"/>
    <tableColumn id="4" name="client_id" totalsRowFunction="none"/>
    <tableColumn id="5" name="ville" totalsRowFunction="none"/>
    <tableColumn id="6" name="agence_id" totalsRowFunction="none"/>
    <tableColumn id="7" name="commercial_id" totalsRowFunction="none"/>
    <tableColumn id="8" name="produit_id" totalsRowFunction="none"/>
    <tableColumn id="9" name="quantite" totalsRowFunction="none"/>
    <tableColumn id="10" name="prix_unitaire_ht" totalsRowFunction="none"/>
    <tableColumn id="11" name="remise" totalsRowFunction="none"/>
    <tableColumn id="12" name="ca_ht" totalsRowFunction="none"/>
    <tableColumn id="13" name="facturee" totalsRowFunction="none"/>
    <tableColumn id="14" name="annee" totalsRowFunction="none"/>
    <tableColumn id="15" name="region" totalsRowFunction="none"/>
    <tableColumn id="16" name="categorie" totalsRowFunction="none"/>
    <tableColumn id="17" name="cout" totalsRowFunction="none"/>
    <tableColumn id="18" name="marge" totalsRowFunction="none"/>
    <tableColumn id="19" name="delai_ouvre" totalsRowFunction="none"/>
    <tableColumn id="20" name="date_promise" totalsRowFunction="none"/>
    <tableColumn id="21" name="en_retard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3" style="1" customWidth="1"/>
    <col min="4" max="8" width="16" customWidth="1"/>
    <col min="9" max="9" width="10" style="2" customWidth="1"/>
    <col min="10" max="10" width="14" style="3" customWidth="1"/>
    <col min="11" max="11" width="10" style="4" customWidth="1"/>
    <col min="12" max="12" width="14" style="3" customWidth="1"/>
    <col min="13" max="13" width="11" customWidth="1"/>
    <col min="14" max="14" width="10" style="2" customWidth="1"/>
    <col min="15" max="16" width="16" customWidth="1"/>
    <col min="17" max="18" width="14" style="3" customWidth="1"/>
    <col min="19" max="19" width="10" style="2" customWidth="1"/>
    <col min="20" max="20" width="13" style="1" customWidth="1"/>
    <col min="21" max="21" width="11" customWidth="1"/>
  </cols>
  <sheetData>
    <row r="1" spans="1:21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t="s">
        <v>12</v>
      </c>
      <c r="N1" s="2" t="s">
        <v>13</v>
      </c>
      <c r="O1" t="s">
        <v>14</v>
      </c>
      <c r="P1" t="s">
        <v>15</v>
      </c>
      <c r="Q1" s="3" t="s">
        <v>16</v>
      </c>
      <c r="R1" s="3" t="s">
        <v>17</v>
      </c>
      <c r="S1" s="2" t="s">
        <v>18</v>
      </c>
      <c r="T1" s="1" t="s">
        <v>19</v>
      </c>
      <c r="U1" t="s">
        <v>20</v>
      </c>
    </row>
    <row r="2" spans="1:21" x14ac:dyDescent="0.25">
      <c r="A2" t="s">
        <v>21</v>
      </c>
      <c r="B2" s="1">
        <v>46295</v>
      </c>
      <c r="C2" s="1">
        <v>46296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2">
        <v>1</v>
      </c>
      <c r="J2" s="3">
        <v>290</v>
      </c>
      <c r="K2" s="4">
        <v>0.08</v>
      </c>
      <c r="L2" s="3">
        <v>266.8</v>
      </c>
      <c r="M2" t="b">
        <v>0</v>
      </c>
      <c r="N2" s="2">
        <f>YEAR(B2)</f>
        <v>2026</v>
      </c>
      <c r="O2" t="str">
        <f>INDEX(Agences!$C:$C,MATCH(F2,Agences!$A:$A,0))</f>
        <v>Nord</v>
      </c>
      <c r="P2" t="str">
        <f>INDEX(Produits!$C:$C,MATCH(H2,Produits!$A:$A,0))</f>
        <v>Maintenance</v>
      </c>
      <c r="Q2" s="3">
        <f>I2*INDEX(Produits!$E:$E,MATCH(H2,Produits!$A:$A,0))</f>
        <v>139.2</v>
      </c>
      <c r="R2" s="3">
        <f>L2-Q2</f>
        <v>127.60000000000002</v>
      </c>
      <c r="S2" s="2">
        <f>NETWORKDAYS(B2,C2)-1</f>
        <v>1</v>
      </c>
      <c r="T2" s="1">
        <f>WORKDAY(B2,5)</f>
        <v>46302</v>
      </c>
      <c r="U2" t="b">
        <f>C2&gt;T2</f>
        <v>0</v>
      </c>
    </row>
    <row r="3" spans="1:21" x14ac:dyDescent="0.25">
      <c r="A3" t="s">
        <v>21</v>
      </c>
      <c r="B3" s="1">
        <v>46295</v>
      </c>
      <c r="C3" s="1">
        <v>46296</v>
      </c>
      <c r="D3" t="s">
        <v>22</v>
      </c>
      <c r="E3" t="s">
        <v>23</v>
      </c>
      <c r="F3" t="s">
        <v>24</v>
      </c>
      <c r="G3" t="s">
        <v>25</v>
      </c>
      <c r="H3" t="s">
        <v>27</v>
      </c>
      <c r="I3" s="2">
        <v>7</v>
      </c>
      <c r="J3" s="3">
        <v>310</v>
      </c>
      <c r="K3" s="4">
        <v>0</v>
      </c>
      <c r="L3" s="3">
        <v>2170</v>
      </c>
      <c r="M3" t="b">
        <v>0</v>
      </c>
      <c r="N3" s="2">
        <f>YEAR(B3)</f>
        <v>2026</v>
      </c>
      <c r="O3" t="str">
        <f>INDEX(Agences!$C:$C,MATCH(F3,Agences!$A:$A,0))</f>
        <v>Nord</v>
      </c>
      <c r="P3" t="str">
        <f>INDEX(Produits!$C:$C,MATCH(H3,Produits!$A:$A,0))</f>
        <v>Mobilier</v>
      </c>
      <c r="Q3" s="3">
        <f>I3*INDEX(Produits!$E:$E,MATCH(H3,Produits!$A:$A,0))</f>
        <v>1302</v>
      </c>
      <c r="R3" s="3">
        <f>L3-Q3</f>
        <v>868</v>
      </c>
      <c r="S3" s="2">
        <f>NETWORKDAYS(B3,C3)-1</f>
        <v>1</v>
      </c>
      <c r="T3" s="1">
        <f>WORKDAY(B3,5)</f>
        <v>46302</v>
      </c>
      <c r="U3" t="b">
        <f>C3&gt;T3</f>
        <v>0</v>
      </c>
    </row>
    <row r="4" spans="1:21" x14ac:dyDescent="0.25">
      <c r="A4" t="s">
        <v>28</v>
      </c>
      <c r="B4" s="1">
        <v>46295</v>
      </c>
      <c r="C4" s="1">
        <v>46296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2">
        <v>2</v>
      </c>
      <c r="J4" s="3">
        <v>219</v>
      </c>
      <c r="K4" s="4">
        <v>0.05</v>
      </c>
      <c r="L4" s="3">
        <v>416.1</v>
      </c>
      <c r="M4" t="b">
        <v>0</v>
      </c>
      <c r="N4" s="2">
        <f>YEAR(B4)</f>
        <v>2026</v>
      </c>
      <c r="O4" t="str">
        <f>INDEX(Agences!$C:$C,MATCH(F4,Agences!$A:$A,0))</f>
        <v>Ouest</v>
      </c>
      <c r="P4" t="str">
        <f>INDEX(Produits!$C:$C,MATCH(H4,Produits!$A:$A,0))</f>
        <v>Informatique</v>
      </c>
      <c r="Q4" s="3">
        <f>I4*INDEX(Produits!$E:$E,MATCH(H4,Produits!$A:$A,0))</f>
        <v>359.16</v>
      </c>
      <c r="R4" s="3">
        <f>L4-Q4</f>
        <v>56.94</v>
      </c>
      <c r="S4" s="2">
        <f>NETWORKDAYS(B4,C4)-1</f>
        <v>1</v>
      </c>
      <c r="T4" s="1">
        <f>WORKDAY(B4,5)</f>
        <v>46302</v>
      </c>
      <c r="U4" t="b">
        <f>C4&gt;T4</f>
        <v>0</v>
      </c>
    </row>
    <row r="5" spans="1:21" x14ac:dyDescent="0.25">
      <c r="A5" t="s">
        <v>28</v>
      </c>
      <c r="B5" s="1">
        <v>46295</v>
      </c>
      <c r="C5" s="1">
        <v>46296</v>
      </c>
      <c r="D5" t="s">
        <v>29</v>
      </c>
      <c r="E5" t="s">
        <v>30</v>
      </c>
      <c r="F5" t="s">
        <v>31</v>
      </c>
      <c r="G5" t="s">
        <v>32</v>
      </c>
      <c r="H5" t="s">
        <v>34</v>
      </c>
      <c r="I5" s="2">
        <v>1</v>
      </c>
      <c r="J5" s="3">
        <v>340</v>
      </c>
      <c r="K5" s="4">
        <v>0.08</v>
      </c>
      <c r="L5" s="3">
        <v>312.8</v>
      </c>
      <c r="M5" t="b">
        <v>0</v>
      </c>
      <c r="N5" s="2">
        <f>YEAR(B5)</f>
        <v>2026</v>
      </c>
      <c r="O5" t="str">
        <f>INDEX(Agences!$C:$C,MATCH(F5,Agences!$A:$A,0))</f>
        <v>Ouest</v>
      </c>
      <c r="P5" t="str">
        <f>INDEX(Produits!$C:$C,MATCH(H5,Produits!$A:$A,0))</f>
        <v>Informatique</v>
      </c>
      <c r="Q5" s="3">
        <f>I5*INDEX(Produits!$E:$E,MATCH(H5,Produits!$A:$A,0))</f>
        <v>275.4</v>
      </c>
      <c r="R5" s="3">
        <f>L5-Q5</f>
        <v>37.400000000000034</v>
      </c>
      <c r="S5" s="2">
        <f>NETWORKDAYS(B5,C5)-1</f>
        <v>1</v>
      </c>
      <c r="T5" s="1">
        <f>WORKDAY(B5,5)</f>
        <v>46302</v>
      </c>
      <c r="U5" t="b">
        <f>C5&gt;T5</f>
        <v>0</v>
      </c>
    </row>
    <row r="6" spans="1:21" x14ac:dyDescent="0.25">
      <c r="A6" t="s">
        <v>28</v>
      </c>
      <c r="B6" s="1">
        <v>46295</v>
      </c>
      <c r="C6" s="1">
        <v>46296</v>
      </c>
      <c r="D6" t="s">
        <v>29</v>
      </c>
      <c r="E6" t="s">
        <v>30</v>
      </c>
      <c r="F6" t="s">
        <v>31</v>
      </c>
      <c r="G6" t="s">
        <v>32</v>
      </c>
      <c r="H6" t="s">
        <v>35</v>
      </c>
      <c r="I6" s="2">
        <v>2</v>
      </c>
      <c r="J6" s="3">
        <v>79</v>
      </c>
      <c r="K6" s="4">
        <v>0.08</v>
      </c>
      <c r="L6" s="3">
        <v>145.36</v>
      </c>
      <c r="M6" t="b">
        <v>0</v>
      </c>
      <c r="N6" s="2">
        <f>YEAR(B6)</f>
        <v>2026</v>
      </c>
      <c r="O6" t="str">
        <f>INDEX(Agences!$C:$C,MATCH(F6,Agences!$A:$A,0))</f>
        <v>Ouest</v>
      </c>
      <c r="P6" t="str">
        <f>INDEX(Produits!$C:$C,MATCH(H6,Produits!$A:$A,0))</f>
        <v>Mobilier</v>
      </c>
      <c r="Q6" s="3">
        <f>I6*INDEX(Produits!$E:$E,MATCH(H6,Produits!$A:$A,0))</f>
        <v>93.22</v>
      </c>
      <c r="R6" s="3">
        <f>L6-Q6</f>
        <v>52.140000000000015</v>
      </c>
      <c r="S6" s="2">
        <f>NETWORKDAYS(B6,C6)-1</f>
        <v>1</v>
      </c>
      <c r="T6" s="1">
        <f>WORKDAY(B6,5)</f>
        <v>46302</v>
      </c>
      <c r="U6" t="b">
        <f>C6&gt;T6</f>
        <v>0</v>
      </c>
    </row>
    <row r="7" spans="1:21" x14ac:dyDescent="0.25">
      <c r="A7" t="s">
        <v>36</v>
      </c>
      <c r="B7" s="1">
        <v>46295</v>
      </c>
      <c r="C7" s="1">
        <v>46297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s="2">
        <v>3</v>
      </c>
      <c r="J7" s="3">
        <v>790</v>
      </c>
      <c r="K7" s="4">
        <v>0.05</v>
      </c>
      <c r="L7" s="3">
        <v>2251.5</v>
      </c>
      <c r="M7" t="b">
        <v>0</v>
      </c>
      <c r="N7" s="2">
        <f>YEAR(B7)</f>
        <v>2026</v>
      </c>
      <c r="O7" t="str">
        <f>INDEX(Agences!$C:$C,MATCH(F7,Agences!$A:$A,0))</f>
        <v>Sud-Ouest</v>
      </c>
      <c r="P7" t="str">
        <f>INDEX(Produits!$C:$C,MATCH(H7,Produits!$A:$A,0))</f>
        <v>Informatique</v>
      </c>
      <c r="Q7" s="3">
        <f>I7*INDEX(Produits!$E:$E,MATCH(H7,Produits!$A:$A,0))</f>
        <v>1730.1000000000001</v>
      </c>
      <c r="R7" s="3">
        <f>L7-Q7</f>
        <v>521.3999999999999</v>
      </c>
      <c r="S7" s="2">
        <f>NETWORKDAYS(B7,C7)-1</f>
        <v>2</v>
      </c>
      <c r="T7" s="1">
        <f>WORKDAY(B7,5)</f>
        <v>46302</v>
      </c>
      <c r="U7" t="b">
        <f>C7&gt;T7</f>
        <v>0</v>
      </c>
    </row>
    <row r="8" spans="1:21" x14ac:dyDescent="0.25">
      <c r="A8" t="s">
        <v>36</v>
      </c>
      <c r="B8" s="1">
        <v>46295</v>
      </c>
      <c r="C8" s="1">
        <v>46297</v>
      </c>
      <c r="D8" t="s">
        <v>37</v>
      </c>
      <c r="E8" t="s">
        <v>38</v>
      </c>
      <c r="F8" t="s">
        <v>39</v>
      </c>
      <c r="G8" t="s">
        <v>40</v>
      </c>
      <c r="H8" t="s">
        <v>42</v>
      </c>
      <c r="I8" s="2">
        <v>1</v>
      </c>
      <c r="J8" s="3">
        <v>55</v>
      </c>
      <c r="K8" s="4">
        <v>0</v>
      </c>
      <c r="L8" s="3">
        <v>55</v>
      </c>
      <c r="M8" t="b">
        <v>0</v>
      </c>
      <c r="N8" s="2">
        <f>YEAR(B8)</f>
        <v>2026</v>
      </c>
      <c r="O8" t="str">
        <f>INDEX(Agences!$C:$C,MATCH(F8,Agences!$A:$A,0))</f>
        <v>Sud-Ouest</v>
      </c>
      <c r="P8" t="str">
        <f>INDEX(Produits!$C:$C,MATCH(H8,Produits!$A:$A,0))</f>
        <v>Maintenance</v>
      </c>
      <c r="Q8" s="3">
        <f>I8*INDEX(Produits!$E:$E,MATCH(H8,Produits!$A:$A,0))</f>
        <v>24.75</v>
      </c>
      <c r="R8" s="3">
        <f>L8-Q8</f>
        <v>30.25</v>
      </c>
      <c r="S8" s="2">
        <f>NETWORKDAYS(B8,C8)-1</f>
        <v>2</v>
      </c>
      <c r="T8" s="1">
        <f>WORKDAY(B8,5)</f>
        <v>46302</v>
      </c>
      <c r="U8" t="b">
        <f>C8&gt;T8</f>
        <v>0</v>
      </c>
    </row>
    <row r="9" spans="1:21" x14ac:dyDescent="0.25">
      <c r="A9" t="s">
        <v>43</v>
      </c>
      <c r="B9" s="1">
        <v>46295</v>
      </c>
      <c r="C9" s="1">
        <v>46297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s="2">
        <v>1</v>
      </c>
      <c r="J9" s="3">
        <v>165</v>
      </c>
      <c r="K9" s="4">
        <v>0</v>
      </c>
      <c r="L9" s="3">
        <v>165</v>
      </c>
      <c r="M9" t="b">
        <v>0</v>
      </c>
      <c r="N9" s="2">
        <f>YEAR(B9)</f>
        <v>2026</v>
      </c>
      <c r="O9" t="str">
        <f>INDEX(Agences!$C:$C,MATCH(F9,Agences!$A:$A,0))</f>
        <v>Est</v>
      </c>
      <c r="P9" t="str">
        <f>INDEX(Produits!$C:$C,MATCH(H9,Produits!$A:$A,0))</f>
        <v>Mobilier</v>
      </c>
      <c r="Q9" s="3">
        <f>I9*INDEX(Produits!$E:$E,MATCH(H9,Produits!$A:$A,0))</f>
        <v>107.25</v>
      </c>
      <c r="R9" s="3">
        <f>L9-Q9</f>
        <v>57.75</v>
      </c>
      <c r="S9" s="2">
        <f>NETWORKDAYS(B9,C9)-1</f>
        <v>2</v>
      </c>
      <c r="T9" s="1">
        <f>WORKDAY(B9,5)</f>
        <v>46302</v>
      </c>
      <c r="U9" t="b">
        <f>C9&gt;T9</f>
        <v>0</v>
      </c>
    </row>
    <row r="10" spans="1:21" x14ac:dyDescent="0.25">
      <c r="A10" t="s">
        <v>43</v>
      </c>
      <c r="B10" s="1">
        <v>46295</v>
      </c>
      <c r="C10" s="1">
        <v>46297</v>
      </c>
      <c r="D10" t="s">
        <v>44</v>
      </c>
      <c r="E10" t="s">
        <v>45</v>
      </c>
      <c r="F10" t="s">
        <v>46</v>
      </c>
      <c r="G10" t="s">
        <v>47</v>
      </c>
      <c r="H10" t="s">
        <v>49</v>
      </c>
      <c r="I10" s="2">
        <v>1</v>
      </c>
      <c r="J10" s="3">
        <v>120</v>
      </c>
      <c r="K10" s="4">
        <v>0</v>
      </c>
      <c r="L10" s="3">
        <v>120</v>
      </c>
      <c r="M10" t="b">
        <v>0</v>
      </c>
      <c r="N10" s="2">
        <f>YEAR(B10)</f>
        <v>2026</v>
      </c>
      <c r="O10" t="str">
        <f>INDEX(Agences!$C:$C,MATCH(F10,Agences!$A:$A,0))</f>
        <v>Est</v>
      </c>
      <c r="P10" t="str">
        <f>INDEX(Produits!$C:$C,MATCH(H10,Produits!$A:$A,0))</f>
        <v>Maintenance</v>
      </c>
      <c r="Q10" s="3">
        <f>I10*INDEX(Produits!$E:$E,MATCH(H10,Produits!$A:$A,0))</f>
        <v>55.2</v>
      </c>
      <c r="R10" s="3">
        <f>L10-Q10</f>
        <v>64.8</v>
      </c>
      <c r="S10" s="2">
        <f>NETWORKDAYS(B10,C10)-1</f>
        <v>2</v>
      </c>
      <c r="T10" s="1">
        <f>WORKDAY(B10,5)</f>
        <v>46302</v>
      </c>
      <c r="U10" t="b">
        <f>C10&gt;T10</f>
        <v>0</v>
      </c>
    </row>
    <row r="11" spans="1:21" x14ac:dyDescent="0.25">
      <c r="A11" t="s">
        <v>43</v>
      </c>
      <c r="B11" s="1">
        <v>46295</v>
      </c>
      <c r="C11" s="1">
        <v>46297</v>
      </c>
      <c r="D11" t="s">
        <v>44</v>
      </c>
      <c r="E11" t="s">
        <v>45</v>
      </c>
      <c r="F11" t="s">
        <v>46</v>
      </c>
      <c r="G11" t="s">
        <v>47</v>
      </c>
      <c r="H11" t="s">
        <v>50</v>
      </c>
      <c r="I11" s="2">
        <v>3</v>
      </c>
      <c r="J11" s="3">
        <v>69</v>
      </c>
      <c r="K11" s="4">
        <v>0</v>
      </c>
      <c r="L11" s="3">
        <v>207</v>
      </c>
      <c r="M11" t="b">
        <v>0</v>
      </c>
      <c r="N11" s="2">
        <f>YEAR(B11)</f>
        <v>2026</v>
      </c>
      <c r="O11" t="str">
        <f>INDEX(Agences!$C:$C,MATCH(F11,Agences!$A:$A,0))</f>
        <v>Est</v>
      </c>
      <c r="P11" t="str">
        <f>INDEX(Produits!$C:$C,MATCH(H11,Produits!$A:$A,0))</f>
        <v>Informatique</v>
      </c>
      <c r="Q11" s="3">
        <f>I11*INDEX(Produits!$E:$E,MATCH(H11,Produits!$A:$A,0))</f>
        <v>163.53</v>
      </c>
      <c r="R11" s="3">
        <f>L11-Q11</f>
        <v>43.47</v>
      </c>
      <c r="S11" s="2">
        <f>NETWORKDAYS(B11,C11)-1</f>
        <v>2</v>
      </c>
      <c r="T11" s="1">
        <f>WORKDAY(B11,5)</f>
        <v>46302</v>
      </c>
      <c r="U11" t="b">
        <f>C11&gt;T11</f>
        <v>0</v>
      </c>
    </row>
    <row r="12" spans="1:21" x14ac:dyDescent="0.25">
      <c r="A12" t="s">
        <v>43</v>
      </c>
      <c r="B12" s="1">
        <v>46295</v>
      </c>
      <c r="C12" s="1">
        <v>46297</v>
      </c>
      <c r="D12" t="s">
        <v>44</v>
      </c>
      <c r="E12" t="s">
        <v>45</v>
      </c>
      <c r="F12" t="s">
        <v>46</v>
      </c>
      <c r="G12" t="s">
        <v>47</v>
      </c>
      <c r="H12" t="s">
        <v>51</v>
      </c>
      <c r="I12" s="2">
        <v>1</v>
      </c>
      <c r="J12" s="3">
        <v>180</v>
      </c>
      <c r="K12" s="4">
        <v>0.08</v>
      </c>
      <c r="L12" s="3">
        <v>165.6</v>
      </c>
      <c r="M12" t="b">
        <v>0</v>
      </c>
      <c r="N12" s="2">
        <f>YEAR(B12)</f>
        <v>2026</v>
      </c>
      <c r="O12" t="str">
        <f>INDEX(Agences!$C:$C,MATCH(F12,Agences!$A:$A,0))</f>
        <v>Est</v>
      </c>
      <c r="P12" t="str">
        <f>INDEX(Produits!$C:$C,MATCH(H12,Produits!$A:$A,0))</f>
        <v>Maintenance</v>
      </c>
      <c r="Q12" s="3">
        <f>I12*INDEX(Produits!$E:$E,MATCH(H12,Produits!$A:$A,0))</f>
        <v>82.8</v>
      </c>
      <c r="R12" s="3">
        <f>L12-Q12</f>
        <v>82.8</v>
      </c>
      <c r="S12" s="2">
        <f>NETWORKDAYS(B12,C12)-1</f>
        <v>2</v>
      </c>
      <c r="T12" s="1">
        <f>WORKDAY(B12,5)</f>
        <v>46302</v>
      </c>
      <c r="U12" t="b">
        <f>C12&gt;T12</f>
        <v>0</v>
      </c>
    </row>
    <row r="13" spans="1:21" x14ac:dyDescent="0.25">
      <c r="A13" t="s">
        <v>52</v>
      </c>
      <c r="B13" s="1">
        <v>46295</v>
      </c>
      <c r="C13" s="1">
        <v>46304</v>
      </c>
      <c r="D13" t="s">
        <v>53</v>
      </c>
      <c r="E13" t="s">
        <v>54</v>
      </c>
      <c r="F13" t="s">
        <v>55</v>
      </c>
      <c r="G13" t="s">
        <v>56</v>
      </c>
      <c r="H13" t="s">
        <v>48</v>
      </c>
      <c r="I13" s="2">
        <v>1</v>
      </c>
      <c r="J13" s="3">
        <v>165</v>
      </c>
      <c r="K13" s="4">
        <v>0</v>
      </c>
      <c r="L13" s="3">
        <v>165</v>
      </c>
      <c r="M13" t="b">
        <v>0</v>
      </c>
      <c r="N13" s="2">
        <f>YEAR(B13)</f>
        <v>2026</v>
      </c>
      <c r="O13" t="str">
        <f>INDEX(Agences!$C:$C,MATCH(F13,Agences!$A:$A,0))</f>
        <v>Est</v>
      </c>
      <c r="P13" t="str">
        <f>INDEX(Produits!$C:$C,MATCH(H13,Produits!$A:$A,0))</f>
        <v>Mobilier</v>
      </c>
      <c r="Q13" s="3">
        <f>I13*INDEX(Produits!$E:$E,MATCH(H13,Produits!$A:$A,0))</f>
        <v>107.25</v>
      </c>
      <c r="R13" s="3">
        <f>L13-Q13</f>
        <v>57.75</v>
      </c>
      <c r="S13" s="2">
        <f>NETWORKDAYS(B13,C13)-1</f>
        <v>7</v>
      </c>
      <c r="T13" s="1">
        <f>WORKDAY(B13,5)</f>
        <v>46302</v>
      </c>
      <c r="U13" t="b">
        <f>C13&gt;T13</f>
        <v>1</v>
      </c>
    </row>
    <row r="14" spans="1:21" x14ac:dyDescent="0.25">
      <c r="A14" t="s">
        <v>52</v>
      </c>
      <c r="B14" s="1">
        <v>46295</v>
      </c>
      <c r="C14" s="1">
        <v>46304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s="2">
        <v>4</v>
      </c>
      <c r="J14" s="3">
        <v>149</v>
      </c>
      <c r="K14" s="4">
        <v>0.02</v>
      </c>
      <c r="L14" s="3">
        <v>584.08</v>
      </c>
      <c r="M14" t="b">
        <v>0</v>
      </c>
      <c r="N14" s="2">
        <f>YEAR(B14)</f>
        <v>2026</v>
      </c>
      <c r="O14" t="str">
        <f>INDEX(Agences!$C:$C,MATCH(F14,Agences!$A:$A,0))</f>
        <v>Est</v>
      </c>
      <c r="P14" t="str">
        <f>INDEX(Produits!$C:$C,MATCH(H14,Produits!$A:$A,0))</f>
        <v>Informatique</v>
      </c>
      <c r="Q14" s="3">
        <f>I14*INDEX(Produits!$E:$E,MATCH(H14,Produits!$A:$A,0))</f>
        <v>458.92</v>
      </c>
      <c r="R14" s="3">
        <f>L14-Q14</f>
        <v>125.16000000000003</v>
      </c>
      <c r="S14" s="2">
        <f>NETWORKDAYS(B14,C14)-1</f>
        <v>7</v>
      </c>
      <c r="T14" s="1">
        <f>WORKDAY(B14,5)</f>
        <v>46302</v>
      </c>
      <c r="U14" t="b">
        <f>C14&gt;T14</f>
        <v>1</v>
      </c>
    </row>
    <row r="15" spans="1:21" x14ac:dyDescent="0.25">
      <c r="A15" t="s">
        <v>52</v>
      </c>
      <c r="B15" s="1">
        <v>46295</v>
      </c>
      <c r="C15" s="1">
        <v>46304</v>
      </c>
      <c r="D15" t="s">
        <v>53</v>
      </c>
      <c r="E15" t="s">
        <v>54</v>
      </c>
      <c r="F15" t="s">
        <v>55</v>
      </c>
      <c r="G15" t="s">
        <v>56</v>
      </c>
      <c r="H15" t="s">
        <v>35</v>
      </c>
      <c r="I15" s="2">
        <v>1</v>
      </c>
      <c r="J15" s="3">
        <v>79</v>
      </c>
      <c r="K15" s="4">
        <v>0</v>
      </c>
      <c r="L15" s="3">
        <v>79</v>
      </c>
      <c r="M15" t="b">
        <v>0</v>
      </c>
      <c r="N15" s="2">
        <f>YEAR(B15)</f>
        <v>2026</v>
      </c>
      <c r="O15" t="str">
        <f>INDEX(Agences!$C:$C,MATCH(F15,Agences!$A:$A,0))</f>
        <v>Est</v>
      </c>
      <c r="P15" t="str">
        <f>INDEX(Produits!$C:$C,MATCH(H15,Produits!$A:$A,0))</f>
        <v>Mobilier</v>
      </c>
      <c r="Q15" s="3">
        <f>I15*INDEX(Produits!$E:$E,MATCH(H15,Produits!$A:$A,0))</f>
        <v>46.61</v>
      </c>
      <c r="R15" s="3">
        <f>L15-Q15</f>
        <v>32.39</v>
      </c>
      <c r="S15" s="2">
        <f>NETWORKDAYS(B15,C15)-1</f>
        <v>7</v>
      </c>
      <c r="T15" s="1">
        <f>WORKDAY(B15,5)</f>
        <v>46302</v>
      </c>
      <c r="U15" t="b">
        <f>C15&gt;T15</f>
        <v>1</v>
      </c>
    </row>
    <row r="16" spans="1:21" x14ac:dyDescent="0.25">
      <c r="A16" t="s">
        <v>52</v>
      </c>
      <c r="B16" s="1">
        <v>46295</v>
      </c>
      <c r="C16" s="1">
        <v>46304</v>
      </c>
      <c r="D16" t="s">
        <v>53</v>
      </c>
      <c r="E16" t="s">
        <v>54</v>
      </c>
      <c r="F16" t="s">
        <v>55</v>
      </c>
      <c r="G16" t="s">
        <v>56</v>
      </c>
      <c r="H16" t="s">
        <v>58</v>
      </c>
      <c r="I16" s="2">
        <v>2</v>
      </c>
      <c r="J16" s="3">
        <v>649</v>
      </c>
      <c r="K16" s="4">
        <v>0.1</v>
      </c>
      <c r="L16" s="3">
        <v>1168.2</v>
      </c>
      <c r="M16" t="b">
        <v>0</v>
      </c>
      <c r="N16" s="2">
        <f>YEAR(B16)</f>
        <v>2026</v>
      </c>
      <c r="O16" t="str">
        <f>INDEX(Agences!$C:$C,MATCH(F16,Agences!$A:$A,0))</f>
        <v>Est</v>
      </c>
      <c r="P16" t="str">
        <f>INDEX(Produits!$C:$C,MATCH(H16,Produits!$A:$A,0))</f>
        <v>Mobilier</v>
      </c>
      <c r="Q16" s="3">
        <f>I16*INDEX(Produits!$E:$E,MATCH(H16,Produits!$A:$A,0))</f>
        <v>817.74</v>
      </c>
      <c r="R16" s="3">
        <f>L16-Q16</f>
        <v>350.46000000000004</v>
      </c>
      <c r="S16" s="2">
        <f>NETWORKDAYS(B16,C16)-1</f>
        <v>7</v>
      </c>
      <c r="T16" s="1">
        <f>WORKDAY(B16,5)</f>
        <v>46302</v>
      </c>
      <c r="U16" t="b">
        <f>C16&gt;T16</f>
        <v>1</v>
      </c>
    </row>
    <row r="17" spans="1:21" x14ac:dyDescent="0.25">
      <c r="A17" t="s">
        <v>59</v>
      </c>
      <c r="B17" s="1">
        <v>46294</v>
      </c>
      <c r="C17" s="1">
        <v>46297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I17" s="2">
        <v>5</v>
      </c>
      <c r="J17" s="3">
        <v>16.8</v>
      </c>
      <c r="K17" s="4">
        <v>0.02</v>
      </c>
      <c r="L17" s="3">
        <v>82.32</v>
      </c>
      <c r="M17" t="b">
        <v>0</v>
      </c>
      <c r="N17" s="2">
        <f>YEAR(B17)</f>
        <v>2026</v>
      </c>
      <c r="O17" t="str">
        <f>INDEX(Agences!$C:$C,MATCH(F17,Agences!$A:$A,0))</f>
        <v>Méditerranée</v>
      </c>
      <c r="P17" t="str">
        <f>INDEX(Produits!$C:$C,MATCH(H17,Produits!$A:$A,0))</f>
        <v>Fournitures</v>
      </c>
      <c r="Q17" s="3">
        <f>I17*INDEX(Produits!$E:$E,MATCH(H17,Produits!$A:$A,0))</f>
        <v>43.7</v>
      </c>
      <c r="R17" s="3">
        <f>L17-Q17</f>
        <v>38.61999999999999</v>
      </c>
      <c r="S17" s="2">
        <f>NETWORKDAYS(B17,C17)-1</f>
        <v>3</v>
      </c>
      <c r="T17" s="1">
        <f>WORKDAY(B17,5)</f>
        <v>46301</v>
      </c>
      <c r="U17" t="b">
        <f>C17&gt;T17</f>
        <v>0</v>
      </c>
    </row>
    <row r="18" spans="1:21" x14ac:dyDescent="0.25">
      <c r="A18" t="s">
        <v>65</v>
      </c>
      <c r="B18" s="1">
        <v>46294</v>
      </c>
      <c r="C18" s="1">
        <v>46296</v>
      </c>
      <c r="D18" t="s">
        <v>66</v>
      </c>
      <c r="E18" t="s">
        <v>67</v>
      </c>
      <c r="F18" t="s">
        <v>62</v>
      </c>
      <c r="G18" t="s">
        <v>68</v>
      </c>
      <c r="H18" t="s">
        <v>27</v>
      </c>
      <c r="I18" s="2">
        <v>1</v>
      </c>
      <c r="J18" s="3">
        <v>310</v>
      </c>
      <c r="K18" s="4">
        <v>0</v>
      </c>
      <c r="L18" s="3">
        <v>310</v>
      </c>
      <c r="M18" t="b">
        <v>0</v>
      </c>
      <c r="N18" s="2">
        <f>YEAR(B18)</f>
        <v>2026</v>
      </c>
      <c r="O18" t="str">
        <f>INDEX(Agences!$C:$C,MATCH(F18,Agences!$A:$A,0))</f>
        <v>Méditerranée</v>
      </c>
      <c r="P18" t="str">
        <f>INDEX(Produits!$C:$C,MATCH(H18,Produits!$A:$A,0))</f>
        <v>Mobilier</v>
      </c>
      <c r="Q18" s="3">
        <f>I18*INDEX(Produits!$E:$E,MATCH(H18,Produits!$A:$A,0))</f>
        <v>186</v>
      </c>
      <c r="R18" s="3">
        <f>L18-Q18</f>
        <v>124</v>
      </c>
      <c r="S18" s="2">
        <f>NETWORKDAYS(B18,C18)-1</f>
        <v>2</v>
      </c>
      <c r="T18" s="1">
        <f>WORKDAY(B18,5)</f>
        <v>46301</v>
      </c>
      <c r="U18" t="b">
        <f>C18&gt;T18</f>
        <v>0</v>
      </c>
    </row>
    <row r="19" spans="1:21" x14ac:dyDescent="0.25">
      <c r="A19" t="s">
        <v>69</v>
      </c>
      <c r="B19" s="1">
        <v>46294</v>
      </c>
      <c r="C19" s="1">
        <v>46304</v>
      </c>
      <c r="D19" t="s">
        <v>70</v>
      </c>
      <c r="E19" t="s">
        <v>54</v>
      </c>
      <c r="F19" t="s">
        <v>55</v>
      </c>
      <c r="G19" t="s">
        <v>71</v>
      </c>
      <c r="H19" t="s">
        <v>49</v>
      </c>
      <c r="I19" s="2">
        <v>1</v>
      </c>
      <c r="J19" s="3">
        <v>120</v>
      </c>
      <c r="K19" s="4">
        <v>0</v>
      </c>
      <c r="L19" s="3">
        <v>120</v>
      </c>
      <c r="M19" t="b">
        <v>0</v>
      </c>
      <c r="N19" s="2">
        <f>YEAR(B19)</f>
        <v>2026</v>
      </c>
      <c r="O19" t="str">
        <f>INDEX(Agences!$C:$C,MATCH(F19,Agences!$A:$A,0))</f>
        <v>Est</v>
      </c>
      <c r="P19" t="str">
        <f>INDEX(Produits!$C:$C,MATCH(H19,Produits!$A:$A,0))</f>
        <v>Maintenance</v>
      </c>
      <c r="Q19" s="3">
        <f>I19*INDEX(Produits!$E:$E,MATCH(H19,Produits!$A:$A,0))</f>
        <v>55.2</v>
      </c>
      <c r="R19" s="3">
        <f>L19-Q19</f>
        <v>64.8</v>
      </c>
      <c r="S19" s="2">
        <f>NETWORKDAYS(B19,C19)-1</f>
        <v>8</v>
      </c>
      <c r="T19" s="1">
        <f>WORKDAY(B19,5)</f>
        <v>46301</v>
      </c>
      <c r="U19" t="b">
        <f>C19&gt;T19</f>
        <v>1</v>
      </c>
    </row>
    <row r="20" spans="1:21" x14ac:dyDescent="0.25">
      <c r="A20" t="s">
        <v>69</v>
      </c>
      <c r="B20" s="1">
        <v>46294</v>
      </c>
      <c r="C20" s="1">
        <v>46304</v>
      </c>
      <c r="D20" t="s">
        <v>70</v>
      </c>
      <c r="E20" t="s">
        <v>54</v>
      </c>
      <c r="F20" t="s">
        <v>55</v>
      </c>
      <c r="G20" t="s">
        <v>71</v>
      </c>
      <c r="H20" t="s">
        <v>42</v>
      </c>
      <c r="I20" s="2">
        <v>1</v>
      </c>
      <c r="J20" s="3">
        <v>55</v>
      </c>
      <c r="K20" s="4">
        <v>0</v>
      </c>
      <c r="L20" s="3">
        <v>55</v>
      </c>
      <c r="M20" t="b">
        <v>0</v>
      </c>
      <c r="N20" s="2">
        <f>YEAR(B20)</f>
        <v>2026</v>
      </c>
      <c r="O20" t="str">
        <f>INDEX(Agences!$C:$C,MATCH(F20,Agences!$A:$A,0))</f>
        <v>Est</v>
      </c>
      <c r="P20" t="str">
        <f>INDEX(Produits!$C:$C,MATCH(H20,Produits!$A:$A,0))</f>
        <v>Maintenance</v>
      </c>
      <c r="Q20" s="3">
        <f>I20*INDEX(Produits!$E:$E,MATCH(H20,Produits!$A:$A,0))</f>
        <v>24.75</v>
      </c>
      <c r="R20" s="3">
        <f>L20-Q20</f>
        <v>30.25</v>
      </c>
      <c r="S20" s="2">
        <f>NETWORKDAYS(B20,C20)-1</f>
        <v>8</v>
      </c>
      <c r="T20" s="1">
        <f>WORKDAY(B20,5)</f>
        <v>46301</v>
      </c>
      <c r="U20" t="b">
        <f>C20&gt;T20</f>
        <v>1</v>
      </c>
    </row>
    <row r="21" spans="1:21" x14ac:dyDescent="0.25">
      <c r="A21" t="s">
        <v>69</v>
      </c>
      <c r="B21" s="1">
        <v>46294</v>
      </c>
      <c r="C21" s="1">
        <v>46304</v>
      </c>
      <c r="D21" t="s">
        <v>70</v>
      </c>
      <c r="E21" t="s">
        <v>54</v>
      </c>
      <c r="F21" t="s">
        <v>55</v>
      </c>
      <c r="G21" t="s">
        <v>71</v>
      </c>
      <c r="H21" t="s">
        <v>72</v>
      </c>
      <c r="I21" s="2">
        <v>6</v>
      </c>
      <c r="J21" s="3">
        <v>179</v>
      </c>
      <c r="K21" s="4">
        <v>0</v>
      </c>
      <c r="L21" s="3">
        <v>1074</v>
      </c>
      <c r="M21" t="b">
        <v>0</v>
      </c>
      <c r="N21" s="2">
        <f>YEAR(B21)</f>
        <v>2026</v>
      </c>
      <c r="O21" t="str">
        <f>INDEX(Agences!$C:$C,MATCH(F21,Agences!$A:$A,0))</f>
        <v>Est</v>
      </c>
      <c r="P21" t="str">
        <f>INDEX(Produits!$C:$C,MATCH(H21,Produits!$A:$A,0))</f>
        <v>Informatique</v>
      </c>
      <c r="Q21" s="3">
        <f>I21*INDEX(Produits!$E:$E,MATCH(H21,Produits!$A:$A,0))</f>
        <v>880.6800000000001</v>
      </c>
      <c r="R21" s="3">
        <f>L21-Q21</f>
        <v>193.31999999999994</v>
      </c>
      <c r="S21" s="2">
        <f>NETWORKDAYS(B21,C21)-1</f>
        <v>8</v>
      </c>
      <c r="T21" s="1">
        <f>WORKDAY(B21,5)</f>
        <v>46301</v>
      </c>
      <c r="U21" t="b">
        <f>C21&gt;T21</f>
        <v>1</v>
      </c>
    </row>
    <row r="22" spans="1:21" x14ac:dyDescent="0.25">
      <c r="A22" t="s">
        <v>73</v>
      </c>
      <c r="B22" s="1">
        <v>46290</v>
      </c>
      <c r="C22" s="1">
        <v>46297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s="2">
        <v>2</v>
      </c>
      <c r="J22" s="3">
        <v>1390</v>
      </c>
      <c r="K22" s="4">
        <v>0.02</v>
      </c>
      <c r="L22" s="3">
        <v>2724.4</v>
      </c>
      <c r="M22" t="b">
        <v>0</v>
      </c>
      <c r="N22" s="2">
        <f>YEAR(B22)</f>
        <v>2026</v>
      </c>
      <c r="O22" t="str">
        <f>INDEX(Agences!$C:$C,MATCH(F22,Agences!$A:$A,0))</f>
        <v>Île-de-France</v>
      </c>
      <c r="P22" t="str">
        <f>INDEX(Produits!$C:$C,MATCH(H22,Produits!$A:$A,0))</f>
        <v>Informatique</v>
      </c>
      <c r="Q22" s="3">
        <f>I22*INDEX(Produits!$E:$E,MATCH(H22,Produits!$A:$A,0))</f>
        <v>2251.8</v>
      </c>
      <c r="R22" s="3">
        <f>L22-Q22</f>
        <v>472.5999999999999</v>
      </c>
      <c r="S22" s="2">
        <f>NETWORKDAYS(B22,C22)-1</f>
        <v>5</v>
      </c>
      <c r="T22" s="1">
        <f>WORKDAY(B22,5)</f>
        <v>46297</v>
      </c>
      <c r="U22" t="b">
        <f>C22&gt;T22</f>
        <v>0</v>
      </c>
    </row>
    <row r="23" spans="1:21" x14ac:dyDescent="0.25">
      <c r="A23" t="s">
        <v>73</v>
      </c>
      <c r="B23" s="1">
        <v>46290</v>
      </c>
      <c r="C23" s="1">
        <v>46297</v>
      </c>
      <c r="D23" t="s">
        <v>74</v>
      </c>
      <c r="E23" t="s">
        <v>75</v>
      </c>
      <c r="F23" t="s">
        <v>76</v>
      </c>
      <c r="G23" t="s">
        <v>77</v>
      </c>
      <c r="H23" t="s">
        <v>48</v>
      </c>
      <c r="I23" s="2">
        <v>1</v>
      </c>
      <c r="J23" s="3">
        <v>165</v>
      </c>
      <c r="K23" s="4">
        <v>0</v>
      </c>
      <c r="L23" s="3">
        <v>165</v>
      </c>
      <c r="M23" t="b">
        <v>0</v>
      </c>
      <c r="N23" s="2">
        <f>YEAR(B23)</f>
        <v>2026</v>
      </c>
      <c r="O23" t="str">
        <f>INDEX(Agences!$C:$C,MATCH(F23,Agences!$A:$A,0))</f>
        <v>Île-de-France</v>
      </c>
      <c r="P23" t="str">
        <f>INDEX(Produits!$C:$C,MATCH(H23,Produits!$A:$A,0))</f>
        <v>Mobilier</v>
      </c>
      <c r="Q23" s="3">
        <f>I23*INDEX(Produits!$E:$E,MATCH(H23,Produits!$A:$A,0))</f>
        <v>107.25</v>
      </c>
      <c r="R23" s="3">
        <f>L23-Q23</f>
        <v>57.75</v>
      </c>
      <c r="S23" s="2">
        <f>NETWORKDAYS(B23,C23)-1</f>
        <v>5</v>
      </c>
      <c r="T23" s="1">
        <f>WORKDAY(B23,5)</f>
        <v>46297</v>
      </c>
      <c r="U23" t="b">
        <f>C23&gt;T23</f>
        <v>0</v>
      </c>
    </row>
    <row r="24" spans="1:21" x14ac:dyDescent="0.25">
      <c r="A24" t="s">
        <v>73</v>
      </c>
      <c r="B24" s="1">
        <v>46290</v>
      </c>
      <c r="C24" s="1">
        <v>46297</v>
      </c>
      <c r="D24" t="s">
        <v>74</v>
      </c>
      <c r="E24" t="s">
        <v>75</v>
      </c>
      <c r="F24" t="s">
        <v>76</v>
      </c>
      <c r="G24" t="s">
        <v>77</v>
      </c>
      <c r="H24" t="s">
        <v>79</v>
      </c>
      <c r="I24" s="2">
        <v>20</v>
      </c>
      <c r="J24" s="3">
        <v>14.9</v>
      </c>
      <c r="K24" s="4">
        <v>0</v>
      </c>
      <c r="L24" s="3">
        <v>298</v>
      </c>
      <c r="M24" t="b">
        <v>0</v>
      </c>
      <c r="N24" s="2">
        <f>YEAR(B24)</f>
        <v>2026</v>
      </c>
      <c r="O24" t="str">
        <f>INDEX(Agences!$C:$C,MATCH(F24,Agences!$A:$A,0))</f>
        <v>Île-de-France</v>
      </c>
      <c r="P24" t="str">
        <f>INDEX(Produits!$C:$C,MATCH(H24,Produits!$A:$A,0))</f>
        <v>Fournitures</v>
      </c>
      <c r="Q24" s="3">
        <f>I24*INDEX(Produits!$E:$E,MATCH(H24,Produits!$A:$A,0))</f>
        <v>161</v>
      </c>
      <c r="R24" s="3">
        <f>L24-Q24</f>
        <v>137</v>
      </c>
      <c r="S24" s="2">
        <f>NETWORKDAYS(B24,C24)-1</f>
        <v>5</v>
      </c>
      <c r="T24" s="1">
        <f>WORKDAY(B24,5)</f>
        <v>46297</v>
      </c>
      <c r="U24" t="b">
        <f>C24&gt;T24</f>
        <v>0</v>
      </c>
    </row>
    <row r="25" spans="1:21" x14ac:dyDescent="0.25">
      <c r="A25" t="s">
        <v>80</v>
      </c>
      <c r="B25" s="1">
        <v>46290</v>
      </c>
      <c r="C25" s="1">
        <v>46294</v>
      </c>
      <c r="D25" t="s">
        <v>81</v>
      </c>
      <c r="E25" t="s">
        <v>82</v>
      </c>
      <c r="F25" t="s">
        <v>39</v>
      </c>
      <c r="G25" t="s">
        <v>40</v>
      </c>
      <c r="H25" t="s">
        <v>83</v>
      </c>
      <c r="I25" s="2">
        <v>3</v>
      </c>
      <c r="J25" s="3">
        <v>49</v>
      </c>
      <c r="K25" s="4">
        <v>0.08</v>
      </c>
      <c r="L25" s="3">
        <v>135.24</v>
      </c>
      <c r="M25" t="b">
        <v>1</v>
      </c>
      <c r="N25" s="2">
        <f>YEAR(B25)</f>
        <v>2026</v>
      </c>
      <c r="O25" t="str">
        <f>INDEX(Agences!$C:$C,MATCH(F25,Agences!$A:$A,0))</f>
        <v>Sud-Ouest</v>
      </c>
      <c r="P25" t="str">
        <f>INDEX(Produits!$C:$C,MATCH(H25,Produits!$A:$A,0))</f>
        <v>Mobilier</v>
      </c>
      <c r="Q25" s="3">
        <f>I25*INDEX(Produits!$E:$E,MATCH(H25,Produits!$A:$A,0))</f>
        <v>85.26</v>
      </c>
      <c r="R25" s="3">
        <f>L25-Q25</f>
        <v>49.980000000000004</v>
      </c>
      <c r="S25" s="2">
        <f>NETWORKDAYS(B25,C25)-1</f>
        <v>2</v>
      </c>
      <c r="T25" s="1">
        <f>WORKDAY(B25,5)</f>
        <v>46297</v>
      </c>
      <c r="U25" t="b">
        <f>C25&gt;T25</f>
        <v>0</v>
      </c>
    </row>
    <row r="26" spans="1:21" x14ac:dyDescent="0.25">
      <c r="A26" t="s">
        <v>80</v>
      </c>
      <c r="B26" s="1">
        <v>46290</v>
      </c>
      <c r="C26" s="1">
        <v>46294</v>
      </c>
      <c r="D26" t="s">
        <v>81</v>
      </c>
      <c r="E26" t="s">
        <v>82</v>
      </c>
      <c r="F26" t="s">
        <v>39</v>
      </c>
      <c r="G26" t="s">
        <v>40</v>
      </c>
      <c r="H26" t="s">
        <v>84</v>
      </c>
      <c r="I26" s="2">
        <v>1</v>
      </c>
      <c r="J26" s="3">
        <v>420</v>
      </c>
      <c r="K26" s="4">
        <v>0.02</v>
      </c>
      <c r="L26" s="3">
        <v>411.6</v>
      </c>
      <c r="M26" t="b">
        <v>1</v>
      </c>
      <c r="N26" s="2">
        <f>YEAR(B26)</f>
        <v>2026</v>
      </c>
      <c r="O26" t="str">
        <f>INDEX(Agences!$C:$C,MATCH(F26,Agences!$A:$A,0))</f>
        <v>Sud-Ouest</v>
      </c>
      <c r="P26" t="str">
        <f>INDEX(Produits!$C:$C,MATCH(H26,Produits!$A:$A,0))</f>
        <v>Mobilier</v>
      </c>
      <c r="Q26" s="3">
        <f>I26*INDEX(Produits!$E:$E,MATCH(H26,Produits!$A:$A,0))</f>
        <v>243.6</v>
      </c>
      <c r="R26" s="3">
        <f>L26-Q26</f>
        <v>168.00000000000003</v>
      </c>
      <c r="S26" s="2">
        <f>NETWORKDAYS(B26,C26)-1</f>
        <v>2</v>
      </c>
      <c r="T26" s="1">
        <f>WORKDAY(B26,5)</f>
        <v>46297</v>
      </c>
      <c r="U26" t="b">
        <f>C26&gt;T26</f>
        <v>0</v>
      </c>
    </row>
    <row r="27" spans="1:21" x14ac:dyDescent="0.25">
      <c r="A27" t="s">
        <v>85</v>
      </c>
      <c r="B27" s="1">
        <v>46290</v>
      </c>
      <c r="C27" s="1">
        <v>46294</v>
      </c>
      <c r="D27" t="s">
        <v>86</v>
      </c>
      <c r="E27" t="s">
        <v>87</v>
      </c>
      <c r="F27" t="s">
        <v>88</v>
      </c>
      <c r="G27" t="s">
        <v>89</v>
      </c>
      <c r="H27" t="s">
        <v>83</v>
      </c>
      <c r="I27" s="2">
        <v>6</v>
      </c>
      <c r="J27" s="3">
        <v>49</v>
      </c>
      <c r="K27" s="4">
        <v>0.05</v>
      </c>
      <c r="L27" s="3">
        <v>279.3</v>
      </c>
      <c r="M27" t="b">
        <v>1</v>
      </c>
      <c r="N27" s="2">
        <f>YEAR(B27)</f>
        <v>2026</v>
      </c>
      <c r="O27" t="str">
        <f>INDEX(Agences!$C:$C,MATCH(F27,Agences!$A:$A,0))</f>
        <v>Sud-Ouest</v>
      </c>
      <c r="P27" t="str">
        <f>INDEX(Produits!$C:$C,MATCH(H27,Produits!$A:$A,0))</f>
        <v>Mobilier</v>
      </c>
      <c r="Q27" s="3">
        <f>I27*INDEX(Produits!$E:$E,MATCH(H27,Produits!$A:$A,0))</f>
        <v>170.52</v>
      </c>
      <c r="R27" s="3">
        <f>L27-Q27</f>
        <v>108.78</v>
      </c>
      <c r="S27" s="2">
        <f>NETWORKDAYS(B27,C27)-1</f>
        <v>2</v>
      </c>
      <c r="T27" s="1">
        <f>WORKDAY(B27,5)</f>
        <v>46297</v>
      </c>
      <c r="U27" t="b">
        <f>C27&gt;T27</f>
        <v>0</v>
      </c>
    </row>
    <row r="28" spans="1:21" x14ac:dyDescent="0.25">
      <c r="A28" t="s">
        <v>85</v>
      </c>
      <c r="B28" s="1">
        <v>46290</v>
      </c>
      <c r="C28" s="1">
        <v>46294</v>
      </c>
      <c r="D28" t="s">
        <v>86</v>
      </c>
      <c r="E28" t="s">
        <v>87</v>
      </c>
      <c r="F28" t="s">
        <v>88</v>
      </c>
      <c r="G28" t="s">
        <v>89</v>
      </c>
      <c r="H28" t="s">
        <v>90</v>
      </c>
      <c r="I28" s="2">
        <v>15</v>
      </c>
      <c r="J28" s="3">
        <v>22.9</v>
      </c>
      <c r="K28" s="4">
        <v>0.02</v>
      </c>
      <c r="L28" s="3">
        <v>336.63</v>
      </c>
      <c r="M28" t="b">
        <v>1</v>
      </c>
      <c r="N28" s="2">
        <f>YEAR(B28)</f>
        <v>2026</v>
      </c>
      <c r="O28" t="str">
        <f>INDEX(Agences!$C:$C,MATCH(F28,Agences!$A:$A,0))</f>
        <v>Sud-Ouest</v>
      </c>
      <c r="P28" t="str">
        <f>INDEX(Produits!$C:$C,MATCH(H28,Produits!$A:$A,0))</f>
        <v>Fournitures</v>
      </c>
      <c r="Q28" s="3">
        <f>I28*INDEX(Produits!$E:$E,MATCH(H28,Produits!$A:$A,0))</f>
        <v>192.3</v>
      </c>
      <c r="R28" s="3">
        <f>L28-Q28</f>
        <v>144.32999999999998</v>
      </c>
      <c r="S28" s="2">
        <f>NETWORKDAYS(B28,C28)-1</f>
        <v>2</v>
      </c>
      <c r="T28" s="1">
        <f>WORKDAY(B28,5)</f>
        <v>46297</v>
      </c>
      <c r="U28" t="b">
        <f>C28&gt;T28</f>
        <v>0</v>
      </c>
    </row>
    <row r="29" spans="1:21" x14ac:dyDescent="0.25">
      <c r="A29" t="s">
        <v>91</v>
      </c>
      <c r="B29" s="1">
        <v>46290</v>
      </c>
      <c r="C29" s="1">
        <v>46294</v>
      </c>
      <c r="D29" t="s">
        <v>92</v>
      </c>
      <c r="E29" t="s">
        <v>93</v>
      </c>
      <c r="F29" t="s">
        <v>94</v>
      </c>
      <c r="G29" t="s">
        <v>95</v>
      </c>
      <c r="H29" t="s">
        <v>49</v>
      </c>
      <c r="I29" s="2">
        <v>2</v>
      </c>
      <c r="J29" s="3">
        <v>120</v>
      </c>
      <c r="K29" s="4">
        <v>0.1</v>
      </c>
      <c r="L29" s="3">
        <v>216</v>
      </c>
      <c r="M29" t="b">
        <v>1</v>
      </c>
      <c r="N29" s="2">
        <f>YEAR(B29)</f>
        <v>2026</v>
      </c>
      <c r="O29" t="str">
        <f>INDEX(Agences!$C:$C,MATCH(F29,Agences!$A:$A,0))</f>
        <v>Méditerranée</v>
      </c>
      <c r="P29" t="str">
        <f>INDEX(Produits!$C:$C,MATCH(H29,Produits!$A:$A,0))</f>
        <v>Maintenance</v>
      </c>
      <c r="Q29" s="3">
        <f>I29*INDEX(Produits!$E:$E,MATCH(H29,Produits!$A:$A,0))</f>
        <v>110.4</v>
      </c>
      <c r="R29" s="3">
        <f>L29-Q29</f>
        <v>105.6</v>
      </c>
      <c r="S29" s="2">
        <f>NETWORKDAYS(B29,C29)-1</f>
        <v>2</v>
      </c>
      <c r="T29" s="1">
        <f>WORKDAY(B29,5)</f>
        <v>46297</v>
      </c>
      <c r="U29" t="b">
        <f>C29&gt;T29</f>
        <v>0</v>
      </c>
    </row>
    <row r="30" spans="1:21" x14ac:dyDescent="0.25">
      <c r="A30" t="s">
        <v>91</v>
      </c>
      <c r="B30" s="1">
        <v>46290</v>
      </c>
      <c r="C30" s="1">
        <v>46294</v>
      </c>
      <c r="D30" t="s">
        <v>92</v>
      </c>
      <c r="E30" t="s">
        <v>93</v>
      </c>
      <c r="F30" t="s">
        <v>94</v>
      </c>
      <c r="G30" t="s">
        <v>95</v>
      </c>
      <c r="H30" t="s">
        <v>83</v>
      </c>
      <c r="I30" s="2">
        <v>2</v>
      </c>
      <c r="J30" s="3">
        <v>49</v>
      </c>
      <c r="K30" s="4">
        <v>0</v>
      </c>
      <c r="L30" s="3">
        <v>98</v>
      </c>
      <c r="M30" t="b">
        <v>1</v>
      </c>
      <c r="N30" s="2">
        <f>YEAR(B30)</f>
        <v>2026</v>
      </c>
      <c r="O30" t="str">
        <f>INDEX(Agences!$C:$C,MATCH(F30,Agences!$A:$A,0))</f>
        <v>Méditerranée</v>
      </c>
      <c r="P30" t="str">
        <f>INDEX(Produits!$C:$C,MATCH(H30,Produits!$A:$A,0))</f>
        <v>Mobilier</v>
      </c>
      <c r="Q30" s="3">
        <f>I30*INDEX(Produits!$E:$E,MATCH(H30,Produits!$A:$A,0))</f>
        <v>56.84</v>
      </c>
      <c r="R30" s="3">
        <f>L30-Q30</f>
        <v>41.16</v>
      </c>
      <c r="S30" s="2">
        <f>NETWORKDAYS(B30,C30)-1</f>
        <v>2</v>
      </c>
      <c r="T30" s="1">
        <f>WORKDAY(B30,5)</f>
        <v>46297</v>
      </c>
      <c r="U30" t="b">
        <f>C30&gt;T30</f>
        <v>0</v>
      </c>
    </row>
    <row r="31" spans="1:21" x14ac:dyDescent="0.25">
      <c r="A31" t="s">
        <v>91</v>
      </c>
      <c r="B31" s="1">
        <v>46290</v>
      </c>
      <c r="C31" s="1">
        <v>46294</v>
      </c>
      <c r="D31" t="s">
        <v>92</v>
      </c>
      <c r="E31" t="s">
        <v>93</v>
      </c>
      <c r="F31" t="s">
        <v>94</v>
      </c>
      <c r="G31" t="s">
        <v>95</v>
      </c>
      <c r="H31" t="s">
        <v>42</v>
      </c>
      <c r="I31" s="2">
        <v>1</v>
      </c>
      <c r="J31" s="3">
        <v>55</v>
      </c>
      <c r="K31" s="4">
        <v>0.08</v>
      </c>
      <c r="L31" s="3">
        <v>50.6</v>
      </c>
      <c r="M31" t="b">
        <v>1</v>
      </c>
      <c r="N31" s="2">
        <f>YEAR(B31)</f>
        <v>2026</v>
      </c>
      <c r="O31" t="str">
        <f>INDEX(Agences!$C:$C,MATCH(F31,Agences!$A:$A,0))</f>
        <v>Méditerranée</v>
      </c>
      <c r="P31" t="str">
        <f>INDEX(Produits!$C:$C,MATCH(H31,Produits!$A:$A,0))</f>
        <v>Maintenance</v>
      </c>
      <c r="Q31" s="3">
        <f>I31*INDEX(Produits!$E:$E,MATCH(H31,Produits!$A:$A,0))</f>
        <v>24.75</v>
      </c>
      <c r="R31" s="3">
        <f>L31-Q31</f>
        <v>25.85</v>
      </c>
      <c r="S31" s="2">
        <f>NETWORKDAYS(B31,C31)-1</f>
        <v>2</v>
      </c>
      <c r="T31" s="1">
        <f>WORKDAY(B31,5)</f>
        <v>46297</v>
      </c>
      <c r="U31" t="b">
        <f>C31&gt;T31</f>
        <v>0</v>
      </c>
    </row>
    <row r="32" spans="1:21" x14ac:dyDescent="0.25">
      <c r="A32" t="s">
        <v>96</v>
      </c>
      <c r="B32" s="1">
        <v>46289</v>
      </c>
      <c r="C32" s="1">
        <v>46296</v>
      </c>
      <c r="D32" t="s">
        <v>97</v>
      </c>
      <c r="E32" t="s">
        <v>98</v>
      </c>
      <c r="F32" t="s">
        <v>99</v>
      </c>
      <c r="G32" t="s">
        <v>100</v>
      </c>
      <c r="H32" t="s">
        <v>42</v>
      </c>
      <c r="I32" s="2">
        <v>1</v>
      </c>
      <c r="J32" s="3">
        <v>55</v>
      </c>
      <c r="K32" s="4">
        <v>0.08</v>
      </c>
      <c r="L32" s="3">
        <v>50.6</v>
      </c>
      <c r="M32" t="b">
        <v>0</v>
      </c>
      <c r="N32" s="2">
        <f>YEAR(B32)</f>
        <v>2026</v>
      </c>
      <c r="O32" t="str">
        <f>INDEX(Agences!$C:$C,MATCH(F32,Agences!$A:$A,0))</f>
        <v>Nord</v>
      </c>
      <c r="P32" t="str">
        <f>INDEX(Produits!$C:$C,MATCH(H32,Produits!$A:$A,0))</f>
        <v>Maintenance</v>
      </c>
      <c r="Q32" s="3">
        <f>I32*INDEX(Produits!$E:$E,MATCH(H32,Produits!$A:$A,0))</f>
        <v>24.75</v>
      </c>
      <c r="R32" s="3">
        <f>L32-Q32</f>
        <v>25.85</v>
      </c>
      <c r="S32" s="2">
        <f>NETWORKDAYS(B32,C32)-1</f>
        <v>5</v>
      </c>
      <c r="T32" s="1">
        <f>WORKDAY(B32,5)</f>
        <v>46296</v>
      </c>
      <c r="U32" t="b">
        <f>C32&gt;T32</f>
        <v>0</v>
      </c>
    </row>
    <row r="33" spans="1:21" x14ac:dyDescent="0.25">
      <c r="A33" t="s">
        <v>101</v>
      </c>
      <c r="B33" s="1">
        <v>46289</v>
      </c>
      <c r="C33" s="1">
        <v>46290</v>
      </c>
      <c r="D33" t="s">
        <v>102</v>
      </c>
      <c r="E33" t="s">
        <v>61</v>
      </c>
      <c r="F33" t="s">
        <v>62</v>
      </c>
      <c r="G33" t="s">
        <v>68</v>
      </c>
      <c r="H33" t="s">
        <v>103</v>
      </c>
      <c r="I33" s="2">
        <v>1</v>
      </c>
      <c r="J33" s="3">
        <v>245</v>
      </c>
      <c r="K33" s="4">
        <v>0.05</v>
      </c>
      <c r="L33" s="3">
        <v>232.75</v>
      </c>
      <c r="M33" t="b">
        <v>1</v>
      </c>
      <c r="N33" s="2">
        <f>YEAR(B33)</f>
        <v>2026</v>
      </c>
      <c r="O33" t="str">
        <f>INDEX(Agences!$C:$C,MATCH(F33,Agences!$A:$A,0))</f>
        <v>Méditerranée</v>
      </c>
      <c r="P33" t="str">
        <f>INDEX(Produits!$C:$C,MATCH(H33,Produits!$A:$A,0))</f>
        <v>Mobilier</v>
      </c>
      <c r="Q33" s="3">
        <f>I33*INDEX(Produits!$E:$E,MATCH(H33,Produits!$A:$A,0))</f>
        <v>164.15</v>
      </c>
      <c r="R33" s="3">
        <f>L33-Q33</f>
        <v>68.6</v>
      </c>
      <c r="S33" s="2">
        <f>NETWORKDAYS(B33,C33)-1</f>
        <v>1</v>
      </c>
      <c r="T33" s="1">
        <f>WORKDAY(B33,5)</f>
        <v>46296</v>
      </c>
      <c r="U33" t="b">
        <f>C33&gt;T33</f>
        <v>0</v>
      </c>
    </row>
    <row r="34" spans="1:21" x14ac:dyDescent="0.25">
      <c r="A34" t="s">
        <v>101</v>
      </c>
      <c r="B34" s="1">
        <v>46289</v>
      </c>
      <c r="C34" s="1">
        <v>46290</v>
      </c>
      <c r="D34" t="s">
        <v>102</v>
      </c>
      <c r="E34" t="s">
        <v>61</v>
      </c>
      <c r="F34" t="s">
        <v>62</v>
      </c>
      <c r="G34" t="s">
        <v>68</v>
      </c>
      <c r="H34" t="s">
        <v>83</v>
      </c>
      <c r="I34" s="2">
        <v>4</v>
      </c>
      <c r="J34" s="3">
        <v>49</v>
      </c>
      <c r="K34" s="4">
        <v>0</v>
      </c>
      <c r="L34" s="3">
        <v>196</v>
      </c>
      <c r="M34" t="b">
        <v>1</v>
      </c>
      <c r="N34" s="2">
        <f>YEAR(B34)</f>
        <v>2026</v>
      </c>
      <c r="O34" t="str">
        <f>INDEX(Agences!$C:$C,MATCH(F34,Agences!$A:$A,0))</f>
        <v>Méditerranée</v>
      </c>
      <c r="P34" t="str">
        <f>INDEX(Produits!$C:$C,MATCH(H34,Produits!$A:$A,0))</f>
        <v>Mobilier</v>
      </c>
      <c r="Q34" s="3">
        <f>I34*INDEX(Produits!$E:$E,MATCH(H34,Produits!$A:$A,0))</f>
        <v>113.68</v>
      </c>
      <c r="R34" s="3">
        <f>L34-Q34</f>
        <v>82.32</v>
      </c>
      <c r="S34" s="2">
        <f>NETWORKDAYS(B34,C34)-1</f>
        <v>1</v>
      </c>
      <c r="T34" s="1">
        <f>WORKDAY(B34,5)</f>
        <v>46296</v>
      </c>
      <c r="U34" t="b">
        <f>C34&gt;T34</f>
        <v>0</v>
      </c>
    </row>
    <row r="35" spans="1:21" x14ac:dyDescent="0.25">
      <c r="A35" t="s">
        <v>101</v>
      </c>
      <c r="B35" s="1">
        <v>46289</v>
      </c>
      <c r="C35" s="1">
        <v>46290</v>
      </c>
      <c r="D35" t="s">
        <v>102</v>
      </c>
      <c r="E35" t="s">
        <v>61</v>
      </c>
      <c r="F35" t="s">
        <v>62</v>
      </c>
      <c r="G35" t="s">
        <v>68</v>
      </c>
      <c r="H35" t="s">
        <v>33</v>
      </c>
      <c r="I35" s="2">
        <v>2</v>
      </c>
      <c r="J35" s="3">
        <v>219</v>
      </c>
      <c r="K35" s="4">
        <v>0</v>
      </c>
      <c r="L35" s="3">
        <v>438</v>
      </c>
      <c r="M35" t="b">
        <v>1</v>
      </c>
      <c r="N35" s="2">
        <f>YEAR(B35)</f>
        <v>2026</v>
      </c>
      <c r="O35" t="str">
        <f>INDEX(Agences!$C:$C,MATCH(F35,Agences!$A:$A,0))</f>
        <v>Méditerranée</v>
      </c>
      <c r="P35" t="str">
        <f>INDEX(Produits!$C:$C,MATCH(H35,Produits!$A:$A,0))</f>
        <v>Informatique</v>
      </c>
      <c r="Q35" s="3">
        <f>I35*INDEX(Produits!$E:$E,MATCH(H35,Produits!$A:$A,0))</f>
        <v>359.16</v>
      </c>
      <c r="R35" s="3">
        <f>L35-Q35</f>
        <v>78.83999999999997</v>
      </c>
      <c r="S35" s="2">
        <f>NETWORKDAYS(B35,C35)-1</f>
        <v>1</v>
      </c>
      <c r="T35" s="1">
        <f>WORKDAY(B35,5)</f>
        <v>46296</v>
      </c>
      <c r="U35" t="b">
        <f>C35&gt;T35</f>
        <v>0</v>
      </c>
    </row>
    <row r="36" spans="1:21" x14ac:dyDescent="0.25">
      <c r="A36" t="s">
        <v>104</v>
      </c>
      <c r="B36" s="1">
        <v>46289</v>
      </c>
      <c r="C36" s="1">
        <v>46293</v>
      </c>
      <c r="D36" t="s">
        <v>105</v>
      </c>
      <c r="E36" t="s">
        <v>67</v>
      </c>
      <c r="F36" t="s">
        <v>62</v>
      </c>
      <c r="G36" t="s">
        <v>106</v>
      </c>
      <c r="H36" t="s">
        <v>107</v>
      </c>
      <c r="I36" s="2">
        <v>3</v>
      </c>
      <c r="J36" s="3">
        <v>99</v>
      </c>
      <c r="K36" s="4">
        <v>0.2</v>
      </c>
      <c r="L36" s="3">
        <v>237.6</v>
      </c>
      <c r="M36" t="b">
        <v>1</v>
      </c>
      <c r="N36" s="2">
        <f>YEAR(B36)</f>
        <v>2026</v>
      </c>
      <c r="O36" t="str">
        <f>INDEX(Agences!$C:$C,MATCH(F36,Agences!$A:$A,0))</f>
        <v>Méditerranée</v>
      </c>
      <c r="P36" t="str">
        <f>INDEX(Produits!$C:$C,MATCH(H36,Produits!$A:$A,0))</f>
        <v>Informatique</v>
      </c>
      <c r="Q36" s="3">
        <f>I36*INDEX(Produits!$E:$E,MATCH(H36,Produits!$A:$A,0))</f>
        <v>225.71999999999997</v>
      </c>
      <c r="R36" s="3">
        <f>L36-Q36</f>
        <v>11.880000000000024</v>
      </c>
      <c r="S36" s="2">
        <f>NETWORKDAYS(B36,C36)-1</f>
        <v>2</v>
      </c>
      <c r="T36" s="1">
        <f>WORKDAY(B36,5)</f>
        <v>46296</v>
      </c>
      <c r="U36" t="b">
        <f>C36&gt;T36</f>
        <v>0</v>
      </c>
    </row>
    <row r="37" spans="1:21" x14ac:dyDescent="0.25">
      <c r="A37" t="s">
        <v>104</v>
      </c>
      <c r="B37" s="1">
        <v>46289</v>
      </c>
      <c r="C37" s="1">
        <v>46293</v>
      </c>
      <c r="D37" t="s">
        <v>105</v>
      </c>
      <c r="E37" t="s">
        <v>67</v>
      </c>
      <c r="F37" t="s">
        <v>62</v>
      </c>
      <c r="G37" t="s">
        <v>106</v>
      </c>
      <c r="H37" t="s">
        <v>108</v>
      </c>
      <c r="I37" s="2">
        <v>20</v>
      </c>
      <c r="J37" s="3">
        <v>24.5</v>
      </c>
      <c r="K37" s="4">
        <v>0.3</v>
      </c>
      <c r="L37" s="3">
        <v>343</v>
      </c>
      <c r="M37" t="b">
        <v>1</v>
      </c>
      <c r="N37" s="2">
        <f>YEAR(B37)</f>
        <v>2026</v>
      </c>
      <c r="O37" t="str">
        <f>INDEX(Agences!$C:$C,MATCH(F37,Agences!$A:$A,0))</f>
        <v>Méditerranée</v>
      </c>
      <c r="P37" t="str">
        <f>INDEX(Produits!$C:$C,MATCH(H37,Produits!$A:$A,0))</f>
        <v>Fournitures</v>
      </c>
      <c r="Q37" s="3">
        <f>I37*INDEX(Produits!$E:$E,MATCH(H37,Produits!$A:$A,0))</f>
        <v>294</v>
      </c>
      <c r="R37" s="3">
        <f>L37-Q37</f>
        <v>49</v>
      </c>
      <c r="S37" s="2">
        <f>NETWORKDAYS(B37,C37)-1</f>
        <v>2</v>
      </c>
      <c r="T37" s="1">
        <f>WORKDAY(B37,5)</f>
        <v>46296</v>
      </c>
      <c r="U37" t="b">
        <f>C37&gt;T37</f>
        <v>0</v>
      </c>
    </row>
    <row r="38" spans="1:21" x14ac:dyDescent="0.25">
      <c r="A38" t="s">
        <v>109</v>
      </c>
      <c r="B38" s="1">
        <v>46289</v>
      </c>
      <c r="C38" s="1">
        <v>46295</v>
      </c>
      <c r="D38" t="s">
        <v>110</v>
      </c>
      <c r="E38" t="s">
        <v>45</v>
      </c>
      <c r="F38" t="s">
        <v>46</v>
      </c>
      <c r="G38" t="s">
        <v>111</v>
      </c>
      <c r="H38" t="s">
        <v>51</v>
      </c>
      <c r="I38" s="2">
        <v>2</v>
      </c>
      <c r="J38" s="3">
        <v>180</v>
      </c>
      <c r="K38" s="4">
        <v>0</v>
      </c>
      <c r="L38" s="3">
        <v>360</v>
      </c>
      <c r="M38" t="b">
        <v>1</v>
      </c>
      <c r="N38" s="2">
        <f>YEAR(B38)</f>
        <v>2026</v>
      </c>
      <c r="O38" t="str">
        <f>INDEX(Agences!$C:$C,MATCH(F38,Agences!$A:$A,0))</f>
        <v>Est</v>
      </c>
      <c r="P38" t="str">
        <f>INDEX(Produits!$C:$C,MATCH(H38,Produits!$A:$A,0))</f>
        <v>Maintenance</v>
      </c>
      <c r="Q38" s="3">
        <f>I38*INDEX(Produits!$E:$E,MATCH(H38,Produits!$A:$A,0))</f>
        <v>165.6</v>
      </c>
      <c r="R38" s="3">
        <f>L38-Q38</f>
        <v>194.4</v>
      </c>
      <c r="S38" s="2">
        <f>NETWORKDAYS(B38,C38)-1</f>
        <v>4</v>
      </c>
      <c r="T38" s="1">
        <f>WORKDAY(B38,5)</f>
        <v>46296</v>
      </c>
      <c r="U38" t="b">
        <f>C38&gt;T38</f>
        <v>0</v>
      </c>
    </row>
    <row r="39" spans="1:21" x14ac:dyDescent="0.25">
      <c r="A39" t="s">
        <v>109</v>
      </c>
      <c r="B39" s="1">
        <v>46289</v>
      </c>
      <c r="C39" s="1">
        <v>46295</v>
      </c>
      <c r="D39" t="s">
        <v>110</v>
      </c>
      <c r="E39" t="s">
        <v>45</v>
      </c>
      <c r="F39" t="s">
        <v>46</v>
      </c>
      <c r="G39" t="s">
        <v>111</v>
      </c>
      <c r="H39" t="s">
        <v>33</v>
      </c>
      <c r="I39" s="2">
        <v>1</v>
      </c>
      <c r="J39" s="3">
        <v>219</v>
      </c>
      <c r="K39" s="4">
        <v>0.05</v>
      </c>
      <c r="L39" s="3">
        <v>208.05</v>
      </c>
      <c r="M39" t="b">
        <v>1</v>
      </c>
      <c r="N39" s="2">
        <f>YEAR(B39)</f>
        <v>2026</v>
      </c>
      <c r="O39" t="str">
        <f>INDEX(Agences!$C:$C,MATCH(F39,Agences!$A:$A,0))</f>
        <v>Est</v>
      </c>
      <c r="P39" t="str">
        <f>INDEX(Produits!$C:$C,MATCH(H39,Produits!$A:$A,0))</f>
        <v>Informatique</v>
      </c>
      <c r="Q39" s="3">
        <f>I39*INDEX(Produits!$E:$E,MATCH(H39,Produits!$A:$A,0))</f>
        <v>179.58</v>
      </c>
      <c r="R39" s="3">
        <f>L39-Q39</f>
        <v>28.47</v>
      </c>
      <c r="S39" s="2">
        <f>NETWORKDAYS(B39,C39)-1</f>
        <v>4</v>
      </c>
      <c r="T39" s="1">
        <f>WORKDAY(B39,5)</f>
        <v>46296</v>
      </c>
      <c r="U39" t="b">
        <f>C39&gt;T39</f>
        <v>0</v>
      </c>
    </row>
    <row r="40" spans="1:21" x14ac:dyDescent="0.25">
      <c r="A40" t="s">
        <v>109</v>
      </c>
      <c r="B40" s="1">
        <v>46289</v>
      </c>
      <c r="C40" s="1">
        <v>46295</v>
      </c>
      <c r="D40" t="s">
        <v>110</v>
      </c>
      <c r="E40" t="s">
        <v>45</v>
      </c>
      <c r="F40" t="s">
        <v>46</v>
      </c>
      <c r="G40" t="s">
        <v>111</v>
      </c>
      <c r="H40" t="s">
        <v>112</v>
      </c>
      <c r="I40" s="2">
        <v>1</v>
      </c>
      <c r="J40" s="3">
        <v>129</v>
      </c>
      <c r="K40" s="4">
        <v>0</v>
      </c>
      <c r="L40" s="3">
        <v>129</v>
      </c>
      <c r="M40" t="b">
        <v>1</v>
      </c>
      <c r="N40" s="2">
        <f>YEAR(B40)</f>
        <v>2026</v>
      </c>
      <c r="O40" t="str">
        <f>INDEX(Agences!$C:$C,MATCH(F40,Agences!$A:$A,0))</f>
        <v>Est</v>
      </c>
      <c r="P40" t="str">
        <f>INDEX(Produits!$C:$C,MATCH(H40,Produits!$A:$A,0))</f>
        <v>Mobilier</v>
      </c>
      <c r="Q40" s="3">
        <f>I40*INDEX(Produits!$E:$E,MATCH(H40,Produits!$A:$A,0))</f>
        <v>86.43</v>
      </c>
      <c r="R40" s="3">
        <f>L40-Q40</f>
        <v>42.56999999999999</v>
      </c>
      <c r="S40" s="2">
        <f>NETWORKDAYS(B40,C40)-1</f>
        <v>4</v>
      </c>
      <c r="T40" s="1">
        <f>WORKDAY(B40,5)</f>
        <v>46296</v>
      </c>
      <c r="U40" t="b">
        <f>C40&gt;T40</f>
        <v>0</v>
      </c>
    </row>
    <row r="41" spans="1:21" x14ac:dyDescent="0.25">
      <c r="A41" t="s">
        <v>113</v>
      </c>
      <c r="B41" s="1">
        <v>46288</v>
      </c>
      <c r="C41" s="1">
        <v>46294</v>
      </c>
      <c r="D41" t="s">
        <v>114</v>
      </c>
      <c r="E41" t="s">
        <v>115</v>
      </c>
      <c r="F41" t="s">
        <v>24</v>
      </c>
      <c r="G41" t="s">
        <v>116</v>
      </c>
      <c r="H41" t="s">
        <v>50</v>
      </c>
      <c r="I41" s="2">
        <v>1</v>
      </c>
      <c r="J41" s="3">
        <v>69</v>
      </c>
      <c r="K41" s="4">
        <v>0.08</v>
      </c>
      <c r="L41" s="3">
        <v>63.48</v>
      </c>
      <c r="M41" t="b">
        <v>1</v>
      </c>
      <c r="N41" s="2">
        <f>YEAR(B41)</f>
        <v>2026</v>
      </c>
      <c r="O41" t="str">
        <f>INDEX(Agences!$C:$C,MATCH(F41,Agences!$A:$A,0))</f>
        <v>Nord</v>
      </c>
      <c r="P41" t="str">
        <f>INDEX(Produits!$C:$C,MATCH(H41,Produits!$A:$A,0))</f>
        <v>Informatique</v>
      </c>
      <c r="Q41" s="3">
        <f>I41*INDEX(Produits!$E:$E,MATCH(H41,Produits!$A:$A,0))</f>
        <v>54.51</v>
      </c>
      <c r="R41" s="3">
        <f>L41-Q41</f>
        <v>8.969999999999999</v>
      </c>
      <c r="S41" s="2">
        <f>NETWORKDAYS(B41,C41)-1</f>
        <v>4</v>
      </c>
      <c r="T41" s="1">
        <f>WORKDAY(B41,5)</f>
        <v>46295</v>
      </c>
      <c r="U41" t="b">
        <f>C41&gt;T41</f>
        <v>0</v>
      </c>
    </row>
    <row r="42" spans="1:21" x14ac:dyDescent="0.25">
      <c r="A42" t="s">
        <v>113</v>
      </c>
      <c r="B42" s="1">
        <v>46288</v>
      </c>
      <c r="C42" s="1">
        <v>46294</v>
      </c>
      <c r="D42" t="s">
        <v>114</v>
      </c>
      <c r="E42" t="s">
        <v>115</v>
      </c>
      <c r="F42" t="s">
        <v>24</v>
      </c>
      <c r="G42" t="s">
        <v>116</v>
      </c>
      <c r="H42" t="s">
        <v>49</v>
      </c>
      <c r="I42" s="2">
        <v>1</v>
      </c>
      <c r="J42" s="3">
        <v>120</v>
      </c>
      <c r="K42" s="4">
        <v>0.08</v>
      </c>
      <c r="L42" s="3">
        <v>110.4</v>
      </c>
      <c r="M42" t="b">
        <v>1</v>
      </c>
      <c r="N42" s="2">
        <f>YEAR(B42)</f>
        <v>2026</v>
      </c>
      <c r="O42" t="str">
        <f>INDEX(Agences!$C:$C,MATCH(F42,Agences!$A:$A,0))</f>
        <v>Nord</v>
      </c>
      <c r="P42" t="str">
        <f>INDEX(Produits!$C:$C,MATCH(H42,Produits!$A:$A,0))</f>
        <v>Maintenance</v>
      </c>
      <c r="Q42" s="3">
        <f>I42*INDEX(Produits!$E:$E,MATCH(H42,Produits!$A:$A,0))</f>
        <v>55.2</v>
      </c>
      <c r="R42" s="3">
        <f>L42-Q42</f>
        <v>55.2</v>
      </c>
      <c r="S42" s="2">
        <f>NETWORKDAYS(B42,C42)-1</f>
        <v>4</v>
      </c>
      <c r="T42" s="1">
        <f>WORKDAY(B42,5)</f>
        <v>46295</v>
      </c>
      <c r="U42" t="b">
        <f>C42&gt;T42</f>
        <v>0</v>
      </c>
    </row>
    <row r="43" spans="1:21" x14ac:dyDescent="0.25">
      <c r="A43" t="s">
        <v>117</v>
      </c>
      <c r="B43" s="1">
        <v>46288</v>
      </c>
      <c r="C43" s="1">
        <v>46295</v>
      </c>
      <c r="D43" t="s">
        <v>118</v>
      </c>
      <c r="E43" t="s">
        <v>119</v>
      </c>
      <c r="F43" t="s">
        <v>24</v>
      </c>
      <c r="G43" t="s">
        <v>25</v>
      </c>
      <c r="H43" t="s">
        <v>27</v>
      </c>
      <c r="I43" s="2">
        <v>1</v>
      </c>
      <c r="J43" s="3">
        <v>310</v>
      </c>
      <c r="K43" s="4">
        <v>0</v>
      </c>
      <c r="L43" s="3">
        <v>310</v>
      </c>
      <c r="M43" t="b">
        <v>1</v>
      </c>
      <c r="N43" s="2">
        <f>YEAR(B43)</f>
        <v>2026</v>
      </c>
      <c r="O43" t="str">
        <f>INDEX(Agences!$C:$C,MATCH(F43,Agences!$A:$A,0))</f>
        <v>Nord</v>
      </c>
      <c r="P43" t="str">
        <f>INDEX(Produits!$C:$C,MATCH(H43,Produits!$A:$A,0))</f>
        <v>Mobilier</v>
      </c>
      <c r="Q43" s="3">
        <f>I43*INDEX(Produits!$E:$E,MATCH(H43,Produits!$A:$A,0))</f>
        <v>186</v>
      </c>
      <c r="R43" s="3">
        <f>L43-Q43</f>
        <v>124</v>
      </c>
      <c r="S43" s="2">
        <f>NETWORKDAYS(B43,C43)-1</f>
        <v>5</v>
      </c>
      <c r="T43" s="1">
        <f>WORKDAY(B43,5)</f>
        <v>46295</v>
      </c>
      <c r="U43" t="b">
        <f>C43&gt;T43</f>
        <v>0</v>
      </c>
    </row>
    <row r="44" spans="1:21" x14ac:dyDescent="0.25">
      <c r="A44" t="s">
        <v>117</v>
      </c>
      <c r="B44" s="1">
        <v>46288</v>
      </c>
      <c r="C44" s="1">
        <v>46295</v>
      </c>
      <c r="D44" t="s">
        <v>118</v>
      </c>
      <c r="E44" t="s">
        <v>119</v>
      </c>
      <c r="F44" t="s">
        <v>24</v>
      </c>
      <c r="G44" t="s">
        <v>25</v>
      </c>
      <c r="H44" t="s">
        <v>78</v>
      </c>
      <c r="I44" s="2">
        <v>1</v>
      </c>
      <c r="J44" s="3">
        <v>1390</v>
      </c>
      <c r="K44" s="4">
        <v>0</v>
      </c>
      <c r="L44" s="3">
        <v>1390</v>
      </c>
      <c r="M44" t="b">
        <v>1</v>
      </c>
      <c r="N44" s="2">
        <f>YEAR(B44)</f>
        <v>2026</v>
      </c>
      <c r="O44" t="str">
        <f>INDEX(Agences!$C:$C,MATCH(F44,Agences!$A:$A,0))</f>
        <v>Nord</v>
      </c>
      <c r="P44" t="str">
        <f>INDEX(Produits!$C:$C,MATCH(H44,Produits!$A:$A,0))</f>
        <v>Informatique</v>
      </c>
      <c r="Q44" s="3">
        <f>I44*INDEX(Produits!$E:$E,MATCH(H44,Produits!$A:$A,0))</f>
        <v>1125.9</v>
      </c>
      <c r="R44" s="3">
        <f>L44-Q44</f>
        <v>264.0999999999999</v>
      </c>
      <c r="S44" s="2">
        <f>NETWORKDAYS(B44,C44)-1</f>
        <v>5</v>
      </c>
      <c r="T44" s="1">
        <f>WORKDAY(B44,5)</f>
        <v>46295</v>
      </c>
      <c r="U44" t="b">
        <f>C44&gt;T44</f>
        <v>0</v>
      </c>
    </row>
    <row r="45" spans="1:21" x14ac:dyDescent="0.25">
      <c r="A45" t="s">
        <v>120</v>
      </c>
      <c r="B45" s="1">
        <v>46288</v>
      </c>
      <c r="C45" s="1">
        <v>46293</v>
      </c>
      <c r="D45" t="s">
        <v>121</v>
      </c>
      <c r="E45" t="s">
        <v>122</v>
      </c>
      <c r="F45" t="s">
        <v>24</v>
      </c>
      <c r="G45" t="s">
        <v>116</v>
      </c>
      <c r="H45" t="s">
        <v>123</v>
      </c>
      <c r="I45" s="2">
        <v>15</v>
      </c>
      <c r="J45" s="3">
        <v>39.9</v>
      </c>
      <c r="K45" s="4">
        <v>0.02</v>
      </c>
      <c r="L45" s="3">
        <v>586.53</v>
      </c>
      <c r="M45" t="b">
        <v>1</v>
      </c>
      <c r="N45" s="2">
        <f>YEAR(B45)</f>
        <v>2026</v>
      </c>
      <c r="O45" t="str">
        <f>INDEX(Agences!$C:$C,MATCH(F45,Agences!$A:$A,0))</f>
        <v>Nord</v>
      </c>
      <c r="P45" t="str">
        <f>INDEX(Produits!$C:$C,MATCH(H45,Produits!$A:$A,0))</f>
        <v>Fournitures</v>
      </c>
      <c r="Q45" s="3">
        <f>I45*INDEX(Produits!$E:$E,MATCH(H45,Produits!$A:$A,0))</f>
        <v>335.1</v>
      </c>
      <c r="R45" s="3">
        <f>L45-Q45</f>
        <v>251.42999999999995</v>
      </c>
      <c r="S45" s="2">
        <f>NETWORKDAYS(B45,C45)-1</f>
        <v>3</v>
      </c>
      <c r="T45" s="1">
        <f>WORKDAY(B45,5)</f>
        <v>46295</v>
      </c>
      <c r="U45" t="b">
        <f>C45&gt;T45</f>
        <v>0</v>
      </c>
    </row>
    <row r="46" spans="1:21" x14ac:dyDescent="0.25">
      <c r="A46" t="s">
        <v>124</v>
      </c>
      <c r="B46" s="1">
        <v>46288</v>
      </c>
      <c r="C46" s="1">
        <v>46295</v>
      </c>
      <c r="D46" t="s">
        <v>125</v>
      </c>
      <c r="E46" t="s">
        <v>126</v>
      </c>
      <c r="F46" t="s">
        <v>99</v>
      </c>
      <c r="G46" t="s">
        <v>100</v>
      </c>
      <c r="H46" t="s">
        <v>42</v>
      </c>
      <c r="I46" s="2">
        <v>3</v>
      </c>
      <c r="J46" s="3">
        <v>55</v>
      </c>
      <c r="K46" s="4">
        <v>0</v>
      </c>
      <c r="L46" s="3">
        <v>165</v>
      </c>
      <c r="M46" t="b">
        <v>1</v>
      </c>
      <c r="N46" s="2">
        <f>YEAR(B46)</f>
        <v>2026</v>
      </c>
      <c r="O46" t="str">
        <f>INDEX(Agences!$C:$C,MATCH(F46,Agences!$A:$A,0))</f>
        <v>Nord</v>
      </c>
      <c r="P46" t="str">
        <f>INDEX(Produits!$C:$C,MATCH(H46,Produits!$A:$A,0))</f>
        <v>Maintenance</v>
      </c>
      <c r="Q46" s="3">
        <f>I46*INDEX(Produits!$E:$E,MATCH(H46,Produits!$A:$A,0))</f>
        <v>74.25</v>
      </c>
      <c r="R46" s="3">
        <f>L46-Q46</f>
        <v>90.75</v>
      </c>
      <c r="S46" s="2">
        <f>NETWORKDAYS(B46,C46)-1</f>
        <v>5</v>
      </c>
      <c r="T46" s="1">
        <f>WORKDAY(B46,5)</f>
        <v>46295</v>
      </c>
      <c r="U46" t="b">
        <f>C46&gt;T46</f>
        <v>0</v>
      </c>
    </row>
    <row r="47" spans="1:21" x14ac:dyDescent="0.25">
      <c r="A47" t="s">
        <v>124</v>
      </c>
      <c r="B47" s="1">
        <v>46288</v>
      </c>
      <c r="C47" s="1">
        <v>46295</v>
      </c>
      <c r="D47" t="s">
        <v>125</v>
      </c>
      <c r="E47" t="s">
        <v>126</v>
      </c>
      <c r="F47" t="s">
        <v>99</v>
      </c>
      <c r="G47" t="s">
        <v>100</v>
      </c>
      <c r="H47" t="s">
        <v>127</v>
      </c>
      <c r="I47" s="2">
        <v>1</v>
      </c>
      <c r="J47" s="3">
        <v>649</v>
      </c>
      <c r="K47" s="4">
        <v>0</v>
      </c>
      <c r="L47" s="3">
        <v>649</v>
      </c>
      <c r="M47" t="b">
        <v>1</v>
      </c>
      <c r="N47" s="2">
        <f>YEAR(B47)</f>
        <v>2026</v>
      </c>
      <c r="O47" t="str">
        <f>INDEX(Agences!$C:$C,MATCH(F47,Agences!$A:$A,0))</f>
        <v>Nord</v>
      </c>
      <c r="P47" t="str">
        <f>INDEX(Produits!$C:$C,MATCH(H47,Produits!$A:$A,0))</f>
        <v>Informatique</v>
      </c>
      <c r="Q47" s="3">
        <f>I47*INDEX(Produits!$E:$E,MATCH(H47,Produits!$A:$A,0))</f>
        <v>480.26</v>
      </c>
      <c r="R47" s="3">
        <f>L47-Q47</f>
        <v>168.74</v>
      </c>
      <c r="S47" s="2">
        <f>NETWORKDAYS(B47,C47)-1</f>
        <v>5</v>
      </c>
      <c r="T47" s="1">
        <f>WORKDAY(B47,5)</f>
        <v>46295</v>
      </c>
      <c r="U47" t="b">
        <f>C47&gt;T47</f>
        <v>0</v>
      </c>
    </row>
    <row r="48" spans="1:21" x14ac:dyDescent="0.25">
      <c r="A48" t="s">
        <v>124</v>
      </c>
      <c r="B48" s="1">
        <v>46288</v>
      </c>
      <c r="C48" s="1">
        <v>46295</v>
      </c>
      <c r="D48" t="s">
        <v>125</v>
      </c>
      <c r="E48" t="s">
        <v>126</v>
      </c>
      <c r="F48" t="s">
        <v>99</v>
      </c>
      <c r="G48" t="s">
        <v>100</v>
      </c>
      <c r="H48" t="s">
        <v>108</v>
      </c>
      <c r="I48" s="2">
        <v>5</v>
      </c>
      <c r="J48" s="3">
        <v>24.5</v>
      </c>
      <c r="K48" s="4">
        <v>0.08</v>
      </c>
      <c r="L48" s="3">
        <v>112.7</v>
      </c>
      <c r="M48" t="b">
        <v>1</v>
      </c>
      <c r="N48" s="2">
        <f>YEAR(B48)</f>
        <v>2026</v>
      </c>
      <c r="O48" t="str">
        <f>INDEX(Agences!$C:$C,MATCH(F48,Agences!$A:$A,0))</f>
        <v>Nord</v>
      </c>
      <c r="P48" t="str">
        <f>INDEX(Produits!$C:$C,MATCH(H48,Produits!$A:$A,0))</f>
        <v>Fournitures</v>
      </c>
      <c r="Q48" s="3">
        <f>I48*INDEX(Produits!$E:$E,MATCH(H48,Produits!$A:$A,0))</f>
        <v>73.5</v>
      </c>
      <c r="R48" s="3">
        <f>L48-Q48</f>
        <v>39.2</v>
      </c>
      <c r="S48" s="2">
        <f>NETWORKDAYS(B48,C48)-1</f>
        <v>5</v>
      </c>
      <c r="T48" s="1">
        <f>WORKDAY(B48,5)</f>
        <v>46295</v>
      </c>
      <c r="U48" t="b">
        <f>C48&gt;T48</f>
        <v>0</v>
      </c>
    </row>
    <row r="49" spans="1:21" x14ac:dyDescent="0.25">
      <c r="A49" t="s">
        <v>128</v>
      </c>
      <c r="B49" s="1">
        <v>46288</v>
      </c>
      <c r="C49" s="1">
        <v>46293</v>
      </c>
      <c r="D49" t="s">
        <v>129</v>
      </c>
      <c r="E49" t="s">
        <v>130</v>
      </c>
      <c r="F49" t="s">
        <v>39</v>
      </c>
      <c r="G49" t="s">
        <v>131</v>
      </c>
      <c r="H49" t="s">
        <v>48</v>
      </c>
      <c r="I49" s="2">
        <v>5</v>
      </c>
      <c r="J49" s="3">
        <v>165</v>
      </c>
      <c r="K49" s="4">
        <v>0.05</v>
      </c>
      <c r="L49" s="3">
        <v>783.75</v>
      </c>
      <c r="M49" t="b">
        <v>1</v>
      </c>
      <c r="N49" s="2">
        <f>YEAR(B49)</f>
        <v>2026</v>
      </c>
      <c r="O49" t="str">
        <f>INDEX(Agences!$C:$C,MATCH(F49,Agences!$A:$A,0))</f>
        <v>Sud-Ouest</v>
      </c>
      <c r="P49" t="str">
        <f>INDEX(Produits!$C:$C,MATCH(H49,Produits!$A:$A,0))</f>
        <v>Mobilier</v>
      </c>
      <c r="Q49" s="3">
        <f>I49*INDEX(Produits!$E:$E,MATCH(H49,Produits!$A:$A,0))</f>
        <v>536.25</v>
      </c>
      <c r="R49" s="3">
        <f>L49-Q49</f>
        <v>247.5</v>
      </c>
      <c r="S49" s="2">
        <f>NETWORKDAYS(B49,C49)-1</f>
        <v>3</v>
      </c>
      <c r="T49" s="1">
        <f>WORKDAY(B49,5)</f>
        <v>46295</v>
      </c>
      <c r="U49" t="b">
        <f>C49&gt;T49</f>
        <v>0</v>
      </c>
    </row>
    <row r="50" spans="1:21" x14ac:dyDescent="0.25">
      <c r="A50" t="s">
        <v>128</v>
      </c>
      <c r="B50" s="1">
        <v>46288</v>
      </c>
      <c r="C50" s="1">
        <v>46293</v>
      </c>
      <c r="D50" t="s">
        <v>129</v>
      </c>
      <c r="E50" t="s">
        <v>130</v>
      </c>
      <c r="F50" t="s">
        <v>39</v>
      </c>
      <c r="G50" t="s">
        <v>131</v>
      </c>
      <c r="H50" t="s">
        <v>132</v>
      </c>
      <c r="I50" s="2">
        <v>1</v>
      </c>
      <c r="J50" s="3">
        <v>650</v>
      </c>
      <c r="K50" s="4">
        <v>0</v>
      </c>
      <c r="L50" s="3">
        <v>650</v>
      </c>
      <c r="M50" t="b">
        <v>1</v>
      </c>
      <c r="N50" s="2">
        <f>YEAR(B50)</f>
        <v>2026</v>
      </c>
      <c r="O50" t="str">
        <f>INDEX(Agences!$C:$C,MATCH(F50,Agences!$A:$A,0))</f>
        <v>Sud-Ouest</v>
      </c>
      <c r="P50" t="str">
        <f>INDEX(Produits!$C:$C,MATCH(H50,Produits!$A:$A,0))</f>
        <v>Maintenance</v>
      </c>
      <c r="Q50" s="3">
        <f>I50*INDEX(Produits!$E:$E,MATCH(H50,Produits!$A:$A,0))</f>
        <v>273</v>
      </c>
      <c r="R50" s="3">
        <f>L50-Q50</f>
        <v>377</v>
      </c>
      <c r="S50" s="2">
        <f>NETWORKDAYS(B50,C50)-1</f>
        <v>3</v>
      </c>
      <c r="T50" s="1">
        <f>WORKDAY(B50,5)</f>
        <v>46295</v>
      </c>
      <c r="U50" t="b">
        <f>C50&gt;T50</f>
        <v>0</v>
      </c>
    </row>
    <row r="51" spans="1:21" x14ac:dyDescent="0.25">
      <c r="A51" t="s">
        <v>133</v>
      </c>
      <c r="B51" s="1">
        <v>46288</v>
      </c>
      <c r="C51" s="1">
        <v>46290</v>
      </c>
      <c r="D51" t="s">
        <v>134</v>
      </c>
      <c r="E51" t="s">
        <v>45</v>
      </c>
      <c r="F51" t="s">
        <v>46</v>
      </c>
      <c r="G51" t="s">
        <v>47</v>
      </c>
      <c r="H51" t="s">
        <v>50</v>
      </c>
      <c r="I51" s="2">
        <v>1</v>
      </c>
      <c r="J51" s="3">
        <v>69</v>
      </c>
      <c r="K51" s="4">
        <v>0.05</v>
      </c>
      <c r="L51" s="3">
        <v>65.55</v>
      </c>
      <c r="M51" t="b">
        <v>1</v>
      </c>
      <c r="N51" s="2">
        <f>YEAR(B51)</f>
        <v>2026</v>
      </c>
      <c r="O51" t="str">
        <f>INDEX(Agences!$C:$C,MATCH(F51,Agences!$A:$A,0))</f>
        <v>Est</v>
      </c>
      <c r="P51" t="str">
        <f>INDEX(Produits!$C:$C,MATCH(H51,Produits!$A:$A,0))</f>
        <v>Informatique</v>
      </c>
      <c r="Q51" s="3">
        <f>I51*INDEX(Produits!$E:$E,MATCH(H51,Produits!$A:$A,0))</f>
        <v>54.51</v>
      </c>
      <c r="R51" s="3">
        <f>L51-Q51</f>
        <v>11.04</v>
      </c>
      <c r="S51" s="2">
        <f>NETWORKDAYS(B51,C51)-1</f>
        <v>2</v>
      </c>
      <c r="T51" s="1">
        <f>WORKDAY(B51,5)</f>
        <v>46295</v>
      </c>
      <c r="U51" t="b">
        <f>C51&gt;T51</f>
        <v>0</v>
      </c>
    </row>
    <row r="52" spans="1:21" x14ac:dyDescent="0.25">
      <c r="A52" t="s">
        <v>133</v>
      </c>
      <c r="B52" s="1">
        <v>46288</v>
      </c>
      <c r="C52" s="1">
        <v>46290</v>
      </c>
      <c r="D52" t="s">
        <v>134</v>
      </c>
      <c r="E52" t="s">
        <v>45</v>
      </c>
      <c r="F52" t="s">
        <v>46</v>
      </c>
      <c r="G52" t="s">
        <v>47</v>
      </c>
      <c r="H52" t="s">
        <v>103</v>
      </c>
      <c r="I52" s="2">
        <v>1</v>
      </c>
      <c r="J52" s="3">
        <v>245</v>
      </c>
      <c r="K52" s="4">
        <v>0.1</v>
      </c>
      <c r="L52" s="3">
        <v>220.5</v>
      </c>
      <c r="M52" t="b">
        <v>1</v>
      </c>
      <c r="N52" s="2">
        <f>YEAR(B52)</f>
        <v>2026</v>
      </c>
      <c r="O52" t="str">
        <f>INDEX(Agences!$C:$C,MATCH(F52,Agences!$A:$A,0))</f>
        <v>Est</v>
      </c>
      <c r="P52" t="str">
        <f>INDEX(Produits!$C:$C,MATCH(H52,Produits!$A:$A,0))</f>
        <v>Mobilier</v>
      </c>
      <c r="Q52" s="3">
        <f>I52*INDEX(Produits!$E:$E,MATCH(H52,Produits!$A:$A,0))</f>
        <v>164.15</v>
      </c>
      <c r="R52" s="3">
        <f>L52-Q52</f>
        <v>56.349999999999994</v>
      </c>
      <c r="S52" s="2">
        <f>NETWORKDAYS(B52,C52)-1</f>
        <v>2</v>
      </c>
      <c r="T52" s="1">
        <f>WORKDAY(B52,5)</f>
        <v>46295</v>
      </c>
      <c r="U52" t="b">
        <f>C52&gt;T52</f>
        <v>0</v>
      </c>
    </row>
    <row r="53" spans="1:21" x14ac:dyDescent="0.25">
      <c r="A53" t="s">
        <v>133</v>
      </c>
      <c r="B53" s="1">
        <v>46288</v>
      </c>
      <c r="C53" s="1">
        <v>46290</v>
      </c>
      <c r="D53" t="s">
        <v>134</v>
      </c>
      <c r="E53" t="s">
        <v>45</v>
      </c>
      <c r="F53" t="s">
        <v>46</v>
      </c>
      <c r="G53" t="s">
        <v>47</v>
      </c>
      <c r="H53" t="s">
        <v>112</v>
      </c>
      <c r="I53" s="2">
        <v>2</v>
      </c>
      <c r="J53" s="3">
        <v>129</v>
      </c>
      <c r="K53" s="4">
        <v>0.05</v>
      </c>
      <c r="L53" s="3">
        <v>245.1</v>
      </c>
      <c r="M53" t="b">
        <v>1</v>
      </c>
      <c r="N53" s="2">
        <f>YEAR(B53)</f>
        <v>2026</v>
      </c>
      <c r="O53" t="str">
        <f>INDEX(Agences!$C:$C,MATCH(F53,Agences!$A:$A,0))</f>
        <v>Est</v>
      </c>
      <c r="P53" t="str">
        <f>INDEX(Produits!$C:$C,MATCH(H53,Produits!$A:$A,0))</f>
        <v>Mobilier</v>
      </c>
      <c r="Q53" s="3">
        <f>I53*INDEX(Produits!$E:$E,MATCH(H53,Produits!$A:$A,0))</f>
        <v>172.86</v>
      </c>
      <c r="R53" s="3">
        <f>L53-Q53</f>
        <v>72.23999999999998</v>
      </c>
      <c r="S53" s="2">
        <f>NETWORKDAYS(B53,C53)-1</f>
        <v>2</v>
      </c>
      <c r="T53" s="1">
        <f>WORKDAY(B53,5)</f>
        <v>46295</v>
      </c>
      <c r="U53" t="b">
        <f>C53&gt;T53</f>
        <v>0</v>
      </c>
    </row>
    <row r="54" spans="1:21" x14ac:dyDescent="0.25">
      <c r="A54" t="s">
        <v>135</v>
      </c>
      <c r="B54" s="1">
        <v>46287</v>
      </c>
      <c r="C54" s="1">
        <v>46294</v>
      </c>
      <c r="D54" t="s">
        <v>136</v>
      </c>
      <c r="E54" t="s">
        <v>137</v>
      </c>
      <c r="F54" t="s">
        <v>138</v>
      </c>
      <c r="G54" t="s">
        <v>139</v>
      </c>
      <c r="H54" t="s">
        <v>72</v>
      </c>
      <c r="I54" s="2">
        <v>3</v>
      </c>
      <c r="J54" s="3">
        <v>179</v>
      </c>
      <c r="K54" s="4">
        <v>0.05</v>
      </c>
      <c r="L54" s="3">
        <v>510.15</v>
      </c>
      <c r="M54" t="b">
        <v>1</v>
      </c>
      <c r="N54" s="2">
        <f>YEAR(B54)</f>
        <v>2026</v>
      </c>
      <c r="O54" t="str">
        <f>INDEX(Agences!$C:$C,MATCH(F54,Agences!$A:$A,0))</f>
        <v>Île-de-France</v>
      </c>
      <c r="P54" t="str">
        <f>INDEX(Produits!$C:$C,MATCH(H54,Produits!$A:$A,0))</f>
        <v>Informatique</v>
      </c>
      <c r="Q54" s="3">
        <f>I54*INDEX(Produits!$E:$E,MATCH(H54,Produits!$A:$A,0))</f>
        <v>440.34000000000003</v>
      </c>
      <c r="R54" s="3">
        <f>L54-Q54</f>
        <v>69.80999999999995</v>
      </c>
      <c r="S54" s="2">
        <f>NETWORKDAYS(B54,C54)-1</f>
        <v>5</v>
      </c>
      <c r="T54" s="1">
        <f>WORKDAY(B54,5)</f>
        <v>46294</v>
      </c>
      <c r="U54" t="b">
        <f>C54&gt;T54</f>
        <v>0</v>
      </c>
    </row>
    <row r="55" spans="1:21" x14ac:dyDescent="0.25">
      <c r="A55" t="s">
        <v>135</v>
      </c>
      <c r="B55" s="1">
        <v>46287</v>
      </c>
      <c r="C55" s="1">
        <v>46294</v>
      </c>
      <c r="D55" t="s">
        <v>136</v>
      </c>
      <c r="E55" t="s">
        <v>137</v>
      </c>
      <c r="F55" t="s">
        <v>138</v>
      </c>
      <c r="G55" t="s">
        <v>139</v>
      </c>
      <c r="H55" t="s">
        <v>33</v>
      </c>
      <c r="I55" s="2">
        <v>1</v>
      </c>
      <c r="J55" s="3">
        <v>219</v>
      </c>
      <c r="K55" s="4">
        <v>0</v>
      </c>
      <c r="L55" s="3">
        <v>219</v>
      </c>
      <c r="M55" t="b">
        <v>1</v>
      </c>
      <c r="N55" s="2">
        <f>YEAR(B55)</f>
        <v>2026</v>
      </c>
      <c r="O55" t="str">
        <f>INDEX(Agences!$C:$C,MATCH(F55,Agences!$A:$A,0))</f>
        <v>Île-de-France</v>
      </c>
      <c r="P55" t="str">
        <f>INDEX(Produits!$C:$C,MATCH(H55,Produits!$A:$A,0))</f>
        <v>Informatique</v>
      </c>
      <c r="Q55" s="3">
        <f>I55*INDEX(Produits!$E:$E,MATCH(H55,Produits!$A:$A,0))</f>
        <v>179.58</v>
      </c>
      <c r="R55" s="3">
        <f>L55-Q55</f>
        <v>39.41999999999999</v>
      </c>
      <c r="S55" s="2">
        <f>NETWORKDAYS(B55,C55)-1</f>
        <v>5</v>
      </c>
      <c r="T55" s="1">
        <f>WORKDAY(B55,5)</f>
        <v>46294</v>
      </c>
      <c r="U55" t="b">
        <f>C55&gt;T55</f>
        <v>0</v>
      </c>
    </row>
    <row r="56" spans="1:21" x14ac:dyDescent="0.25">
      <c r="A56" t="s">
        <v>140</v>
      </c>
      <c r="B56" s="1">
        <v>46287</v>
      </c>
      <c r="C56" s="1">
        <v>46289</v>
      </c>
      <c r="D56" t="s">
        <v>141</v>
      </c>
      <c r="E56" t="s">
        <v>87</v>
      </c>
      <c r="F56" t="s">
        <v>88</v>
      </c>
      <c r="G56" t="s">
        <v>142</v>
      </c>
      <c r="H56" t="s">
        <v>64</v>
      </c>
      <c r="I56" s="2">
        <v>10</v>
      </c>
      <c r="J56" s="3">
        <v>16.8</v>
      </c>
      <c r="K56" s="4">
        <v>0</v>
      </c>
      <c r="L56" s="3">
        <v>168</v>
      </c>
      <c r="M56" t="b">
        <v>1</v>
      </c>
      <c r="N56" s="2">
        <f>YEAR(B56)</f>
        <v>2026</v>
      </c>
      <c r="O56" t="str">
        <f>INDEX(Agences!$C:$C,MATCH(F56,Agences!$A:$A,0))</f>
        <v>Sud-Ouest</v>
      </c>
      <c r="P56" t="str">
        <f>INDEX(Produits!$C:$C,MATCH(H56,Produits!$A:$A,0))</f>
        <v>Fournitures</v>
      </c>
      <c r="Q56" s="3">
        <f>I56*INDEX(Produits!$E:$E,MATCH(H56,Produits!$A:$A,0))</f>
        <v>87.4</v>
      </c>
      <c r="R56" s="3">
        <f>L56-Q56</f>
        <v>80.6</v>
      </c>
      <c r="S56" s="2">
        <f>NETWORKDAYS(B56,C56)-1</f>
        <v>2</v>
      </c>
      <c r="T56" s="1">
        <f>WORKDAY(B56,5)</f>
        <v>46294</v>
      </c>
      <c r="U56" t="b">
        <f>C56&gt;T56</f>
        <v>0</v>
      </c>
    </row>
    <row r="57" spans="1:21" x14ac:dyDescent="0.25">
      <c r="A57" t="s">
        <v>140</v>
      </c>
      <c r="B57" s="1">
        <v>46287</v>
      </c>
      <c r="C57" s="1">
        <v>46289</v>
      </c>
      <c r="D57" t="s">
        <v>141</v>
      </c>
      <c r="E57" t="s">
        <v>87</v>
      </c>
      <c r="F57" t="s">
        <v>88</v>
      </c>
      <c r="G57" t="s">
        <v>142</v>
      </c>
      <c r="H57" t="s">
        <v>42</v>
      </c>
      <c r="I57" s="2">
        <v>1</v>
      </c>
      <c r="J57" s="3">
        <v>55</v>
      </c>
      <c r="K57" s="4">
        <v>0.02</v>
      </c>
      <c r="L57" s="3">
        <v>53.9</v>
      </c>
      <c r="M57" t="b">
        <v>1</v>
      </c>
      <c r="N57" s="2">
        <f>YEAR(B57)</f>
        <v>2026</v>
      </c>
      <c r="O57" t="str">
        <f>INDEX(Agences!$C:$C,MATCH(F57,Agences!$A:$A,0))</f>
        <v>Sud-Ouest</v>
      </c>
      <c r="P57" t="str">
        <f>INDEX(Produits!$C:$C,MATCH(H57,Produits!$A:$A,0))</f>
        <v>Maintenance</v>
      </c>
      <c r="Q57" s="3">
        <f>I57*INDEX(Produits!$E:$E,MATCH(H57,Produits!$A:$A,0))</f>
        <v>24.75</v>
      </c>
      <c r="R57" s="3">
        <f>L57-Q57</f>
        <v>29.15</v>
      </c>
      <c r="S57" s="2">
        <f>NETWORKDAYS(B57,C57)-1</f>
        <v>2</v>
      </c>
      <c r="T57" s="1">
        <f>WORKDAY(B57,5)</f>
        <v>46294</v>
      </c>
      <c r="U57" t="b">
        <f>C57&gt;T57</f>
        <v>0</v>
      </c>
    </row>
    <row r="58" spans="1:21" x14ac:dyDescent="0.25">
      <c r="A58" t="s">
        <v>140</v>
      </c>
      <c r="B58" s="1">
        <v>46287</v>
      </c>
      <c r="C58" s="1">
        <v>46289</v>
      </c>
      <c r="D58" t="s">
        <v>141</v>
      </c>
      <c r="E58" t="s">
        <v>87</v>
      </c>
      <c r="F58" t="s">
        <v>88</v>
      </c>
      <c r="G58" t="s">
        <v>142</v>
      </c>
      <c r="H58" t="s">
        <v>57</v>
      </c>
      <c r="I58" s="2">
        <v>5</v>
      </c>
      <c r="J58" s="3">
        <v>149</v>
      </c>
      <c r="K58" s="4">
        <v>0</v>
      </c>
      <c r="L58" s="3">
        <v>745</v>
      </c>
      <c r="M58" t="b">
        <v>1</v>
      </c>
      <c r="N58" s="2">
        <f>YEAR(B58)</f>
        <v>2026</v>
      </c>
      <c r="O58" t="str">
        <f>INDEX(Agences!$C:$C,MATCH(F58,Agences!$A:$A,0))</f>
        <v>Sud-Ouest</v>
      </c>
      <c r="P58" t="str">
        <f>INDEX(Produits!$C:$C,MATCH(H58,Produits!$A:$A,0))</f>
        <v>Informatique</v>
      </c>
      <c r="Q58" s="3">
        <f>I58*INDEX(Produits!$E:$E,MATCH(H58,Produits!$A:$A,0))</f>
        <v>573.65</v>
      </c>
      <c r="R58" s="3">
        <f>L58-Q58</f>
        <v>171.35000000000002</v>
      </c>
      <c r="S58" s="2">
        <f>NETWORKDAYS(B58,C58)-1</f>
        <v>2</v>
      </c>
      <c r="T58" s="1">
        <f>WORKDAY(B58,5)</f>
        <v>46294</v>
      </c>
      <c r="U58" t="b">
        <f>C58&gt;T58</f>
        <v>0</v>
      </c>
    </row>
    <row r="59" spans="1:21" x14ac:dyDescent="0.25">
      <c r="A59" t="s">
        <v>140</v>
      </c>
      <c r="B59" s="1">
        <v>46287</v>
      </c>
      <c r="C59" s="1">
        <v>46289</v>
      </c>
      <c r="D59" t="s">
        <v>141</v>
      </c>
      <c r="E59" t="s">
        <v>87</v>
      </c>
      <c r="F59" t="s">
        <v>88</v>
      </c>
      <c r="G59" t="s">
        <v>142</v>
      </c>
      <c r="H59" t="s">
        <v>51</v>
      </c>
      <c r="I59" s="2">
        <v>1</v>
      </c>
      <c r="J59" s="3">
        <v>180</v>
      </c>
      <c r="K59" s="4">
        <v>0</v>
      </c>
      <c r="L59" s="3">
        <v>180</v>
      </c>
      <c r="M59" t="b">
        <v>1</v>
      </c>
      <c r="N59" s="2">
        <f>YEAR(B59)</f>
        <v>2026</v>
      </c>
      <c r="O59" t="str">
        <f>INDEX(Agences!$C:$C,MATCH(F59,Agences!$A:$A,0))</f>
        <v>Sud-Ouest</v>
      </c>
      <c r="P59" t="str">
        <f>INDEX(Produits!$C:$C,MATCH(H59,Produits!$A:$A,0))</f>
        <v>Maintenance</v>
      </c>
      <c r="Q59" s="3">
        <f>I59*INDEX(Produits!$E:$E,MATCH(H59,Produits!$A:$A,0))</f>
        <v>82.8</v>
      </c>
      <c r="R59" s="3">
        <f>L59-Q59</f>
        <v>97.2</v>
      </c>
      <c r="S59" s="2">
        <f>NETWORKDAYS(B59,C59)-1</f>
        <v>2</v>
      </c>
      <c r="T59" s="1">
        <f>WORKDAY(B59,5)</f>
        <v>46294</v>
      </c>
      <c r="U59" t="b">
        <f>C59&gt;T59</f>
        <v>0</v>
      </c>
    </row>
    <row r="60" spans="1:21" x14ac:dyDescent="0.25">
      <c r="A60" t="s">
        <v>143</v>
      </c>
      <c r="B60" s="1">
        <v>46287</v>
      </c>
      <c r="C60" s="1">
        <v>46288</v>
      </c>
      <c r="D60" t="s">
        <v>144</v>
      </c>
      <c r="E60" t="s">
        <v>45</v>
      </c>
      <c r="F60" t="s">
        <v>46</v>
      </c>
      <c r="G60" t="s">
        <v>47</v>
      </c>
      <c r="H60" t="s">
        <v>107</v>
      </c>
      <c r="I60" s="2">
        <v>1</v>
      </c>
      <c r="J60" s="3">
        <v>99</v>
      </c>
      <c r="K60" s="4">
        <v>0</v>
      </c>
      <c r="L60" s="3">
        <v>99</v>
      </c>
      <c r="M60" t="b">
        <v>1</v>
      </c>
      <c r="N60" s="2">
        <f>YEAR(B60)</f>
        <v>2026</v>
      </c>
      <c r="O60" t="str">
        <f>INDEX(Agences!$C:$C,MATCH(F60,Agences!$A:$A,0))</f>
        <v>Est</v>
      </c>
      <c r="P60" t="str">
        <f>INDEX(Produits!$C:$C,MATCH(H60,Produits!$A:$A,0))</f>
        <v>Informatique</v>
      </c>
      <c r="Q60" s="3">
        <f>I60*INDEX(Produits!$E:$E,MATCH(H60,Produits!$A:$A,0))</f>
        <v>75.24</v>
      </c>
      <c r="R60" s="3">
        <f>L60-Q60</f>
        <v>23.760000000000005</v>
      </c>
      <c r="S60" s="2">
        <f>NETWORKDAYS(B60,C60)-1</f>
        <v>1</v>
      </c>
      <c r="T60" s="1">
        <f>WORKDAY(B60,5)</f>
        <v>46294</v>
      </c>
      <c r="U60" t="b">
        <f>C60&gt;T60</f>
        <v>0</v>
      </c>
    </row>
    <row r="61" spans="1:21" x14ac:dyDescent="0.25">
      <c r="A61" t="s">
        <v>143</v>
      </c>
      <c r="B61" s="1">
        <v>46287</v>
      </c>
      <c r="C61" s="1">
        <v>46288</v>
      </c>
      <c r="D61" t="s">
        <v>144</v>
      </c>
      <c r="E61" t="s">
        <v>45</v>
      </c>
      <c r="F61" t="s">
        <v>46</v>
      </c>
      <c r="G61" t="s">
        <v>47</v>
      </c>
      <c r="H61" t="s">
        <v>112</v>
      </c>
      <c r="I61" s="2">
        <v>6</v>
      </c>
      <c r="J61" s="3">
        <v>129</v>
      </c>
      <c r="K61" s="4">
        <v>0</v>
      </c>
      <c r="L61" s="3">
        <v>774</v>
      </c>
      <c r="M61" t="b">
        <v>1</v>
      </c>
      <c r="N61" s="2">
        <f>YEAR(B61)</f>
        <v>2026</v>
      </c>
      <c r="O61" t="str">
        <f>INDEX(Agences!$C:$C,MATCH(F61,Agences!$A:$A,0))</f>
        <v>Est</v>
      </c>
      <c r="P61" t="str">
        <f>INDEX(Produits!$C:$C,MATCH(H61,Produits!$A:$A,0))</f>
        <v>Mobilier</v>
      </c>
      <c r="Q61" s="3">
        <f>I61*INDEX(Produits!$E:$E,MATCH(H61,Produits!$A:$A,0))</f>
        <v>518.58</v>
      </c>
      <c r="R61" s="3">
        <f>L61-Q61</f>
        <v>255.41999999999996</v>
      </c>
      <c r="S61" s="2">
        <f>NETWORKDAYS(B61,C61)-1</f>
        <v>1</v>
      </c>
      <c r="T61" s="1">
        <f>WORKDAY(B61,5)</f>
        <v>46294</v>
      </c>
      <c r="U61" t="b">
        <f>C61&gt;T61</f>
        <v>0</v>
      </c>
    </row>
    <row r="62" spans="1:21" x14ac:dyDescent="0.25">
      <c r="A62" t="s">
        <v>143</v>
      </c>
      <c r="B62" s="1">
        <v>46287</v>
      </c>
      <c r="C62" s="1">
        <v>46288</v>
      </c>
      <c r="D62" t="s">
        <v>144</v>
      </c>
      <c r="E62" t="s">
        <v>45</v>
      </c>
      <c r="F62" t="s">
        <v>46</v>
      </c>
      <c r="G62" t="s">
        <v>47</v>
      </c>
      <c r="H62" t="s">
        <v>42</v>
      </c>
      <c r="I62" s="2">
        <v>1</v>
      </c>
      <c r="J62" s="3">
        <v>55</v>
      </c>
      <c r="K62" s="4">
        <v>0.08</v>
      </c>
      <c r="L62" s="3">
        <v>50.6</v>
      </c>
      <c r="M62" t="b">
        <v>1</v>
      </c>
      <c r="N62" s="2">
        <f>YEAR(B62)</f>
        <v>2026</v>
      </c>
      <c r="O62" t="str">
        <f>INDEX(Agences!$C:$C,MATCH(F62,Agences!$A:$A,0))</f>
        <v>Est</v>
      </c>
      <c r="P62" t="str">
        <f>INDEX(Produits!$C:$C,MATCH(H62,Produits!$A:$A,0))</f>
        <v>Maintenance</v>
      </c>
      <c r="Q62" s="3">
        <f>I62*INDEX(Produits!$E:$E,MATCH(H62,Produits!$A:$A,0))</f>
        <v>24.75</v>
      </c>
      <c r="R62" s="3">
        <f>L62-Q62</f>
        <v>25.85</v>
      </c>
      <c r="S62" s="2">
        <f>NETWORKDAYS(B62,C62)-1</f>
        <v>1</v>
      </c>
      <c r="T62" s="1">
        <f>WORKDAY(B62,5)</f>
        <v>46294</v>
      </c>
      <c r="U62" t="b">
        <f>C62&gt;T62</f>
        <v>0</v>
      </c>
    </row>
    <row r="63" spans="1:21" x14ac:dyDescent="0.25">
      <c r="A63" t="s">
        <v>145</v>
      </c>
      <c r="B63" s="1">
        <v>46286</v>
      </c>
      <c r="C63" s="1">
        <v>46288</v>
      </c>
      <c r="D63" t="s">
        <v>146</v>
      </c>
      <c r="E63" t="s">
        <v>30</v>
      </c>
      <c r="F63" t="s">
        <v>31</v>
      </c>
      <c r="G63" t="s">
        <v>32</v>
      </c>
      <c r="H63" t="s">
        <v>108</v>
      </c>
      <c r="I63" s="2">
        <v>20</v>
      </c>
      <c r="J63" s="3">
        <v>24.5</v>
      </c>
      <c r="K63" s="4">
        <v>0.05</v>
      </c>
      <c r="L63" s="3">
        <v>465.5</v>
      </c>
      <c r="M63" t="b">
        <v>1</v>
      </c>
      <c r="N63" s="2">
        <f>YEAR(B63)</f>
        <v>2026</v>
      </c>
      <c r="O63" t="str">
        <f>INDEX(Agences!$C:$C,MATCH(F63,Agences!$A:$A,0))</f>
        <v>Ouest</v>
      </c>
      <c r="P63" t="str">
        <f>INDEX(Produits!$C:$C,MATCH(H63,Produits!$A:$A,0))</f>
        <v>Fournitures</v>
      </c>
      <c r="Q63" s="3">
        <f>I63*INDEX(Produits!$E:$E,MATCH(H63,Produits!$A:$A,0))</f>
        <v>294</v>
      </c>
      <c r="R63" s="3">
        <f>L63-Q63</f>
        <v>171.5</v>
      </c>
      <c r="S63" s="2">
        <f>NETWORKDAYS(B63,C63)-1</f>
        <v>2</v>
      </c>
      <c r="T63" s="1">
        <f>WORKDAY(B63,5)</f>
        <v>46293</v>
      </c>
      <c r="U63" t="b">
        <f>C63&gt;T63</f>
        <v>0</v>
      </c>
    </row>
    <row r="64" spans="1:21" x14ac:dyDescent="0.25">
      <c r="A64" t="s">
        <v>147</v>
      </c>
      <c r="B64" s="1">
        <v>46283</v>
      </c>
      <c r="C64" s="1">
        <v>46286</v>
      </c>
      <c r="D64" t="s">
        <v>148</v>
      </c>
      <c r="E64" t="s">
        <v>149</v>
      </c>
      <c r="F64" t="s">
        <v>88</v>
      </c>
      <c r="G64" t="s">
        <v>142</v>
      </c>
      <c r="H64" t="s">
        <v>42</v>
      </c>
      <c r="I64" s="2">
        <v>1</v>
      </c>
      <c r="J64" s="3">
        <v>55</v>
      </c>
      <c r="K64" s="4">
        <v>0</v>
      </c>
      <c r="L64" s="3">
        <v>55</v>
      </c>
      <c r="M64" t="b">
        <v>1</v>
      </c>
      <c r="N64" s="2">
        <f>YEAR(B64)</f>
        <v>2026</v>
      </c>
      <c r="O64" t="str">
        <f>INDEX(Agences!$C:$C,MATCH(F64,Agences!$A:$A,0))</f>
        <v>Sud-Ouest</v>
      </c>
      <c r="P64" t="str">
        <f>INDEX(Produits!$C:$C,MATCH(H64,Produits!$A:$A,0))</f>
        <v>Maintenance</v>
      </c>
      <c r="Q64" s="3">
        <f>I64*INDEX(Produits!$E:$E,MATCH(H64,Produits!$A:$A,0))</f>
        <v>24.75</v>
      </c>
      <c r="R64" s="3">
        <f>L64-Q64</f>
        <v>30.25</v>
      </c>
      <c r="S64" s="2">
        <f>NETWORKDAYS(B64,C64)-1</f>
        <v>1</v>
      </c>
      <c r="T64" s="1">
        <f>WORKDAY(B64,5)</f>
        <v>46290</v>
      </c>
      <c r="U64" t="b">
        <f>C64&gt;T64</f>
        <v>0</v>
      </c>
    </row>
    <row r="65" spans="1:21" x14ac:dyDescent="0.25">
      <c r="A65" t="s">
        <v>147</v>
      </c>
      <c r="B65" s="1">
        <v>46283</v>
      </c>
      <c r="C65" s="1">
        <v>46286</v>
      </c>
      <c r="D65" t="s">
        <v>148</v>
      </c>
      <c r="E65" t="s">
        <v>149</v>
      </c>
      <c r="F65" t="s">
        <v>88</v>
      </c>
      <c r="G65" t="s">
        <v>142</v>
      </c>
      <c r="H65" t="s">
        <v>33</v>
      </c>
      <c r="I65" s="2">
        <v>3</v>
      </c>
      <c r="J65" s="3">
        <v>219</v>
      </c>
      <c r="K65" s="4">
        <v>0.08</v>
      </c>
      <c r="L65" s="3">
        <v>604.44</v>
      </c>
      <c r="M65" t="b">
        <v>1</v>
      </c>
      <c r="N65" s="2">
        <f>YEAR(B65)</f>
        <v>2026</v>
      </c>
      <c r="O65" t="str">
        <f>INDEX(Agences!$C:$C,MATCH(F65,Agences!$A:$A,0))</f>
        <v>Sud-Ouest</v>
      </c>
      <c r="P65" t="str">
        <f>INDEX(Produits!$C:$C,MATCH(H65,Produits!$A:$A,0))</f>
        <v>Informatique</v>
      </c>
      <c r="Q65" s="3">
        <f>I65*INDEX(Produits!$E:$E,MATCH(H65,Produits!$A:$A,0))</f>
        <v>538.74</v>
      </c>
      <c r="R65" s="3">
        <f>L65-Q65</f>
        <v>65.70000000000005</v>
      </c>
      <c r="S65" s="2">
        <f>NETWORKDAYS(B65,C65)-1</f>
        <v>1</v>
      </c>
      <c r="T65" s="1">
        <f>WORKDAY(B65,5)</f>
        <v>46290</v>
      </c>
      <c r="U65" t="b">
        <f>C65&gt;T65</f>
        <v>0</v>
      </c>
    </row>
    <row r="66" spans="1:21" x14ac:dyDescent="0.25">
      <c r="A66" t="s">
        <v>147</v>
      </c>
      <c r="B66" s="1">
        <v>46283</v>
      </c>
      <c r="C66" s="1">
        <v>46286</v>
      </c>
      <c r="D66" t="s">
        <v>148</v>
      </c>
      <c r="E66" t="s">
        <v>149</v>
      </c>
      <c r="F66" t="s">
        <v>88</v>
      </c>
      <c r="G66" t="s">
        <v>142</v>
      </c>
      <c r="H66" t="s">
        <v>150</v>
      </c>
      <c r="I66" s="2">
        <v>1</v>
      </c>
      <c r="J66" s="3">
        <v>790</v>
      </c>
      <c r="K66" s="4">
        <v>0.08</v>
      </c>
      <c r="L66" s="3">
        <v>726.8</v>
      </c>
      <c r="M66" t="b">
        <v>1</v>
      </c>
      <c r="N66" s="2">
        <f>YEAR(B66)</f>
        <v>2026</v>
      </c>
      <c r="O66" t="str">
        <f>INDEX(Agences!$C:$C,MATCH(F66,Agences!$A:$A,0))</f>
        <v>Sud-Ouest</v>
      </c>
      <c r="P66" t="str">
        <f>INDEX(Produits!$C:$C,MATCH(H66,Produits!$A:$A,0))</f>
        <v>Informatique</v>
      </c>
      <c r="Q66" s="3">
        <f>I66*INDEX(Produits!$E:$E,MATCH(H66,Produits!$A:$A,0))</f>
        <v>584.6</v>
      </c>
      <c r="R66" s="3">
        <f>L66-Q66</f>
        <v>142.19999999999993</v>
      </c>
      <c r="S66" s="2">
        <f>NETWORKDAYS(B66,C66)-1</f>
        <v>1</v>
      </c>
      <c r="T66" s="1">
        <f>WORKDAY(B66,5)</f>
        <v>46290</v>
      </c>
      <c r="U66" t="b">
        <f>C66&gt;T66</f>
        <v>0</v>
      </c>
    </row>
    <row r="67" spans="1:21" x14ac:dyDescent="0.25">
      <c r="A67" t="s">
        <v>151</v>
      </c>
      <c r="B67" s="1">
        <v>46283</v>
      </c>
      <c r="C67" s="1">
        <v>46288</v>
      </c>
      <c r="D67" t="s">
        <v>152</v>
      </c>
      <c r="E67" t="s">
        <v>153</v>
      </c>
      <c r="F67" t="s">
        <v>94</v>
      </c>
      <c r="G67" t="s">
        <v>154</v>
      </c>
      <c r="H67" t="s">
        <v>48</v>
      </c>
      <c r="I67" s="2">
        <v>2</v>
      </c>
      <c r="J67" s="3">
        <v>165</v>
      </c>
      <c r="K67" s="4">
        <v>0.05</v>
      </c>
      <c r="L67" s="3">
        <v>313.5</v>
      </c>
      <c r="M67" t="b">
        <v>1</v>
      </c>
      <c r="N67" s="2">
        <f>YEAR(B67)</f>
        <v>2026</v>
      </c>
      <c r="O67" t="str">
        <f>INDEX(Agences!$C:$C,MATCH(F67,Agences!$A:$A,0))</f>
        <v>Méditerranée</v>
      </c>
      <c r="P67" t="str">
        <f>INDEX(Produits!$C:$C,MATCH(H67,Produits!$A:$A,0))</f>
        <v>Mobilier</v>
      </c>
      <c r="Q67" s="3">
        <f>I67*INDEX(Produits!$E:$E,MATCH(H67,Produits!$A:$A,0))</f>
        <v>214.5</v>
      </c>
      <c r="R67" s="3">
        <f>L67-Q67</f>
        <v>99</v>
      </c>
      <c r="S67" s="2">
        <f>NETWORKDAYS(B67,C67)-1</f>
        <v>3</v>
      </c>
      <c r="T67" s="1">
        <f>WORKDAY(B67,5)</f>
        <v>46290</v>
      </c>
      <c r="U67" t="b">
        <f>C67&gt;T67</f>
        <v>0</v>
      </c>
    </row>
    <row r="68" spans="1:21" x14ac:dyDescent="0.25">
      <c r="A68" t="s">
        <v>155</v>
      </c>
      <c r="B68" s="1">
        <v>46283</v>
      </c>
      <c r="C68" s="1">
        <v>46286</v>
      </c>
      <c r="D68" t="s">
        <v>156</v>
      </c>
      <c r="E68" t="s">
        <v>157</v>
      </c>
      <c r="F68" t="s">
        <v>46</v>
      </c>
      <c r="G68" t="s">
        <v>158</v>
      </c>
      <c r="H68" t="s">
        <v>107</v>
      </c>
      <c r="I68" s="2">
        <v>1</v>
      </c>
      <c r="J68" s="3">
        <v>99</v>
      </c>
      <c r="K68" s="4">
        <v>0.05</v>
      </c>
      <c r="L68" s="3">
        <v>94.05</v>
      </c>
      <c r="M68" t="b">
        <v>1</v>
      </c>
      <c r="N68" s="2">
        <f>YEAR(B68)</f>
        <v>2026</v>
      </c>
      <c r="O68" t="str">
        <f>INDEX(Agences!$C:$C,MATCH(F68,Agences!$A:$A,0))</f>
        <v>Est</v>
      </c>
      <c r="P68" t="str">
        <f>INDEX(Produits!$C:$C,MATCH(H68,Produits!$A:$A,0))</f>
        <v>Informatique</v>
      </c>
      <c r="Q68" s="3">
        <f>I68*INDEX(Produits!$E:$E,MATCH(H68,Produits!$A:$A,0))</f>
        <v>75.24</v>
      </c>
      <c r="R68" s="3">
        <f>L68-Q68</f>
        <v>18.810000000000002</v>
      </c>
      <c r="S68" s="2">
        <f>NETWORKDAYS(B68,C68)-1</f>
        <v>1</v>
      </c>
      <c r="T68" s="1">
        <f>WORKDAY(B68,5)</f>
        <v>46290</v>
      </c>
      <c r="U68" t="b">
        <f>C68&gt;T68</f>
        <v>0</v>
      </c>
    </row>
    <row r="69" spans="1:21" x14ac:dyDescent="0.25">
      <c r="A69" t="s">
        <v>155</v>
      </c>
      <c r="B69" s="1">
        <v>46283</v>
      </c>
      <c r="C69" s="1">
        <v>46286</v>
      </c>
      <c r="D69" t="s">
        <v>156</v>
      </c>
      <c r="E69" t="s">
        <v>157</v>
      </c>
      <c r="F69" t="s">
        <v>46</v>
      </c>
      <c r="G69" t="s">
        <v>158</v>
      </c>
      <c r="H69" t="s">
        <v>150</v>
      </c>
      <c r="I69" s="2">
        <v>2</v>
      </c>
      <c r="J69" s="3">
        <v>790</v>
      </c>
      <c r="K69" s="4">
        <v>0.05</v>
      </c>
      <c r="L69" s="3">
        <v>1501</v>
      </c>
      <c r="M69" t="b">
        <v>1</v>
      </c>
      <c r="N69" s="2">
        <f>YEAR(B69)</f>
        <v>2026</v>
      </c>
      <c r="O69" t="str">
        <f>INDEX(Agences!$C:$C,MATCH(F69,Agences!$A:$A,0))</f>
        <v>Est</v>
      </c>
      <c r="P69" t="str">
        <f>INDEX(Produits!$C:$C,MATCH(H69,Produits!$A:$A,0))</f>
        <v>Informatique</v>
      </c>
      <c r="Q69" s="3">
        <f>I69*INDEX(Produits!$E:$E,MATCH(H69,Produits!$A:$A,0))</f>
        <v>1169.2</v>
      </c>
      <c r="R69" s="3">
        <f>L69-Q69</f>
        <v>331.79999999999995</v>
      </c>
      <c r="S69" s="2">
        <f>NETWORKDAYS(B69,C69)-1</f>
        <v>1</v>
      </c>
      <c r="T69" s="1">
        <f>WORKDAY(B69,5)</f>
        <v>46290</v>
      </c>
      <c r="U69" t="b">
        <f>C69&gt;T69</f>
        <v>0</v>
      </c>
    </row>
    <row r="70" spans="1:21" x14ac:dyDescent="0.25">
      <c r="A70" t="s">
        <v>159</v>
      </c>
      <c r="B70" s="1">
        <v>46282</v>
      </c>
      <c r="C70" s="1">
        <v>46286</v>
      </c>
      <c r="D70" t="s">
        <v>160</v>
      </c>
      <c r="E70" t="s">
        <v>137</v>
      </c>
      <c r="F70" t="s">
        <v>138</v>
      </c>
      <c r="G70" t="s">
        <v>139</v>
      </c>
      <c r="H70" t="s">
        <v>57</v>
      </c>
      <c r="I70" s="2">
        <v>1</v>
      </c>
      <c r="J70" s="3">
        <v>149</v>
      </c>
      <c r="K70" s="4">
        <v>0</v>
      </c>
      <c r="L70" s="3">
        <v>149</v>
      </c>
      <c r="M70" t="b">
        <v>1</v>
      </c>
      <c r="N70" s="2">
        <f>YEAR(B70)</f>
        <v>2026</v>
      </c>
      <c r="O70" t="str">
        <f>INDEX(Agences!$C:$C,MATCH(F70,Agences!$A:$A,0))</f>
        <v>Île-de-France</v>
      </c>
      <c r="P70" t="str">
        <f>INDEX(Produits!$C:$C,MATCH(H70,Produits!$A:$A,0))</f>
        <v>Informatique</v>
      </c>
      <c r="Q70" s="3">
        <f>I70*INDEX(Produits!$E:$E,MATCH(H70,Produits!$A:$A,0))</f>
        <v>114.73</v>
      </c>
      <c r="R70" s="3">
        <f>L70-Q70</f>
        <v>34.269999999999996</v>
      </c>
      <c r="S70" s="2">
        <f>NETWORKDAYS(B70,C70)-1</f>
        <v>2</v>
      </c>
      <c r="T70" s="1">
        <f>WORKDAY(B70,5)</f>
        <v>46289</v>
      </c>
      <c r="U70" t="b">
        <f>C70&gt;T70</f>
        <v>0</v>
      </c>
    </row>
    <row r="71" spans="1:21" x14ac:dyDescent="0.25">
      <c r="A71" t="s">
        <v>159</v>
      </c>
      <c r="B71" s="1">
        <v>46282</v>
      </c>
      <c r="C71" s="1">
        <v>46286</v>
      </c>
      <c r="D71" t="s">
        <v>160</v>
      </c>
      <c r="E71" t="s">
        <v>137</v>
      </c>
      <c r="F71" t="s">
        <v>138</v>
      </c>
      <c r="G71" t="s">
        <v>139</v>
      </c>
      <c r="H71" t="s">
        <v>161</v>
      </c>
      <c r="I71" s="2">
        <v>5</v>
      </c>
      <c r="J71" s="3">
        <v>32</v>
      </c>
      <c r="K71" s="4">
        <v>0</v>
      </c>
      <c r="L71" s="3">
        <v>160</v>
      </c>
      <c r="M71" t="b">
        <v>1</v>
      </c>
      <c r="N71" s="2">
        <f>YEAR(B71)</f>
        <v>2026</v>
      </c>
      <c r="O71" t="str">
        <f>INDEX(Agences!$C:$C,MATCH(F71,Agences!$A:$A,0))</f>
        <v>Île-de-France</v>
      </c>
      <c r="P71" t="str">
        <f>INDEX(Produits!$C:$C,MATCH(H71,Produits!$A:$A,0))</f>
        <v>Fournitures</v>
      </c>
      <c r="Q71" s="3">
        <f>I71*INDEX(Produits!$E:$E,MATCH(H71,Produits!$A:$A,0))</f>
        <v>88</v>
      </c>
      <c r="R71" s="3">
        <f>L71-Q71</f>
        <v>72</v>
      </c>
      <c r="S71" s="2">
        <f>NETWORKDAYS(B71,C71)-1</f>
        <v>2</v>
      </c>
      <c r="T71" s="1">
        <f>WORKDAY(B71,5)</f>
        <v>46289</v>
      </c>
      <c r="U71" t="b">
        <f>C71&gt;T71</f>
        <v>0</v>
      </c>
    </row>
    <row r="72" spans="1:21" x14ac:dyDescent="0.25">
      <c r="A72" t="s">
        <v>159</v>
      </c>
      <c r="B72" s="1">
        <v>46282</v>
      </c>
      <c r="C72" s="1">
        <v>46286</v>
      </c>
      <c r="D72" t="s">
        <v>160</v>
      </c>
      <c r="E72" t="s">
        <v>137</v>
      </c>
      <c r="F72" t="s">
        <v>138</v>
      </c>
      <c r="G72" t="s">
        <v>139</v>
      </c>
      <c r="H72" t="s">
        <v>162</v>
      </c>
      <c r="I72" s="2">
        <v>2</v>
      </c>
      <c r="J72" s="3">
        <v>289</v>
      </c>
      <c r="K72" s="4">
        <v>0</v>
      </c>
      <c r="L72" s="3">
        <v>578</v>
      </c>
      <c r="M72" t="b">
        <v>1</v>
      </c>
      <c r="N72" s="2">
        <f>YEAR(B72)</f>
        <v>2026</v>
      </c>
      <c r="O72" t="str">
        <f>INDEX(Agences!$C:$C,MATCH(F72,Agences!$A:$A,0))</f>
        <v>Île-de-France</v>
      </c>
      <c r="P72" t="str">
        <f>INDEX(Produits!$C:$C,MATCH(H72,Produits!$A:$A,0))</f>
        <v>Mobilier</v>
      </c>
      <c r="Q72" s="3">
        <f>I72*INDEX(Produits!$E:$E,MATCH(H72,Produits!$A:$A,0))</f>
        <v>387.26</v>
      </c>
      <c r="R72" s="3">
        <f>L72-Q72</f>
        <v>190.74</v>
      </c>
      <c r="S72" s="2">
        <f>NETWORKDAYS(B72,C72)-1</f>
        <v>2</v>
      </c>
      <c r="T72" s="1">
        <f>WORKDAY(B72,5)</f>
        <v>46289</v>
      </c>
      <c r="U72" t="b">
        <f>C72&gt;T72</f>
        <v>0</v>
      </c>
    </row>
    <row r="73" spans="1:21" x14ac:dyDescent="0.25">
      <c r="A73" t="s">
        <v>163</v>
      </c>
      <c r="B73" s="1">
        <v>46282</v>
      </c>
      <c r="C73" s="1">
        <v>46288</v>
      </c>
      <c r="D73" t="s">
        <v>164</v>
      </c>
      <c r="E73" t="s">
        <v>165</v>
      </c>
      <c r="F73" t="s">
        <v>166</v>
      </c>
      <c r="G73" t="s">
        <v>167</v>
      </c>
      <c r="H73" t="s">
        <v>83</v>
      </c>
      <c r="I73" s="2">
        <v>3</v>
      </c>
      <c r="J73" s="3">
        <v>49</v>
      </c>
      <c r="K73" s="4">
        <v>0</v>
      </c>
      <c r="L73" s="3">
        <v>147</v>
      </c>
      <c r="M73" t="b">
        <v>1</v>
      </c>
      <c r="N73" s="2">
        <f>YEAR(B73)</f>
        <v>2026</v>
      </c>
      <c r="O73" t="str">
        <f>INDEX(Agences!$C:$C,MATCH(F73,Agences!$A:$A,0))</f>
        <v>Ouest</v>
      </c>
      <c r="P73" t="str">
        <f>INDEX(Produits!$C:$C,MATCH(H73,Produits!$A:$A,0))</f>
        <v>Mobilier</v>
      </c>
      <c r="Q73" s="3">
        <f>I73*INDEX(Produits!$E:$E,MATCH(H73,Produits!$A:$A,0))</f>
        <v>85.26</v>
      </c>
      <c r="R73" s="3">
        <f>L73-Q73</f>
        <v>61.739999999999995</v>
      </c>
      <c r="S73" s="2">
        <f>NETWORKDAYS(B73,C73)-1</f>
        <v>4</v>
      </c>
      <c r="T73" s="1">
        <f>WORKDAY(B73,5)</f>
        <v>46289</v>
      </c>
      <c r="U73" t="b">
        <f>C73&gt;T73</f>
        <v>0</v>
      </c>
    </row>
    <row r="74" spans="1:21" x14ac:dyDescent="0.25">
      <c r="A74" t="s">
        <v>168</v>
      </c>
      <c r="B74" s="1">
        <v>46282</v>
      </c>
      <c r="C74" s="1">
        <v>46288</v>
      </c>
      <c r="D74" t="s">
        <v>169</v>
      </c>
      <c r="E74" t="s">
        <v>67</v>
      </c>
      <c r="F74" t="s">
        <v>62</v>
      </c>
      <c r="G74" t="s">
        <v>106</v>
      </c>
      <c r="H74" t="s">
        <v>26</v>
      </c>
      <c r="I74" s="2">
        <v>1</v>
      </c>
      <c r="J74" s="3">
        <v>290</v>
      </c>
      <c r="K74" s="4">
        <v>0.22</v>
      </c>
      <c r="L74" s="3">
        <v>226.2</v>
      </c>
      <c r="M74" t="b">
        <v>1</v>
      </c>
      <c r="N74" s="2">
        <f>YEAR(B74)</f>
        <v>2026</v>
      </c>
      <c r="O74" t="str">
        <f>INDEX(Agences!$C:$C,MATCH(F74,Agences!$A:$A,0))</f>
        <v>Méditerranée</v>
      </c>
      <c r="P74" t="str">
        <f>INDEX(Produits!$C:$C,MATCH(H74,Produits!$A:$A,0))</f>
        <v>Maintenance</v>
      </c>
      <c r="Q74" s="3">
        <f>I74*INDEX(Produits!$E:$E,MATCH(H74,Produits!$A:$A,0))</f>
        <v>139.2</v>
      </c>
      <c r="R74" s="3">
        <f>L74-Q74</f>
        <v>87</v>
      </c>
      <c r="S74" s="2">
        <f>NETWORKDAYS(B74,C74)-1</f>
        <v>4</v>
      </c>
      <c r="T74" s="1">
        <f>WORKDAY(B74,5)</f>
        <v>46289</v>
      </c>
      <c r="U74" t="b">
        <f>C74&gt;T74</f>
        <v>0</v>
      </c>
    </row>
    <row r="75" spans="1:21" x14ac:dyDescent="0.25">
      <c r="A75" t="s">
        <v>168</v>
      </c>
      <c r="B75" s="1">
        <v>46282</v>
      </c>
      <c r="C75" s="1">
        <v>46288</v>
      </c>
      <c r="D75" t="s">
        <v>169</v>
      </c>
      <c r="E75" t="s">
        <v>67</v>
      </c>
      <c r="F75" t="s">
        <v>62</v>
      </c>
      <c r="G75" t="s">
        <v>106</v>
      </c>
      <c r="H75" t="s">
        <v>51</v>
      </c>
      <c r="I75" s="2">
        <v>2</v>
      </c>
      <c r="J75" s="3">
        <v>180</v>
      </c>
      <c r="K75" s="4">
        <v>0.22</v>
      </c>
      <c r="L75" s="3">
        <v>280.8</v>
      </c>
      <c r="M75" t="b">
        <v>1</v>
      </c>
      <c r="N75" s="2">
        <f>YEAR(B75)</f>
        <v>2026</v>
      </c>
      <c r="O75" t="str">
        <f>INDEX(Agences!$C:$C,MATCH(F75,Agences!$A:$A,0))</f>
        <v>Méditerranée</v>
      </c>
      <c r="P75" t="str">
        <f>INDEX(Produits!$C:$C,MATCH(H75,Produits!$A:$A,0))</f>
        <v>Maintenance</v>
      </c>
      <c r="Q75" s="3">
        <f>I75*INDEX(Produits!$E:$E,MATCH(H75,Produits!$A:$A,0))</f>
        <v>165.6</v>
      </c>
      <c r="R75" s="3">
        <f>L75-Q75</f>
        <v>115.20000000000002</v>
      </c>
      <c r="S75" s="2">
        <f>NETWORKDAYS(B75,C75)-1</f>
        <v>4</v>
      </c>
      <c r="T75" s="1">
        <f>WORKDAY(B75,5)</f>
        <v>46289</v>
      </c>
      <c r="U75" t="b">
        <f>C75&gt;T75</f>
        <v>0</v>
      </c>
    </row>
    <row r="76" spans="1:21" x14ac:dyDescent="0.25">
      <c r="A76" t="s">
        <v>168</v>
      </c>
      <c r="B76" s="1">
        <v>46282</v>
      </c>
      <c r="C76" s="1">
        <v>46288</v>
      </c>
      <c r="D76" t="s">
        <v>169</v>
      </c>
      <c r="E76" t="s">
        <v>67</v>
      </c>
      <c r="F76" t="s">
        <v>62</v>
      </c>
      <c r="G76" t="s">
        <v>106</v>
      </c>
      <c r="H76" t="s">
        <v>107</v>
      </c>
      <c r="I76" s="2">
        <v>1</v>
      </c>
      <c r="J76" s="3">
        <v>99</v>
      </c>
      <c r="K76" s="4">
        <v>0.2</v>
      </c>
      <c r="L76" s="3">
        <v>79.2</v>
      </c>
      <c r="M76" t="b">
        <v>1</v>
      </c>
      <c r="N76" s="2">
        <f>YEAR(B76)</f>
        <v>2026</v>
      </c>
      <c r="O76" t="str">
        <f>INDEX(Agences!$C:$C,MATCH(F76,Agences!$A:$A,0))</f>
        <v>Méditerranée</v>
      </c>
      <c r="P76" t="str">
        <f>INDEX(Produits!$C:$C,MATCH(H76,Produits!$A:$A,0))</f>
        <v>Informatique</v>
      </c>
      <c r="Q76" s="3">
        <f>I76*INDEX(Produits!$E:$E,MATCH(H76,Produits!$A:$A,0))</f>
        <v>75.24</v>
      </c>
      <c r="R76" s="3">
        <f>L76-Q76</f>
        <v>3.960000000000008</v>
      </c>
      <c r="S76" s="2">
        <f>NETWORKDAYS(B76,C76)-1</f>
        <v>4</v>
      </c>
      <c r="T76" s="1">
        <f>WORKDAY(B76,5)</f>
        <v>46289</v>
      </c>
      <c r="U76" t="b">
        <f>C76&gt;T76</f>
        <v>0</v>
      </c>
    </row>
    <row r="77" spans="1:21" x14ac:dyDescent="0.25">
      <c r="A77" t="s">
        <v>170</v>
      </c>
      <c r="B77" s="1">
        <v>46281</v>
      </c>
      <c r="C77" s="1">
        <v>46286</v>
      </c>
      <c r="D77" t="s">
        <v>171</v>
      </c>
      <c r="E77" t="s">
        <v>172</v>
      </c>
      <c r="F77" t="s">
        <v>99</v>
      </c>
      <c r="G77" t="s">
        <v>100</v>
      </c>
      <c r="H77" t="s">
        <v>50</v>
      </c>
      <c r="I77" s="2">
        <v>3</v>
      </c>
      <c r="J77" s="3">
        <v>69</v>
      </c>
      <c r="K77" s="4">
        <v>0</v>
      </c>
      <c r="L77" s="3">
        <v>207</v>
      </c>
      <c r="M77" t="b">
        <v>1</v>
      </c>
      <c r="N77" s="2">
        <f>YEAR(B77)</f>
        <v>2026</v>
      </c>
      <c r="O77" t="str">
        <f>INDEX(Agences!$C:$C,MATCH(F77,Agences!$A:$A,0))</f>
        <v>Nord</v>
      </c>
      <c r="P77" t="str">
        <f>INDEX(Produits!$C:$C,MATCH(H77,Produits!$A:$A,0))</f>
        <v>Informatique</v>
      </c>
      <c r="Q77" s="3">
        <f>I77*INDEX(Produits!$E:$E,MATCH(H77,Produits!$A:$A,0))</f>
        <v>163.53</v>
      </c>
      <c r="R77" s="3">
        <f>L77-Q77</f>
        <v>43.47</v>
      </c>
      <c r="S77" s="2">
        <f>NETWORKDAYS(B77,C77)-1</f>
        <v>3</v>
      </c>
      <c r="T77" s="1">
        <f>WORKDAY(B77,5)</f>
        <v>46288</v>
      </c>
      <c r="U77" t="b">
        <f>C77&gt;T77</f>
        <v>0</v>
      </c>
    </row>
    <row r="78" spans="1:21" x14ac:dyDescent="0.25">
      <c r="A78" t="s">
        <v>170</v>
      </c>
      <c r="B78" s="1">
        <v>46281</v>
      </c>
      <c r="C78" s="1">
        <v>46286</v>
      </c>
      <c r="D78" t="s">
        <v>171</v>
      </c>
      <c r="E78" t="s">
        <v>172</v>
      </c>
      <c r="F78" t="s">
        <v>99</v>
      </c>
      <c r="G78" t="s">
        <v>100</v>
      </c>
      <c r="H78" t="s">
        <v>27</v>
      </c>
      <c r="I78" s="2">
        <v>5</v>
      </c>
      <c r="J78" s="3">
        <v>310</v>
      </c>
      <c r="K78" s="4">
        <v>0.02</v>
      </c>
      <c r="L78" s="3">
        <v>1519</v>
      </c>
      <c r="M78" t="b">
        <v>1</v>
      </c>
      <c r="N78" s="2">
        <f>YEAR(B78)</f>
        <v>2026</v>
      </c>
      <c r="O78" t="str">
        <f>INDEX(Agences!$C:$C,MATCH(F78,Agences!$A:$A,0))</f>
        <v>Nord</v>
      </c>
      <c r="P78" t="str">
        <f>INDEX(Produits!$C:$C,MATCH(H78,Produits!$A:$A,0))</f>
        <v>Mobilier</v>
      </c>
      <c r="Q78" s="3">
        <f>I78*INDEX(Produits!$E:$E,MATCH(H78,Produits!$A:$A,0))</f>
        <v>930</v>
      </c>
      <c r="R78" s="3">
        <f>L78-Q78</f>
        <v>589</v>
      </c>
      <c r="S78" s="2">
        <f>NETWORKDAYS(B78,C78)-1</f>
        <v>3</v>
      </c>
      <c r="T78" s="1">
        <f>WORKDAY(B78,5)</f>
        <v>46288</v>
      </c>
      <c r="U78" t="b">
        <f>C78&gt;T78</f>
        <v>0</v>
      </c>
    </row>
    <row r="79" spans="1:21" x14ac:dyDescent="0.25">
      <c r="A79" t="s">
        <v>170</v>
      </c>
      <c r="B79" s="1">
        <v>46281</v>
      </c>
      <c r="C79" s="1">
        <v>46286</v>
      </c>
      <c r="D79" t="s">
        <v>171</v>
      </c>
      <c r="E79" t="s">
        <v>172</v>
      </c>
      <c r="F79" t="s">
        <v>99</v>
      </c>
      <c r="G79" t="s">
        <v>100</v>
      </c>
      <c r="H79" t="s">
        <v>51</v>
      </c>
      <c r="I79" s="2">
        <v>1</v>
      </c>
      <c r="J79" s="3">
        <v>180</v>
      </c>
      <c r="K79" s="4">
        <v>0</v>
      </c>
      <c r="L79" s="3">
        <v>180</v>
      </c>
      <c r="M79" t="b">
        <v>1</v>
      </c>
      <c r="N79" s="2">
        <f>YEAR(B79)</f>
        <v>2026</v>
      </c>
      <c r="O79" t="str">
        <f>INDEX(Agences!$C:$C,MATCH(F79,Agences!$A:$A,0))</f>
        <v>Nord</v>
      </c>
      <c r="P79" t="str">
        <f>INDEX(Produits!$C:$C,MATCH(H79,Produits!$A:$A,0))</f>
        <v>Maintenance</v>
      </c>
      <c r="Q79" s="3">
        <f>I79*INDEX(Produits!$E:$E,MATCH(H79,Produits!$A:$A,0))</f>
        <v>82.8</v>
      </c>
      <c r="R79" s="3">
        <f>L79-Q79</f>
        <v>97.2</v>
      </c>
      <c r="S79" s="2">
        <f>NETWORKDAYS(B79,C79)-1</f>
        <v>3</v>
      </c>
      <c r="T79" s="1">
        <f>WORKDAY(B79,5)</f>
        <v>46288</v>
      </c>
      <c r="U79" t="b">
        <f>C79&gt;T79</f>
        <v>0</v>
      </c>
    </row>
    <row r="80" spans="1:21" x14ac:dyDescent="0.25">
      <c r="A80" t="s">
        <v>173</v>
      </c>
      <c r="B80" s="1">
        <v>46281</v>
      </c>
      <c r="C80" s="1">
        <v>46288</v>
      </c>
      <c r="D80" t="s">
        <v>174</v>
      </c>
      <c r="E80" t="s">
        <v>175</v>
      </c>
      <c r="F80" t="s">
        <v>76</v>
      </c>
      <c r="G80" t="s">
        <v>176</v>
      </c>
      <c r="H80" t="s">
        <v>50</v>
      </c>
      <c r="I80" s="2">
        <v>6</v>
      </c>
      <c r="J80" s="3">
        <v>69</v>
      </c>
      <c r="K80" s="4">
        <v>0.05</v>
      </c>
      <c r="L80" s="3">
        <v>393.3</v>
      </c>
      <c r="M80" t="b">
        <v>1</v>
      </c>
      <c r="N80" s="2">
        <f>YEAR(B80)</f>
        <v>2026</v>
      </c>
      <c r="O80" t="str">
        <f>INDEX(Agences!$C:$C,MATCH(F80,Agences!$A:$A,0))</f>
        <v>Île-de-France</v>
      </c>
      <c r="P80" t="str">
        <f>INDEX(Produits!$C:$C,MATCH(H80,Produits!$A:$A,0))</f>
        <v>Informatique</v>
      </c>
      <c r="Q80" s="3">
        <f>I80*INDEX(Produits!$E:$E,MATCH(H80,Produits!$A:$A,0))</f>
        <v>327.06</v>
      </c>
      <c r="R80" s="3">
        <f>L80-Q80</f>
        <v>66.24000000000001</v>
      </c>
      <c r="S80" s="2">
        <f>NETWORKDAYS(B80,C80)-1</f>
        <v>5</v>
      </c>
      <c r="T80" s="1">
        <f>WORKDAY(B80,5)</f>
        <v>46288</v>
      </c>
      <c r="U80" t="b">
        <f>C80&gt;T80</f>
        <v>0</v>
      </c>
    </row>
    <row r="81" spans="1:21" x14ac:dyDescent="0.25">
      <c r="A81" t="s">
        <v>173</v>
      </c>
      <c r="B81" s="1">
        <v>46281</v>
      </c>
      <c r="C81" s="1">
        <v>46288</v>
      </c>
      <c r="D81" t="s">
        <v>174</v>
      </c>
      <c r="E81" t="s">
        <v>175</v>
      </c>
      <c r="F81" t="s">
        <v>76</v>
      </c>
      <c r="G81" t="s">
        <v>176</v>
      </c>
      <c r="H81" t="s">
        <v>35</v>
      </c>
      <c r="I81" s="2">
        <v>4</v>
      </c>
      <c r="J81" s="3">
        <v>79</v>
      </c>
      <c r="K81" s="4">
        <v>0</v>
      </c>
      <c r="L81" s="3">
        <v>316</v>
      </c>
      <c r="M81" t="b">
        <v>1</v>
      </c>
      <c r="N81" s="2">
        <f>YEAR(B81)</f>
        <v>2026</v>
      </c>
      <c r="O81" t="str">
        <f>INDEX(Agences!$C:$C,MATCH(F81,Agences!$A:$A,0))</f>
        <v>Île-de-France</v>
      </c>
      <c r="P81" t="str">
        <f>INDEX(Produits!$C:$C,MATCH(H81,Produits!$A:$A,0))</f>
        <v>Mobilier</v>
      </c>
      <c r="Q81" s="3">
        <f>I81*INDEX(Produits!$E:$E,MATCH(H81,Produits!$A:$A,0))</f>
        <v>186.44</v>
      </c>
      <c r="R81" s="3">
        <f>L81-Q81</f>
        <v>129.56</v>
      </c>
      <c r="S81" s="2">
        <f>NETWORKDAYS(B81,C81)-1</f>
        <v>5</v>
      </c>
      <c r="T81" s="1">
        <f>WORKDAY(B81,5)</f>
        <v>46288</v>
      </c>
      <c r="U81" t="b">
        <f>C81&gt;T81</f>
        <v>0</v>
      </c>
    </row>
    <row r="82" spans="1:21" x14ac:dyDescent="0.25">
      <c r="A82" t="s">
        <v>177</v>
      </c>
      <c r="B82" s="1">
        <v>46281</v>
      </c>
      <c r="C82" s="1">
        <v>46283</v>
      </c>
      <c r="D82" t="s">
        <v>178</v>
      </c>
      <c r="E82" t="s">
        <v>165</v>
      </c>
      <c r="F82" t="s">
        <v>166</v>
      </c>
      <c r="G82" t="s">
        <v>179</v>
      </c>
      <c r="H82" t="s">
        <v>34</v>
      </c>
      <c r="I82" s="2">
        <v>3</v>
      </c>
      <c r="J82" s="3">
        <v>340</v>
      </c>
      <c r="K82" s="4">
        <v>0.05</v>
      </c>
      <c r="L82" s="3">
        <v>969</v>
      </c>
      <c r="M82" t="b">
        <v>1</v>
      </c>
      <c r="N82" s="2">
        <f>YEAR(B82)</f>
        <v>2026</v>
      </c>
      <c r="O82" t="str">
        <f>INDEX(Agences!$C:$C,MATCH(F82,Agences!$A:$A,0))</f>
        <v>Ouest</v>
      </c>
      <c r="P82" t="str">
        <f>INDEX(Produits!$C:$C,MATCH(H82,Produits!$A:$A,0))</f>
        <v>Informatique</v>
      </c>
      <c r="Q82" s="3">
        <f>I82*INDEX(Produits!$E:$E,MATCH(H82,Produits!$A:$A,0))</f>
        <v>826.1999999999999</v>
      </c>
      <c r="R82" s="3">
        <f>L82-Q82</f>
        <v>142.80000000000007</v>
      </c>
      <c r="S82" s="2">
        <f>NETWORKDAYS(B82,C82)-1</f>
        <v>2</v>
      </c>
      <c r="T82" s="1">
        <f>WORKDAY(B82,5)</f>
        <v>46288</v>
      </c>
      <c r="U82" t="b">
        <f>C82&gt;T82</f>
        <v>0</v>
      </c>
    </row>
    <row r="83" spans="1:21" x14ac:dyDescent="0.25">
      <c r="A83" t="s">
        <v>177</v>
      </c>
      <c r="B83" s="1">
        <v>46281</v>
      </c>
      <c r="C83" s="1">
        <v>46283</v>
      </c>
      <c r="D83" t="s">
        <v>178</v>
      </c>
      <c r="E83" t="s">
        <v>165</v>
      </c>
      <c r="F83" t="s">
        <v>166</v>
      </c>
      <c r="G83" t="s">
        <v>179</v>
      </c>
      <c r="H83" t="s">
        <v>83</v>
      </c>
      <c r="I83" s="2">
        <v>1</v>
      </c>
      <c r="J83" s="3">
        <v>49</v>
      </c>
      <c r="K83" s="4">
        <v>0</v>
      </c>
      <c r="L83" s="3">
        <v>49</v>
      </c>
      <c r="M83" t="b">
        <v>1</v>
      </c>
      <c r="N83" s="2">
        <f>YEAR(B83)</f>
        <v>2026</v>
      </c>
      <c r="O83" t="str">
        <f>INDEX(Agences!$C:$C,MATCH(F83,Agences!$A:$A,0))</f>
        <v>Ouest</v>
      </c>
      <c r="P83" t="str">
        <f>INDEX(Produits!$C:$C,MATCH(H83,Produits!$A:$A,0))</f>
        <v>Mobilier</v>
      </c>
      <c r="Q83" s="3">
        <f>I83*INDEX(Produits!$E:$E,MATCH(H83,Produits!$A:$A,0))</f>
        <v>28.42</v>
      </c>
      <c r="R83" s="3">
        <f>L83-Q83</f>
        <v>20.58</v>
      </c>
      <c r="S83" s="2">
        <f>NETWORKDAYS(B83,C83)-1</f>
        <v>2</v>
      </c>
      <c r="T83" s="1">
        <f>WORKDAY(B83,5)</f>
        <v>46288</v>
      </c>
      <c r="U83" t="b">
        <f>C83&gt;T83</f>
        <v>0</v>
      </c>
    </row>
    <row r="84" spans="1:21" x14ac:dyDescent="0.25">
      <c r="A84" t="s">
        <v>180</v>
      </c>
      <c r="B84" s="1">
        <v>46281</v>
      </c>
      <c r="C84" s="1">
        <v>46282</v>
      </c>
      <c r="D84" t="s">
        <v>181</v>
      </c>
      <c r="E84" t="s">
        <v>153</v>
      </c>
      <c r="F84" t="s">
        <v>94</v>
      </c>
      <c r="G84" t="s">
        <v>182</v>
      </c>
      <c r="H84" t="s">
        <v>42</v>
      </c>
      <c r="I84" s="2">
        <v>1</v>
      </c>
      <c r="J84" s="3">
        <v>55</v>
      </c>
      <c r="K84" s="4">
        <v>0.02</v>
      </c>
      <c r="L84" s="3">
        <v>53.9</v>
      </c>
      <c r="M84" t="b">
        <v>1</v>
      </c>
      <c r="N84" s="2">
        <f>YEAR(B84)</f>
        <v>2026</v>
      </c>
      <c r="O84" t="str">
        <f>INDEX(Agences!$C:$C,MATCH(F84,Agences!$A:$A,0))</f>
        <v>Méditerranée</v>
      </c>
      <c r="P84" t="str">
        <f>INDEX(Produits!$C:$C,MATCH(H84,Produits!$A:$A,0))</f>
        <v>Maintenance</v>
      </c>
      <c r="Q84" s="3">
        <f>I84*INDEX(Produits!$E:$E,MATCH(H84,Produits!$A:$A,0))</f>
        <v>24.75</v>
      </c>
      <c r="R84" s="3">
        <f>L84-Q84</f>
        <v>29.15</v>
      </c>
      <c r="S84" s="2">
        <f>NETWORKDAYS(B84,C84)-1</f>
        <v>1</v>
      </c>
      <c r="T84" s="1">
        <f>WORKDAY(B84,5)</f>
        <v>46288</v>
      </c>
      <c r="U84" t="b">
        <f>C84&gt;T84</f>
        <v>0</v>
      </c>
    </row>
    <row r="85" spans="1:21" x14ac:dyDescent="0.25">
      <c r="A85" t="s">
        <v>180</v>
      </c>
      <c r="B85" s="1">
        <v>46281</v>
      </c>
      <c r="C85" s="1">
        <v>46282</v>
      </c>
      <c r="D85" t="s">
        <v>181</v>
      </c>
      <c r="E85" t="s">
        <v>153</v>
      </c>
      <c r="F85" t="s">
        <v>94</v>
      </c>
      <c r="G85" t="s">
        <v>182</v>
      </c>
      <c r="H85" t="s">
        <v>72</v>
      </c>
      <c r="I85" s="2">
        <v>2</v>
      </c>
      <c r="J85" s="3">
        <v>179</v>
      </c>
      <c r="K85" s="4">
        <v>0</v>
      </c>
      <c r="L85" s="3">
        <v>358</v>
      </c>
      <c r="M85" t="b">
        <v>1</v>
      </c>
      <c r="N85" s="2">
        <f>YEAR(B85)</f>
        <v>2026</v>
      </c>
      <c r="O85" t="str">
        <f>INDEX(Agences!$C:$C,MATCH(F85,Agences!$A:$A,0))</f>
        <v>Méditerranée</v>
      </c>
      <c r="P85" t="str">
        <f>INDEX(Produits!$C:$C,MATCH(H85,Produits!$A:$A,0))</f>
        <v>Informatique</v>
      </c>
      <c r="Q85" s="3">
        <f>I85*INDEX(Produits!$E:$E,MATCH(H85,Produits!$A:$A,0))</f>
        <v>293.56</v>
      </c>
      <c r="R85" s="3">
        <f>L85-Q85</f>
        <v>64.44</v>
      </c>
      <c r="S85" s="2">
        <f>NETWORKDAYS(B85,C85)-1</f>
        <v>1</v>
      </c>
      <c r="T85" s="1">
        <f>WORKDAY(B85,5)</f>
        <v>46288</v>
      </c>
      <c r="U85" t="b">
        <f>C85&gt;T85</f>
        <v>0</v>
      </c>
    </row>
    <row r="86" spans="1:21" x14ac:dyDescent="0.25">
      <c r="A86" t="s">
        <v>180</v>
      </c>
      <c r="B86" s="1">
        <v>46281</v>
      </c>
      <c r="C86" s="1">
        <v>46282</v>
      </c>
      <c r="D86" t="s">
        <v>181</v>
      </c>
      <c r="E86" t="s">
        <v>153</v>
      </c>
      <c r="F86" t="s">
        <v>94</v>
      </c>
      <c r="G86" t="s">
        <v>182</v>
      </c>
      <c r="H86" t="s">
        <v>112</v>
      </c>
      <c r="I86" s="2">
        <v>1</v>
      </c>
      <c r="J86" s="3">
        <v>129</v>
      </c>
      <c r="K86" s="4">
        <v>0</v>
      </c>
      <c r="L86" s="3">
        <v>129</v>
      </c>
      <c r="M86" t="b">
        <v>1</v>
      </c>
      <c r="N86" s="2">
        <f>YEAR(B86)</f>
        <v>2026</v>
      </c>
      <c r="O86" t="str">
        <f>INDEX(Agences!$C:$C,MATCH(F86,Agences!$A:$A,0))</f>
        <v>Méditerranée</v>
      </c>
      <c r="P86" t="str">
        <f>INDEX(Produits!$C:$C,MATCH(H86,Produits!$A:$A,0))</f>
        <v>Mobilier</v>
      </c>
      <c r="Q86" s="3">
        <f>I86*INDEX(Produits!$E:$E,MATCH(H86,Produits!$A:$A,0))</f>
        <v>86.43</v>
      </c>
      <c r="R86" s="3">
        <f>L86-Q86</f>
        <v>42.56999999999999</v>
      </c>
      <c r="S86" s="2">
        <f>NETWORKDAYS(B86,C86)-1</f>
        <v>1</v>
      </c>
      <c r="T86" s="1">
        <f>WORKDAY(B86,5)</f>
        <v>46288</v>
      </c>
      <c r="U86" t="b">
        <f>C86&gt;T86</f>
        <v>0</v>
      </c>
    </row>
    <row r="87" spans="1:21" x14ac:dyDescent="0.25">
      <c r="A87" t="s">
        <v>180</v>
      </c>
      <c r="B87" s="1">
        <v>46281</v>
      </c>
      <c r="C87" s="1">
        <v>46282</v>
      </c>
      <c r="D87" t="s">
        <v>181</v>
      </c>
      <c r="E87" t="s">
        <v>153</v>
      </c>
      <c r="F87" t="s">
        <v>94</v>
      </c>
      <c r="G87" t="s">
        <v>182</v>
      </c>
      <c r="H87" t="s">
        <v>34</v>
      </c>
      <c r="I87" s="2">
        <v>5</v>
      </c>
      <c r="J87" s="3">
        <v>340</v>
      </c>
      <c r="K87" s="4">
        <v>0.05</v>
      </c>
      <c r="L87" s="3">
        <v>1615</v>
      </c>
      <c r="M87" t="b">
        <v>1</v>
      </c>
      <c r="N87" s="2">
        <f>YEAR(B87)</f>
        <v>2026</v>
      </c>
      <c r="O87" t="str">
        <f>INDEX(Agences!$C:$C,MATCH(F87,Agences!$A:$A,0))</f>
        <v>Méditerranée</v>
      </c>
      <c r="P87" t="str">
        <f>INDEX(Produits!$C:$C,MATCH(H87,Produits!$A:$A,0))</f>
        <v>Informatique</v>
      </c>
      <c r="Q87" s="3">
        <f>I87*INDEX(Produits!$E:$E,MATCH(H87,Produits!$A:$A,0))</f>
        <v>1377</v>
      </c>
      <c r="R87" s="3">
        <f>L87-Q87</f>
        <v>238</v>
      </c>
      <c r="S87" s="2">
        <f>NETWORKDAYS(B87,C87)-1</f>
        <v>1</v>
      </c>
      <c r="T87" s="1">
        <f>WORKDAY(B87,5)</f>
        <v>46288</v>
      </c>
      <c r="U87" t="b">
        <f>C87&gt;T87</f>
        <v>0</v>
      </c>
    </row>
    <row r="88" spans="1:21" x14ac:dyDescent="0.25">
      <c r="A88" t="s">
        <v>183</v>
      </c>
      <c r="B88" s="1">
        <v>46280</v>
      </c>
      <c r="C88" s="1">
        <v>46281</v>
      </c>
      <c r="D88" t="s">
        <v>184</v>
      </c>
      <c r="E88" t="s">
        <v>185</v>
      </c>
      <c r="F88" t="s">
        <v>31</v>
      </c>
      <c r="G88" t="s">
        <v>186</v>
      </c>
      <c r="H88" t="s">
        <v>57</v>
      </c>
      <c r="I88" s="2">
        <v>2</v>
      </c>
      <c r="J88" s="3">
        <v>149</v>
      </c>
      <c r="K88" s="4">
        <v>0.08</v>
      </c>
      <c r="L88" s="3">
        <v>274.16</v>
      </c>
      <c r="M88" t="b">
        <v>1</v>
      </c>
      <c r="N88" s="2">
        <f>YEAR(B88)</f>
        <v>2026</v>
      </c>
      <c r="O88" t="str">
        <f>INDEX(Agences!$C:$C,MATCH(F88,Agences!$A:$A,0))</f>
        <v>Ouest</v>
      </c>
      <c r="P88" t="str">
        <f>INDEX(Produits!$C:$C,MATCH(H88,Produits!$A:$A,0))</f>
        <v>Informatique</v>
      </c>
      <c r="Q88" s="3">
        <f>I88*INDEX(Produits!$E:$E,MATCH(H88,Produits!$A:$A,0))</f>
        <v>229.46</v>
      </c>
      <c r="R88" s="3">
        <f>L88-Q88</f>
        <v>44.70000000000002</v>
      </c>
      <c r="S88" s="2">
        <f>NETWORKDAYS(B88,C88)-1</f>
        <v>1</v>
      </c>
      <c r="T88" s="1">
        <f>WORKDAY(B88,5)</f>
        <v>46287</v>
      </c>
      <c r="U88" t="b">
        <f>C88&gt;T88</f>
        <v>0</v>
      </c>
    </row>
    <row r="89" spans="1:21" x14ac:dyDescent="0.25">
      <c r="A89" t="s">
        <v>183</v>
      </c>
      <c r="B89" s="1">
        <v>46280</v>
      </c>
      <c r="C89" s="1">
        <v>46281</v>
      </c>
      <c r="D89" t="s">
        <v>184</v>
      </c>
      <c r="E89" t="s">
        <v>185</v>
      </c>
      <c r="F89" t="s">
        <v>31</v>
      </c>
      <c r="G89" t="s">
        <v>186</v>
      </c>
      <c r="H89" t="s">
        <v>83</v>
      </c>
      <c r="I89" s="2">
        <v>1</v>
      </c>
      <c r="J89" s="3">
        <v>49</v>
      </c>
      <c r="K89" s="4">
        <v>0.05</v>
      </c>
      <c r="L89" s="3">
        <v>46.55</v>
      </c>
      <c r="M89" t="b">
        <v>1</v>
      </c>
      <c r="N89" s="2">
        <f>YEAR(B89)</f>
        <v>2026</v>
      </c>
      <c r="O89" t="str">
        <f>INDEX(Agences!$C:$C,MATCH(F89,Agences!$A:$A,0))</f>
        <v>Ouest</v>
      </c>
      <c r="P89" t="str">
        <f>INDEX(Produits!$C:$C,MATCH(H89,Produits!$A:$A,0))</f>
        <v>Mobilier</v>
      </c>
      <c r="Q89" s="3">
        <f>I89*INDEX(Produits!$E:$E,MATCH(H89,Produits!$A:$A,0))</f>
        <v>28.42</v>
      </c>
      <c r="R89" s="3">
        <f>L89-Q89</f>
        <v>18.129999999999995</v>
      </c>
      <c r="S89" s="2">
        <f>NETWORKDAYS(B89,C89)-1</f>
        <v>1</v>
      </c>
      <c r="T89" s="1">
        <f>WORKDAY(B89,5)</f>
        <v>46287</v>
      </c>
      <c r="U89" t="b">
        <f>C89&gt;T89</f>
        <v>0</v>
      </c>
    </row>
    <row r="90" spans="1:21" x14ac:dyDescent="0.25">
      <c r="A90" t="s">
        <v>183</v>
      </c>
      <c r="B90" s="1">
        <v>46280</v>
      </c>
      <c r="C90" s="1">
        <v>46281</v>
      </c>
      <c r="D90" t="s">
        <v>184</v>
      </c>
      <c r="E90" t="s">
        <v>185</v>
      </c>
      <c r="F90" t="s">
        <v>31</v>
      </c>
      <c r="G90" t="s">
        <v>186</v>
      </c>
      <c r="H90" t="s">
        <v>48</v>
      </c>
      <c r="I90" s="2">
        <v>1</v>
      </c>
      <c r="J90" s="3">
        <v>165</v>
      </c>
      <c r="K90" s="4">
        <v>0</v>
      </c>
      <c r="L90" s="3">
        <v>165</v>
      </c>
      <c r="M90" t="b">
        <v>1</v>
      </c>
      <c r="N90" s="2">
        <f>YEAR(B90)</f>
        <v>2026</v>
      </c>
      <c r="O90" t="str">
        <f>INDEX(Agences!$C:$C,MATCH(F90,Agences!$A:$A,0))</f>
        <v>Ouest</v>
      </c>
      <c r="P90" t="str">
        <f>INDEX(Produits!$C:$C,MATCH(H90,Produits!$A:$A,0))</f>
        <v>Mobilier</v>
      </c>
      <c r="Q90" s="3">
        <f>I90*INDEX(Produits!$E:$E,MATCH(H90,Produits!$A:$A,0))</f>
        <v>107.25</v>
      </c>
      <c r="R90" s="3">
        <f>L90-Q90</f>
        <v>57.75</v>
      </c>
      <c r="S90" s="2">
        <f>NETWORKDAYS(B90,C90)-1</f>
        <v>1</v>
      </c>
      <c r="T90" s="1">
        <f>WORKDAY(B90,5)</f>
        <v>46287</v>
      </c>
      <c r="U90" t="b">
        <f>C90&gt;T90</f>
        <v>0</v>
      </c>
    </row>
    <row r="91" spans="1:21" x14ac:dyDescent="0.25">
      <c r="A91" t="s">
        <v>183</v>
      </c>
      <c r="B91" s="1">
        <v>46280</v>
      </c>
      <c r="C91" s="1">
        <v>46281</v>
      </c>
      <c r="D91" t="s">
        <v>184</v>
      </c>
      <c r="E91" t="s">
        <v>185</v>
      </c>
      <c r="F91" t="s">
        <v>31</v>
      </c>
      <c r="G91" t="s">
        <v>186</v>
      </c>
      <c r="H91" t="s">
        <v>27</v>
      </c>
      <c r="I91" s="2">
        <v>1</v>
      </c>
      <c r="J91" s="3">
        <v>310</v>
      </c>
      <c r="K91" s="4">
        <v>0.02</v>
      </c>
      <c r="L91" s="3">
        <v>303.8</v>
      </c>
      <c r="M91" t="b">
        <v>1</v>
      </c>
      <c r="N91" s="2">
        <f>YEAR(B91)</f>
        <v>2026</v>
      </c>
      <c r="O91" t="str">
        <f>INDEX(Agences!$C:$C,MATCH(F91,Agences!$A:$A,0))</f>
        <v>Ouest</v>
      </c>
      <c r="P91" t="str">
        <f>INDEX(Produits!$C:$C,MATCH(H91,Produits!$A:$A,0))</f>
        <v>Mobilier</v>
      </c>
      <c r="Q91" s="3">
        <f>I91*INDEX(Produits!$E:$E,MATCH(H91,Produits!$A:$A,0))</f>
        <v>186</v>
      </c>
      <c r="R91" s="3">
        <f>L91-Q91</f>
        <v>117.80000000000001</v>
      </c>
      <c r="S91" s="2">
        <f>NETWORKDAYS(B91,C91)-1</f>
        <v>1</v>
      </c>
      <c r="T91" s="1">
        <f>WORKDAY(B91,5)</f>
        <v>46287</v>
      </c>
      <c r="U91" t="b">
        <f>C91&gt;T91</f>
        <v>0</v>
      </c>
    </row>
    <row r="92" spans="1:21" x14ac:dyDescent="0.25">
      <c r="A92" t="s">
        <v>183</v>
      </c>
      <c r="B92" s="1">
        <v>46280</v>
      </c>
      <c r="C92" s="1">
        <v>46281</v>
      </c>
      <c r="D92" t="s">
        <v>184</v>
      </c>
      <c r="E92" t="s">
        <v>185</v>
      </c>
      <c r="F92" t="s">
        <v>31</v>
      </c>
      <c r="G92" t="s">
        <v>186</v>
      </c>
      <c r="H92" t="s">
        <v>58</v>
      </c>
      <c r="I92" s="2">
        <v>1</v>
      </c>
      <c r="J92" s="3">
        <v>649</v>
      </c>
      <c r="K92" s="4">
        <v>0.05</v>
      </c>
      <c r="L92" s="3">
        <v>616.55</v>
      </c>
      <c r="M92" t="b">
        <v>1</v>
      </c>
      <c r="N92" s="2">
        <f>YEAR(B92)</f>
        <v>2026</v>
      </c>
      <c r="O92" t="str">
        <f>INDEX(Agences!$C:$C,MATCH(F92,Agences!$A:$A,0))</f>
        <v>Ouest</v>
      </c>
      <c r="P92" t="str">
        <f>INDEX(Produits!$C:$C,MATCH(H92,Produits!$A:$A,0))</f>
        <v>Mobilier</v>
      </c>
      <c r="Q92" s="3">
        <f>I92*INDEX(Produits!$E:$E,MATCH(H92,Produits!$A:$A,0))</f>
        <v>408.87</v>
      </c>
      <c r="R92" s="3">
        <f>L92-Q92</f>
        <v>207.67999999999995</v>
      </c>
      <c r="S92" s="2">
        <f>NETWORKDAYS(B92,C92)-1</f>
        <v>1</v>
      </c>
      <c r="T92" s="1">
        <f>WORKDAY(B92,5)</f>
        <v>46287</v>
      </c>
      <c r="U92" t="b">
        <f>C92&gt;T92</f>
        <v>0</v>
      </c>
    </row>
    <row r="93" spans="1:21" x14ac:dyDescent="0.25">
      <c r="A93" t="s">
        <v>187</v>
      </c>
      <c r="B93" s="1">
        <v>46280</v>
      </c>
      <c r="C93" s="1">
        <v>46286</v>
      </c>
      <c r="D93" t="s">
        <v>188</v>
      </c>
      <c r="E93" t="s">
        <v>30</v>
      </c>
      <c r="F93" t="s">
        <v>31</v>
      </c>
      <c r="G93" t="s">
        <v>32</v>
      </c>
      <c r="H93" t="s">
        <v>51</v>
      </c>
      <c r="I93" s="2">
        <v>1</v>
      </c>
      <c r="J93" s="3">
        <v>180</v>
      </c>
      <c r="K93" s="4">
        <v>0.1</v>
      </c>
      <c r="L93" s="3">
        <v>162</v>
      </c>
      <c r="M93" t="b">
        <v>1</v>
      </c>
      <c r="N93" s="2">
        <f>YEAR(B93)</f>
        <v>2026</v>
      </c>
      <c r="O93" t="str">
        <f>INDEX(Agences!$C:$C,MATCH(F93,Agences!$A:$A,0))</f>
        <v>Ouest</v>
      </c>
      <c r="P93" t="str">
        <f>INDEX(Produits!$C:$C,MATCH(H93,Produits!$A:$A,0))</f>
        <v>Maintenance</v>
      </c>
      <c r="Q93" s="3">
        <f>I93*INDEX(Produits!$E:$E,MATCH(H93,Produits!$A:$A,0))</f>
        <v>82.8</v>
      </c>
      <c r="R93" s="3">
        <f>L93-Q93</f>
        <v>79.2</v>
      </c>
      <c r="S93" s="2">
        <f>NETWORKDAYS(B93,C93)-1</f>
        <v>4</v>
      </c>
      <c r="T93" s="1">
        <f>WORKDAY(B93,5)</f>
        <v>46287</v>
      </c>
      <c r="U93" t="b">
        <f>C93&gt;T93</f>
        <v>0</v>
      </c>
    </row>
    <row r="94" spans="1:21" x14ac:dyDescent="0.25">
      <c r="A94" t="s">
        <v>187</v>
      </c>
      <c r="B94" s="1">
        <v>46280</v>
      </c>
      <c r="C94" s="1">
        <v>46286</v>
      </c>
      <c r="D94" t="s">
        <v>188</v>
      </c>
      <c r="E94" t="s">
        <v>30</v>
      </c>
      <c r="F94" t="s">
        <v>31</v>
      </c>
      <c r="G94" t="s">
        <v>32</v>
      </c>
      <c r="H94" t="s">
        <v>49</v>
      </c>
      <c r="I94" s="2">
        <v>3</v>
      </c>
      <c r="J94" s="3">
        <v>120</v>
      </c>
      <c r="K94" s="4">
        <v>0.05</v>
      </c>
      <c r="L94" s="3">
        <v>342</v>
      </c>
      <c r="M94" t="b">
        <v>1</v>
      </c>
      <c r="N94" s="2">
        <f>YEAR(B94)</f>
        <v>2026</v>
      </c>
      <c r="O94" t="str">
        <f>INDEX(Agences!$C:$C,MATCH(F94,Agences!$A:$A,0))</f>
        <v>Ouest</v>
      </c>
      <c r="P94" t="str">
        <f>INDEX(Produits!$C:$C,MATCH(H94,Produits!$A:$A,0))</f>
        <v>Maintenance</v>
      </c>
      <c r="Q94" s="3">
        <f>I94*INDEX(Produits!$E:$E,MATCH(H94,Produits!$A:$A,0))</f>
        <v>165.60000000000002</v>
      </c>
      <c r="R94" s="3">
        <f>L94-Q94</f>
        <v>176.39999999999998</v>
      </c>
      <c r="S94" s="2">
        <f>NETWORKDAYS(B94,C94)-1</f>
        <v>4</v>
      </c>
      <c r="T94" s="1">
        <f>WORKDAY(B94,5)</f>
        <v>46287</v>
      </c>
      <c r="U94" t="b">
        <f>C94&gt;T94</f>
        <v>0</v>
      </c>
    </row>
    <row r="95" spans="1:21" x14ac:dyDescent="0.25">
      <c r="A95" t="s">
        <v>187</v>
      </c>
      <c r="B95" s="1">
        <v>46280</v>
      </c>
      <c r="C95" s="1">
        <v>46286</v>
      </c>
      <c r="D95" t="s">
        <v>188</v>
      </c>
      <c r="E95" t="s">
        <v>30</v>
      </c>
      <c r="F95" t="s">
        <v>31</v>
      </c>
      <c r="G95" t="s">
        <v>32</v>
      </c>
      <c r="H95" t="s">
        <v>58</v>
      </c>
      <c r="I95" s="2">
        <v>1</v>
      </c>
      <c r="J95" s="3">
        <v>649</v>
      </c>
      <c r="K95" s="4">
        <v>0.02</v>
      </c>
      <c r="L95" s="3">
        <v>636.02</v>
      </c>
      <c r="M95" t="b">
        <v>1</v>
      </c>
      <c r="N95" s="2">
        <f>YEAR(B95)</f>
        <v>2026</v>
      </c>
      <c r="O95" t="str">
        <f>INDEX(Agences!$C:$C,MATCH(F95,Agences!$A:$A,0))</f>
        <v>Ouest</v>
      </c>
      <c r="P95" t="str">
        <f>INDEX(Produits!$C:$C,MATCH(H95,Produits!$A:$A,0))</f>
        <v>Mobilier</v>
      </c>
      <c r="Q95" s="3">
        <f>I95*INDEX(Produits!$E:$E,MATCH(H95,Produits!$A:$A,0))</f>
        <v>408.87</v>
      </c>
      <c r="R95" s="3">
        <f>L95-Q95</f>
        <v>227.14999999999998</v>
      </c>
      <c r="S95" s="2">
        <f>NETWORKDAYS(B95,C95)-1</f>
        <v>4</v>
      </c>
      <c r="T95" s="1">
        <f>WORKDAY(B95,5)</f>
        <v>46287</v>
      </c>
      <c r="U95" t="b">
        <f>C95&gt;T95</f>
        <v>0</v>
      </c>
    </row>
    <row r="96" spans="1:21" x14ac:dyDescent="0.25">
      <c r="A96" t="s">
        <v>189</v>
      </c>
      <c r="B96" s="1">
        <v>46280</v>
      </c>
      <c r="C96" s="1">
        <v>46282</v>
      </c>
      <c r="D96" t="s">
        <v>190</v>
      </c>
      <c r="E96" t="s">
        <v>191</v>
      </c>
      <c r="F96" t="s">
        <v>62</v>
      </c>
      <c r="G96" t="s">
        <v>68</v>
      </c>
      <c r="H96" t="s">
        <v>103</v>
      </c>
      <c r="I96" s="2">
        <v>6</v>
      </c>
      <c r="J96" s="3">
        <v>245</v>
      </c>
      <c r="K96" s="4">
        <v>0.08</v>
      </c>
      <c r="L96" s="3">
        <v>1352.4</v>
      </c>
      <c r="M96" t="b">
        <v>1</v>
      </c>
      <c r="N96" s="2">
        <f>YEAR(B96)</f>
        <v>2026</v>
      </c>
      <c r="O96" t="str">
        <f>INDEX(Agences!$C:$C,MATCH(F96,Agences!$A:$A,0))</f>
        <v>Méditerranée</v>
      </c>
      <c r="P96" t="str">
        <f>INDEX(Produits!$C:$C,MATCH(H96,Produits!$A:$A,0))</f>
        <v>Mobilier</v>
      </c>
      <c r="Q96" s="3">
        <f>I96*INDEX(Produits!$E:$E,MATCH(H96,Produits!$A:$A,0))</f>
        <v>984.9000000000001</v>
      </c>
      <c r="R96" s="3">
        <f>L96-Q96</f>
        <v>367.5</v>
      </c>
      <c r="S96" s="2">
        <f>NETWORKDAYS(B96,C96)-1</f>
        <v>2</v>
      </c>
      <c r="T96" s="1">
        <f>WORKDAY(B96,5)</f>
        <v>46287</v>
      </c>
      <c r="U96" t="b">
        <f>C96&gt;T96</f>
        <v>0</v>
      </c>
    </row>
    <row r="97" spans="1:21" x14ac:dyDescent="0.25">
      <c r="A97" t="s">
        <v>192</v>
      </c>
      <c r="B97" s="1">
        <v>46280</v>
      </c>
      <c r="C97" s="1">
        <v>46293</v>
      </c>
      <c r="D97" t="s">
        <v>193</v>
      </c>
      <c r="E97" t="s">
        <v>194</v>
      </c>
      <c r="F97" t="s">
        <v>55</v>
      </c>
      <c r="G97" t="s">
        <v>195</v>
      </c>
      <c r="H97" t="s">
        <v>90</v>
      </c>
      <c r="I97" s="2">
        <v>10</v>
      </c>
      <c r="J97" s="3">
        <v>22.9</v>
      </c>
      <c r="K97" s="4">
        <v>0</v>
      </c>
      <c r="L97" s="3">
        <v>229</v>
      </c>
      <c r="M97" t="b">
        <v>1</v>
      </c>
      <c r="N97" s="2">
        <f>YEAR(B97)</f>
        <v>2026</v>
      </c>
      <c r="O97" t="str">
        <f>INDEX(Agences!$C:$C,MATCH(F97,Agences!$A:$A,0))</f>
        <v>Est</v>
      </c>
      <c r="P97" t="str">
        <f>INDEX(Produits!$C:$C,MATCH(H97,Produits!$A:$A,0))</f>
        <v>Fournitures</v>
      </c>
      <c r="Q97" s="3">
        <f>I97*INDEX(Produits!$E:$E,MATCH(H97,Produits!$A:$A,0))</f>
        <v>128.2</v>
      </c>
      <c r="R97" s="3">
        <f>L97-Q97</f>
        <v>100.80000000000001</v>
      </c>
      <c r="S97" s="2">
        <f>NETWORKDAYS(B97,C97)-1</f>
        <v>9</v>
      </c>
      <c r="T97" s="1">
        <f>WORKDAY(B97,5)</f>
        <v>46287</v>
      </c>
      <c r="U97" t="b">
        <f>C97&gt;T97</f>
        <v>1</v>
      </c>
    </row>
    <row r="98" spans="1:21" x14ac:dyDescent="0.25">
      <c r="A98" t="s">
        <v>192</v>
      </c>
      <c r="B98" s="1">
        <v>46280</v>
      </c>
      <c r="C98" s="1">
        <v>46293</v>
      </c>
      <c r="D98" t="s">
        <v>193</v>
      </c>
      <c r="E98" t="s">
        <v>194</v>
      </c>
      <c r="F98" t="s">
        <v>55</v>
      </c>
      <c r="G98" t="s">
        <v>195</v>
      </c>
      <c r="H98" t="s">
        <v>49</v>
      </c>
      <c r="I98" s="2">
        <v>1</v>
      </c>
      <c r="J98" s="3">
        <v>120</v>
      </c>
      <c r="K98" s="4">
        <v>0.05</v>
      </c>
      <c r="L98" s="3">
        <v>114</v>
      </c>
      <c r="M98" t="b">
        <v>1</v>
      </c>
      <c r="N98" s="2">
        <f>YEAR(B98)</f>
        <v>2026</v>
      </c>
      <c r="O98" t="str">
        <f>INDEX(Agences!$C:$C,MATCH(F98,Agences!$A:$A,0))</f>
        <v>Est</v>
      </c>
      <c r="P98" t="str">
        <f>INDEX(Produits!$C:$C,MATCH(H98,Produits!$A:$A,0))</f>
        <v>Maintenance</v>
      </c>
      <c r="Q98" s="3">
        <f>I98*INDEX(Produits!$E:$E,MATCH(H98,Produits!$A:$A,0))</f>
        <v>55.2</v>
      </c>
      <c r="R98" s="3">
        <f>L98-Q98</f>
        <v>58.8</v>
      </c>
      <c r="S98" s="2">
        <f>NETWORKDAYS(B98,C98)-1</f>
        <v>9</v>
      </c>
      <c r="T98" s="1">
        <f>WORKDAY(B98,5)</f>
        <v>46287</v>
      </c>
      <c r="U98" t="b">
        <f>C98&gt;T98</f>
        <v>1</v>
      </c>
    </row>
    <row r="99" spans="1:21" x14ac:dyDescent="0.25">
      <c r="A99" t="s">
        <v>192</v>
      </c>
      <c r="B99" s="1">
        <v>46280</v>
      </c>
      <c r="C99" s="1">
        <v>46293</v>
      </c>
      <c r="D99" t="s">
        <v>193</v>
      </c>
      <c r="E99" t="s">
        <v>194</v>
      </c>
      <c r="F99" t="s">
        <v>55</v>
      </c>
      <c r="G99" t="s">
        <v>195</v>
      </c>
      <c r="H99" t="s">
        <v>196</v>
      </c>
      <c r="I99" s="2">
        <v>10</v>
      </c>
      <c r="J99" s="3">
        <v>18.5</v>
      </c>
      <c r="K99" s="4">
        <v>0</v>
      </c>
      <c r="L99" s="3">
        <v>185</v>
      </c>
      <c r="M99" t="b">
        <v>1</v>
      </c>
      <c r="N99" s="2">
        <f>YEAR(B99)</f>
        <v>2026</v>
      </c>
      <c r="O99" t="str">
        <f>INDEX(Agences!$C:$C,MATCH(F99,Agences!$A:$A,0))</f>
        <v>Est</v>
      </c>
      <c r="P99" t="str">
        <f>INDEX(Produits!$C:$C,MATCH(H99,Produits!$A:$A,0))</f>
        <v>Fournitures</v>
      </c>
      <c r="Q99" s="3">
        <f>I99*INDEX(Produits!$E:$E,MATCH(H99,Produits!$A:$A,0))</f>
        <v>94.39999999999999</v>
      </c>
      <c r="R99" s="3">
        <f>L99-Q99</f>
        <v>90.60000000000001</v>
      </c>
      <c r="S99" s="2">
        <f>NETWORKDAYS(B99,C99)-1</f>
        <v>9</v>
      </c>
      <c r="T99" s="1">
        <f>WORKDAY(B99,5)</f>
        <v>46287</v>
      </c>
      <c r="U99" t="b">
        <f>C99&gt;T99</f>
        <v>1</v>
      </c>
    </row>
    <row r="100" spans="1:21" x14ac:dyDescent="0.25">
      <c r="A100" t="s">
        <v>197</v>
      </c>
      <c r="B100" s="1">
        <v>46279</v>
      </c>
      <c r="C100" s="1">
        <v>46281</v>
      </c>
      <c r="D100" t="s">
        <v>198</v>
      </c>
      <c r="E100" t="s">
        <v>122</v>
      </c>
      <c r="F100" t="s">
        <v>24</v>
      </c>
      <c r="G100" t="s">
        <v>199</v>
      </c>
      <c r="H100" t="s">
        <v>35</v>
      </c>
      <c r="I100" s="2">
        <v>6</v>
      </c>
      <c r="J100" s="3">
        <v>79</v>
      </c>
      <c r="K100" s="4">
        <v>0.1</v>
      </c>
      <c r="L100" s="3">
        <v>426.6</v>
      </c>
      <c r="M100" t="b">
        <v>1</v>
      </c>
      <c r="N100" s="2">
        <f>YEAR(B100)</f>
        <v>2026</v>
      </c>
      <c r="O100" t="str">
        <f>INDEX(Agences!$C:$C,MATCH(F100,Agences!$A:$A,0))</f>
        <v>Nord</v>
      </c>
      <c r="P100" t="str">
        <f>INDEX(Produits!$C:$C,MATCH(H100,Produits!$A:$A,0))</f>
        <v>Mobilier</v>
      </c>
      <c r="Q100" s="3">
        <f>I100*INDEX(Produits!$E:$E,MATCH(H100,Produits!$A:$A,0))</f>
        <v>279.65999999999997</v>
      </c>
      <c r="R100" s="3">
        <f>L100-Q100</f>
        <v>146.94000000000005</v>
      </c>
      <c r="S100" s="2">
        <f>NETWORKDAYS(B100,C100)-1</f>
        <v>2</v>
      </c>
      <c r="T100" s="1">
        <f>WORKDAY(B100,5)</f>
        <v>46286</v>
      </c>
      <c r="U100" t="b">
        <f>C100&gt;T100</f>
        <v>0</v>
      </c>
    </row>
    <row r="101" spans="1:21" x14ac:dyDescent="0.25">
      <c r="A101" t="s">
        <v>197</v>
      </c>
      <c r="B101" s="1">
        <v>46279</v>
      </c>
      <c r="C101" s="1">
        <v>46281</v>
      </c>
      <c r="D101" t="s">
        <v>198</v>
      </c>
      <c r="E101" t="s">
        <v>122</v>
      </c>
      <c r="F101" t="s">
        <v>24</v>
      </c>
      <c r="G101" t="s">
        <v>199</v>
      </c>
      <c r="H101" t="s">
        <v>49</v>
      </c>
      <c r="I101" s="2">
        <v>2</v>
      </c>
      <c r="J101" s="3">
        <v>120</v>
      </c>
      <c r="K101" s="4">
        <v>0</v>
      </c>
      <c r="L101" s="3">
        <v>240</v>
      </c>
      <c r="M101" t="b">
        <v>1</v>
      </c>
      <c r="N101" s="2">
        <f>YEAR(B101)</f>
        <v>2026</v>
      </c>
      <c r="O101" t="str">
        <f>INDEX(Agences!$C:$C,MATCH(F101,Agences!$A:$A,0))</f>
        <v>Nord</v>
      </c>
      <c r="P101" t="str">
        <f>INDEX(Produits!$C:$C,MATCH(H101,Produits!$A:$A,0))</f>
        <v>Maintenance</v>
      </c>
      <c r="Q101" s="3">
        <f>I101*INDEX(Produits!$E:$E,MATCH(H101,Produits!$A:$A,0))</f>
        <v>110.4</v>
      </c>
      <c r="R101" s="3">
        <f>L101-Q101</f>
        <v>129.6</v>
      </c>
      <c r="S101" s="2">
        <f>NETWORKDAYS(B101,C101)-1</f>
        <v>2</v>
      </c>
      <c r="T101" s="1">
        <f>WORKDAY(B101,5)</f>
        <v>46286</v>
      </c>
      <c r="U101" t="b">
        <f>C101&gt;T101</f>
        <v>0</v>
      </c>
    </row>
    <row r="102" spans="1:21" x14ac:dyDescent="0.25">
      <c r="A102" t="s">
        <v>197</v>
      </c>
      <c r="B102" s="1">
        <v>46279</v>
      </c>
      <c r="C102" s="1">
        <v>46281</v>
      </c>
      <c r="D102" t="s">
        <v>198</v>
      </c>
      <c r="E102" t="s">
        <v>122</v>
      </c>
      <c r="F102" t="s">
        <v>24</v>
      </c>
      <c r="G102" t="s">
        <v>199</v>
      </c>
      <c r="H102" t="s">
        <v>72</v>
      </c>
      <c r="I102" s="2">
        <v>1</v>
      </c>
      <c r="J102" s="3">
        <v>179</v>
      </c>
      <c r="K102" s="4">
        <v>0.05</v>
      </c>
      <c r="L102" s="3">
        <v>170.05</v>
      </c>
      <c r="M102" t="b">
        <v>1</v>
      </c>
      <c r="N102" s="2">
        <f>YEAR(B102)</f>
        <v>2026</v>
      </c>
      <c r="O102" t="str">
        <f>INDEX(Agences!$C:$C,MATCH(F102,Agences!$A:$A,0))</f>
        <v>Nord</v>
      </c>
      <c r="P102" t="str">
        <f>INDEX(Produits!$C:$C,MATCH(H102,Produits!$A:$A,0))</f>
        <v>Informatique</v>
      </c>
      <c r="Q102" s="3">
        <f>I102*INDEX(Produits!$E:$E,MATCH(H102,Produits!$A:$A,0))</f>
        <v>146.78</v>
      </c>
      <c r="R102" s="3">
        <f>L102-Q102</f>
        <v>23.27000000000001</v>
      </c>
      <c r="S102" s="2">
        <f>NETWORKDAYS(B102,C102)-1</f>
        <v>2</v>
      </c>
      <c r="T102" s="1">
        <f>WORKDAY(B102,5)</f>
        <v>46286</v>
      </c>
      <c r="U102" t="b">
        <f>C102&gt;T102</f>
        <v>0</v>
      </c>
    </row>
    <row r="103" spans="1:21" x14ac:dyDescent="0.25">
      <c r="A103" t="s">
        <v>197</v>
      </c>
      <c r="B103" s="1">
        <v>46279</v>
      </c>
      <c r="C103" s="1">
        <v>46281</v>
      </c>
      <c r="D103" t="s">
        <v>198</v>
      </c>
      <c r="E103" t="s">
        <v>122</v>
      </c>
      <c r="F103" t="s">
        <v>24</v>
      </c>
      <c r="G103" t="s">
        <v>199</v>
      </c>
      <c r="H103" t="s">
        <v>51</v>
      </c>
      <c r="I103" s="2">
        <v>1</v>
      </c>
      <c r="J103" s="3">
        <v>180</v>
      </c>
      <c r="K103" s="4">
        <v>0.02</v>
      </c>
      <c r="L103" s="3">
        <v>176.4</v>
      </c>
      <c r="M103" t="b">
        <v>1</v>
      </c>
      <c r="N103" s="2">
        <f>YEAR(B103)</f>
        <v>2026</v>
      </c>
      <c r="O103" t="str">
        <f>INDEX(Agences!$C:$C,MATCH(F103,Agences!$A:$A,0))</f>
        <v>Nord</v>
      </c>
      <c r="P103" t="str">
        <f>INDEX(Produits!$C:$C,MATCH(H103,Produits!$A:$A,0))</f>
        <v>Maintenance</v>
      </c>
      <c r="Q103" s="3">
        <f>I103*INDEX(Produits!$E:$E,MATCH(H103,Produits!$A:$A,0))</f>
        <v>82.8</v>
      </c>
      <c r="R103" s="3">
        <f>L103-Q103</f>
        <v>93.60000000000001</v>
      </c>
      <c r="S103" s="2">
        <f>NETWORKDAYS(B103,C103)-1</f>
        <v>2</v>
      </c>
      <c r="T103" s="1">
        <f>WORKDAY(B103,5)</f>
        <v>46286</v>
      </c>
      <c r="U103" t="b">
        <f>C103&gt;T103</f>
        <v>0</v>
      </c>
    </row>
    <row r="104" spans="1:21" x14ac:dyDescent="0.25">
      <c r="A104" t="s">
        <v>200</v>
      </c>
      <c r="B104" s="1">
        <v>46279</v>
      </c>
      <c r="C104" s="1">
        <v>46283</v>
      </c>
      <c r="D104" t="s">
        <v>201</v>
      </c>
      <c r="E104" t="s">
        <v>202</v>
      </c>
      <c r="F104" t="s">
        <v>138</v>
      </c>
      <c r="G104" t="s">
        <v>139</v>
      </c>
      <c r="H104" t="s">
        <v>57</v>
      </c>
      <c r="I104" s="2">
        <v>1</v>
      </c>
      <c r="J104" s="3">
        <v>149</v>
      </c>
      <c r="K104" s="4">
        <v>0.05</v>
      </c>
      <c r="L104" s="3">
        <v>141.55</v>
      </c>
      <c r="M104" t="b">
        <v>1</v>
      </c>
      <c r="N104" s="2">
        <f>YEAR(B104)</f>
        <v>2026</v>
      </c>
      <c r="O104" t="str">
        <f>INDEX(Agences!$C:$C,MATCH(F104,Agences!$A:$A,0))</f>
        <v>Île-de-France</v>
      </c>
      <c r="P104" t="str">
        <f>INDEX(Produits!$C:$C,MATCH(H104,Produits!$A:$A,0))</f>
        <v>Informatique</v>
      </c>
      <c r="Q104" s="3">
        <f>I104*INDEX(Produits!$E:$E,MATCH(H104,Produits!$A:$A,0))</f>
        <v>114.73</v>
      </c>
      <c r="R104" s="3">
        <f>L104-Q104</f>
        <v>26.820000000000007</v>
      </c>
      <c r="S104" s="2">
        <f>NETWORKDAYS(B104,C104)-1</f>
        <v>4</v>
      </c>
      <c r="T104" s="1">
        <f>WORKDAY(B104,5)</f>
        <v>46286</v>
      </c>
      <c r="U104" t="b">
        <f>C104&gt;T104</f>
        <v>0</v>
      </c>
    </row>
    <row r="105" spans="1:21" x14ac:dyDescent="0.25">
      <c r="A105" t="s">
        <v>200</v>
      </c>
      <c r="B105" s="1">
        <v>46279</v>
      </c>
      <c r="C105" s="1">
        <v>46283</v>
      </c>
      <c r="D105" t="s">
        <v>201</v>
      </c>
      <c r="E105" t="s">
        <v>202</v>
      </c>
      <c r="F105" t="s">
        <v>138</v>
      </c>
      <c r="G105" t="s">
        <v>139</v>
      </c>
      <c r="H105" t="s">
        <v>90</v>
      </c>
      <c r="I105" s="2">
        <v>5</v>
      </c>
      <c r="J105" s="3">
        <v>22.9</v>
      </c>
      <c r="K105" s="4">
        <v>0</v>
      </c>
      <c r="L105" s="3">
        <v>114.5</v>
      </c>
      <c r="M105" t="b">
        <v>1</v>
      </c>
      <c r="N105" s="2">
        <f>YEAR(B105)</f>
        <v>2026</v>
      </c>
      <c r="O105" t="str">
        <f>INDEX(Agences!$C:$C,MATCH(F105,Agences!$A:$A,0))</f>
        <v>Île-de-France</v>
      </c>
      <c r="P105" t="str">
        <f>INDEX(Produits!$C:$C,MATCH(H105,Produits!$A:$A,0))</f>
        <v>Fournitures</v>
      </c>
      <c r="Q105" s="3">
        <f>I105*INDEX(Produits!$E:$E,MATCH(H105,Produits!$A:$A,0))</f>
        <v>64.1</v>
      </c>
      <c r="R105" s="3">
        <f>L105-Q105</f>
        <v>50.400000000000006</v>
      </c>
      <c r="S105" s="2">
        <f>NETWORKDAYS(B105,C105)-1</f>
        <v>4</v>
      </c>
      <c r="T105" s="1">
        <f>WORKDAY(B105,5)</f>
        <v>46286</v>
      </c>
      <c r="U105" t="b">
        <f>C105&gt;T105</f>
        <v>0</v>
      </c>
    </row>
    <row r="106" spans="1:21" x14ac:dyDescent="0.25">
      <c r="A106" t="s">
        <v>203</v>
      </c>
      <c r="B106" s="1">
        <v>46279</v>
      </c>
      <c r="C106" s="1">
        <v>46280</v>
      </c>
      <c r="D106" t="s">
        <v>204</v>
      </c>
      <c r="E106" t="s">
        <v>93</v>
      </c>
      <c r="F106" t="s">
        <v>94</v>
      </c>
      <c r="G106" t="s">
        <v>154</v>
      </c>
      <c r="H106" t="s">
        <v>205</v>
      </c>
      <c r="I106" s="2">
        <v>3</v>
      </c>
      <c r="J106" s="3">
        <v>359</v>
      </c>
      <c r="K106" s="4">
        <v>0</v>
      </c>
      <c r="L106" s="3">
        <v>1077</v>
      </c>
      <c r="M106" t="b">
        <v>1</v>
      </c>
      <c r="N106" s="2">
        <f>YEAR(B106)</f>
        <v>2026</v>
      </c>
      <c r="O106" t="str">
        <f>INDEX(Agences!$C:$C,MATCH(F106,Agences!$A:$A,0))</f>
        <v>Méditerranée</v>
      </c>
      <c r="P106" t="str">
        <f>INDEX(Produits!$C:$C,MATCH(H106,Produits!$A:$A,0))</f>
        <v>Mobilier</v>
      </c>
      <c r="Q106" s="3">
        <f>I106*INDEX(Produits!$E:$E,MATCH(H106,Produits!$A:$A,0))</f>
        <v>613.89</v>
      </c>
      <c r="R106" s="3">
        <f>L106-Q106</f>
        <v>463.11</v>
      </c>
      <c r="S106" s="2">
        <f>NETWORKDAYS(B106,C106)-1</f>
        <v>1</v>
      </c>
      <c r="T106" s="1">
        <f>WORKDAY(B106,5)</f>
        <v>46286</v>
      </c>
      <c r="U106" t="b">
        <f>C106&gt;T106</f>
        <v>0</v>
      </c>
    </row>
    <row r="107" spans="1:21" x14ac:dyDescent="0.25">
      <c r="A107" t="s">
        <v>203</v>
      </c>
      <c r="B107" s="1">
        <v>46279</v>
      </c>
      <c r="C107" s="1">
        <v>46280</v>
      </c>
      <c r="D107" t="s">
        <v>204</v>
      </c>
      <c r="E107" t="s">
        <v>93</v>
      </c>
      <c r="F107" t="s">
        <v>94</v>
      </c>
      <c r="G107" t="s">
        <v>154</v>
      </c>
      <c r="H107" t="s">
        <v>206</v>
      </c>
      <c r="I107" s="2">
        <v>15</v>
      </c>
      <c r="J107" s="3">
        <v>34</v>
      </c>
      <c r="K107" s="4">
        <v>0.05</v>
      </c>
      <c r="L107" s="3">
        <v>484.5</v>
      </c>
      <c r="M107" t="b">
        <v>1</v>
      </c>
      <c r="N107" s="2">
        <f>YEAR(B107)</f>
        <v>2026</v>
      </c>
      <c r="O107" t="str">
        <f>INDEX(Agences!$C:$C,MATCH(F107,Agences!$A:$A,0))</f>
        <v>Méditerranée</v>
      </c>
      <c r="P107" t="str">
        <f>INDEX(Produits!$C:$C,MATCH(H107,Produits!$A:$A,0))</f>
        <v>Fournitures</v>
      </c>
      <c r="Q107" s="3">
        <f>I107*INDEX(Produits!$E:$E,MATCH(H107,Produits!$A:$A,0))</f>
        <v>290.7</v>
      </c>
      <c r="R107" s="3">
        <f>L107-Q107</f>
        <v>193.8</v>
      </c>
      <c r="S107" s="2">
        <f>NETWORKDAYS(B107,C107)-1</f>
        <v>1</v>
      </c>
      <c r="T107" s="1">
        <f>WORKDAY(B107,5)</f>
        <v>46286</v>
      </c>
      <c r="U107" t="b">
        <f>C107&gt;T107</f>
        <v>0</v>
      </c>
    </row>
    <row r="108" spans="1:21" x14ac:dyDescent="0.25">
      <c r="A108" t="s">
        <v>207</v>
      </c>
      <c r="B108" s="1">
        <v>46276</v>
      </c>
      <c r="C108" s="1">
        <v>46279</v>
      </c>
      <c r="D108" t="s">
        <v>208</v>
      </c>
      <c r="E108" t="s">
        <v>209</v>
      </c>
      <c r="F108" t="s">
        <v>99</v>
      </c>
      <c r="G108" t="s">
        <v>210</v>
      </c>
      <c r="H108" t="s">
        <v>42</v>
      </c>
      <c r="I108" s="2">
        <v>1</v>
      </c>
      <c r="J108" s="3">
        <v>55</v>
      </c>
      <c r="K108" s="4">
        <v>0.05</v>
      </c>
      <c r="L108" s="3">
        <v>52.25</v>
      </c>
      <c r="M108" t="b">
        <v>1</v>
      </c>
      <c r="N108" s="2">
        <f>YEAR(B108)</f>
        <v>2026</v>
      </c>
      <c r="O108" t="str">
        <f>INDEX(Agences!$C:$C,MATCH(F108,Agences!$A:$A,0))</f>
        <v>Nord</v>
      </c>
      <c r="P108" t="str">
        <f>INDEX(Produits!$C:$C,MATCH(H108,Produits!$A:$A,0))</f>
        <v>Maintenance</v>
      </c>
      <c r="Q108" s="3">
        <f>I108*INDEX(Produits!$E:$E,MATCH(H108,Produits!$A:$A,0))</f>
        <v>24.75</v>
      </c>
      <c r="R108" s="3">
        <f>L108-Q108</f>
        <v>27.5</v>
      </c>
      <c r="S108" s="2">
        <f>NETWORKDAYS(B108,C108)-1</f>
        <v>1</v>
      </c>
      <c r="T108" s="1">
        <f>WORKDAY(B108,5)</f>
        <v>46283</v>
      </c>
      <c r="U108" t="b">
        <f>C108&gt;T108</f>
        <v>0</v>
      </c>
    </row>
    <row r="109" spans="1:21" x14ac:dyDescent="0.25">
      <c r="A109" t="s">
        <v>207</v>
      </c>
      <c r="B109" s="1">
        <v>46276</v>
      </c>
      <c r="C109" s="1">
        <v>46279</v>
      </c>
      <c r="D109" t="s">
        <v>208</v>
      </c>
      <c r="E109" t="s">
        <v>209</v>
      </c>
      <c r="F109" t="s">
        <v>99</v>
      </c>
      <c r="G109" t="s">
        <v>210</v>
      </c>
      <c r="H109" t="s">
        <v>50</v>
      </c>
      <c r="I109" s="2">
        <v>4</v>
      </c>
      <c r="J109" s="3">
        <v>69</v>
      </c>
      <c r="K109" s="4">
        <v>0.05</v>
      </c>
      <c r="L109" s="3">
        <v>262.2</v>
      </c>
      <c r="M109" t="b">
        <v>1</v>
      </c>
      <c r="N109" s="2">
        <f>YEAR(B109)</f>
        <v>2026</v>
      </c>
      <c r="O109" t="str">
        <f>INDEX(Agences!$C:$C,MATCH(F109,Agences!$A:$A,0))</f>
        <v>Nord</v>
      </c>
      <c r="P109" t="str">
        <f>INDEX(Produits!$C:$C,MATCH(H109,Produits!$A:$A,0))</f>
        <v>Informatique</v>
      </c>
      <c r="Q109" s="3">
        <f>I109*INDEX(Produits!$E:$E,MATCH(H109,Produits!$A:$A,0))</f>
        <v>218.04</v>
      </c>
      <c r="R109" s="3">
        <f>L109-Q109</f>
        <v>44.16</v>
      </c>
      <c r="S109" s="2">
        <f>NETWORKDAYS(B109,C109)-1</f>
        <v>1</v>
      </c>
      <c r="T109" s="1">
        <f>WORKDAY(B109,5)</f>
        <v>46283</v>
      </c>
      <c r="U109" t="b">
        <f>C109&gt;T109</f>
        <v>0</v>
      </c>
    </row>
    <row r="110" spans="1:21" x14ac:dyDescent="0.25">
      <c r="A110" t="s">
        <v>211</v>
      </c>
      <c r="B110" s="1">
        <v>46276</v>
      </c>
      <c r="C110" s="1">
        <v>46283</v>
      </c>
      <c r="D110" t="s">
        <v>212</v>
      </c>
      <c r="E110" t="s">
        <v>213</v>
      </c>
      <c r="F110" t="s">
        <v>138</v>
      </c>
      <c r="G110" t="s">
        <v>214</v>
      </c>
      <c r="H110" t="s">
        <v>57</v>
      </c>
      <c r="I110" s="2">
        <v>1</v>
      </c>
      <c r="J110" s="3">
        <v>149</v>
      </c>
      <c r="K110" s="4">
        <v>0.05</v>
      </c>
      <c r="L110" s="3">
        <v>141.55</v>
      </c>
      <c r="M110" t="b">
        <v>1</v>
      </c>
      <c r="N110" s="2">
        <f>YEAR(B110)</f>
        <v>2026</v>
      </c>
      <c r="O110" t="str">
        <f>INDEX(Agences!$C:$C,MATCH(F110,Agences!$A:$A,0))</f>
        <v>Île-de-France</v>
      </c>
      <c r="P110" t="str">
        <f>INDEX(Produits!$C:$C,MATCH(H110,Produits!$A:$A,0))</f>
        <v>Informatique</v>
      </c>
      <c r="Q110" s="3">
        <f>I110*INDEX(Produits!$E:$E,MATCH(H110,Produits!$A:$A,0))</f>
        <v>114.73</v>
      </c>
      <c r="R110" s="3">
        <f>L110-Q110</f>
        <v>26.820000000000007</v>
      </c>
      <c r="S110" s="2">
        <f>NETWORKDAYS(B110,C110)-1</f>
        <v>5</v>
      </c>
      <c r="T110" s="1">
        <f>WORKDAY(B110,5)</f>
        <v>46283</v>
      </c>
      <c r="U110" t="b">
        <f>C110&gt;T110</f>
        <v>0</v>
      </c>
    </row>
    <row r="111" spans="1:21" x14ac:dyDescent="0.25">
      <c r="A111" t="s">
        <v>211</v>
      </c>
      <c r="B111" s="1">
        <v>46276</v>
      </c>
      <c r="C111" s="1">
        <v>46283</v>
      </c>
      <c r="D111" t="s">
        <v>212</v>
      </c>
      <c r="E111" t="s">
        <v>213</v>
      </c>
      <c r="F111" t="s">
        <v>138</v>
      </c>
      <c r="G111" t="s">
        <v>214</v>
      </c>
      <c r="H111" t="s">
        <v>34</v>
      </c>
      <c r="I111" s="2">
        <v>2</v>
      </c>
      <c r="J111" s="3">
        <v>340</v>
      </c>
      <c r="K111" s="4">
        <v>0.05</v>
      </c>
      <c r="L111" s="3">
        <v>646</v>
      </c>
      <c r="M111" t="b">
        <v>1</v>
      </c>
      <c r="N111" s="2">
        <f>YEAR(B111)</f>
        <v>2026</v>
      </c>
      <c r="O111" t="str">
        <f>INDEX(Agences!$C:$C,MATCH(F111,Agences!$A:$A,0))</f>
        <v>Île-de-France</v>
      </c>
      <c r="P111" t="str">
        <f>INDEX(Produits!$C:$C,MATCH(H111,Produits!$A:$A,0))</f>
        <v>Informatique</v>
      </c>
      <c r="Q111" s="3">
        <f>I111*INDEX(Produits!$E:$E,MATCH(H111,Produits!$A:$A,0))</f>
        <v>550.8</v>
      </c>
      <c r="R111" s="3">
        <f>L111-Q111</f>
        <v>95.20000000000005</v>
      </c>
      <c r="S111" s="2">
        <f>NETWORKDAYS(B111,C111)-1</f>
        <v>5</v>
      </c>
      <c r="T111" s="1">
        <f>WORKDAY(B111,5)</f>
        <v>46283</v>
      </c>
      <c r="U111" t="b">
        <f>C111&gt;T111</f>
        <v>0</v>
      </c>
    </row>
    <row r="112" spans="1:21" x14ac:dyDescent="0.25">
      <c r="A112" t="s">
        <v>211</v>
      </c>
      <c r="B112" s="1">
        <v>46276</v>
      </c>
      <c r="C112" s="1">
        <v>46283</v>
      </c>
      <c r="D112" t="s">
        <v>212</v>
      </c>
      <c r="E112" t="s">
        <v>213</v>
      </c>
      <c r="F112" t="s">
        <v>138</v>
      </c>
      <c r="G112" t="s">
        <v>214</v>
      </c>
      <c r="H112" t="s">
        <v>83</v>
      </c>
      <c r="I112" s="2">
        <v>4</v>
      </c>
      <c r="J112" s="3">
        <v>49</v>
      </c>
      <c r="K112" s="4">
        <v>0.08</v>
      </c>
      <c r="L112" s="3">
        <v>180.32</v>
      </c>
      <c r="M112" t="b">
        <v>1</v>
      </c>
      <c r="N112" s="2">
        <f>YEAR(B112)</f>
        <v>2026</v>
      </c>
      <c r="O112" t="str">
        <f>INDEX(Agences!$C:$C,MATCH(F112,Agences!$A:$A,0))</f>
        <v>Île-de-France</v>
      </c>
      <c r="P112" t="str">
        <f>INDEX(Produits!$C:$C,MATCH(H112,Produits!$A:$A,0))</f>
        <v>Mobilier</v>
      </c>
      <c r="Q112" s="3">
        <f>I112*INDEX(Produits!$E:$E,MATCH(H112,Produits!$A:$A,0))</f>
        <v>113.68</v>
      </c>
      <c r="R112" s="3">
        <f>L112-Q112</f>
        <v>66.63999999999999</v>
      </c>
      <c r="S112" s="2">
        <f>NETWORKDAYS(B112,C112)-1</f>
        <v>5</v>
      </c>
      <c r="T112" s="1">
        <f>WORKDAY(B112,5)</f>
        <v>46283</v>
      </c>
      <c r="U112" t="b">
        <f>C112&gt;T112</f>
        <v>0</v>
      </c>
    </row>
    <row r="113" spans="1:21" x14ac:dyDescent="0.25">
      <c r="A113" t="s">
        <v>211</v>
      </c>
      <c r="B113" s="1">
        <v>46276</v>
      </c>
      <c r="C113" s="1">
        <v>46283</v>
      </c>
      <c r="D113" t="s">
        <v>212</v>
      </c>
      <c r="E113" t="s">
        <v>213</v>
      </c>
      <c r="F113" t="s">
        <v>138</v>
      </c>
      <c r="G113" t="s">
        <v>214</v>
      </c>
      <c r="H113" t="s">
        <v>196</v>
      </c>
      <c r="I113" s="2">
        <v>15</v>
      </c>
      <c r="J113" s="3">
        <v>18.5</v>
      </c>
      <c r="K113" s="4">
        <v>0</v>
      </c>
      <c r="L113" s="3">
        <v>277.5</v>
      </c>
      <c r="M113" t="b">
        <v>1</v>
      </c>
      <c r="N113" s="2">
        <f>YEAR(B113)</f>
        <v>2026</v>
      </c>
      <c r="O113" t="str">
        <f>INDEX(Agences!$C:$C,MATCH(F113,Agences!$A:$A,0))</f>
        <v>Île-de-France</v>
      </c>
      <c r="P113" t="str">
        <f>INDEX(Produits!$C:$C,MATCH(H113,Produits!$A:$A,0))</f>
        <v>Fournitures</v>
      </c>
      <c r="Q113" s="3">
        <f>I113*INDEX(Produits!$E:$E,MATCH(H113,Produits!$A:$A,0))</f>
        <v>141.6</v>
      </c>
      <c r="R113" s="3">
        <f>L113-Q113</f>
        <v>135.9</v>
      </c>
      <c r="S113" s="2">
        <f>NETWORKDAYS(B113,C113)-1</f>
        <v>5</v>
      </c>
      <c r="T113" s="1">
        <f>WORKDAY(B113,5)</f>
        <v>46283</v>
      </c>
      <c r="U113" t="b">
        <f>C113&gt;T113</f>
        <v>0</v>
      </c>
    </row>
    <row r="114" spans="1:21" x14ac:dyDescent="0.25">
      <c r="A114" t="s">
        <v>211</v>
      </c>
      <c r="B114" s="1">
        <v>46276</v>
      </c>
      <c r="C114" s="1">
        <v>46283</v>
      </c>
      <c r="D114" t="s">
        <v>212</v>
      </c>
      <c r="E114" t="s">
        <v>213</v>
      </c>
      <c r="F114" t="s">
        <v>138</v>
      </c>
      <c r="G114" t="s">
        <v>214</v>
      </c>
      <c r="H114" t="s">
        <v>79</v>
      </c>
      <c r="I114" s="2">
        <v>5</v>
      </c>
      <c r="J114" s="3">
        <v>14.9</v>
      </c>
      <c r="K114" s="4">
        <v>0</v>
      </c>
      <c r="L114" s="3">
        <v>74.5</v>
      </c>
      <c r="M114" t="b">
        <v>1</v>
      </c>
      <c r="N114" s="2">
        <f>YEAR(B114)</f>
        <v>2026</v>
      </c>
      <c r="O114" t="str">
        <f>INDEX(Agences!$C:$C,MATCH(F114,Agences!$A:$A,0))</f>
        <v>Île-de-France</v>
      </c>
      <c r="P114" t="str">
        <f>INDEX(Produits!$C:$C,MATCH(H114,Produits!$A:$A,0))</f>
        <v>Fournitures</v>
      </c>
      <c r="Q114" s="3">
        <f>I114*INDEX(Produits!$E:$E,MATCH(H114,Produits!$A:$A,0))</f>
        <v>40.25</v>
      </c>
      <c r="R114" s="3">
        <f>L114-Q114</f>
        <v>34.25</v>
      </c>
      <c r="S114" s="2">
        <f>NETWORKDAYS(B114,C114)-1</f>
        <v>5</v>
      </c>
      <c r="T114" s="1">
        <f>WORKDAY(B114,5)</f>
        <v>46283</v>
      </c>
      <c r="U114" t="b">
        <f>C114&gt;T114</f>
        <v>0</v>
      </c>
    </row>
    <row r="115" spans="1:21" x14ac:dyDescent="0.25">
      <c r="A115" t="s">
        <v>215</v>
      </c>
      <c r="B115" s="1">
        <v>46276</v>
      </c>
      <c r="C115" s="1">
        <v>46280</v>
      </c>
      <c r="D115" t="s">
        <v>216</v>
      </c>
      <c r="E115" t="s">
        <v>202</v>
      </c>
      <c r="F115" t="s">
        <v>138</v>
      </c>
      <c r="G115" t="s">
        <v>214</v>
      </c>
      <c r="H115" t="s">
        <v>103</v>
      </c>
      <c r="I115" s="2">
        <v>7</v>
      </c>
      <c r="J115" s="3">
        <v>245</v>
      </c>
      <c r="K115" s="4">
        <v>0.05</v>
      </c>
      <c r="L115" s="3">
        <v>1629.25</v>
      </c>
      <c r="M115" t="b">
        <v>1</v>
      </c>
      <c r="N115" s="2">
        <f>YEAR(B115)</f>
        <v>2026</v>
      </c>
      <c r="O115" t="str">
        <f>INDEX(Agences!$C:$C,MATCH(F115,Agences!$A:$A,0))</f>
        <v>Île-de-France</v>
      </c>
      <c r="P115" t="str">
        <f>INDEX(Produits!$C:$C,MATCH(H115,Produits!$A:$A,0))</f>
        <v>Mobilier</v>
      </c>
      <c r="Q115" s="3">
        <f>I115*INDEX(Produits!$E:$E,MATCH(H115,Produits!$A:$A,0))</f>
        <v>1149.05</v>
      </c>
      <c r="R115" s="3">
        <f>L115-Q115</f>
        <v>480.20000000000005</v>
      </c>
      <c r="S115" s="2">
        <f>NETWORKDAYS(B115,C115)-1</f>
        <v>2</v>
      </c>
      <c r="T115" s="1">
        <f>WORKDAY(B115,5)</f>
        <v>46283</v>
      </c>
      <c r="U115" t="b">
        <f>C115&gt;T115</f>
        <v>0</v>
      </c>
    </row>
    <row r="116" spans="1:21" x14ac:dyDescent="0.25">
      <c r="A116" t="s">
        <v>215</v>
      </c>
      <c r="B116" s="1">
        <v>46276</v>
      </c>
      <c r="C116" s="1">
        <v>46280</v>
      </c>
      <c r="D116" t="s">
        <v>216</v>
      </c>
      <c r="E116" t="s">
        <v>202</v>
      </c>
      <c r="F116" t="s">
        <v>138</v>
      </c>
      <c r="G116" t="s">
        <v>214</v>
      </c>
      <c r="H116" t="s">
        <v>49</v>
      </c>
      <c r="I116" s="2">
        <v>1</v>
      </c>
      <c r="J116" s="3">
        <v>120</v>
      </c>
      <c r="K116" s="4">
        <v>0</v>
      </c>
      <c r="L116" s="3">
        <v>120</v>
      </c>
      <c r="M116" t="b">
        <v>1</v>
      </c>
      <c r="N116" s="2">
        <f>YEAR(B116)</f>
        <v>2026</v>
      </c>
      <c r="O116" t="str">
        <f>INDEX(Agences!$C:$C,MATCH(F116,Agences!$A:$A,0))</f>
        <v>Île-de-France</v>
      </c>
      <c r="P116" t="str">
        <f>INDEX(Produits!$C:$C,MATCH(H116,Produits!$A:$A,0))</f>
        <v>Maintenance</v>
      </c>
      <c r="Q116" s="3">
        <f>I116*INDEX(Produits!$E:$E,MATCH(H116,Produits!$A:$A,0))</f>
        <v>55.2</v>
      </c>
      <c r="R116" s="3">
        <f>L116-Q116</f>
        <v>64.8</v>
      </c>
      <c r="S116" s="2">
        <f>NETWORKDAYS(B116,C116)-1</f>
        <v>2</v>
      </c>
      <c r="T116" s="1">
        <f>WORKDAY(B116,5)</f>
        <v>46283</v>
      </c>
      <c r="U116" t="b">
        <f>C116&gt;T116</f>
        <v>0</v>
      </c>
    </row>
    <row r="117" spans="1:21" x14ac:dyDescent="0.25">
      <c r="A117" t="s">
        <v>215</v>
      </c>
      <c r="B117" s="1">
        <v>46276</v>
      </c>
      <c r="C117" s="1">
        <v>46280</v>
      </c>
      <c r="D117" t="s">
        <v>216</v>
      </c>
      <c r="E117" t="s">
        <v>202</v>
      </c>
      <c r="F117" t="s">
        <v>138</v>
      </c>
      <c r="G117" t="s">
        <v>214</v>
      </c>
      <c r="H117" t="s">
        <v>34</v>
      </c>
      <c r="I117" s="2">
        <v>1</v>
      </c>
      <c r="J117" s="3">
        <v>340</v>
      </c>
      <c r="K117" s="4">
        <v>0.05</v>
      </c>
      <c r="L117" s="3">
        <v>323</v>
      </c>
      <c r="M117" t="b">
        <v>1</v>
      </c>
      <c r="N117" s="2">
        <f>YEAR(B117)</f>
        <v>2026</v>
      </c>
      <c r="O117" t="str">
        <f>INDEX(Agences!$C:$C,MATCH(F117,Agences!$A:$A,0))</f>
        <v>Île-de-France</v>
      </c>
      <c r="P117" t="str">
        <f>INDEX(Produits!$C:$C,MATCH(H117,Produits!$A:$A,0))</f>
        <v>Informatique</v>
      </c>
      <c r="Q117" s="3">
        <f>I117*INDEX(Produits!$E:$E,MATCH(H117,Produits!$A:$A,0))</f>
        <v>275.4</v>
      </c>
      <c r="R117" s="3">
        <f>L117-Q117</f>
        <v>47.60000000000002</v>
      </c>
      <c r="S117" s="2">
        <f>NETWORKDAYS(B117,C117)-1</f>
        <v>2</v>
      </c>
      <c r="T117" s="1">
        <f>WORKDAY(B117,5)</f>
        <v>46283</v>
      </c>
      <c r="U117" t="b">
        <f>C117&gt;T117</f>
        <v>0</v>
      </c>
    </row>
    <row r="118" spans="1:21" x14ac:dyDescent="0.25">
      <c r="A118" t="s">
        <v>215</v>
      </c>
      <c r="B118" s="1">
        <v>46276</v>
      </c>
      <c r="C118" s="1">
        <v>46280</v>
      </c>
      <c r="D118" t="s">
        <v>216</v>
      </c>
      <c r="E118" t="s">
        <v>202</v>
      </c>
      <c r="F118" t="s">
        <v>138</v>
      </c>
      <c r="G118" t="s">
        <v>214</v>
      </c>
      <c r="H118" t="s">
        <v>217</v>
      </c>
      <c r="I118" s="2">
        <v>1</v>
      </c>
      <c r="J118" s="3">
        <v>1090</v>
      </c>
      <c r="K118" s="4">
        <v>0.05</v>
      </c>
      <c r="L118" s="3">
        <v>1035.5</v>
      </c>
      <c r="M118" t="b">
        <v>1</v>
      </c>
      <c r="N118" s="2">
        <f>YEAR(B118)</f>
        <v>2026</v>
      </c>
      <c r="O118" t="str">
        <f>INDEX(Agences!$C:$C,MATCH(F118,Agences!$A:$A,0))</f>
        <v>Île-de-France</v>
      </c>
      <c r="P118" t="str">
        <f>INDEX(Produits!$C:$C,MATCH(H118,Produits!$A:$A,0))</f>
        <v>Informatique</v>
      </c>
      <c r="Q118" s="3">
        <f>I118*INDEX(Produits!$E:$E,MATCH(H118,Produits!$A:$A,0))</f>
        <v>817.5</v>
      </c>
      <c r="R118" s="3">
        <f>L118-Q118</f>
        <v>218</v>
      </c>
      <c r="S118" s="2">
        <f>NETWORKDAYS(B118,C118)-1</f>
        <v>2</v>
      </c>
      <c r="T118" s="1">
        <f>WORKDAY(B118,5)</f>
        <v>46283</v>
      </c>
      <c r="U118" t="b">
        <f>C118&gt;T118</f>
        <v>0</v>
      </c>
    </row>
    <row r="119" spans="1:21" x14ac:dyDescent="0.25">
      <c r="A119" t="s">
        <v>218</v>
      </c>
      <c r="B119" s="1">
        <v>46275</v>
      </c>
      <c r="C119" s="1">
        <v>46280</v>
      </c>
      <c r="D119" t="s">
        <v>219</v>
      </c>
      <c r="E119" t="s">
        <v>213</v>
      </c>
      <c r="F119" t="s">
        <v>138</v>
      </c>
      <c r="G119" t="s">
        <v>220</v>
      </c>
      <c r="H119" t="s">
        <v>51</v>
      </c>
      <c r="I119" s="2">
        <v>1</v>
      </c>
      <c r="J119" s="3">
        <v>180</v>
      </c>
      <c r="K119" s="4">
        <v>0</v>
      </c>
      <c r="L119" s="3">
        <v>180</v>
      </c>
      <c r="M119" t="b">
        <v>1</v>
      </c>
      <c r="N119" s="2">
        <f>YEAR(B119)</f>
        <v>2026</v>
      </c>
      <c r="O119" t="str">
        <f>INDEX(Agences!$C:$C,MATCH(F119,Agences!$A:$A,0))</f>
        <v>Île-de-France</v>
      </c>
      <c r="P119" t="str">
        <f>INDEX(Produits!$C:$C,MATCH(H119,Produits!$A:$A,0))</f>
        <v>Maintenance</v>
      </c>
      <c r="Q119" s="3">
        <f>I119*INDEX(Produits!$E:$E,MATCH(H119,Produits!$A:$A,0))</f>
        <v>82.8</v>
      </c>
      <c r="R119" s="3">
        <f>L119-Q119</f>
        <v>97.2</v>
      </c>
      <c r="S119" s="2">
        <f>NETWORKDAYS(B119,C119)-1</f>
        <v>3</v>
      </c>
      <c r="T119" s="1">
        <f>WORKDAY(B119,5)</f>
        <v>46282</v>
      </c>
      <c r="U119" t="b">
        <f>C119&gt;T119</f>
        <v>0</v>
      </c>
    </row>
    <row r="120" spans="1:21" x14ac:dyDescent="0.25">
      <c r="A120" t="s">
        <v>218</v>
      </c>
      <c r="B120" s="1">
        <v>46275</v>
      </c>
      <c r="C120" s="1">
        <v>46280</v>
      </c>
      <c r="D120" t="s">
        <v>219</v>
      </c>
      <c r="E120" t="s">
        <v>213</v>
      </c>
      <c r="F120" t="s">
        <v>138</v>
      </c>
      <c r="G120" t="s">
        <v>220</v>
      </c>
      <c r="H120" t="s">
        <v>161</v>
      </c>
      <c r="I120" s="2">
        <v>10</v>
      </c>
      <c r="J120" s="3">
        <v>32</v>
      </c>
      <c r="K120" s="4">
        <v>0</v>
      </c>
      <c r="L120" s="3">
        <v>320</v>
      </c>
      <c r="M120" t="b">
        <v>1</v>
      </c>
      <c r="N120" s="2">
        <f>YEAR(B120)</f>
        <v>2026</v>
      </c>
      <c r="O120" t="str">
        <f>INDEX(Agences!$C:$C,MATCH(F120,Agences!$A:$A,0))</f>
        <v>Île-de-France</v>
      </c>
      <c r="P120" t="str">
        <f>INDEX(Produits!$C:$C,MATCH(H120,Produits!$A:$A,0))</f>
        <v>Fournitures</v>
      </c>
      <c r="Q120" s="3">
        <f>I120*INDEX(Produits!$E:$E,MATCH(H120,Produits!$A:$A,0))</f>
        <v>176</v>
      </c>
      <c r="R120" s="3">
        <f>L120-Q120</f>
        <v>144</v>
      </c>
      <c r="S120" s="2">
        <f>NETWORKDAYS(B120,C120)-1</f>
        <v>3</v>
      </c>
      <c r="T120" s="1">
        <f>WORKDAY(B120,5)</f>
        <v>46282</v>
      </c>
      <c r="U120" t="b">
        <f>C120&gt;T120</f>
        <v>0</v>
      </c>
    </row>
    <row r="121" spans="1:21" x14ac:dyDescent="0.25">
      <c r="A121" t="s">
        <v>221</v>
      </c>
      <c r="B121" s="1">
        <v>46275</v>
      </c>
      <c r="C121" s="1">
        <v>46281</v>
      </c>
      <c r="D121" t="s">
        <v>222</v>
      </c>
      <c r="E121" t="s">
        <v>165</v>
      </c>
      <c r="F121" t="s">
        <v>166</v>
      </c>
      <c r="G121" t="s">
        <v>167</v>
      </c>
      <c r="H121" t="s">
        <v>33</v>
      </c>
      <c r="I121" s="2">
        <v>2</v>
      </c>
      <c r="J121" s="3">
        <v>219</v>
      </c>
      <c r="K121" s="4">
        <v>0</v>
      </c>
      <c r="L121" s="3">
        <v>438</v>
      </c>
      <c r="M121" t="b">
        <v>1</v>
      </c>
      <c r="N121" s="2">
        <f>YEAR(B121)</f>
        <v>2026</v>
      </c>
      <c r="O121" t="str">
        <f>INDEX(Agences!$C:$C,MATCH(F121,Agences!$A:$A,0))</f>
        <v>Ouest</v>
      </c>
      <c r="P121" t="str">
        <f>INDEX(Produits!$C:$C,MATCH(H121,Produits!$A:$A,0))</f>
        <v>Informatique</v>
      </c>
      <c r="Q121" s="3">
        <f>I121*INDEX(Produits!$E:$E,MATCH(H121,Produits!$A:$A,0))</f>
        <v>359.16</v>
      </c>
      <c r="R121" s="3">
        <f>L121-Q121</f>
        <v>78.83999999999997</v>
      </c>
      <c r="S121" s="2">
        <f>NETWORKDAYS(B121,C121)-1</f>
        <v>4</v>
      </c>
      <c r="T121" s="1">
        <f>WORKDAY(B121,5)</f>
        <v>46282</v>
      </c>
      <c r="U121" t="b">
        <f>C121&gt;T121</f>
        <v>0</v>
      </c>
    </row>
    <row r="122" spans="1:21" x14ac:dyDescent="0.25">
      <c r="A122" t="s">
        <v>221</v>
      </c>
      <c r="B122" s="1">
        <v>46275</v>
      </c>
      <c r="C122" s="1">
        <v>46281</v>
      </c>
      <c r="D122" t="s">
        <v>222</v>
      </c>
      <c r="E122" t="s">
        <v>165</v>
      </c>
      <c r="F122" t="s">
        <v>166</v>
      </c>
      <c r="G122" t="s">
        <v>167</v>
      </c>
      <c r="H122" t="s">
        <v>48</v>
      </c>
      <c r="I122" s="2">
        <v>1</v>
      </c>
      <c r="J122" s="3">
        <v>165</v>
      </c>
      <c r="K122" s="4">
        <v>0</v>
      </c>
      <c r="L122" s="3">
        <v>165</v>
      </c>
      <c r="M122" t="b">
        <v>1</v>
      </c>
      <c r="N122" s="2">
        <f>YEAR(B122)</f>
        <v>2026</v>
      </c>
      <c r="O122" t="str">
        <f>INDEX(Agences!$C:$C,MATCH(F122,Agences!$A:$A,0))</f>
        <v>Ouest</v>
      </c>
      <c r="P122" t="str">
        <f>INDEX(Produits!$C:$C,MATCH(H122,Produits!$A:$A,0))</f>
        <v>Mobilier</v>
      </c>
      <c r="Q122" s="3">
        <f>I122*INDEX(Produits!$E:$E,MATCH(H122,Produits!$A:$A,0))</f>
        <v>107.25</v>
      </c>
      <c r="R122" s="3">
        <f>L122-Q122</f>
        <v>57.75</v>
      </c>
      <c r="S122" s="2">
        <f>NETWORKDAYS(B122,C122)-1</f>
        <v>4</v>
      </c>
      <c r="T122" s="1">
        <f>WORKDAY(B122,5)</f>
        <v>46282</v>
      </c>
      <c r="U122" t="b">
        <f>C122&gt;T122</f>
        <v>0</v>
      </c>
    </row>
    <row r="123" spans="1:21" x14ac:dyDescent="0.25">
      <c r="A123" t="s">
        <v>221</v>
      </c>
      <c r="B123" s="1">
        <v>46275</v>
      </c>
      <c r="C123" s="1">
        <v>46281</v>
      </c>
      <c r="D123" t="s">
        <v>222</v>
      </c>
      <c r="E123" t="s">
        <v>165</v>
      </c>
      <c r="F123" t="s">
        <v>166</v>
      </c>
      <c r="G123" t="s">
        <v>167</v>
      </c>
      <c r="H123" t="s">
        <v>64</v>
      </c>
      <c r="I123" s="2">
        <v>10</v>
      </c>
      <c r="J123" s="3">
        <v>16.8</v>
      </c>
      <c r="K123" s="4">
        <v>0.02</v>
      </c>
      <c r="L123" s="3">
        <v>164.64</v>
      </c>
      <c r="M123" t="b">
        <v>1</v>
      </c>
      <c r="N123" s="2">
        <f>YEAR(B123)</f>
        <v>2026</v>
      </c>
      <c r="O123" t="str">
        <f>INDEX(Agences!$C:$C,MATCH(F123,Agences!$A:$A,0))</f>
        <v>Ouest</v>
      </c>
      <c r="P123" t="str">
        <f>INDEX(Produits!$C:$C,MATCH(H123,Produits!$A:$A,0))</f>
        <v>Fournitures</v>
      </c>
      <c r="Q123" s="3">
        <f>I123*INDEX(Produits!$E:$E,MATCH(H123,Produits!$A:$A,0))</f>
        <v>87.4</v>
      </c>
      <c r="R123" s="3">
        <f>L123-Q123</f>
        <v>77.23999999999998</v>
      </c>
      <c r="S123" s="2">
        <f>NETWORKDAYS(B123,C123)-1</f>
        <v>4</v>
      </c>
      <c r="T123" s="1">
        <f>WORKDAY(B123,5)</f>
        <v>46282</v>
      </c>
      <c r="U123" t="b">
        <f>C123&gt;T123</f>
        <v>0</v>
      </c>
    </row>
    <row r="124" spans="1:21" x14ac:dyDescent="0.25">
      <c r="A124" t="s">
        <v>221</v>
      </c>
      <c r="B124" s="1">
        <v>46275</v>
      </c>
      <c r="C124" s="1">
        <v>46281</v>
      </c>
      <c r="D124" t="s">
        <v>222</v>
      </c>
      <c r="E124" t="s">
        <v>165</v>
      </c>
      <c r="F124" t="s">
        <v>166</v>
      </c>
      <c r="G124" t="s">
        <v>167</v>
      </c>
      <c r="H124" t="s">
        <v>112</v>
      </c>
      <c r="I124" s="2">
        <v>1</v>
      </c>
      <c r="J124" s="3">
        <v>129</v>
      </c>
      <c r="K124" s="4">
        <v>0.05</v>
      </c>
      <c r="L124" s="3">
        <v>122.55</v>
      </c>
      <c r="M124" t="b">
        <v>1</v>
      </c>
      <c r="N124" s="2">
        <f>YEAR(B124)</f>
        <v>2026</v>
      </c>
      <c r="O124" t="str">
        <f>INDEX(Agences!$C:$C,MATCH(F124,Agences!$A:$A,0))</f>
        <v>Ouest</v>
      </c>
      <c r="P124" t="str">
        <f>INDEX(Produits!$C:$C,MATCH(H124,Produits!$A:$A,0))</f>
        <v>Mobilier</v>
      </c>
      <c r="Q124" s="3">
        <f>I124*INDEX(Produits!$E:$E,MATCH(H124,Produits!$A:$A,0))</f>
        <v>86.43</v>
      </c>
      <c r="R124" s="3">
        <f>L124-Q124</f>
        <v>36.11999999999999</v>
      </c>
      <c r="S124" s="2">
        <f>NETWORKDAYS(B124,C124)-1</f>
        <v>4</v>
      </c>
      <c r="T124" s="1">
        <f>WORKDAY(B124,5)</f>
        <v>46282</v>
      </c>
      <c r="U124" t="b">
        <f>C124&gt;T124</f>
        <v>0</v>
      </c>
    </row>
    <row r="125" spans="1:21" x14ac:dyDescent="0.25">
      <c r="A125" t="s">
        <v>223</v>
      </c>
      <c r="B125" s="1">
        <v>46275</v>
      </c>
      <c r="C125" s="1">
        <v>46280</v>
      </c>
      <c r="D125" t="s">
        <v>224</v>
      </c>
      <c r="E125" t="s">
        <v>225</v>
      </c>
      <c r="F125" t="s">
        <v>88</v>
      </c>
      <c r="G125" t="s">
        <v>226</v>
      </c>
      <c r="H125" t="s">
        <v>83</v>
      </c>
      <c r="I125" s="2">
        <v>4</v>
      </c>
      <c r="J125" s="3">
        <v>49</v>
      </c>
      <c r="K125" s="4">
        <v>0</v>
      </c>
      <c r="L125" s="3">
        <v>196</v>
      </c>
      <c r="M125" t="b">
        <v>1</v>
      </c>
      <c r="N125" s="2">
        <f>YEAR(B125)</f>
        <v>2026</v>
      </c>
      <c r="O125" t="str">
        <f>INDEX(Agences!$C:$C,MATCH(F125,Agences!$A:$A,0))</f>
        <v>Sud-Ouest</v>
      </c>
      <c r="P125" t="str">
        <f>INDEX(Produits!$C:$C,MATCH(H125,Produits!$A:$A,0))</f>
        <v>Mobilier</v>
      </c>
      <c r="Q125" s="3">
        <f>I125*INDEX(Produits!$E:$E,MATCH(H125,Produits!$A:$A,0))</f>
        <v>113.68</v>
      </c>
      <c r="R125" s="3">
        <f>L125-Q125</f>
        <v>82.32</v>
      </c>
      <c r="S125" s="2">
        <f>NETWORKDAYS(B125,C125)-1</f>
        <v>3</v>
      </c>
      <c r="T125" s="1">
        <f>WORKDAY(B125,5)</f>
        <v>46282</v>
      </c>
      <c r="U125" t="b">
        <f>C125&gt;T125</f>
        <v>0</v>
      </c>
    </row>
    <row r="126" spans="1:21" x14ac:dyDescent="0.25">
      <c r="A126" t="s">
        <v>223</v>
      </c>
      <c r="B126" s="1">
        <v>46275</v>
      </c>
      <c r="C126" s="1">
        <v>46280</v>
      </c>
      <c r="D126" t="s">
        <v>224</v>
      </c>
      <c r="E126" t="s">
        <v>225</v>
      </c>
      <c r="F126" t="s">
        <v>88</v>
      </c>
      <c r="G126" t="s">
        <v>226</v>
      </c>
      <c r="H126" t="s">
        <v>49</v>
      </c>
      <c r="I126" s="2">
        <v>1</v>
      </c>
      <c r="J126" s="3">
        <v>120</v>
      </c>
      <c r="K126" s="4">
        <v>0.08</v>
      </c>
      <c r="L126" s="3">
        <v>110.4</v>
      </c>
      <c r="M126" t="b">
        <v>1</v>
      </c>
      <c r="N126" s="2">
        <f>YEAR(B126)</f>
        <v>2026</v>
      </c>
      <c r="O126" t="str">
        <f>INDEX(Agences!$C:$C,MATCH(F126,Agences!$A:$A,0))</f>
        <v>Sud-Ouest</v>
      </c>
      <c r="P126" t="str">
        <f>INDEX(Produits!$C:$C,MATCH(H126,Produits!$A:$A,0))</f>
        <v>Maintenance</v>
      </c>
      <c r="Q126" s="3">
        <f>I126*INDEX(Produits!$E:$E,MATCH(H126,Produits!$A:$A,0))</f>
        <v>55.2</v>
      </c>
      <c r="R126" s="3">
        <f>L126-Q126</f>
        <v>55.2</v>
      </c>
      <c r="S126" s="2">
        <f>NETWORKDAYS(B126,C126)-1</f>
        <v>3</v>
      </c>
      <c r="T126" s="1">
        <f>WORKDAY(B126,5)</f>
        <v>46282</v>
      </c>
      <c r="U126" t="b">
        <f>C126&gt;T126</f>
        <v>0</v>
      </c>
    </row>
    <row r="127" spans="1:21" x14ac:dyDescent="0.25">
      <c r="A127" t="s">
        <v>223</v>
      </c>
      <c r="B127" s="1">
        <v>46275</v>
      </c>
      <c r="C127" s="1">
        <v>46280</v>
      </c>
      <c r="D127" t="s">
        <v>224</v>
      </c>
      <c r="E127" t="s">
        <v>225</v>
      </c>
      <c r="F127" t="s">
        <v>88</v>
      </c>
      <c r="G127" t="s">
        <v>226</v>
      </c>
      <c r="H127" t="s">
        <v>196</v>
      </c>
      <c r="I127" s="2">
        <v>5</v>
      </c>
      <c r="J127" s="3">
        <v>18.5</v>
      </c>
      <c r="K127" s="4">
        <v>0.08</v>
      </c>
      <c r="L127" s="3">
        <v>85.1</v>
      </c>
      <c r="M127" t="b">
        <v>1</v>
      </c>
      <c r="N127" s="2">
        <f>YEAR(B127)</f>
        <v>2026</v>
      </c>
      <c r="O127" t="str">
        <f>INDEX(Agences!$C:$C,MATCH(F127,Agences!$A:$A,0))</f>
        <v>Sud-Ouest</v>
      </c>
      <c r="P127" t="str">
        <f>INDEX(Produits!$C:$C,MATCH(H127,Produits!$A:$A,0))</f>
        <v>Fournitures</v>
      </c>
      <c r="Q127" s="3">
        <f>I127*INDEX(Produits!$E:$E,MATCH(H127,Produits!$A:$A,0))</f>
        <v>47.199999999999996</v>
      </c>
      <c r="R127" s="3">
        <f>L127-Q127</f>
        <v>37.9</v>
      </c>
      <c r="S127" s="2">
        <f>NETWORKDAYS(B127,C127)-1</f>
        <v>3</v>
      </c>
      <c r="T127" s="1">
        <f>WORKDAY(B127,5)</f>
        <v>46282</v>
      </c>
      <c r="U127" t="b">
        <f>C127&gt;T127</f>
        <v>0</v>
      </c>
    </row>
    <row r="128" spans="1:21" x14ac:dyDescent="0.25">
      <c r="A128" t="s">
        <v>227</v>
      </c>
      <c r="B128" s="1">
        <v>46275</v>
      </c>
      <c r="C128" s="1">
        <v>46286</v>
      </c>
      <c r="D128" t="s">
        <v>228</v>
      </c>
      <c r="E128" t="s">
        <v>229</v>
      </c>
      <c r="F128" t="s">
        <v>55</v>
      </c>
      <c r="G128" t="s">
        <v>56</v>
      </c>
      <c r="H128" t="s">
        <v>107</v>
      </c>
      <c r="I128" s="2">
        <v>1</v>
      </c>
      <c r="J128" s="3">
        <v>99</v>
      </c>
      <c r="K128" s="4">
        <v>0.05</v>
      </c>
      <c r="L128" s="3">
        <v>94.05</v>
      </c>
      <c r="M128" t="b">
        <v>1</v>
      </c>
      <c r="N128" s="2">
        <f>YEAR(B128)</f>
        <v>2026</v>
      </c>
      <c r="O128" t="str">
        <f>INDEX(Agences!$C:$C,MATCH(F128,Agences!$A:$A,0))</f>
        <v>Est</v>
      </c>
      <c r="P128" t="str">
        <f>INDEX(Produits!$C:$C,MATCH(H128,Produits!$A:$A,0))</f>
        <v>Informatique</v>
      </c>
      <c r="Q128" s="3">
        <f>I128*INDEX(Produits!$E:$E,MATCH(H128,Produits!$A:$A,0))</f>
        <v>75.24</v>
      </c>
      <c r="R128" s="3">
        <f>L128-Q128</f>
        <v>18.810000000000002</v>
      </c>
      <c r="S128" s="2">
        <f>NETWORKDAYS(B128,C128)-1</f>
        <v>7</v>
      </c>
      <c r="T128" s="1">
        <f>WORKDAY(B128,5)</f>
        <v>46282</v>
      </c>
      <c r="U128" t="b">
        <f>C128&gt;T128</f>
        <v>1</v>
      </c>
    </row>
    <row r="129" spans="1:21" x14ac:dyDescent="0.25">
      <c r="A129" t="s">
        <v>227</v>
      </c>
      <c r="B129" s="1">
        <v>46275</v>
      </c>
      <c r="C129" s="1">
        <v>46286</v>
      </c>
      <c r="D129" t="s">
        <v>228</v>
      </c>
      <c r="E129" t="s">
        <v>229</v>
      </c>
      <c r="F129" t="s">
        <v>55</v>
      </c>
      <c r="G129" t="s">
        <v>56</v>
      </c>
      <c r="H129" t="s">
        <v>57</v>
      </c>
      <c r="I129" s="2">
        <v>1</v>
      </c>
      <c r="J129" s="3">
        <v>149</v>
      </c>
      <c r="K129" s="4">
        <v>0</v>
      </c>
      <c r="L129" s="3">
        <v>149</v>
      </c>
      <c r="M129" t="b">
        <v>1</v>
      </c>
      <c r="N129" s="2">
        <f>YEAR(B129)</f>
        <v>2026</v>
      </c>
      <c r="O129" t="str">
        <f>INDEX(Agences!$C:$C,MATCH(F129,Agences!$A:$A,0))</f>
        <v>Est</v>
      </c>
      <c r="P129" t="str">
        <f>INDEX(Produits!$C:$C,MATCH(H129,Produits!$A:$A,0))</f>
        <v>Informatique</v>
      </c>
      <c r="Q129" s="3">
        <f>I129*INDEX(Produits!$E:$E,MATCH(H129,Produits!$A:$A,0))</f>
        <v>114.73</v>
      </c>
      <c r="R129" s="3">
        <f>L129-Q129</f>
        <v>34.269999999999996</v>
      </c>
      <c r="S129" s="2">
        <f>NETWORKDAYS(B129,C129)-1</f>
        <v>7</v>
      </c>
      <c r="T129" s="1">
        <f>WORKDAY(B129,5)</f>
        <v>46282</v>
      </c>
      <c r="U129" t="b">
        <f>C129&gt;T129</f>
        <v>1</v>
      </c>
    </row>
    <row r="130" spans="1:21" x14ac:dyDescent="0.25">
      <c r="A130" t="s">
        <v>227</v>
      </c>
      <c r="B130" s="1">
        <v>46275</v>
      </c>
      <c r="C130" s="1">
        <v>46286</v>
      </c>
      <c r="D130" t="s">
        <v>228</v>
      </c>
      <c r="E130" t="s">
        <v>229</v>
      </c>
      <c r="F130" t="s">
        <v>55</v>
      </c>
      <c r="G130" t="s">
        <v>56</v>
      </c>
      <c r="H130" t="s">
        <v>42</v>
      </c>
      <c r="I130" s="2">
        <v>2</v>
      </c>
      <c r="J130" s="3">
        <v>55</v>
      </c>
      <c r="K130" s="4">
        <v>0</v>
      </c>
      <c r="L130" s="3">
        <v>110</v>
      </c>
      <c r="M130" t="b">
        <v>1</v>
      </c>
      <c r="N130" s="2">
        <f>YEAR(B130)</f>
        <v>2026</v>
      </c>
      <c r="O130" t="str">
        <f>INDEX(Agences!$C:$C,MATCH(F130,Agences!$A:$A,0))</f>
        <v>Est</v>
      </c>
      <c r="P130" t="str">
        <f>INDEX(Produits!$C:$C,MATCH(H130,Produits!$A:$A,0))</f>
        <v>Maintenance</v>
      </c>
      <c r="Q130" s="3">
        <f>I130*INDEX(Produits!$E:$E,MATCH(H130,Produits!$A:$A,0))</f>
        <v>49.5</v>
      </c>
      <c r="R130" s="3">
        <f>L130-Q130</f>
        <v>60.5</v>
      </c>
      <c r="S130" s="2">
        <f>NETWORKDAYS(B130,C130)-1</f>
        <v>7</v>
      </c>
      <c r="T130" s="1">
        <f>WORKDAY(B130,5)</f>
        <v>46282</v>
      </c>
      <c r="U130" t="b">
        <f>C130&gt;T130</f>
        <v>1</v>
      </c>
    </row>
    <row r="131" spans="1:21" x14ac:dyDescent="0.25">
      <c r="A131" t="s">
        <v>227</v>
      </c>
      <c r="B131" s="1">
        <v>46275</v>
      </c>
      <c r="C131" s="1">
        <v>46286</v>
      </c>
      <c r="D131" t="s">
        <v>228</v>
      </c>
      <c r="E131" t="s">
        <v>229</v>
      </c>
      <c r="F131" t="s">
        <v>55</v>
      </c>
      <c r="G131" t="s">
        <v>56</v>
      </c>
      <c r="H131" t="s">
        <v>48</v>
      </c>
      <c r="I131" s="2">
        <v>1</v>
      </c>
      <c r="J131" s="3">
        <v>165</v>
      </c>
      <c r="K131" s="4">
        <v>0</v>
      </c>
      <c r="L131" s="3">
        <v>165</v>
      </c>
      <c r="M131" t="b">
        <v>1</v>
      </c>
      <c r="N131" s="2">
        <f>YEAR(B131)</f>
        <v>2026</v>
      </c>
      <c r="O131" t="str">
        <f>INDEX(Agences!$C:$C,MATCH(F131,Agences!$A:$A,0))</f>
        <v>Est</v>
      </c>
      <c r="P131" t="str">
        <f>INDEX(Produits!$C:$C,MATCH(H131,Produits!$A:$A,0))</f>
        <v>Mobilier</v>
      </c>
      <c r="Q131" s="3">
        <f>I131*INDEX(Produits!$E:$E,MATCH(H131,Produits!$A:$A,0))</f>
        <v>107.25</v>
      </c>
      <c r="R131" s="3">
        <f>L131-Q131</f>
        <v>57.75</v>
      </c>
      <c r="S131" s="2">
        <f>NETWORKDAYS(B131,C131)-1</f>
        <v>7</v>
      </c>
      <c r="T131" s="1">
        <f>WORKDAY(B131,5)</f>
        <v>46282</v>
      </c>
      <c r="U131" t="b">
        <f>C131&gt;T131</f>
        <v>1</v>
      </c>
    </row>
    <row r="132" spans="1:21" x14ac:dyDescent="0.25">
      <c r="A132" t="s">
        <v>230</v>
      </c>
      <c r="B132" s="1">
        <v>46274</v>
      </c>
      <c r="C132" s="1">
        <v>46276</v>
      </c>
      <c r="D132" t="s">
        <v>231</v>
      </c>
      <c r="E132" t="s">
        <v>175</v>
      </c>
      <c r="F132" t="s">
        <v>76</v>
      </c>
      <c r="G132" t="s">
        <v>232</v>
      </c>
      <c r="H132" t="s">
        <v>51</v>
      </c>
      <c r="I132" s="2">
        <v>1</v>
      </c>
      <c r="J132" s="3">
        <v>180</v>
      </c>
      <c r="K132" s="4">
        <v>0</v>
      </c>
      <c r="L132" s="3">
        <v>180</v>
      </c>
      <c r="M132" t="b">
        <v>1</v>
      </c>
      <c r="N132" s="2">
        <f>YEAR(B132)</f>
        <v>2026</v>
      </c>
      <c r="O132" t="str">
        <f>INDEX(Agences!$C:$C,MATCH(F132,Agences!$A:$A,0))</f>
        <v>Île-de-France</v>
      </c>
      <c r="P132" t="str">
        <f>INDEX(Produits!$C:$C,MATCH(H132,Produits!$A:$A,0))</f>
        <v>Maintenance</v>
      </c>
      <c r="Q132" s="3">
        <f>I132*INDEX(Produits!$E:$E,MATCH(H132,Produits!$A:$A,0))</f>
        <v>82.8</v>
      </c>
      <c r="R132" s="3">
        <f>L132-Q132</f>
        <v>97.2</v>
      </c>
      <c r="S132" s="2">
        <f>NETWORKDAYS(B132,C132)-1</f>
        <v>2</v>
      </c>
      <c r="T132" s="1">
        <f>WORKDAY(B132,5)</f>
        <v>46281</v>
      </c>
      <c r="U132" t="b">
        <f>C132&gt;T132</f>
        <v>0</v>
      </c>
    </row>
    <row r="133" spans="1:21" x14ac:dyDescent="0.25">
      <c r="A133" t="s">
        <v>230</v>
      </c>
      <c r="B133" s="1">
        <v>46274</v>
      </c>
      <c r="C133" s="1">
        <v>46276</v>
      </c>
      <c r="D133" t="s">
        <v>231</v>
      </c>
      <c r="E133" t="s">
        <v>175</v>
      </c>
      <c r="F133" t="s">
        <v>76</v>
      </c>
      <c r="G133" t="s">
        <v>232</v>
      </c>
      <c r="H133" t="s">
        <v>42</v>
      </c>
      <c r="I133" s="2">
        <v>2</v>
      </c>
      <c r="J133" s="3">
        <v>55</v>
      </c>
      <c r="K133" s="4">
        <v>0.08</v>
      </c>
      <c r="L133" s="3">
        <v>101.2</v>
      </c>
      <c r="M133" t="b">
        <v>1</v>
      </c>
      <c r="N133" s="2">
        <f>YEAR(B133)</f>
        <v>2026</v>
      </c>
      <c r="O133" t="str">
        <f>INDEX(Agences!$C:$C,MATCH(F133,Agences!$A:$A,0))</f>
        <v>Île-de-France</v>
      </c>
      <c r="P133" t="str">
        <f>INDEX(Produits!$C:$C,MATCH(H133,Produits!$A:$A,0))</f>
        <v>Maintenance</v>
      </c>
      <c r="Q133" s="3">
        <f>I133*INDEX(Produits!$E:$E,MATCH(H133,Produits!$A:$A,0))</f>
        <v>49.5</v>
      </c>
      <c r="R133" s="3">
        <f>L133-Q133</f>
        <v>51.7</v>
      </c>
      <c r="S133" s="2">
        <f>NETWORKDAYS(B133,C133)-1</f>
        <v>2</v>
      </c>
      <c r="T133" s="1">
        <f>WORKDAY(B133,5)</f>
        <v>46281</v>
      </c>
      <c r="U133" t="b">
        <f>C133&gt;T133</f>
        <v>0</v>
      </c>
    </row>
    <row r="134" spans="1:21" x14ac:dyDescent="0.25">
      <c r="A134" t="s">
        <v>230</v>
      </c>
      <c r="B134" s="1">
        <v>46274</v>
      </c>
      <c r="C134" s="1">
        <v>46276</v>
      </c>
      <c r="D134" t="s">
        <v>231</v>
      </c>
      <c r="E134" t="s">
        <v>175</v>
      </c>
      <c r="F134" t="s">
        <v>76</v>
      </c>
      <c r="G134" t="s">
        <v>232</v>
      </c>
      <c r="H134" t="s">
        <v>196</v>
      </c>
      <c r="I134" s="2">
        <v>5</v>
      </c>
      <c r="J134" s="3">
        <v>18.5</v>
      </c>
      <c r="K134" s="4">
        <v>0.05</v>
      </c>
      <c r="L134" s="3">
        <v>87.88</v>
      </c>
      <c r="M134" t="b">
        <v>1</v>
      </c>
      <c r="N134" s="2">
        <f>YEAR(B134)</f>
        <v>2026</v>
      </c>
      <c r="O134" t="str">
        <f>INDEX(Agences!$C:$C,MATCH(F134,Agences!$A:$A,0))</f>
        <v>Île-de-France</v>
      </c>
      <c r="P134" t="str">
        <f>INDEX(Produits!$C:$C,MATCH(H134,Produits!$A:$A,0))</f>
        <v>Fournitures</v>
      </c>
      <c r="Q134" s="3">
        <f>I134*INDEX(Produits!$E:$E,MATCH(H134,Produits!$A:$A,0))</f>
        <v>47.199999999999996</v>
      </c>
      <c r="R134" s="3">
        <f>L134-Q134</f>
        <v>40.68</v>
      </c>
      <c r="S134" s="2">
        <f>NETWORKDAYS(B134,C134)-1</f>
        <v>2</v>
      </c>
      <c r="T134" s="1">
        <f>WORKDAY(B134,5)</f>
        <v>46281</v>
      </c>
      <c r="U134" t="b">
        <f>C134&gt;T134</f>
        <v>0</v>
      </c>
    </row>
    <row r="135" spans="1:21" x14ac:dyDescent="0.25">
      <c r="A135" t="s">
        <v>230</v>
      </c>
      <c r="B135" s="1">
        <v>46274</v>
      </c>
      <c r="C135" s="1">
        <v>46276</v>
      </c>
      <c r="D135" t="s">
        <v>231</v>
      </c>
      <c r="E135" t="s">
        <v>175</v>
      </c>
      <c r="F135" t="s">
        <v>76</v>
      </c>
      <c r="G135" t="s">
        <v>232</v>
      </c>
      <c r="H135" t="s">
        <v>233</v>
      </c>
      <c r="I135" s="2">
        <v>10</v>
      </c>
      <c r="J135" s="3">
        <v>27.5</v>
      </c>
      <c r="K135" s="4">
        <v>0</v>
      </c>
      <c r="L135" s="3">
        <v>275</v>
      </c>
      <c r="M135" t="b">
        <v>1</v>
      </c>
      <c r="N135" s="2">
        <f>YEAR(B135)</f>
        <v>2026</v>
      </c>
      <c r="O135" t="str">
        <f>INDEX(Agences!$C:$C,MATCH(F135,Agences!$A:$A,0))</f>
        <v>Île-de-France</v>
      </c>
      <c r="P135" t="str">
        <f>INDEX(Produits!$C:$C,MATCH(H135,Produits!$A:$A,0))</f>
        <v>Fournitures</v>
      </c>
      <c r="Q135" s="3">
        <f>I135*INDEX(Produits!$E:$E,MATCH(H135,Produits!$A:$A,0))</f>
        <v>154</v>
      </c>
      <c r="R135" s="3">
        <f>L135-Q135</f>
        <v>121</v>
      </c>
      <c r="S135" s="2">
        <f>NETWORKDAYS(B135,C135)-1</f>
        <v>2</v>
      </c>
      <c r="T135" s="1">
        <f>WORKDAY(B135,5)</f>
        <v>46281</v>
      </c>
      <c r="U135" t="b">
        <f>C135&gt;T135</f>
        <v>0</v>
      </c>
    </row>
    <row r="136" spans="1:21" x14ac:dyDescent="0.25">
      <c r="A136" t="s">
        <v>230</v>
      </c>
      <c r="B136" s="1">
        <v>46274</v>
      </c>
      <c r="C136" s="1">
        <v>46276</v>
      </c>
      <c r="D136" t="s">
        <v>231</v>
      </c>
      <c r="E136" t="s">
        <v>175</v>
      </c>
      <c r="F136" t="s">
        <v>76</v>
      </c>
      <c r="G136" t="s">
        <v>232</v>
      </c>
      <c r="H136" t="s">
        <v>162</v>
      </c>
      <c r="I136" s="2">
        <v>2</v>
      </c>
      <c r="J136" s="3">
        <v>289</v>
      </c>
      <c r="K136" s="4">
        <v>0</v>
      </c>
      <c r="L136" s="3">
        <v>578</v>
      </c>
      <c r="M136" t="b">
        <v>1</v>
      </c>
      <c r="N136" s="2">
        <f>YEAR(B136)</f>
        <v>2026</v>
      </c>
      <c r="O136" t="str">
        <f>INDEX(Agences!$C:$C,MATCH(F136,Agences!$A:$A,0))</f>
        <v>Île-de-France</v>
      </c>
      <c r="P136" t="str">
        <f>INDEX(Produits!$C:$C,MATCH(H136,Produits!$A:$A,0))</f>
        <v>Mobilier</v>
      </c>
      <c r="Q136" s="3">
        <f>I136*INDEX(Produits!$E:$E,MATCH(H136,Produits!$A:$A,0))</f>
        <v>387.26</v>
      </c>
      <c r="R136" s="3">
        <f>L136-Q136</f>
        <v>190.74</v>
      </c>
      <c r="S136" s="2">
        <f>NETWORKDAYS(B136,C136)-1</f>
        <v>2</v>
      </c>
      <c r="T136" s="1">
        <f>WORKDAY(B136,5)</f>
        <v>46281</v>
      </c>
      <c r="U136" t="b">
        <f>C136&gt;T136</f>
        <v>0</v>
      </c>
    </row>
    <row r="137" spans="1:21" x14ac:dyDescent="0.25">
      <c r="A137" t="s">
        <v>234</v>
      </c>
      <c r="B137" s="1">
        <v>46274</v>
      </c>
      <c r="C137" s="1">
        <v>46279</v>
      </c>
      <c r="D137" t="s">
        <v>235</v>
      </c>
      <c r="E137" t="s">
        <v>236</v>
      </c>
      <c r="F137" t="s">
        <v>39</v>
      </c>
      <c r="G137" t="s">
        <v>40</v>
      </c>
      <c r="H137" t="s">
        <v>48</v>
      </c>
      <c r="I137" s="2">
        <v>1</v>
      </c>
      <c r="J137" s="3">
        <v>165</v>
      </c>
      <c r="K137" s="4">
        <v>0</v>
      </c>
      <c r="L137" s="3">
        <v>165</v>
      </c>
      <c r="M137" t="b">
        <v>1</v>
      </c>
      <c r="N137" s="2">
        <f>YEAR(B137)</f>
        <v>2026</v>
      </c>
      <c r="O137" t="str">
        <f>INDEX(Agences!$C:$C,MATCH(F137,Agences!$A:$A,0))</f>
        <v>Sud-Ouest</v>
      </c>
      <c r="P137" t="str">
        <f>INDEX(Produits!$C:$C,MATCH(H137,Produits!$A:$A,0))</f>
        <v>Mobilier</v>
      </c>
      <c r="Q137" s="3">
        <f>I137*INDEX(Produits!$E:$E,MATCH(H137,Produits!$A:$A,0))</f>
        <v>107.25</v>
      </c>
      <c r="R137" s="3">
        <f>L137-Q137</f>
        <v>57.75</v>
      </c>
      <c r="S137" s="2">
        <f>NETWORKDAYS(B137,C137)-1</f>
        <v>3</v>
      </c>
      <c r="T137" s="1">
        <f>WORKDAY(B137,5)</f>
        <v>46281</v>
      </c>
      <c r="U137" t="b">
        <f>C137&gt;T137</f>
        <v>0</v>
      </c>
    </row>
    <row r="138" spans="1:21" x14ac:dyDescent="0.25">
      <c r="A138" t="s">
        <v>234</v>
      </c>
      <c r="B138" s="1">
        <v>46274</v>
      </c>
      <c r="C138" s="1">
        <v>46279</v>
      </c>
      <c r="D138" t="s">
        <v>235</v>
      </c>
      <c r="E138" t="s">
        <v>236</v>
      </c>
      <c r="F138" t="s">
        <v>39</v>
      </c>
      <c r="G138" t="s">
        <v>40</v>
      </c>
      <c r="H138" t="s">
        <v>237</v>
      </c>
      <c r="I138" s="2">
        <v>1</v>
      </c>
      <c r="J138" s="3">
        <v>890</v>
      </c>
      <c r="K138" s="4">
        <v>0.02</v>
      </c>
      <c r="L138" s="3">
        <v>872.2</v>
      </c>
      <c r="M138" t="b">
        <v>1</v>
      </c>
      <c r="N138" s="2">
        <f>YEAR(B138)</f>
        <v>2026</v>
      </c>
      <c r="O138" t="str">
        <f>INDEX(Agences!$C:$C,MATCH(F138,Agences!$A:$A,0))</f>
        <v>Sud-Ouest</v>
      </c>
      <c r="P138" t="str">
        <f>INDEX(Produits!$C:$C,MATCH(H138,Produits!$A:$A,0))</f>
        <v>Mobilier</v>
      </c>
      <c r="Q138" s="3">
        <f>I138*INDEX(Produits!$E:$E,MATCH(H138,Produits!$A:$A,0))</f>
        <v>596.3</v>
      </c>
      <c r="R138" s="3">
        <f>L138-Q138</f>
        <v>275.9000000000001</v>
      </c>
      <c r="S138" s="2">
        <f>NETWORKDAYS(B138,C138)-1</f>
        <v>3</v>
      </c>
      <c r="T138" s="1">
        <f>WORKDAY(B138,5)</f>
        <v>46281</v>
      </c>
      <c r="U138" t="b">
        <f>C138&gt;T138</f>
        <v>0</v>
      </c>
    </row>
    <row r="139" spans="1:21" x14ac:dyDescent="0.25">
      <c r="A139" t="s">
        <v>234</v>
      </c>
      <c r="B139" s="1">
        <v>46274</v>
      </c>
      <c r="C139" s="1">
        <v>46279</v>
      </c>
      <c r="D139" t="s">
        <v>235</v>
      </c>
      <c r="E139" t="s">
        <v>236</v>
      </c>
      <c r="F139" t="s">
        <v>39</v>
      </c>
      <c r="G139" t="s">
        <v>40</v>
      </c>
      <c r="H139" t="s">
        <v>90</v>
      </c>
      <c r="I139" s="2">
        <v>30</v>
      </c>
      <c r="J139" s="3">
        <v>22.9</v>
      </c>
      <c r="K139" s="4">
        <v>0</v>
      </c>
      <c r="L139" s="3">
        <v>687</v>
      </c>
      <c r="M139" t="b">
        <v>1</v>
      </c>
      <c r="N139" s="2">
        <f>YEAR(B139)</f>
        <v>2026</v>
      </c>
      <c r="O139" t="str">
        <f>INDEX(Agences!$C:$C,MATCH(F139,Agences!$A:$A,0))</f>
        <v>Sud-Ouest</v>
      </c>
      <c r="P139" t="str">
        <f>INDEX(Produits!$C:$C,MATCH(H139,Produits!$A:$A,0))</f>
        <v>Fournitures</v>
      </c>
      <c r="Q139" s="3">
        <f>I139*INDEX(Produits!$E:$E,MATCH(H139,Produits!$A:$A,0))</f>
        <v>384.6</v>
      </c>
      <c r="R139" s="3">
        <f>L139-Q139</f>
        <v>302.4</v>
      </c>
      <c r="S139" s="2">
        <f>NETWORKDAYS(B139,C139)-1</f>
        <v>3</v>
      </c>
      <c r="T139" s="1">
        <f>WORKDAY(B139,5)</f>
        <v>46281</v>
      </c>
      <c r="U139" t="b">
        <f>C139&gt;T139</f>
        <v>0</v>
      </c>
    </row>
    <row r="140" spans="1:21" x14ac:dyDescent="0.25">
      <c r="A140" t="s">
        <v>234</v>
      </c>
      <c r="B140" s="1">
        <v>46274</v>
      </c>
      <c r="C140" s="1">
        <v>46279</v>
      </c>
      <c r="D140" t="s">
        <v>235</v>
      </c>
      <c r="E140" t="s">
        <v>236</v>
      </c>
      <c r="F140" t="s">
        <v>39</v>
      </c>
      <c r="G140" t="s">
        <v>40</v>
      </c>
      <c r="H140" t="s">
        <v>83</v>
      </c>
      <c r="I140" s="2">
        <v>5</v>
      </c>
      <c r="J140" s="3">
        <v>49</v>
      </c>
      <c r="K140" s="4">
        <v>0.05</v>
      </c>
      <c r="L140" s="3">
        <v>232.75</v>
      </c>
      <c r="M140" t="b">
        <v>1</v>
      </c>
      <c r="N140" s="2">
        <f>YEAR(B140)</f>
        <v>2026</v>
      </c>
      <c r="O140" t="str">
        <f>INDEX(Agences!$C:$C,MATCH(F140,Agences!$A:$A,0))</f>
        <v>Sud-Ouest</v>
      </c>
      <c r="P140" t="str">
        <f>INDEX(Produits!$C:$C,MATCH(H140,Produits!$A:$A,0))</f>
        <v>Mobilier</v>
      </c>
      <c r="Q140" s="3">
        <f>I140*INDEX(Produits!$E:$E,MATCH(H140,Produits!$A:$A,0))</f>
        <v>142.10000000000002</v>
      </c>
      <c r="R140" s="3">
        <f>L140-Q140</f>
        <v>90.64999999999998</v>
      </c>
      <c r="S140" s="2">
        <f>NETWORKDAYS(B140,C140)-1</f>
        <v>3</v>
      </c>
      <c r="T140" s="1">
        <f>WORKDAY(B140,5)</f>
        <v>46281</v>
      </c>
      <c r="U140" t="b">
        <f>C140&gt;T140</f>
        <v>0</v>
      </c>
    </row>
    <row r="141" spans="1:21" x14ac:dyDescent="0.25">
      <c r="A141" t="s">
        <v>238</v>
      </c>
      <c r="B141" s="1">
        <v>46274</v>
      </c>
      <c r="C141" s="1">
        <v>46276</v>
      </c>
      <c r="D141" t="s">
        <v>239</v>
      </c>
      <c r="E141" t="s">
        <v>87</v>
      </c>
      <c r="F141" t="s">
        <v>88</v>
      </c>
      <c r="G141" t="s">
        <v>89</v>
      </c>
      <c r="H141" t="s">
        <v>42</v>
      </c>
      <c r="I141" s="2">
        <v>2</v>
      </c>
      <c r="J141" s="3">
        <v>55</v>
      </c>
      <c r="K141" s="4">
        <v>0</v>
      </c>
      <c r="L141" s="3">
        <v>110</v>
      </c>
      <c r="M141" t="b">
        <v>1</v>
      </c>
      <c r="N141" s="2">
        <f>YEAR(B141)</f>
        <v>2026</v>
      </c>
      <c r="O141" t="str">
        <f>INDEX(Agences!$C:$C,MATCH(F141,Agences!$A:$A,0))</f>
        <v>Sud-Ouest</v>
      </c>
      <c r="P141" t="str">
        <f>INDEX(Produits!$C:$C,MATCH(H141,Produits!$A:$A,0))</f>
        <v>Maintenance</v>
      </c>
      <c r="Q141" s="3">
        <f>I141*INDEX(Produits!$E:$E,MATCH(H141,Produits!$A:$A,0))</f>
        <v>49.5</v>
      </c>
      <c r="R141" s="3">
        <f>L141-Q141</f>
        <v>60.5</v>
      </c>
      <c r="S141" s="2">
        <f>NETWORKDAYS(B141,C141)-1</f>
        <v>2</v>
      </c>
      <c r="T141" s="1">
        <f>WORKDAY(B141,5)</f>
        <v>46281</v>
      </c>
      <c r="U141" t="b">
        <f>C141&gt;T141</f>
        <v>0</v>
      </c>
    </row>
    <row r="142" spans="1:21" x14ac:dyDescent="0.25">
      <c r="A142" t="s">
        <v>238</v>
      </c>
      <c r="B142" s="1">
        <v>46274</v>
      </c>
      <c r="C142" s="1">
        <v>46276</v>
      </c>
      <c r="D142" t="s">
        <v>239</v>
      </c>
      <c r="E142" t="s">
        <v>87</v>
      </c>
      <c r="F142" t="s">
        <v>88</v>
      </c>
      <c r="G142" t="s">
        <v>89</v>
      </c>
      <c r="H142" t="s">
        <v>50</v>
      </c>
      <c r="I142" s="2">
        <v>3</v>
      </c>
      <c r="J142" s="3">
        <v>69</v>
      </c>
      <c r="K142" s="4">
        <v>0.05</v>
      </c>
      <c r="L142" s="3">
        <v>196.65</v>
      </c>
      <c r="M142" t="b">
        <v>1</v>
      </c>
      <c r="N142" s="2">
        <f>YEAR(B142)</f>
        <v>2026</v>
      </c>
      <c r="O142" t="str">
        <f>INDEX(Agences!$C:$C,MATCH(F142,Agences!$A:$A,0))</f>
        <v>Sud-Ouest</v>
      </c>
      <c r="P142" t="str">
        <f>INDEX(Produits!$C:$C,MATCH(H142,Produits!$A:$A,0))</f>
        <v>Informatique</v>
      </c>
      <c r="Q142" s="3">
        <f>I142*INDEX(Produits!$E:$E,MATCH(H142,Produits!$A:$A,0))</f>
        <v>163.53</v>
      </c>
      <c r="R142" s="3">
        <f>L142-Q142</f>
        <v>33.120000000000005</v>
      </c>
      <c r="S142" s="2">
        <f>NETWORKDAYS(B142,C142)-1</f>
        <v>2</v>
      </c>
      <c r="T142" s="1">
        <f>WORKDAY(B142,5)</f>
        <v>46281</v>
      </c>
      <c r="U142" t="b">
        <f>C142&gt;T142</f>
        <v>0</v>
      </c>
    </row>
    <row r="143" spans="1:21" x14ac:dyDescent="0.25">
      <c r="A143" t="s">
        <v>240</v>
      </c>
      <c r="B143" s="1">
        <v>46274</v>
      </c>
      <c r="C143" s="1">
        <v>46279</v>
      </c>
      <c r="D143" t="s">
        <v>241</v>
      </c>
      <c r="E143" t="s">
        <v>242</v>
      </c>
      <c r="F143" t="s">
        <v>94</v>
      </c>
      <c r="G143" t="s">
        <v>182</v>
      </c>
      <c r="H143" t="s">
        <v>42</v>
      </c>
      <c r="I143" s="2">
        <v>3</v>
      </c>
      <c r="J143" s="3">
        <v>55</v>
      </c>
      <c r="K143" s="4">
        <v>0.05</v>
      </c>
      <c r="L143" s="3">
        <v>156.75</v>
      </c>
      <c r="M143" t="b">
        <v>1</v>
      </c>
      <c r="N143" s="2">
        <f>YEAR(B143)</f>
        <v>2026</v>
      </c>
      <c r="O143" t="str">
        <f>INDEX(Agences!$C:$C,MATCH(F143,Agences!$A:$A,0))</f>
        <v>Méditerranée</v>
      </c>
      <c r="P143" t="str">
        <f>INDEX(Produits!$C:$C,MATCH(H143,Produits!$A:$A,0))</f>
        <v>Maintenance</v>
      </c>
      <c r="Q143" s="3">
        <f>I143*INDEX(Produits!$E:$E,MATCH(H143,Produits!$A:$A,0))</f>
        <v>74.25</v>
      </c>
      <c r="R143" s="3">
        <f>L143-Q143</f>
        <v>82.5</v>
      </c>
      <c r="S143" s="2">
        <f>NETWORKDAYS(B143,C143)-1</f>
        <v>3</v>
      </c>
      <c r="T143" s="1">
        <f>WORKDAY(B143,5)</f>
        <v>46281</v>
      </c>
      <c r="U143" t="b">
        <f>C143&gt;T143</f>
        <v>0</v>
      </c>
    </row>
    <row r="144" spans="1:21" x14ac:dyDescent="0.25">
      <c r="A144" t="s">
        <v>240</v>
      </c>
      <c r="B144" s="1">
        <v>46274</v>
      </c>
      <c r="C144" s="1">
        <v>46279</v>
      </c>
      <c r="D144" t="s">
        <v>241</v>
      </c>
      <c r="E144" t="s">
        <v>242</v>
      </c>
      <c r="F144" t="s">
        <v>94</v>
      </c>
      <c r="G144" t="s">
        <v>182</v>
      </c>
      <c r="H144" t="s">
        <v>35</v>
      </c>
      <c r="I144" s="2">
        <v>5</v>
      </c>
      <c r="J144" s="3">
        <v>79</v>
      </c>
      <c r="K144" s="4">
        <v>0</v>
      </c>
      <c r="L144" s="3">
        <v>395</v>
      </c>
      <c r="M144" t="b">
        <v>1</v>
      </c>
      <c r="N144" s="2">
        <f>YEAR(B144)</f>
        <v>2026</v>
      </c>
      <c r="O144" t="str">
        <f>INDEX(Agences!$C:$C,MATCH(F144,Agences!$A:$A,0))</f>
        <v>Méditerranée</v>
      </c>
      <c r="P144" t="str">
        <f>INDEX(Produits!$C:$C,MATCH(H144,Produits!$A:$A,0))</f>
        <v>Mobilier</v>
      </c>
      <c r="Q144" s="3">
        <f>I144*INDEX(Produits!$E:$E,MATCH(H144,Produits!$A:$A,0))</f>
        <v>233.05</v>
      </c>
      <c r="R144" s="3">
        <f>L144-Q144</f>
        <v>161.95</v>
      </c>
      <c r="S144" s="2">
        <f>NETWORKDAYS(B144,C144)-1</f>
        <v>3</v>
      </c>
      <c r="T144" s="1">
        <f>WORKDAY(B144,5)</f>
        <v>46281</v>
      </c>
      <c r="U144" t="b">
        <f>C144&gt;T144</f>
        <v>0</v>
      </c>
    </row>
    <row r="145" spans="1:21" x14ac:dyDescent="0.25">
      <c r="A145" t="s">
        <v>240</v>
      </c>
      <c r="B145" s="1">
        <v>46274</v>
      </c>
      <c r="C145" s="1">
        <v>46279</v>
      </c>
      <c r="D145" t="s">
        <v>241</v>
      </c>
      <c r="E145" t="s">
        <v>242</v>
      </c>
      <c r="F145" t="s">
        <v>94</v>
      </c>
      <c r="G145" t="s">
        <v>182</v>
      </c>
      <c r="H145" t="s">
        <v>79</v>
      </c>
      <c r="I145" s="2">
        <v>5</v>
      </c>
      <c r="J145" s="3">
        <v>14.9</v>
      </c>
      <c r="K145" s="4">
        <v>0</v>
      </c>
      <c r="L145" s="3">
        <v>74.5</v>
      </c>
      <c r="M145" t="b">
        <v>1</v>
      </c>
      <c r="N145" s="2">
        <f>YEAR(B145)</f>
        <v>2026</v>
      </c>
      <c r="O145" t="str">
        <f>INDEX(Agences!$C:$C,MATCH(F145,Agences!$A:$A,0))</f>
        <v>Méditerranée</v>
      </c>
      <c r="P145" t="str">
        <f>INDEX(Produits!$C:$C,MATCH(H145,Produits!$A:$A,0))</f>
        <v>Fournitures</v>
      </c>
      <c r="Q145" s="3">
        <f>I145*INDEX(Produits!$E:$E,MATCH(H145,Produits!$A:$A,0))</f>
        <v>40.25</v>
      </c>
      <c r="R145" s="3">
        <f>L145-Q145</f>
        <v>34.25</v>
      </c>
      <c r="S145" s="2">
        <f>NETWORKDAYS(B145,C145)-1</f>
        <v>3</v>
      </c>
      <c r="T145" s="1">
        <f>WORKDAY(B145,5)</f>
        <v>46281</v>
      </c>
      <c r="U145" t="b">
        <f>C145&gt;T145</f>
        <v>0</v>
      </c>
    </row>
    <row r="146" spans="1:21" x14ac:dyDescent="0.25">
      <c r="A146" t="s">
        <v>243</v>
      </c>
      <c r="B146" s="1">
        <v>46273</v>
      </c>
      <c r="C146" s="1">
        <v>46275</v>
      </c>
      <c r="D146" t="s">
        <v>201</v>
      </c>
      <c r="E146" t="s">
        <v>202</v>
      </c>
      <c r="F146" t="s">
        <v>138</v>
      </c>
      <c r="G146" t="s">
        <v>214</v>
      </c>
      <c r="H146" t="s">
        <v>132</v>
      </c>
      <c r="I146" s="2">
        <v>1</v>
      </c>
      <c r="J146" s="3">
        <v>650</v>
      </c>
      <c r="K146" s="4">
        <v>0.02</v>
      </c>
      <c r="L146" s="3">
        <v>637</v>
      </c>
      <c r="M146" t="b">
        <v>1</v>
      </c>
      <c r="N146" s="2">
        <f>YEAR(B146)</f>
        <v>2026</v>
      </c>
      <c r="O146" t="str">
        <f>INDEX(Agences!$C:$C,MATCH(F146,Agences!$A:$A,0))</f>
        <v>Île-de-France</v>
      </c>
      <c r="P146" t="str">
        <f>INDEX(Produits!$C:$C,MATCH(H146,Produits!$A:$A,0))</f>
        <v>Maintenance</v>
      </c>
      <c r="Q146" s="3">
        <f>I146*INDEX(Produits!$E:$E,MATCH(H146,Produits!$A:$A,0))</f>
        <v>273</v>
      </c>
      <c r="R146" s="3">
        <f>L146-Q146</f>
        <v>364</v>
      </c>
      <c r="S146" s="2">
        <f>NETWORKDAYS(B146,C146)-1</f>
        <v>2</v>
      </c>
      <c r="T146" s="1">
        <f>WORKDAY(B146,5)</f>
        <v>46280</v>
      </c>
      <c r="U146" t="b">
        <f>C146&gt;T146</f>
        <v>0</v>
      </c>
    </row>
    <row r="147" spans="1:21" x14ac:dyDescent="0.25">
      <c r="A147" t="s">
        <v>243</v>
      </c>
      <c r="B147" s="1">
        <v>46273</v>
      </c>
      <c r="C147" s="1">
        <v>46275</v>
      </c>
      <c r="D147" t="s">
        <v>201</v>
      </c>
      <c r="E147" t="s">
        <v>202</v>
      </c>
      <c r="F147" t="s">
        <v>138</v>
      </c>
      <c r="G147" t="s">
        <v>214</v>
      </c>
      <c r="H147" t="s">
        <v>35</v>
      </c>
      <c r="I147" s="2">
        <v>1</v>
      </c>
      <c r="J147" s="3">
        <v>79</v>
      </c>
      <c r="K147" s="4">
        <v>0</v>
      </c>
      <c r="L147" s="3">
        <v>79</v>
      </c>
      <c r="M147" t="b">
        <v>1</v>
      </c>
      <c r="N147" s="2">
        <f>YEAR(B147)</f>
        <v>2026</v>
      </c>
      <c r="O147" t="str">
        <f>INDEX(Agences!$C:$C,MATCH(F147,Agences!$A:$A,0))</f>
        <v>Île-de-France</v>
      </c>
      <c r="P147" t="str">
        <f>INDEX(Produits!$C:$C,MATCH(H147,Produits!$A:$A,0))</f>
        <v>Mobilier</v>
      </c>
      <c r="Q147" s="3">
        <f>I147*INDEX(Produits!$E:$E,MATCH(H147,Produits!$A:$A,0))</f>
        <v>46.61</v>
      </c>
      <c r="R147" s="3">
        <f>L147-Q147</f>
        <v>32.39</v>
      </c>
      <c r="S147" s="2">
        <f>NETWORKDAYS(B147,C147)-1</f>
        <v>2</v>
      </c>
      <c r="T147" s="1">
        <f>WORKDAY(B147,5)</f>
        <v>46280</v>
      </c>
      <c r="U147" t="b">
        <f>C147&gt;T147</f>
        <v>0</v>
      </c>
    </row>
    <row r="148" spans="1:21" x14ac:dyDescent="0.25">
      <c r="A148" t="s">
        <v>244</v>
      </c>
      <c r="B148" s="1">
        <v>46273</v>
      </c>
      <c r="C148" s="1">
        <v>46279</v>
      </c>
      <c r="D148" t="s">
        <v>245</v>
      </c>
      <c r="E148" t="s">
        <v>175</v>
      </c>
      <c r="F148" t="s">
        <v>76</v>
      </c>
      <c r="G148" t="s">
        <v>232</v>
      </c>
      <c r="H148" t="s">
        <v>58</v>
      </c>
      <c r="I148" s="2">
        <v>2</v>
      </c>
      <c r="J148" s="3">
        <v>649</v>
      </c>
      <c r="K148" s="4">
        <v>0.05</v>
      </c>
      <c r="L148" s="3">
        <v>1233.1</v>
      </c>
      <c r="M148" t="b">
        <v>1</v>
      </c>
      <c r="N148" s="2">
        <f>YEAR(B148)</f>
        <v>2026</v>
      </c>
      <c r="O148" t="str">
        <f>INDEX(Agences!$C:$C,MATCH(F148,Agences!$A:$A,0))</f>
        <v>Île-de-France</v>
      </c>
      <c r="P148" t="str">
        <f>INDEX(Produits!$C:$C,MATCH(H148,Produits!$A:$A,0))</f>
        <v>Mobilier</v>
      </c>
      <c r="Q148" s="3">
        <f>I148*INDEX(Produits!$E:$E,MATCH(H148,Produits!$A:$A,0))</f>
        <v>817.74</v>
      </c>
      <c r="R148" s="3">
        <f>L148-Q148</f>
        <v>415.3599999999999</v>
      </c>
      <c r="S148" s="2">
        <f>NETWORKDAYS(B148,C148)-1</f>
        <v>4</v>
      </c>
      <c r="T148" s="1">
        <f>WORKDAY(B148,5)</f>
        <v>46280</v>
      </c>
      <c r="U148" t="b">
        <f>C148&gt;T148</f>
        <v>0</v>
      </c>
    </row>
    <row r="149" spans="1:21" x14ac:dyDescent="0.25">
      <c r="A149" t="s">
        <v>246</v>
      </c>
      <c r="B149" s="1">
        <v>46273</v>
      </c>
      <c r="C149" s="1">
        <v>46274</v>
      </c>
      <c r="D149" t="s">
        <v>247</v>
      </c>
      <c r="E149" t="s">
        <v>165</v>
      </c>
      <c r="F149" t="s">
        <v>166</v>
      </c>
      <c r="G149" t="s">
        <v>248</v>
      </c>
      <c r="H149" t="s">
        <v>49</v>
      </c>
      <c r="I149" s="2">
        <v>1</v>
      </c>
      <c r="J149" s="3">
        <v>120</v>
      </c>
      <c r="K149" s="4">
        <v>0</v>
      </c>
      <c r="L149" s="3">
        <v>120</v>
      </c>
      <c r="M149" t="b">
        <v>1</v>
      </c>
      <c r="N149" s="2">
        <f>YEAR(B149)</f>
        <v>2026</v>
      </c>
      <c r="O149" t="str">
        <f>INDEX(Agences!$C:$C,MATCH(F149,Agences!$A:$A,0))</f>
        <v>Ouest</v>
      </c>
      <c r="P149" t="str">
        <f>INDEX(Produits!$C:$C,MATCH(H149,Produits!$A:$A,0))</f>
        <v>Maintenance</v>
      </c>
      <c r="Q149" s="3">
        <f>I149*INDEX(Produits!$E:$E,MATCH(H149,Produits!$A:$A,0))</f>
        <v>55.2</v>
      </c>
      <c r="R149" s="3">
        <f>L149-Q149</f>
        <v>64.8</v>
      </c>
      <c r="S149" s="2">
        <f>NETWORKDAYS(B149,C149)-1</f>
        <v>1</v>
      </c>
      <c r="T149" s="1">
        <f>WORKDAY(B149,5)</f>
        <v>46280</v>
      </c>
      <c r="U149" t="b">
        <f>C149&gt;T149</f>
        <v>0</v>
      </c>
    </row>
    <row r="150" spans="1:21" x14ac:dyDescent="0.25">
      <c r="A150" t="s">
        <v>246</v>
      </c>
      <c r="B150" s="1">
        <v>46273</v>
      </c>
      <c r="C150" s="1">
        <v>46274</v>
      </c>
      <c r="D150" t="s">
        <v>247</v>
      </c>
      <c r="E150" t="s">
        <v>165</v>
      </c>
      <c r="F150" t="s">
        <v>166</v>
      </c>
      <c r="G150" t="s">
        <v>248</v>
      </c>
      <c r="H150" t="s">
        <v>33</v>
      </c>
      <c r="I150" s="2">
        <v>1</v>
      </c>
      <c r="J150" s="3">
        <v>219</v>
      </c>
      <c r="K150" s="4">
        <v>0.02</v>
      </c>
      <c r="L150" s="3">
        <v>214.62</v>
      </c>
      <c r="M150" t="b">
        <v>1</v>
      </c>
      <c r="N150" s="2">
        <f>YEAR(B150)</f>
        <v>2026</v>
      </c>
      <c r="O150" t="str">
        <f>INDEX(Agences!$C:$C,MATCH(F150,Agences!$A:$A,0))</f>
        <v>Ouest</v>
      </c>
      <c r="P150" t="str">
        <f>INDEX(Produits!$C:$C,MATCH(H150,Produits!$A:$A,0))</f>
        <v>Informatique</v>
      </c>
      <c r="Q150" s="3">
        <f>I150*INDEX(Produits!$E:$E,MATCH(H150,Produits!$A:$A,0))</f>
        <v>179.58</v>
      </c>
      <c r="R150" s="3">
        <f>L150-Q150</f>
        <v>35.03999999999999</v>
      </c>
      <c r="S150" s="2">
        <f>NETWORKDAYS(B150,C150)-1</f>
        <v>1</v>
      </c>
      <c r="T150" s="1">
        <f>WORKDAY(B150,5)</f>
        <v>46280</v>
      </c>
      <c r="U150" t="b">
        <f>C150&gt;T150</f>
        <v>0</v>
      </c>
    </row>
    <row r="151" spans="1:21" x14ac:dyDescent="0.25">
      <c r="A151" t="s">
        <v>246</v>
      </c>
      <c r="B151" s="1">
        <v>46273</v>
      </c>
      <c r="C151" s="1">
        <v>46274</v>
      </c>
      <c r="D151" t="s">
        <v>247</v>
      </c>
      <c r="E151" t="s">
        <v>165</v>
      </c>
      <c r="F151" t="s">
        <v>166</v>
      </c>
      <c r="G151" t="s">
        <v>248</v>
      </c>
      <c r="H151" t="s">
        <v>83</v>
      </c>
      <c r="I151" s="2">
        <v>1</v>
      </c>
      <c r="J151" s="3">
        <v>49</v>
      </c>
      <c r="K151" s="4">
        <v>0</v>
      </c>
      <c r="L151" s="3">
        <v>49</v>
      </c>
      <c r="M151" t="b">
        <v>1</v>
      </c>
      <c r="N151" s="2">
        <f>YEAR(B151)</f>
        <v>2026</v>
      </c>
      <c r="O151" t="str">
        <f>INDEX(Agences!$C:$C,MATCH(F151,Agences!$A:$A,0))</f>
        <v>Ouest</v>
      </c>
      <c r="P151" t="str">
        <f>INDEX(Produits!$C:$C,MATCH(H151,Produits!$A:$A,0))</f>
        <v>Mobilier</v>
      </c>
      <c r="Q151" s="3">
        <f>I151*INDEX(Produits!$E:$E,MATCH(H151,Produits!$A:$A,0))</f>
        <v>28.42</v>
      </c>
      <c r="R151" s="3">
        <f>L151-Q151</f>
        <v>20.58</v>
      </c>
      <c r="S151" s="2">
        <f>NETWORKDAYS(B151,C151)-1</f>
        <v>1</v>
      </c>
      <c r="T151" s="1">
        <f>WORKDAY(B151,5)</f>
        <v>46280</v>
      </c>
      <c r="U151" t="b">
        <f>C151&gt;T151</f>
        <v>0</v>
      </c>
    </row>
    <row r="152" spans="1:21" x14ac:dyDescent="0.25">
      <c r="A152" t="s">
        <v>249</v>
      </c>
      <c r="B152" s="1">
        <v>46273</v>
      </c>
      <c r="C152" s="1">
        <v>46280</v>
      </c>
      <c r="D152" t="s">
        <v>250</v>
      </c>
      <c r="E152" t="s">
        <v>251</v>
      </c>
      <c r="F152" t="s">
        <v>166</v>
      </c>
      <c r="G152" t="s">
        <v>167</v>
      </c>
      <c r="H152" t="s">
        <v>49</v>
      </c>
      <c r="I152" s="2">
        <v>1</v>
      </c>
      <c r="J152" s="3">
        <v>120</v>
      </c>
      <c r="K152" s="4">
        <v>0</v>
      </c>
      <c r="L152" s="3">
        <v>120</v>
      </c>
      <c r="M152" t="b">
        <v>1</v>
      </c>
      <c r="N152" s="2">
        <f>YEAR(B152)</f>
        <v>2026</v>
      </c>
      <c r="O152" t="str">
        <f>INDEX(Agences!$C:$C,MATCH(F152,Agences!$A:$A,0))</f>
        <v>Ouest</v>
      </c>
      <c r="P152" t="str">
        <f>INDEX(Produits!$C:$C,MATCH(H152,Produits!$A:$A,0))</f>
        <v>Maintenance</v>
      </c>
      <c r="Q152" s="3">
        <f>I152*INDEX(Produits!$E:$E,MATCH(H152,Produits!$A:$A,0))</f>
        <v>55.2</v>
      </c>
      <c r="R152" s="3">
        <f>L152-Q152</f>
        <v>64.8</v>
      </c>
      <c r="S152" s="2">
        <f>NETWORKDAYS(B152,C152)-1</f>
        <v>5</v>
      </c>
      <c r="T152" s="1">
        <f>WORKDAY(B152,5)</f>
        <v>46280</v>
      </c>
      <c r="U152" t="b">
        <f>C152&gt;T152</f>
        <v>0</v>
      </c>
    </row>
    <row r="153" spans="1:21" x14ac:dyDescent="0.25">
      <c r="A153" t="s">
        <v>249</v>
      </c>
      <c r="B153" s="1">
        <v>46273</v>
      </c>
      <c r="C153" s="1">
        <v>46280</v>
      </c>
      <c r="D153" t="s">
        <v>250</v>
      </c>
      <c r="E153" t="s">
        <v>251</v>
      </c>
      <c r="F153" t="s">
        <v>166</v>
      </c>
      <c r="G153" t="s">
        <v>167</v>
      </c>
      <c r="H153" t="s">
        <v>79</v>
      </c>
      <c r="I153" s="2">
        <v>5</v>
      </c>
      <c r="J153" s="3">
        <v>14.9</v>
      </c>
      <c r="K153" s="4">
        <v>0.05</v>
      </c>
      <c r="L153" s="3">
        <v>70.78</v>
      </c>
      <c r="M153" t="b">
        <v>1</v>
      </c>
      <c r="N153" s="2">
        <f>YEAR(B153)</f>
        <v>2026</v>
      </c>
      <c r="O153" t="str">
        <f>INDEX(Agences!$C:$C,MATCH(F153,Agences!$A:$A,0))</f>
        <v>Ouest</v>
      </c>
      <c r="P153" t="str">
        <f>INDEX(Produits!$C:$C,MATCH(H153,Produits!$A:$A,0))</f>
        <v>Fournitures</v>
      </c>
      <c r="Q153" s="3">
        <f>I153*INDEX(Produits!$E:$E,MATCH(H153,Produits!$A:$A,0))</f>
        <v>40.25</v>
      </c>
      <c r="R153" s="3">
        <f>L153-Q153</f>
        <v>30.53</v>
      </c>
      <c r="S153" s="2">
        <f>NETWORKDAYS(B153,C153)-1</f>
        <v>5</v>
      </c>
      <c r="T153" s="1">
        <f>WORKDAY(B153,5)</f>
        <v>46280</v>
      </c>
      <c r="U153" t="b">
        <f>C153&gt;T153</f>
        <v>0</v>
      </c>
    </row>
    <row r="154" spans="1:21" x14ac:dyDescent="0.25">
      <c r="A154" t="s">
        <v>249</v>
      </c>
      <c r="B154" s="1">
        <v>46273</v>
      </c>
      <c r="C154" s="1">
        <v>46280</v>
      </c>
      <c r="D154" t="s">
        <v>250</v>
      </c>
      <c r="E154" t="s">
        <v>251</v>
      </c>
      <c r="F154" t="s">
        <v>166</v>
      </c>
      <c r="G154" t="s">
        <v>167</v>
      </c>
      <c r="H154" t="s">
        <v>112</v>
      </c>
      <c r="I154" s="2">
        <v>1</v>
      </c>
      <c r="J154" s="3">
        <v>129</v>
      </c>
      <c r="K154" s="4">
        <v>0</v>
      </c>
      <c r="L154" s="3">
        <v>129</v>
      </c>
      <c r="M154" t="b">
        <v>1</v>
      </c>
      <c r="N154" s="2">
        <f>YEAR(B154)</f>
        <v>2026</v>
      </c>
      <c r="O154" t="str">
        <f>INDEX(Agences!$C:$C,MATCH(F154,Agences!$A:$A,0))</f>
        <v>Ouest</v>
      </c>
      <c r="P154" t="str">
        <f>INDEX(Produits!$C:$C,MATCH(H154,Produits!$A:$A,0))</f>
        <v>Mobilier</v>
      </c>
      <c r="Q154" s="3">
        <f>I154*INDEX(Produits!$E:$E,MATCH(H154,Produits!$A:$A,0))</f>
        <v>86.43</v>
      </c>
      <c r="R154" s="3">
        <f>L154-Q154</f>
        <v>42.56999999999999</v>
      </c>
      <c r="S154" s="2">
        <f>NETWORKDAYS(B154,C154)-1</f>
        <v>5</v>
      </c>
      <c r="T154" s="1">
        <f>WORKDAY(B154,5)</f>
        <v>46280</v>
      </c>
      <c r="U154" t="b">
        <f>C154&gt;T154</f>
        <v>0</v>
      </c>
    </row>
    <row r="155" spans="1:21" x14ac:dyDescent="0.25">
      <c r="A155" t="s">
        <v>249</v>
      </c>
      <c r="B155" s="1">
        <v>46273</v>
      </c>
      <c r="C155" s="1">
        <v>46280</v>
      </c>
      <c r="D155" t="s">
        <v>250</v>
      </c>
      <c r="E155" t="s">
        <v>251</v>
      </c>
      <c r="F155" t="s">
        <v>166</v>
      </c>
      <c r="G155" t="s">
        <v>167</v>
      </c>
      <c r="H155" t="s">
        <v>123</v>
      </c>
      <c r="I155" s="2">
        <v>10</v>
      </c>
      <c r="J155" s="3">
        <v>39.9</v>
      </c>
      <c r="K155" s="4">
        <v>0.08</v>
      </c>
      <c r="L155" s="3">
        <v>367.08</v>
      </c>
      <c r="M155" t="b">
        <v>1</v>
      </c>
      <c r="N155" s="2">
        <f>YEAR(B155)</f>
        <v>2026</v>
      </c>
      <c r="O155" t="str">
        <f>INDEX(Agences!$C:$C,MATCH(F155,Agences!$A:$A,0))</f>
        <v>Ouest</v>
      </c>
      <c r="P155" t="str">
        <f>INDEX(Produits!$C:$C,MATCH(H155,Produits!$A:$A,0))</f>
        <v>Fournitures</v>
      </c>
      <c r="Q155" s="3">
        <f>I155*INDEX(Produits!$E:$E,MATCH(H155,Produits!$A:$A,0))</f>
        <v>223.4</v>
      </c>
      <c r="R155" s="3">
        <f>L155-Q155</f>
        <v>143.67999999999998</v>
      </c>
      <c r="S155" s="2">
        <f>NETWORKDAYS(B155,C155)-1</f>
        <v>5</v>
      </c>
      <c r="T155" s="1">
        <f>WORKDAY(B155,5)</f>
        <v>46280</v>
      </c>
      <c r="U155" t="b">
        <f>C155&gt;T155</f>
        <v>0</v>
      </c>
    </row>
    <row r="156" spans="1:21" x14ac:dyDescent="0.25">
      <c r="A156" t="s">
        <v>252</v>
      </c>
      <c r="B156" s="1">
        <v>46273</v>
      </c>
      <c r="C156" s="1">
        <v>46279</v>
      </c>
      <c r="D156" t="s">
        <v>253</v>
      </c>
      <c r="E156" t="s">
        <v>165</v>
      </c>
      <c r="F156" t="s">
        <v>166</v>
      </c>
      <c r="G156" t="s">
        <v>167</v>
      </c>
      <c r="H156" t="s">
        <v>27</v>
      </c>
      <c r="I156" s="2">
        <v>6</v>
      </c>
      <c r="J156" s="3">
        <v>310</v>
      </c>
      <c r="K156" s="4">
        <v>0.1</v>
      </c>
      <c r="L156" s="3">
        <v>1674</v>
      </c>
      <c r="M156" t="b">
        <v>1</v>
      </c>
      <c r="N156" s="2">
        <f>YEAR(B156)</f>
        <v>2026</v>
      </c>
      <c r="O156" t="str">
        <f>INDEX(Agences!$C:$C,MATCH(F156,Agences!$A:$A,0))</f>
        <v>Ouest</v>
      </c>
      <c r="P156" t="str">
        <f>INDEX(Produits!$C:$C,MATCH(H156,Produits!$A:$A,0))</f>
        <v>Mobilier</v>
      </c>
      <c r="Q156" s="3">
        <f>I156*INDEX(Produits!$E:$E,MATCH(H156,Produits!$A:$A,0))</f>
        <v>1116</v>
      </c>
      <c r="R156" s="3">
        <f>L156-Q156</f>
        <v>558</v>
      </c>
      <c r="S156" s="2">
        <f>NETWORKDAYS(B156,C156)-1</f>
        <v>4</v>
      </c>
      <c r="T156" s="1">
        <f>WORKDAY(B156,5)</f>
        <v>46280</v>
      </c>
      <c r="U156" t="b">
        <f>C156&gt;T156</f>
        <v>0</v>
      </c>
    </row>
    <row r="157" spans="1:21" x14ac:dyDescent="0.25">
      <c r="A157" t="s">
        <v>252</v>
      </c>
      <c r="B157" s="1">
        <v>46273</v>
      </c>
      <c r="C157" s="1">
        <v>46279</v>
      </c>
      <c r="D157" t="s">
        <v>253</v>
      </c>
      <c r="E157" t="s">
        <v>165</v>
      </c>
      <c r="F157" t="s">
        <v>166</v>
      </c>
      <c r="G157" t="s">
        <v>167</v>
      </c>
      <c r="H157" t="s">
        <v>42</v>
      </c>
      <c r="I157" s="2">
        <v>1</v>
      </c>
      <c r="J157" s="3">
        <v>55</v>
      </c>
      <c r="K157" s="4">
        <v>0</v>
      </c>
      <c r="L157" s="3">
        <v>55</v>
      </c>
      <c r="M157" t="b">
        <v>1</v>
      </c>
      <c r="N157" s="2">
        <f>YEAR(B157)</f>
        <v>2026</v>
      </c>
      <c r="O157" t="str">
        <f>INDEX(Agences!$C:$C,MATCH(F157,Agences!$A:$A,0))</f>
        <v>Ouest</v>
      </c>
      <c r="P157" t="str">
        <f>INDEX(Produits!$C:$C,MATCH(H157,Produits!$A:$A,0))</f>
        <v>Maintenance</v>
      </c>
      <c r="Q157" s="3">
        <f>I157*INDEX(Produits!$E:$E,MATCH(H157,Produits!$A:$A,0))</f>
        <v>24.75</v>
      </c>
      <c r="R157" s="3">
        <f>L157-Q157</f>
        <v>30.25</v>
      </c>
      <c r="S157" s="2">
        <f>NETWORKDAYS(B157,C157)-1</f>
        <v>4</v>
      </c>
      <c r="T157" s="1">
        <f>WORKDAY(B157,5)</f>
        <v>46280</v>
      </c>
      <c r="U157" t="b">
        <f>C157&gt;T157</f>
        <v>0</v>
      </c>
    </row>
    <row r="158" spans="1:21" x14ac:dyDescent="0.25">
      <c r="A158" t="s">
        <v>252</v>
      </c>
      <c r="B158" s="1">
        <v>46273</v>
      </c>
      <c r="C158" s="1">
        <v>46279</v>
      </c>
      <c r="D158" t="s">
        <v>253</v>
      </c>
      <c r="E158" t="s">
        <v>165</v>
      </c>
      <c r="F158" t="s">
        <v>166</v>
      </c>
      <c r="G158" t="s">
        <v>167</v>
      </c>
      <c r="H158" t="s">
        <v>34</v>
      </c>
      <c r="I158" s="2">
        <v>2</v>
      </c>
      <c r="J158" s="3">
        <v>340</v>
      </c>
      <c r="K158" s="4">
        <v>0</v>
      </c>
      <c r="L158" s="3">
        <v>680</v>
      </c>
      <c r="M158" t="b">
        <v>1</v>
      </c>
      <c r="N158" s="2">
        <f>YEAR(B158)</f>
        <v>2026</v>
      </c>
      <c r="O158" t="str">
        <f>INDEX(Agences!$C:$C,MATCH(F158,Agences!$A:$A,0))</f>
        <v>Ouest</v>
      </c>
      <c r="P158" t="str">
        <f>INDEX(Produits!$C:$C,MATCH(H158,Produits!$A:$A,0))</f>
        <v>Informatique</v>
      </c>
      <c r="Q158" s="3">
        <f>I158*INDEX(Produits!$E:$E,MATCH(H158,Produits!$A:$A,0))</f>
        <v>550.8</v>
      </c>
      <c r="R158" s="3">
        <f>L158-Q158</f>
        <v>129.20000000000005</v>
      </c>
      <c r="S158" s="2">
        <f>NETWORKDAYS(B158,C158)-1</f>
        <v>4</v>
      </c>
      <c r="T158" s="1">
        <f>WORKDAY(B158,5)</f>
        <v>46280</v>
      </c>
      <c r="U158" t="b">
        <f>C158&gt;T158</f>
        <v>0</v>
      </c>
    </row>
    <row r="159" spans="1:21" x14ac:dyDescent="0.25">
      <c r="A159" t="s">
        <v>252</v>
      </c>
      <c r="B159" s="1">
        <v>46273</v>
      </c>
      <c r="C159" s="1">
        <v>46279</v>
      </c>
      <c r="D159" t="s">
        <v>253</v>
      </c>
      <c r="E159" t="s">
        <v>165</v>
      </c>
      <c r="F159" t="s">
        <v>166</v>
      </c>
      <c r="G159" t="s">
        <v>167</v>
      </c>
      <c r="H159" t="s">
        <v>51</v>
      </c>
      <c r="I159" s="2">
        <v>2</v>
      </c>
      <c r="J159" s="3">
        <v>180</v>
      </c>
      <c r="K159" s="4">
        <v>0.1</v>
      </c>
      <c r="L159" s="3">
        <v>324</v>
      </c>
      <c r="M159" t="b">
        <v>1</v>
      </c>
      <c r="N159" s="2">
        <f>YEAR(B159)</f>
        <v>2026</v>
      </c>
      <c r="O159" t="str">
        <f>INDEX(Agences!$C:$C,MATCH(F159,Agences!$A:$A,0))</f>
        <v>Ouest</v>
      </c>
      <c r="P159" t="str">
        <f>INDEX(Produits!$C:$C,MATCH(H159,Produits!$A:$A,0))</f>
        <v>Maintenance</v>
      </c>
      <c r="Q159" s="3">
        <f>I159*INDEX(Produits!$E:$E,MATCH(H159,Produits!$A:$A,0))</f>
        <v>165.6</v>
      </c>
      <c r="R159" s="3">
        <f>L159-Q159</f>
        <v>158.4</v>
      </c>
      <c r="S159" s="2">
        <f>NETWORKDAYS(B159,C159)-1</f>
        <v>4</v>
      </c>
      <c r="T159" s="1">
        <f>WORKDAY(B159,5)</f>
        <v>46280</v>
      </c>
      <c r="U159" t="b">
        <f>C159&gt;T159</f>
        <v>0</v>
      </c>
    </row>
    <row r="160" spans="1:21" x14ac:dyDescent="0.25">
      <c r="A160" t="s">
        <v>254</v>
      </c>
      <c r="B160" s="1">
        <v>46273</v>
      </c>
      <c r="C160" s="1">
        <v>46275</v>
      </c>
      <c r="D160" t="s">
        <v>255</v>
      </c>
      <c r="E160" t="s">
        <v>256</v>
      </c>
      <c r="F160" t="s">
        <v>88</v>
      </c>
      <c r="G160" t="s">
        <v>142</v>
      </c>
      <c r="H160" t="s">
        <v>42</v>
      </c>
      <c r="I160" s="2">
        <v>1</v>
      </c>
      <c r="J160" s="3">
        <v>55</v>
      </c>
      <c r="K160" s="4">
        <v>0</v>
      </c>
      <c r="L160" s="3">
        <v>55</v>
      </c>
      <c r="M160" t="b">
        <v>1</v>
      </c>
      <c r="N160" s="2">
        <f>YEAR(B160)</f>
        <v>2026</v>
      </c>
      <c r="O160" t="str">
        <f>INDEX(Agences!$C:$C,MATCH(F160,Agences!$A:$A,0))</f>
        <v>Sud-Ouest</v>
      </c>
      <c r="P160" t="str">
        <f>INDEX(Produits!$C:$C,MATCH(H160,Produits!$A:$A,0))</f>
        <v>Maintenance</v>
      </c>
      <c r="Q160" s="3">
        <f>I160*INDEX(Produits!$E:$E,MATCH(H160,Produits!$A:$A,0))</f>
        <v>24.75</v>
      </c>
      <c r="R160" s="3">
        <f>L160-Q160</f>
        <v>30.25</v>
      </c>
      <c r="S160" s="2">
        <f>NETWORKDAYS(B160,C160)-1</f>
        <v>2</v>
      </c>
      <c r="T160" s="1">
        <f>WORKDAY(B160,5)</f>
        <v>46280</v>
      </c>
      <c r="U160" t="b">
        <f>C160&gt;T160</f>
        <v>0</v>
      </c>
    </row>
    <row r="161" spans="1:21" x14ac:dyDescent="0.25">
      <c r="A161" t="s">
        <v>254</v>
      </c>
      <c r="B161" s="1">
        <v>46273</v>
      </c>
      <c r="C161" s="1">
        <v>46275</v>
      </c>
      <c r="D161" t="s">
        <v>255</v>
      </c>
      <c r="E161" t="s">
        <v>256</v>
      </c>
      <c r="F161" t="s">
        <v>88</v>
      </c>
      <c r="G161" t="s">
        <v>142</v>
      </c>
      <c r="H161" t="s">
        <v>196</v>
      </c>
      <c r="I161" s="2">
        <v>5</v>
      </c>
      <c r="J161" s="3">
        <v>18.5</v>
      </c>
      <c r="K161" s="4">
        <v>0.08</v>
      </c>
      <c r="L161" s="3">
        <v>85.1</v>
      </c>
      <c r="M161" t="b">
        <v>1</v>
      </c>
      <c r="N161" s="2">
        <f>YEAR(B161)</f>
        <v>2026</v>
      </c>
      <c r="O161" t="str">
        <f>INDEX(Agences!$C:$C,MATCH(F161,Agences!$A:$A,0))</f>
        <v>Sud-Ouest</v>
      </c>
      <c r="P161" t="str">
        <f>INDEX(Produits!$C:$C,MATCH(H161,Produits!$A:$A,0))</f>
        <v>Fournitures</v>
      </c>
      <c r="Q161" s="3">
        <f>I161*INDEX(Produits!$E:$E,MATCH(H161,Produits!$A:$A,0))</f>
        <v>47.199999999999996</v>
      </c>
      <c r="R161" s="3">
        <f>L161-Q161</f>
        <v>37.9</v>
      </c>
      <c r="S161" s="2">
        <f>NETWORKDAYS(B161,C161)-1</f>
        <v>2</v>
      </c>
      <c r="T161" s="1">
        <f>WORKDAY(B161,5)</f>
        <v>46280</v>
      </c>
      <c r="U161" t="b">
        <f>C161&gt;T161</f>
        <v>0</v>
      </c>
    </row>
    <row r="162" spans="1:21" x14ac:dyDescent="0.25">
      <c r="A162" t="s">
        <v>254</v>
      </c>
      <c r="B162" s="1">
        <v>46273</v>
      </c>
      <c r="C162" s="1">
        <v>46275</v>
      </c>
      <c r="D162" t="s">
        <v>255</v>
      </c>
      <c r="E162" t="s">
        <v>256</v>
      </c>
      <c r="F162" t="s">
        <v>88</v>
      </c>
      <c r="G162" t="s">
        <v>142</v>
      </c>
      <c r="H162" t="s">
        <v>58</v>
      </c>
      <c r="I162" s="2">
        <v>3</v>
      </c>
      <c r="J162" s="3">
        <v>649</v>
      </c>
      <c r="K162" s="4">
        <v>0.02</v>
      </c>
      <c r="L162" s="3">
        <v>1908.06</v>
      </c>
      <c r="M162" t="b">
        <v>1</v>
      </c>
      <c r="N162" s="2">
        <f>YEAR(B162)</f>
        <v>2026</v>
      </c>
      <c r="O162" t="str">
        <f>INDEX(Agences!$C:$C,MATCH(F162,Agences!$A:$A,0))</f>
        <v>Sud-Ouest</v>
      </c>
      <c r="P162" t="str">
        <f>INDEX(Produits!$C:$C,MATCH(H162,Produits!$A:$A,0))</f>
        <v>Mobilier</v>
      </c>
      <c r="Q162" s="3">
        <f>I162*INDEX(Produits!$E:$E,MATCH(H162,Produits!$A:$A,0))</f>
        <v>1226.6100000000001</v>
      </c>
      <c r="R162" s="3">
        <f>L162-Q162</f>
        <v>681.4499999999998</v>
      </c>
      <c r="S162" s="2">
        <f>NETWORKDAYS(B162,C162)-1</f>
        <v>2</v>
      </c>
      <c r="T162" s="1">
        <f>WORKDAY(B162,5)</f>
        <v>46280</v>
      </c>
      <c r="U162" t="b">
        <f>C162&gt;T162</f>
        <v>0</v>
      </c>
    </row>
    <row r="163" spans="1:21" x14ac:dyDescent="0.25">
      <c r="A163" t="s">
        <v>257</v>
      </c>
      <c r="B163" s="1">
        <v>46273</v>
      </c>
      <c r="C163" s="1">
        <v>46275</v>
      </c>
      <c r="D163" t="s">
        <v>258</v>
      </c>
      <c r="E163" t="s">
        <v>61</v>
      </c>
      <c r="F163" t="s">
        <v>62</v>
      </c>
      <c r="G163" t="s">
        <v>68</v>
      </c>
      <c r="H163" t="s">
        <v>34</v>
      </c>
      <c r="I163" s="2">
        <v>5</v>
      </c>
      <c r="J163" s="3">
        <v>340</v>
      </c>
      <c r="K163" s="4">
        <v>0</v>
      </c>
      <c r="L163" s="3">
        <v>1700</v>
      </c>
      <c r="M163" t="b">
        <v>1</v>
      </c>
      <c r="N163" s="2">
        <f>YEAR(B163)</f>
        <v>2026</v>
      </c>
      <c r="O163" t="str">
        <f>INDEX(Agences!$C:$C,MATCH(F163,Agences!$A:$A,0))</f>
        <v>Méditerranée</v>
      </c>
      <c r="P163" t="str">
        <f>INDEX(Produits!$C:$C,MATCH(H163,Produits!$A:$A,0))</f>
        <v>Informatique</v>
      </c>
      <c r="Q163" s="3">
        <f>I163*INDEX(Produits!$E:$E,MATCH(H163,Produits!$A:$A,0))</f>
        <v>1377</v>
      </c>
      <c r="R163" s="3">
        <f>L163-Q163</f>
        <v>323</v>
      </c>
      <c r="S163" s="2">
        <f>NETWORKDAYS(B163,C163)-1</f>
        <v>2</v>
      </c>
      <c r="T163" s="1">
        <f>WORKDAY(B163,5)</f>
        <v>46280</v>
      </c>
      <c r="U163" t="b">
        <f>C163&gt;T163</f>
        <v>0</v>
      </c>
    </row>
    <row r="164" spans="1:21" x14ac:dyDescent="0.25">
      <c r="A164" t="s">
        <v>259</v>
      </c>
      <c r="B164" s="1">
        <v>46273</v>
      </c>
      <c r="C164" s="1">
        <v>46275</v>
      </c>
      <c r="D164" t="s">
        <v>260</v>
      </c>
      <c r="E164" t="s">
        <v>157</v>
      </c>
      <c r="F164" t="s">
        <v>46</v>
      </c>
      <c r="G164" t="s">
        <v>47</v>
      </c>
      <c r="H164" t="s">
        <v>83</v>
      </c>
      <c r="I164" s="2">
        <v>1</v>
      </c>
      <c r="J164" s="3">
        <v>49</v>
      </c>
      <c r="K164" s="4">
        <v>0.05</v>
      </c>
      <c r="L164" s="3">
        <v>46.55</v>
      </c>
      <c r="M164" t="b">
        <v>1</v>
      </c>
      <c r="N164" s="2">
        <f>YEAR(B164)</f>
        <v>2026</v>
      </c>
      <c r="O164" t="str">
        <f>INDEX(Agences!$C:$C,MATCH(F164,Agences!$A:$A,0))</f>
        <v>Est</v>
      </c>
      <c r="P164" t="str">
        <f>INDEX(Produits!$C:$C,MATCH(H164,Produits!$A:$A,0))</f>
        <v>Mobilier</v>
      </c>
      <c r="Q164" s="3">
        <f>I164*INDEX(Produits!$E:$E,MATCH(H164,Produits!$A:$A,0))</f>
        <v>28.42</v>
      </c>
      <c r="R164" s="3">
        <f>L164-Q164</f>
        <v>18.129999999999995</v>
      </c>
      <c r="S164" s="2">
        <f>NETWORKDAYS(B164,C164)-1</f>
        <v>2</v>
      </c>
      <c r="T164" s="1">
        <f>WORKDAY(B164,5)</f>
        <v>46280</v>
      </c>
      <c r="U164" t="b">
        <f>C164&gt;T164</f>
        <v>0</v>
      </c>
    </row>
    <row r="165" spans="1:21" x14ac:dyDescent="0.25">
      <c r="A165" t="s">
        <v>259</v>
      </c>
      <c r="B165" s="1">
        <v>46273</v>
      </c>
      <c r="C165" s="1">
        <v>46275</v>
      </c>
      <c r="D165" t="s">
        <v>260</v>
      </c>
      <c r="E165" t="s">
        <v>157</v>
      </c>
      <c r="F165" t="s">
        <v>46</v>
      </c>
      <c r="G165" t="s">
        <v>47</v>
      </c>
      <c r="H165" t="s">
        <v>108</v>
      </c>
      <c r="I165" s="2">
        <v>5</v>
      </c>
      <c r="J165" s="3">
        <v>24.5</v>
      </c>
      <c r="K165" s="4">
        <v>0.02</v>
      </c>
      <c r="L165" s="3">
        <v>120.05</v>
      </c>
      <c r="M165" t="b">
        <v>1</v>
      </c>
      <c r="N165" s="2">
        <f>YEAR(B165)</f>
        <v>2026</v>
      </c>
      <c r="O165" t="str">
        <f>INDEX(Agences!$C:$C,MATCH(F165,Agences!$A:$A,0))</f>
        <v>Est</v>
      </c>
      <c r="P165" t="str">
        <f>INDEX(Produits!$C:$C,MATCH(H165,Produits!$A:$A,0))</f>
        <v>Fournitures</v>
      </c>
      <c r="Q165" s="3">
        <f>I165*INDEX(Produits!$E:$E,MATCH(H165,Produits!$A:$A,0))</f>
        <v>73.5</v>
      </c>
      <c r="R165" s="3">
        <f>L165-Q165</f>
        <v>46.55</v>
      </c>
      <c r="S165" s="2">
        <f>NETWORKDAYS(B165,C165)-1</f>
        <v>2</v>
      </c>
      <c r="T165" s="1">
        <f>WORKDAY(B165,5)</f>
        <v>46280</v>
      </c>
      <c r="U165" t="b">
        <f>C165&gt;T165</f>
        <v>0</v>
      </c>
    </row>
    <row r="166" spans="1:21" x14ac:dyDescent="0.25">
      <c r="A166" t="s">
        <v>261</v>
      </c>
      <c r="B166" s="1">
        <v>46272</v>
      </c>
      <c r="C166" s="1">
        <v>46276</v>
      </c>
      <c r="D166" t="s">
        <v>262</v>
      </c>
      <c r="E166" t="s">
        <v>119</v>
      </c>
      <c r="F166" t="s">
        <v>24</v>
      </c>
      <c r="G166" t="s">
        <v>116</v>
      </c>
      <c r="H166" t="s">
        <v>107</v>
      </c>
      <c r="I166" s="2">
        <v>2</v>
      </c>
      <c r="J166" s="3">
        <v>99</v>
      </c>
      <c r="K166" s="4">
        <v>0.05</v>
      </c>
      <c r="L166" s="3">
        <v>188.1</v>
      </c>
      <c r="M166" t="b">
        <v>1</v>
      </c>
      <c r="N166" s="2">
        <f>YEAR(B166)</f>
        <v>2026</v>
      </c>
      <c r="O166" t="str">
        <f>INDEX(Agences!$C:$C,MATCH(F166,Agences!$A:$A,0))</f>
        <v>Nord</v>
      </c>
      <c r="P166" t="str">
        <f>INDEX(Produits!$C:$C,MATCH(H166,Produits!$A:$A,0))</f>
        <v>Informatique</v>
      </c>
      <c r="Q166" s="3">
        <f>I166*INDEX(Produits!$E:$E,MATCH(H166,Produits!$A:$A,0))</f>
        <v>150.48</v>
      </c>
      <c r="R166" s="3">
        <f>L166-Q166</f>
        <v>37.620000000000005</v>
      </c>
      <c r="S166" s="2">
        <f>NETWORKDAYS(B166,C166)-1</f>
        <v>4</v>
      </c>
      <c r="T166" s="1">
        <f>WORKDAY(B166,5)</f>
        <v>46279</v>
      </c>
      <c r="U166" t="b">
        <f>C166&gt;T166</f>
        <v>0</v>
      </c>
    </row>
    <row r="167" spans="1:21" x14ac:dyDescent="0.25">
      <c r="A167" t="s">
        <v>263</v>
      </c>
      <c r="B167" s="1">
        <v>46269</v>
      </c>
      <c r="C167" s="1">
        <v>46276</v>
      </c>
      <c r="D167" t="s">
        <v>264</v>
      </c>
      <c r="E167" t="s">
        <v>98</v>
      </c>
      <c r="F167" t="s">
        <v>99</v>
      </c>
      <c r="G167" t="s">
        <v>265</v>
      </c>
      <c r="H167" t="s">
        <v>42</v>
      </c>
      <c r="I167" s="2">
        <v>1</v>
      </c>
      <c r="J167" s="3">
        <v>55</v>
      </c>
      <c r="K167" s="4">
        <v>0</v>
      </c>
      <c r="L167" s="3">
        <v>55</v>
      </c>
      <c r="M167" t="b">
        <v>1</v>
      </c>
      <c r="N167" s="2">
        <f>YEAR(B167)</f>
        <v>2026</v>
      </c>
      <c r="O167" t="str">
        <f>INDEX(Agences!$C:$C,MATCH(F167,Agences!$A:$A,0))</f>
        <v>Nord</v>
      </c>
      <c r="P167" t="str">
        <f>INDEX(Produits!$C:$C,MATCH(H167,Produits!$A:$A,0))</f>
        <v>Maintenance</v>
      </c>
      <c r="Q167" s="3">
        <f>I167*INDEX(Produits!$E:$E,MATCH(H167,Produits!$A:$A,0))</f>
        <v>24.75</v>
      </c>
      <c r="R167" s="3">
        <f>L167-Q167</f>
        <v>30.25</v>
      </c>
      <c r="S167" s="2">
        <f>NETWORKDAYS(B167,C167)-1</f>
        <v>5</v>
      </c>
      <c r="T167" s="1">
        <f>WORKDAY(B167,5)</f>
        <v>46276</v>
      </c>
      <c r="U167" t="b">
        <f>C167&gt;T167</f>
        <v>0</v>
      </c>
    </row>
    <row r="168" spans="1:21" x14ac:dyDescent="0.25">
      <c r="A168" t="s">
        <v>263</v>
      </c>
      <c r="B168" s="1">
        <v>46269</v>
      </c>
      <c r="C168" s="1">
        <v>46276</v>
      </c>
      <c r="D168" t="s">
        <v>264</v>
      </c>
      <c r="E168" t="s">
        <v>98</v>
      </c>
      <c r="F168" t="s">
        <v>99</v>
      </c>
      <c r="G168" t="s">
        <v>265</v>
      </c>
      <c r="H168" t="s">
        <v>123</v>
      </c>
      <c r="I168" s="2">
        <v>10</v>
      </c>
      <c r="J168" s="3">
        <v>39.9</v>
      </c>
      <c r="K168" s="4">
        <v>0</v>
      </c>
      <c r="L168" s="3">
        <v>399</v>
      </c>
      <c r="M168" t="b">
        <v>1</v>
      </c>
      <c r="N168" s="2">
        <f>YEAR(B168)</f>
        <v>2026</v>
      </c>
      <c r="O168" t="str">
        <f>INDEX(Agences!$C:$C,MATCH(F168,Agences!$A:$A,0))</f>
        <v>Nord</v>
      </c>
      <c r="P168" t="str">
        <f>INDEX(Produits!$C:$C,MATCH(H168,Produits!$A:$A,0))</f>
        <v>Fournitures</v>
      </c>
      <c r="Q168" s="3">
        <f>I168*INDEX(Produits!$E:$E,MATCH(H168,Produits!$A:$A,0))</f>
        <v>223.4</v>
      </c>
      <c r="R168" s="3">
        <f>L168-Q168</f>
        <v>175.6</v>
      </c>
      <c r="S168" s="2">
        <f>NETWORKDAYS(B168,C168)-1</f>
        <v>5</v>
      </c>
      <c r="T168" s="1">
        <f>WORKDAY(B168,5)</f>
        <v>46276</v>
      </c>
      <c r="U168" t="b">
        <f>C168&gt;T168</f>
        <v>0</v>
      </c>
    </row>
    <row r="169" spans="1:21" x14ac:dyDescent="0.25">
      <c r="A169" t="s">
        <v>263</v>
      </c>
      <c r="B169" s="1">
        <v>46269</v>
      </c>
      <c r="C169" s="1">
        <v>46276</v>
      </c>
      <c r="D169" t="s">
        <v>264</v>
      </c>
      <c r="E169" t="s">
        <v>98</v>
      </c>
      <c r="F169" t="s">
        <v>99</v>
      </c>
      <c r="G169" t="s">
        <v>265</v>
      </c>
      <c r="H169" t="s">
        <v>72</v>
      </c>
      <c r="I169" s="2">
        <v>3</v>
      </c>
      <c r="J169" s="3">
        <v>179</v>
      </c>
      <c r="K169" s="4">
        <v>0.05</v>
      </c>
      <c r="L169" s="3">
        <v>510.15</v>
      </c>
      <c r="M169" t="b">
        <v>1</v>
      </c>
      <c r="N169" s="2">
        <f>YEAR(B169)</f>
        <v>2026</v>
      </c>
      <c r="O169" t="str">
        <f>INDEX(Agences!$C:$C,MATCH(F169,Agences!$A:$A,0))</f>
        <v>Nord</v>
      </c>
      <c r="P169" t="str">
        <f>INDEX(Produits!$C:$C,MATCH(H169,Produits!$A:$A,0))</f>
        <v>Informatique</v>
      </c>
      <c r="Q169" s="3">
        <f>I169*INDEX(Produits!$E:$E,MATCH(H169,Produits!$A:$A,0))</f>
        <v>440.34000000000003</v>
      </c>
      <c r="R169" s="3">
        <f>L169-Q169</f>
        <v>69.80999999999995</v>
      </c>
      <c r="S169" s="2">
        <f>NETWORKDAYS(B169,C169)-1</f>
        <v>5</v>
      </c>
      <c r="T169" s="1">
        <f>WORKDAY(B169,5)</f>
        <v>46276</v>
      </c>
      <c r="U169" t="b">
        <f>C169&gt;T169</f>
        <v>0</v>
      </c>
    </row>
    <row r="170" spans="1:21" x14ac:dyDescent="0.25">
      <c r="A170" t="s">
        <v>263</v>
      </c>
      <c r="B170" s="1">
        <v>46269</v>
      </c>
      <c r="C170" s="1">
        <v>46276</v>
      </c>
      <c r="D170" t="s">
        <v>264</v>
      </c>
      <c r="E170" t="s">
        <v>98</v>
      </c>
      <c r="F170" t="s">
        <v>99</v>
      </c>
      <c r="G170" t="s">
        <v>265</v>
      </c>
      <c r="H170" t="s">
        <v>83</v>
      </c>
      <c r="I170" s="2">
        <v>7</v>
      </c>
      <c r="J170" s="3">
        <v>49</v>
      </c>
      <c r="K170" s="4">
        <v>0</v>
      </c>
      <c r="L170" s="3">
        <v>343</v>
      </c>
      <c r="M170" t="b">
        <v>1</v>
      </c>
      <c r="N170" s="2">
        <f>YEAR(B170)</f>
        <v>2026</v>
      </c>
      <c r="O170" t="str">
        <f>INDEX(Agences!$C:$C,MATCH(F170,Agences!$A:$A,0))</f>
        <v>Nord</v>
      </c>
      <c r="P170" t="str">
        <f>INDEX(Produits!$C:$C,MATCH(H170,Produits!$A:$A,0))</f>
        <v>Mobilier</v>
      </c>
      <c r="Q170" s="3">
        <f>I170*INDEX(Produits!$E:$E,MATCH(H170,Produits!$A:$A,0))</f>
        <v>198.94</v>
      </c>
      <c r="R170" s="3">
        <f>L170-Q170</f>
        <v>144.06</v>
      </c>
      <c r="S170" s="2">
        <f>NETWORKDAYS(B170,C170)-1</f>
        <v>5</v>
      </c>
      <c r="T170" s="1">
        <f>WORKDAY(B170,5)</f>
        <v>46276</v>
      </c>
      <c r="U170" t="b">
        <f>C170&gt;T170</f>
        <v>0</v>
      </c>
    </row>
    <row r="171" spans="1:21" x14ac:dyDescent="0.25">
      <c r="A171" t="s">
        <v>266</v>
      </c>
      <c r="B171" s="1">
        <v>46269</v>
      </c>
      <c r="C171" s="1">
        <v>46275</v>
      </c>
      <c r="D171" t="s">
        <v>267</v>
      </c>
      <c r="E171" t="s">
        <v>157</v>
      </c>
      <c r="F171" t="s">
        <v>46</v>
      </c>
      <c r="G171" t="s">
        <v>111</v>
      </c>
      <c r="H171" t="s">
        <v>127</v>
      </c>
      <c r="I171" s="2">
        <v>1</v>
      </c>
      <c r="J171" s="3">
        <v>649</v>
      </c>
      <c r="K171" s="4">
        <v>0</v>
      </c>
      <c r="L171" s="3">
        <v>649</v>
      </c>
      <c r="M171" t="b">
        <v>1</v>
      </c>
      <c r="N171" s="2">
        <f>YEAR(B171)</f>
        <v>2026</v>
      </c>
      <c r="O171" t="str">
        <f>INDEX(Agences!$C:$C,MATCH(F171,Agences!$A:$A,0))</f>
        <v>Est</v>
      </c>
      <c r="P171" t="str">
        <f>INDEX(Produits!$C:$C,MATCH(H171,Produits!$A:$A,0))</f>
        <v>Informatique</v>
      </c>
      <c r="Q171" s="3">
        <f>I171*INDEX(Produits!$E:$E,MATCH(H171,Produits!$A:$A,0))</f>
        <v>480.26</v>
      </c>
      <c r="R171" s="3">
        <f>L171-Q171</f>
        <v>168.74</v>
      </c>
      <c r="S171" s="2">
        <f>NETWORKDAYS(B171,C171)-1</f>
        <v>4</v>
      </c>
      <c r="T171" s="1">
        <f>WORKDAY(B171,5)</f>
        <v>46276</v>
      </c>
      <c r="U171" t="b">
        <f>C171&gt;T171</f>
        <v>0</v>
      </c>
    </row>
    <row r="172" spans="1:21" x14ac:dyDescent="0.25">
      <c r="A172" t="s">
        <v>266</v>
      </c>
      <c r="B172" s="1">
        <v>46269</v>
      </c>
      <c r="C172" s="1">
        <v>46275</v>
      </c>
      <c r="D172" t="s">
        <v>267</v>
      </c>
      <c r="E172" t="s">
        <v>157</v>
      </c>
      <c r="F172" t="s">
        <v>46</v>
      </c>
      <c r="G172" t="s">
        <v>111</v>
      </c>
      <c r="H172" t="s">
        <v>108</v>
      </c>
      <c r="I172" s="2">
        <v>10</v>
      </c>
      <c r="J172" s="3">
        <v>24.5</v>
      </c>
      <c r="K172" s="4">
        <v>0.05</v>
      </c>
      <c r="L172" s="3">
        <v>232.75</v>
      </c>
      <c r="M172" t="b">
        <v>1</v>
      </c>
      <c r="N172" s="2">
        <f>YEAR(B172)</f>
        <v>2026</v>
      </c>
      <c r="O172" t="str">
        <f>INDEX(Agences!$C:$C,MATCH(F172,Agences!$A:$A,0))</f>
        <v>Est</v>
      </c>
      <c r="P172" t="str">
        <f>INDEX(Produits!$C:$C,MATCH(H172,Produits!$A:$A,0))</f>
        <v>Fournitures</v>
      </c>
      <c r="Q172" s="3">
        <f>I172*INDEX(Produits!$E:$E,MATCH(H172,Produits!$A:$A,0))</f>
        <v>147</v>
      </c>
      <c r="R172" s="3">
        <f>L172-Q172</f>
        <v>85.75</v>
      </c>
      <c r="S172" s="2">
        <f>NETWORKDAYS(B172,C172)-1</f>
        <v>4</v>
      </c>
      <c r="T172" s="1">
        <f>WORKDAY(B172,5)</f>
        <v>46276</v>
      </c>
      <c r="U172" t="b">
        <f>C172&gt;T172</f>
        <v>0</v>
      </c>
    </row>
    <row r="173" spans="1:21" x14ac:dyDescent="0.25">
      <c r="A173" t="s">
        <v>266</v>
      </c>
      <c r="B173" s="1">
        <v>46269</v>
      </c>
      <c r="C173" s="1">
        <v>46275</v>
      </c>
      <c r="D173" t="s">
        <v>267</v>
      </c>
      <c r="E173" t="s">
        <v>157</v>
      </c>
      <c r="F173" t="s">
        <v>46</v>
      </c>
      <c r="G173" t="s">
        <v>111</v>
      </c>
      <c r="H173" t="s">
        <v>90</v>
      </c>
      <c r="I173" s="2">
        <v>20</v>
      </c>
      <c r="J173" s="3">
        <v>22.9</v>
      </c>
      <c r="K173" s="4">
        <v>0.1</v>
      </c>
      <c r="L173" s="3">
        <v>412.2</v>
      </c>
      <c r="M173" t="b">
        <v>1</v>
      </c>
      <c r="N173" s="2">
        <f>YEAR(B173)</f>
        <v>2026</v>
      </c>
      <c r="O173" t="str">
        <f>INDEX(Agences!$C:$C,MATCH(F173,Agences!$A:$A,0))</f>
        <v>Est</v>
      </c>
      <c r="P173" t="str">
        <f>INDEX(Produits!$C:$C,MATCH(H173,Produits!$A:$A,0))</f>
        <v>Fournitures</v>
      </c>
      <c r="Q173" s="3">
        <f>I173*INDEX(Produits!$E:$E,MATCH(H173,Produits!$A:$A,0))</f>
        <v>256.4</v>
      </c>
      <c r="R173" s="3">
        <f>L173-Q173</f>
        <v>155.8</v>
      </c>
      <c r="S173" s="2">
        <f>NETWORKDAYS(B173,C173)-1</f>
        <v>4</v>
      </c>
      <c r="T173" s="1">
        <f>WORKDAY(B173,5)</f>
        <v>46276</v>
      </c>
      <c r="U173" t="b">
        <f>C173&gt;T173</f>
        <v>0</v>
      </c>
    </row>
    <row r="174" spans="1:21" x14ac:dyDescent="0.25">
      <c r="A174" t="s">
        <v>268</v>
      </c>
      <c r="B174" s="1">
        <v>46268</v>
      </c>
      <c r="C174" s="1">
        <v>46275</v>
      </c>
      <c r="D174" t="s">
        <v>269</v>
      </c>
      <c r="E174" t="s">
        <v>270</v>
      </c>
      <c r="F174" t="s">
        <v>76</v>
      </c>
      <c r="G174" t="s">
        <v>232</v>
      </c>
      <c r="H174" t="s">
        <v>26</v>
      </c>
      <c r="I174" s="2">
        <v>1</v>
      </c>
      <c r="J174" s="3">
        <v>290</v>
      </c>
      <c r="K174" s="4">
        <v>0</v>
      </c>
      <c r="L174" s="3">
        <v>290</v>
      </c>
      <c r="M174" t="b">
        <v>1</v>
      </c>
      <c r="N174" s="2">
        <f>YEAR(B174)</f>
        <v>2026</v>
      </c>
      <c r="O174" t="str">
        <f>INDEX(Agences!$C:$C,MATCH(F174,Agences!$A:$A,0))</f>
        <v>Île-de-France</v>
      </c>
      <c r="P174" t="str">
        <f>INDEX(Produits!$C:$C,MATCH(H174,Produits!$A:$A,0))</f>
        <v>Maintenance</v>
      </c>
      <c r="Q174" s="3">
        <f>I174*INDEX(Produits!$E:$E,MATCH(H174,Produits!$A:$A,0))</f>
        <v>139.2</v>
      </c>
      <c r="R174" s="3">
        <f>L174-Q174</f>
        <v>150.8</v>
      </c>
      <c r="S174" s="2">
        <f>NETWORKDAYS(B174,C174)-1</f>
        <v>5</v>
      </c>
      <c r="T174" s="1">
        <f>WORKDAY(B174,5)</f>
        <v>46275</v>
      </c>
      <c r="U174" t="b">
        <f>C174&gt;T174</f>
        <v>0</v>
      </c>
    </row>
    <row r="175" spans="1:21" x14ac:dyDescent="0.25">
      <c r="A175" t="s">
        <v>268</v>
      </c>
      <c r="B175" s="1">
        <v>46268</v>
      </c>
      <c r="C175" s="1">
        <v>46275</v>
      </c>
      <c r="D175" t="s">
        <v>269</v>
      </c>
      <c r="E175" t="s">
        <v>270</v>
      </c>
      <c r="F175" t="s">
        <v>76</v>
      </c>
      <c r="G175" t="s">
        <v>232</v>
      </c>
      <c r="H175" t="s">
        <v>49</v>
      </c>
      <c r="I175" s="2">
        <v>1</v>
      </c>
      <c r="J175" s="3">
        <v>120</v>
      </c>
      <c r="K175" s="4">
        <v>0.02</v>
      </c>
      <c r="L175" s="3">
        <v>117.6</v>
      </c>
      <c r="M175" t="b">
        <v>1</v>
      </c>
      <c r="N175" s="2">
        <f>YEAR(B175)</f>
        <v>2026</v>
      </c>
      <c r="O175" t="str">
        <f>INDEX(Agences!$C:$C,MATCH(F175,Agences!$A:$A,0))</f>
        <v>Île-de-France</v>
      </c>
      <c r="P175" t="str">
        <f>INDEX(Produits!$C:$C,MATCH(H175,Produits!$A:$A,0))</f>
        <v>Maintenance</v>
      </c>
      <c r="Q175" s="3">
        <f>I175*INDEX(Produits!$E:$E,MATCH(H175,Produits!$A:$A,0))</f>
        <v>55.2</v>
      </c>
      <c r="R175" s="3">
        <f>L175-Q175</f>
        <v>62.39999999999999</v>
      </c>
      <c r="S175" s="2">
        <f>NETWORKDAYS(B175,C175)-1</f>
        <v>5</v>
      </c>
      <c r="T175" s="1">
        <f>WORKDAY(B175,5)</f>
        <v>46275</v>
      </c>
      <c r="U175" t="b">
        <f>C175&gt;T175</f>
        <v>0</v>
      </c>
    </row>
    <row r="176" spans="1:21" x14ac:dyDescent="0.25">
      <c r="A176" t="s">
        <v>268</v>
      </c>
      <c r="B176" s="1">
        <v>46268</v>
      </c>
      <c r="C176" s="1">
        <v>46275</v>
      </c>
      <c r="D176" t="s">
        <v>269</v>
      </c>
      <c r="E176" t="s">
        <v>270</v>
      </c>
      <c r="F176" t="s">
        <v>76</v>
      </c>
      <c r="G176" t="s">
        <v>232</v>
      </c>
      <c r="H176" t="s">
        <v>42</v>
      </c>
      <c r="I176" s="2">
        <v>2</v>
      </c>
      <c r="J176" s="3">
        <v>55</v>
      </c>
      <c r="K176" s="4">
        <v>0</v>
      </c>
      <c r="L176" s="3">
        <v>110</v>
      </c>
      <c r="M176" t="b">
        <v>1</v>
      </c>
      <c r="N176" s="2">
        <f>YEAR(B176)</f>
        <v>2026</v>
      </c>
      <c r="O176" t="str">
        <f>INDEX(Agences!$C:$C,MATCH(F176,Agences!$A:$A,0))</f>
        <v>Île-de-France</v>
      </c>
      <c r="P176" t="str">
        <f>INDEX(Produits!$C:$C,MATCH(H176,Produits!$A:$A,0))</f>
        <v>Maintenance</v>
      </c>
      <c r="Q176" s="3">
        <f>I176*INDEX(Produits!$E:$E,MATCH(H176,Produits!$A:$A,0))</f>
        <v>49.5</v>
      </c>
      <c r="R176" s="3">
        <f>L176-Q176</f>
        <v>60.5</v>
      </c>
      <c r="S176" s="2">
        <f>NETWORKDAYS(B176,C176)-1</f>
        <v>5</v>
      </c>
      <c r="T176" s="1">
        <f>WORKDAY(B176,5)</f>
        <v>46275</v>
      </c>
      <c r="U176" t="b">
        <f>C176&gt;T176</f>
        <v>0</v>
      </c>
    </row>
    <row r="177" spans="1:21" x14ac:dyDescent="0.25">
      <c r="A177" t="s">
        <v>271</v>
      </c>
      <c r="B177" s="1">
        <v>46268</v>
      </c>
      <c r="C177" s="1">
        <v>46272</v>
      </c>
      <c r="D177" t="s">
        <v>272</v>
      </c>
      <c r="E177" t="s">
        <v>225</v>
      </c>
      <c r="F177" t="s">
        <v>88</v>
      </c>
      <c r="G177" t="s">
        <v>89</v>
      </c>
      <c r="H177" t="s">
        <v>83</v>
      </c>
      <c r="I177" s="2">
        <v>1</v>
      </c>
      <c r="J177" s="3">
        <v>49</v>
      </c>
      <c r="K177" s="4">
        <v>0</v>
      </c>
      <c r="L177" s="3">
        <v>49</v>
      </c>
      <c r="M177" t="b">
        <v>1</v>
      </c>
      <c r="N177" s="2">
        <f>YEAR(B177)</f>
        <v>2026</v>
      </c>
      <c r="O177" t="str">
        <f>INDEX(Agences!$C:$C,MATCH(F177,Agences!$A:$A,0))</f>
        <v>Sud-Ouest</v>
      </c>
      <c r="P177" t="str">
        <f>INDEX(Produits!$C:$C,MATCH(H177,Produits!$A:$A,0))</f>
        <v>Mobilier</v>
      </c>
      <c r="Q177" s="3">
        <f>I177*INDEX(Produits!$E:$E,MATCH(H177,Produits!$A:$A,0))</f>
        <v>28.42</v>
      </c>
      <c r="R177" s="3">
        <f>L177-Q177</f>
        <v>20.58</v>
      </c>
      <c r="S177" s="2">
        <f>NETWORKDAYS(B177,C177)-1</f>
        <v>2</v>
      </c>
      <c r="T177" s="1">
        <f>WORKDAY(B177,5)</f>
        <v>46275</v>
      </c>
      <c r="U177" t="b">
        <f>C177&gt;T177</f>
        <v>0</v>
      </c>
    </row>
    <row r="178" spans="1:21" x14ac:dyDescent="0.25">
      <c r="A178" t="s">
        <v>273</v>
      </c>
      <c r="B178" s="1">
        <v>46268</v>
      </c>
      <c r="C178" s="1">
        <v>46282</v>
      </c>
      <c r="D178" t="s">
        <v>274</v>
      </c>
      <c r="E178" t="s">
        <v>229</v>
      </c>
      <c r="F178" t="s">
        <v>55</v>
      </c>
      <c r="G178" t="s">
        <v>56</v>
      </c>
      <c r="H178" t="s">
        <v>42</v>
      </c>
      <c r="I178" s="2">
        <v>2</v>
      </c>
      <c r="J178" s="3">
        <v>55</v>
      </c>
      <c r="K178" s="4">
        <v>0</v>
      </c>
      <c r="L178" s="3">
        <v>110</v>
      </c>
      <c r="M178" t="b">
        <v>1</v>
      </c>
      <c r="N178" s="2">
        <f>YEAR(B178)</f>
        <v>2026</v>
      </c>
      <c r="O178" t="str">
        <f>INDEX(Agences!$C:$C,MATCH(F178,Agences!$A:$A,0))</f>
        <v>Est</v>
      </c>
      <c r="P178" t="str">
        <f>INDEX(Produits!$C:$C,MATCH(H178,Produits!$A:$A,0))</f>
        <v>Maintenance</v>
      </c>
      <c r="Q178" s="3">
        <f>I178*INDEX(Produits!$E:$E,MATCH(H178,Produits!$A:$A,0))</f>
        <v>49.5</v>
      </c>
      <c r="R178" s="3">
        <f>L178-Q178</f>
        <v>60.5</v>
      </c>
      <c r="S178" s="2">
        <f>NETWORKDAYS(B178,C178)-1</f>
        <v>10</v>
      </c>
      <c r="T178" s="1">
        <f>WORKDAY(B178,5)</f>
        <v>46275</v>
      </c>
      <c r="U178" t="b">
        <f>C178&gt;T178</f>
        <v>1</v>
      </c>
    </row>
    <row r="179" spans="1:21" x14ac:dyDescent="0.25">
      <c r="A179" t="s">
        <v>273</v>
      </c>
      <c r="B179" s="1">
        <v>46268</v>
      </c>
      <c r="C179" s="1">
        <v>46282</v>
      </c>
      <c r="D179" t="s">
        <v>274</v>
      </c>
      <c r="E179" t="s">
        <v>229</v>
      </c>
      <c r="F179" t="s">
        <v>55</v>
      </c>
      <c r="G179" t="s">
        <v>56</v>
      </c>
      <c r="H179" t="s">
        <v>83</v>
      </c>
      <c r="I179" s="2">
        <v>1</v>
      </c>
      <c r="J179" s="3">
        <v>49</v>
      </c>
      <c r="K179" s="4">
        <v>0</v>
      </c>
      <c r="L179" s="3">
        <v>49</v>
      </c>
      <c r="M179" t="b">
        <v>1</v>
      </c>
      <c r="N179" s="2">
        <f>YEAR(B179)</f>
        <v>2026</v>
      </c>
      <c r="O179" t="str">
        <f>INDEX(Agences!$C:$C,MATCH(F179,Agences!$A:$A,0))</f>
        <v>Est</v>
      </c>
      <c r="P179" t="str">
        <f>INDEX(Produits!$C:$C,MATCH(H179,Produits!$A:$A,0))</f>
        <v>Mobilier</v>
      </c>
      <c r="Q179" s="3">
        <f>I179*INDEX(Produits!$E:$E,MATCH(H179,Produits!$A:$A,0))</f>
        <v>28.42</v>
      </c>
      <c r="R179" s="3">
        <f>L179-Q179</f>
        <v>20.58</v>
      </c>
      <c r="S179" s="2">
        <f>NETWORKDAYS(B179,C179)-1</f>
        <v>10</v>
      </c>
      <c r="T179" s="1">
        <f>WORKDAY(B179,5)</f>
        <v>46275</v>
      </c>
      <c r="U179" t="b">
        <f>C179&gt;T179</f>
        <v>1</v>
      </c>
    </row>
    <row r="180" spans="1:21" x14ac:dyDescent="0.25">
      <c r="A180" t="s">
        <v>275</v>
      </c>
      <c r="B180" s="1">
        <v>46268</v>
      </c>
      <c r="C180" s="1">
        <v>46281</v>
      </c>
      <c r="D180" t="s">
        <v>276</v>
      </c>
      <c r="E180" t="s">
        <v>229</v>
      </c>
      <c r="F180" t="s">
        <v>55</v>
      </c>
      <c r="G180" t="s">
        <v>56</v>
      </c>
      <c r="H180" t="s">
        <v>103</v>
      </c>
      <c r="I180" s="2">
        <v>1</v>
      </c>
      <c r="J180" s="3">
        <v>245</v>
      </c>
      <c r="K180" s="4">
        <v>0.08</v>
      </c>
      <c r="L180" s="3">
        <v>225.4</v>
      </c>
      <c r="M180" t="b">
        <v>1</v>
      </c>
      <c r="N180" s="2">
        <f>YEAR(B180)</f>
        <v>2026</v>
      </c>
      <c r="O180" t="str">
        <f>INDEX(Agences!$C:$C,MATCH(F180,Agences!$A:$A,0))</f>
        <v>Est</v>
      </c>
      <c r="P180" t="str">
        <f>INDEX(Produits!$C:$C,MATCH(H180,Produits!$A:$A,0))</f>
        <v>Mobilier</v>
      </c>
      <c r="Q180" s="3">
        <f>I180*INDEX(Produits!$E:$E,MATCH(H180,Produits!$A:$A,0))</f>
        <v>164.15</v>
      </c>
      <c r="R180" s="3">
        <f>L180-Q180</f>
        <v>61.25</v>
      </c>
      <c r="S180" s="2">
        <f>NETWORKDAYS(B180,C180)-1</f>
        <v>9</v>
      </c>
      <c r="T180" s="1">
        <f>WORKDAY(B180,5)</f>
        <v>46275</v>
      </c>
      <c r="U180" t="b">
        <f>C180&gt;T180</f>
        <v>1</v>
      </c>
    </row>
    <row r="181" spans="1:21" x14ac:dyDescent="0.25">
      <c r="A181" t="s">
        <v>275</v>
      </c>
      <c r="B181" s="1">
        <v>46268</v>
      </c>
      <c r="C181" s="1">
        <v>46281</v>
      </c>
      <c r="D181" t="s">
        <v>276</v>
      </c>
      <c r="E181" t="s">
        <v>229</v>
      </c>
      <c r="F181" t="s">
        <v>55</v>
      </c>
      <c r="G181" t="s">
        <v>56</v>
      </c>
      <c r="H181" t="s">
        <v>233</v>
      </c>
      <c r="I181" s="2">
        <v>5</v>
      </c>
      <c r="J181" s="3">
        <v>27.5</v>
      </c>
      <c r="K181" s="4">
        <v>0</v>
      </c>
      <c r="L181" s="3">
        <v>137.5</v>
      </c>
      <c r="M181" t="b">
        <v>1</v>
      </c>
      <c r="N181" s="2">
        <f>YEAR(B181)</f>
        <v>2026</v>
      </c>
      <c r="O181" t="str">
        <f>INDEX(Agences!$C:$C,MATCH(F181,Agences!$A:$A,0))</f>
        <v>Est</v>
      </c>
      <c r="P181" t="str">
        <f>INDEX(Produits!$C:$C,MATCH(H181,Produits!$A:$A,0))</f>
        <v>Fournitures</v>
      </c>
      <c r="Q181" s="3">
        <f>I181*INDEX(Produits!$E:$E,MATCH(H181,Produits!$A:$A,0))</f>
        <v>77</v>
      </c>
      <c r="R181" s="3">
        <f>L181-Q181</f>
        <v>60.5</v>
      </c>
      <c r="S181" s="2">
        <f>NETWORKDAYS(B181,C181)-1</f>
        <v>9</v>
      </c>
      <c r="T181" s="1">
        <f>WORKDAY(B181,5)</f>
        <v>46275</v>
      </c>
      <c r="U181" t="b">
        <f>C181&gt;T181</f>
        <v>1</v>
      </c>
    </row>
    <row r="182" spans="1:21" x14ac:dyDescent="0.25">
      <c r="A182" t="s">
        <v>277</v>
      </c>
      <c r="B182" s="1">
        <v>46267</v>
      </c>
      <c r="C182" s="1">
        <v>46273</v>
      </c>
      <c r="D182" t="s">
        <v>278</v>
      </c>
      <c r="E182" t="s">
        <v>137</v>
      </c>
      <c r="F182" t="s">
        <v>138</v>
      </c>
      <c r="G182" t="s">
        <v>214</v>
      </c>
      <c r="H182" t="s">
        <v>84</v>
      </c>
      <c r="I182" s="2">
        <v>2</v>
      </c>
      <c r="J182" s="3">
        <v>420</v>
      </c>
      <c r="K182" s="4">
        <v>0</v>
      </c>
      <c r="L182" s="3">
        <v>840</v>
      </c>
      <c r="M182" t="b">
        <v>1</v>
      </c>
      <c r="N182" s="2">
        <f>YEAR(B182)</f>
        <v>2026</v>
      </c>
      <c r="O182" t="str">
        <f>INDEX(Agences!$C:$C,MATCH(F182,Agences!$A:$A,0))</f>
        <v>Île-de-France</v>
      </c>
      <c r="P182" t="str">
        <f>INDEX(Produits!$C:$C,MATCH(H182,Produits!$A:$A,0))</f>
        <v>Mobilier</v>
      </c>
      <c r="Q182" s="3">
        <f>I182*INDEX(Produits!$E:$E,MATCH(H182,Produits!$A:$A,0))</f>
        <v>487.2</v>
      </c>
      <c r="R182" s="3">
        <f>L182-Q182</f>
        <v>352.8</v>
      </c>
      <c r="S182" s="2">
        <f>NETWORKDAYS(B182,C182)-1</f>
        <v>4</v>
      </c>
      <c r="T182" s="1">
        <f>WORKDAY(B182,5)</f>
        <v>46274</v>
      </c>
      <c r="U182" t="b">
        <f>C182&gt;T182</f>
        <v>0</v>
      </c>
    </row>
    <row r="183" spans="1:21" x14ac:dyDescent="0.25">
      <c r="A183" t="s">
        <v>277</v>
      </c>
      <c r="B183" s="1">
        <v>46267</v>
      </c>
      <c r="C183" s="1">
        <v>46273</v>
      </c>
      <c r="D183" t="s">
        <v>278</v>
      </c>
      <c r="E183" t="s">
        <v>137</v>
      </c>
      <c r="F183" t="s">
        <v>138</v>
      </c>
      <c r="G183" t="s">
        <v>214</v>
      </c>
      <c r="H183" t="s">
        <v>83</v>
      </c>
      <c r="I183" s="2">
        <v>1</v>
      </c>
      <c r="J183" s="3">
        <v>49</v>
      </c>
      <c r="K183" s="4">
        <v>0.1</v>
      </c>
      <c r="L183" s="3">
        <v>44.1</v>
      </c>
      <c r="M183" t="b">
        <v>1</v>
      </c>
      <c r="N183" s="2">
        <f>YEAR(B183)</f>
        <v>2026</v>
      </c>
      <c r="O183" t="str">
        <f>INDEX(Agences!$C:$C,MATCH(F183,Agences!$A:$A,0))</f>
        <v>Île-de-France</v>
      </c>
      <c r="P183" t="str">
        <f>INDEX(Produits!$C:$C,MATCH(H183,Produits!$A:$A,0))</f>
        <v>Mobilier</v>
      </c>
      <c r="Q183" s="3">
        <f>I183*INDEX(Produits!$E:$E,MATCH(H183,Produits!$A:$A,0))</f>
        <v>28.42</v>
      </c>
      <c r="R183" s="3">
        <f>L183-Q183</f>
        <v>15.68</v>
      </c>
      <c r="S183" s="2">
        <f>NETWORKDAYS(B183,C183)-1</f>
        <v>4</v>
      </c>
      <c r="T183" s="1">
        <f>WORKDAY(B183,5)</f>
        <v>46274</v>
      </c>
      <c r="U183" t="b">
        <f>C183&gt;T183</f>
        <v>0</v>
      </c>
    </row>
    <row r="184" spans="1:21" x14ac:dyDescent="0.25">
      <c r="A184" t="s">
        <v>279</v>
      </c>
      <c r="B184" s="1">
        <v>46267</v>
      </c>
      <c r="C184" s="1">
        <v>46274</v>
      </c>
      <c r="D184" t="s">
        <v>280</v>
      </c>
      <c r="E184" t="s">
        <v>270</v>
      </c>
      <c r="F184" t="s">
        <v>76</v>
      </c>
      <c r="G184" t="s">
        <v>232</v>
      </c>
      <c r="H184" t="s">
        <v>84</v>
      </c>
      <c r="I184" s="2">
        <v>1</v>
      </c>
      <c r="J184" s="3">
        <v>420</v>
      </c>
      <c r="K184" s="4">
        <v>0.08</v>
      </c>
      <c r="L184" s="3">
        <v>386.4</v>
      </c>
      <c r="M184" t="b">
        <v>1</v>
      </c>
      <c r="N184" s="2">
        <f>YEAR(B184)</f>
        <v>2026</v>
      </c>
      <c r="O184" t="str">
        <f>INDEX(Agences!$C:$C,MATCH(F184,Agences!$A:$A,0))</f>
        <v>Île-de-France</v>
      </c>
      <c r="P184" t="str">
        <f>INDEX(Produits!$C:$C,MATCH(H184,Produits!$A:$A,0))</f>
        <v>Mobilier</v>
      </c>
      <c r="Q184" s="3">
        <f>I184*INDEX(Produits!$E:$E,MATCH(H184,Produits!$A:$A,0))</f>
        <v>243.6</v>
      </c>
      <c r="R184" s="3">
        <f>L184-Q184</f>
        <v>142.79999999999998</v>
      </c>
      <c r="S184" s="2">
        <f>NETWORKDAYS(B184,C184)-1</f>
        <v>5</v>
      </c>
      <c r="T184" s="1">
        <f>WORKDAY(B184,5)</f>
        <v>46274</v>
      </c>
      <c r="U184" t="b">
        <f>C184&gt;T184</f>
        <v>0</v>
      </c>
    </row>
    <row r="185" spans="1:21" x14ac:dyDescent="0.25">
      <c r="A185" t="s">
        <v>279</v>
      </c>
      <c r="B185" s="1">
        <v>46267</v>
      </c>
      <c r="C185" s="1">
        <v>46274</v>
      </c>
      <c r="D185" t="s">
        <v>280</v>
      </c>
      <c r="E185" t="s">
        <v>270</v>
      </c>
      <c r="F185" t="s">
        <v>76</v>
      </c>
      <c r="G185" t="s">
        <v>232</v>
      </c>
      <c r="H185" t="s">
        <v>90</v>
      </c>
      <c r="I185" s="2">
        <v>10</v>
      </c>
      <c r="J185" s="3">
        <v>22.9</v>
      </c>
      <c r="K185" s="4">
        <v>0.05</v>
      </c>
      <c r="L185" s="3">
        <v>217.55</v>
      </c>
      <c r="M185" t="b">
        <v>1</v>
      </c>
      <c r="N185" s="2">
        <f>YEAR(B185)</f>
        <v>2026</v>
      </c>
      <c r="O185" t="str">
        <f>INDEX(Agences!$C:$C,MATCH(F185,Agences!$A:$A,0))</f>
        <v>Île-de-France</v>
      </c>
      <c r="P185" t="str">
        <f>INDEX(Produits!$C:$C,MATCH(H185,Produits!$A:$A,0))</f>
        <v>Fournitures</v>
      </c>
      <c r="Q185" s="3">
        <f>I185*INDEX(Produits!$E:$E,MATCH(H185,Produits!$A:$A,0))</f>
        <v>128.2</v>
      </c>
      <c r="R185" s="3">
        <f>L185-Q185</f>
        <v>89.35000000000002</v>
      </c>
      <c r="S185" s="2">
        <f>NETWORKDAYS(B185,C185)-1</f>
        <v>5</v>
      </c>
      <c r="T185" s="1">
        <f>WORKDAY(B185,5)</f>
        <v>46274</v>
      </c>
      <c r="U185" t="b">
        <f>C185&gt;T185</f>
        <v>0</v>
      </c>
    </row>
    <row r="186" spans="1:21" x14ac:dyDescent="0.25">
      <c r="A186" t="s">
        <v>279</v>
      </c>
      <c r="B186" s="1">
        <v>46267</v>
      </c>
      <c r="C186" s="1">
        <v>46274</v>
      </c>
      <c r="D186" t="s">
        <v>280</v>
      </c>
      <c r="E186" t="s">
        <v>270</v>
      </c>
      <c r="F186" t="s">
        <v>76</v>
      </c>
      <c r="G186" t="s">
        <v>232</v>
      </c>
      <c r="H186" t="s">
        <v>162</v>
      </c>
      <c r="I186" s="2">
        <v>2</v>
      </c>
      <c r="J186" s="3">
        <v>289</v>
      </c>
      <c r="K186" s="4">
        <v>0</v>
      </c>
      <c r="L186" s="3">
        <v>578</v>
      </c>
      <c r="M186" t="b">
        <v>1</v>
      </c>
      <c r="N186" s="2">
        <f>YEAR(B186)</f>
        <v>2026</v>
      </c>
      <c r="O186" t="str">
        <f>INDEX(Agences!$C:$C,MATCH(F186,Agences!$A:$A,0))</f>
        <v>Île-de-France</v>
      </c>
      <c r="P186" t="str">
        <f>INDEX(Produits!$C:$C,MATCH(H186,Produits!$A:$A,0))</f>
        <v>Mobilier</v>
      </c>
      <c r="Q186" s="3">
        <f>I186*INDEX(Produits!$E:$E,MATCH(H186,Produits!$A:$A,0))</f>
        <v>387.26</v>
      </c>
      <c r="R186" s="3">
        <f>L186-Q186</f>
        <v>190.74</v>
      </c>
      <c r="S186" s="2">
        <f>NETWORKDAYS(B186,C186)-1</f>
        <v>5</v>
      </c>
      <c r="T186" s="1">
        <f>WORKDAY(B186,5)</f>
        <v>46274</v>
      </c>
      <c r="U186" t="b">
        <f>C186&gt;T186</f>
        <v>0</v>
      </c>
    </row>
    <row r="187" spans="1:21" x14ac:dyDescent="0.25">
      <c r="A187" t="s">
        <v>279</v>
      </c>
      <c r="B187" s="1">
        <v>46267</v>
      </c>
      <c r="C187" s="1">
        <v>46274</v>
      </c>
      <c r="D187" t="s">
        <v>280</v>
      </c>
      <c r="E187" t="s">
        <v>270</v>
      </c>
      <c r="F187" t="s">
        <v>76</v>
      </c>
      <c r="G187" t="s">
        <v>232</v>
      </c>
      <c r="H187" t="s">
        <v>42</v>
      </c>
      <c r="I187" s="2">
        <v>2</v>
      </c>
      <c r="J187" s="3">
        <v>55</v>
      </c>
      <c r="K187" s="4">
        <v>0</v>
      </c>
      <c r="L187" s="3">
        <v>110</v>
      </c>
      <c r="M187" t="b">
        <v>1</v>
      </c>
      <c r="N187" s="2">
        <f>YEAR(B187)</f>
        <v>2026</v>
      </c>
      <c r="O187" t="str">
        <f>INDEX(Agences!$C:$C,MATCH(F187,Agences!$A:$A,0))</f>
        <v>Île-de-France</v>
      </c>
      <c r="P187" t="str">
        <f>INDEX(Produits!$C:$C,MATCH(H187,Produits!$A:$A,0))</f>
        <v>Maintenance</v>
      </c>
      <c r="Q187" s="3">
        <f>I187*INDEX(Produits!$E:$E,MATCH(H187,Produits!$A:$A,0))</f>
        <v>49.5</v>
      </c>
      <c r="R187" s="3">
        <f>L187-Q187</f>
        <v>60.5</v>
      </c>
      <c r="S187" s="2">
        <f>NETWORKDAYS(B187,C187)-1</f>
        <v>5</v>
      </c>
      <c r="T187" s="1">
        <f>WORKDAY(B187,5)</f>
        <v>46274</v>
      </c>
      <c r="U187" t="b">
        <f>C187&gt;T187</f>
        <v>0</v>
      </c>
    </row>
    <row r="188" spans="1:21" x14ac:dyDescent="0.25">
      <c r="A188" t="s">
        <v>281</v>
      </c>
      <c r="B188" s="1">
        <v>46267</v>
      </c>
      <c r="C188" s="1">
        <v>46269</v>
      </c>
      <c r="D188" t="s">
        <v>282</v>
      </c>
      <c r="E188" t="s">
        <v>236</v>
      </c>
      <c r="F188" t="s">
        <v>39</v>
      </c>
      <c r="G188" t="s">
        <v>131</v>
      </c>
      <c r="H188" t="s">
        <v>72</v>
      </c>
      <c r="I188" s="2">
        <v>1</v>
      </c>
      <c r="J188" s="3">
        <v>179</v>
      </c>
      <c r="K188" s="4">
        <v>0</v>
      </c>
      <c r="L188" s="3">
        <v>179</v>
      </c>
      <c r="M188" t="b">
        <v>1</v>
      </c>
      <c r="N188" s="2">
        <f>YEAR(B188)</f>
        <v>2026</v>
      </c>
      <c r="O188" t="str">
        <f>INDEX(Agences!$C:$C,MATCH(F188,Agences!$A:$A,0))</f>
        <v>Sud-Ouest</v>
      </c>
      <c r="P188" t="str">
        <f>INDEX(Produits!$C:$C,MATCH(H188,Produits!$A:$A,0))</f>
        <v>Informatique</v>
      </c>
      <c r="Q188" s="3">
        <f>I188*INDEX(Produits!$E:$E,MATCH(H188,Produits!$A:$A,0))</f>
        <v>146.78</v>
      </c>
      <c r="R188" s="3">
        <f>L188-Q188</f>
        <v>32.22</v>
      </c>
      <c r="S188" s="2">
        <f>NETWORKDAYS(B188,C188)-1</f>
        <v>2</v>
      </c>
      <c r="T188" s="1">
        <f>WORKDAY(B188,5)</f>
        <v>46274</v>
      </c>
      <c r="U188" t="b">
        <f>C188&gt;T188</f>
        <v>0</v>
      </c>
    </row>
    <row r="189" spans="1:21" x14ac:dyDescent="0.25">
      <c r="A189" t="s">
        <v>283</v>
      </c>
      <c r="B189" s="1">
        <v>46267</v>
      </c>
      <c r="C189" s="1">
        <v>46269</v>
      </c>
      <c r="D189" t="s">
        <v>284</v>
      </c>
      <c r="E189" t="s">
        <v>242</v>
      </c>
      <c r="F189" t="s">
        <v>94</v>
      </c>
      <c r="G189" t="s">
        <v>182</v>
      </c>
      <c r="H189" t="s">
        <v>42</v>
      </c>
      <c r="I189" s="2">
        <v>1</v>
      </c>
      <c r="J189" s="3">
        <v>55</v>
      </c>
      <c r="K189" s="4">
        <v>0.05</v>
      </c>
      <c r="L189" s="3">
        <v>52.25</v>
      </c>
      <c r="M189" t="b">
        <v>1</v>
      </c>
      <c r="N189" s="2">
        <f>YEAR(B189)</f>
        <v>2026</v>
      </c>
      <c r="O189" t="str">
        <f>INDEX(Agences!$C:$C,MATCH(F189,Agences!$A:$A,0))</f>
        <v>Méditerranée</v>
      </c>
      <c r="P189" t="str">
        <f>INDEX(Produits!$C:$C,MATCH(H189,Produits!$A:$A,0))</f>
        <v>Maintenance</v>
      </c>
      <c r="Q189" s="3">
        <f>I189*INDEX(Produits!$E:$E,MATCH(H189,Produits!$A:$A,0))</f>
        <v>24.75</v>
      </c>
      <c r="R189" s="3">
        <f>L189-Q189</f>
        <v>27.5</v>
      </c>
      <c r="S189" s="2">
        <f>NETWORKDAYS(B189,C189)-1</f>
        <v>2</v>
      </c>
      <c r="T189" s="1">
        <f>WORKDAY(B189,5)</f>
        <v>46274</v>
      </c>
      <c r="U189" t="b">
        <f>C189&gt;T189</f>
        <v>0</v>
      </c>
    </row>
    <row r="190" spans="1:21" x14ac:dyDescent="0.25">
      <c r="A190" t="s">
        <v>285</v>
      </c>
      <c r="B190" s="1">
        <v>46266</v>
      </c>
      <c r="C190" s="1">
        <v>46268</v>
      </c>
      <c r="D190" t="s">
        <v>286</v>
      </c>
      <c r="E190" t="s">
        <v>115</v>
      </c>
      <c r="F190" t="s">
        <v>24</v>
      </c>
      <c r="G190" t="s">
        <v>116</v>
      </c>
      <c r="H190" t="s">
        <v>33</v>
      </c>
      <c r="I190" s="2">
        <v>1</v>
      </c>
      <c r="J190" s="3">
        <v>219</v>
      </c>
      <c r="K190" s="4">
        <v>0.08</v>
      </c>
      <c r="L190" s="3">
        <v>201.48</v>
      </c>
      <c r="M190" t="b">
        <v>1</v>
      </c>
      <c r="N190" s="2">
        <f>YEAR(B190)</f>
        <v>2026</v>
      </c>
      <c r="O190" t="str">
        <f>INDEX(Agences!$C:$C,MATCH(F190,Agences!$A:$A,0))</f>
        <v>Nord</v>
      </c>
      <c r="P190" t="str">
        <f>INDEX(Produits!$C:$C,MATCH(H190,Produits!$A:$A,0))</f>
        <v>Informatique</v>
      </c>
      <c r="Q190" s="3">
        <f>I190*INDEX(Produits!$E:$E,MATCH(H190,Produits!$A:$A,0))</f>
        <v>179.58</v>
      </c>
      <c r="R190" s="3">
        <f>L190-Q190</f>
        <v>21.899999999999977</v>
      </c>
      <c r="S190" s="2">
        <f>NETWORKDAYS(B190,C190)-1</f>
        <v>2</v>
      </c>
      <c r="T190" s="1">
        <f>WORKDAY(B190,5)</f>
        <v>46273</v>
      </c>
      <c r="U190" t="b">
        <f>C190&gt;T190</f>
        <v>0</v>
      </c>
    </row>
    <row r="191" spans="1:21" x14ac:dyDescent="0.25">
      <c r="A191" t="s">
        <v>285</v>
      </c>
      <c r="B191" s="1">
        <v>46266</v>
      </c>
      <c r="C191" s="1">
        <v>46268</v>
      </c>
      <c r="D191" t="s">
        <v>286</v>
      </c>
      <c r="E191" t="s">
        <v>115</v>
      </c>
      <c r="F191" t="s">
        <v>24</v>
      </c>
      <c r="G191" t="s">
        <v>116</v>
      </c>
      <c r="H191" t="s">
        <v>41</v>
      </c>
      <c r="I191" s="2">
        <v>1</v>
      </c>
      <c r="J191" s="3">
        <v>790</v>
      </c>
      <c r="K191" s="4">
        <v>0.08</v>
      </c>
      <c r="L191" s="3">
        <v>726.8</v>
      </c>
      <c r="M191" t="b">
        <v>1</v>
      </c>
      <c r="N191" s="2">
        <f>YEAR(B191)</f>
        <v>2026</v>
      </c>
      <c r="O191" t="str">
        <f>INDEX(Agences!$C:$C,MATCH(F191,Agences!$A:$A,0))</f>
        <v>Nord</v>
      </c>
      <c r="P191" t="str">
        <f>INDEX(Produits!$C:$C,MATCH(H191,Produits!$A:$A,0))</f>
        <v>Informatique</v>
      </c>
      <c r="Q191" s="3">
        <f>I191*INDEX(Produits!$E:$E,MATCH(H191,Produits!$A:$A,0))</f>
        <v>576.7</v>
      </c>
      <c r="R191" s="3">
        <f>L191-Q191</f>
        <v>150.0999999999999</v>
      </c>
      <c r="S191" s="2">
        <f>NETWORKDAYS(B191,C191)-1</f>
        <v>2</v>
      </c>
      <c r="T191" s="1">
        <f>WORKDAY(B191,5)</f>
        <v>46273</v>
      </c>
      <c r="U191" t="b">
        <f>C191&gt;T191</f>
        <v>0</v>
      </c>
    </row>
    <row r="192" spans="1:21" x14ac:dyDescent="0.25">
      <c r="A192" t="s">
        <v>285</v>
      </c>
      <c r="B192" s="1">
        <v>46266</v>
      </c>
      <c r="C192" s="1">
        <v>46268</v>
      </c>
      <c r="D192" t="s">
        <v>286</v>
      </c>
      <c r="E192" t="s">
        <v>115</v>
      </c>
      <c r="F192" t="s">
        <v>24</v>
      </c>
      <c r="G192" t="s">
        <v>116</v>
      </c>
      <c r="H192" t="s">
        <v>64</v>
      </c>
      <c r="I192" s="2">
        <v>10</v>
      </c>
      <c r="J192" s="3">
        <v>16.8</v>
      </c>
      <c r="K192" s="4">
        <v>0.02</v>
      </c>
      <c r="L192" s="3">
        <v>164.64</v>
      </c>
      <c r="M192" t="b">
        <v>1</v>
      </c>
      <c r="N192" s="2">
        <f>YEAR(B192)</f>
        <v>2026</v>
      </c>
      <c r="O192" t="str">
        <f>INDEX(Agences!$C:$C,MATCH(F192,Agences!$A:$A,0))</f>
        <v>Nord</v>
      </c>
      <c r="P192" t="str">
        <f>INDEX(Produits!$C:$C,MATCH(H192,Produits!$A:$A,0))</f>
        <v>Fournitures</v>
      </c>
      <c r="Q192" s="3">
        <f>I192*INDEX(Produits!$E:$E,MATCH(H192,Produits!$A:$A,0))</f>
        <v>87.4</v>
      </c>
      <c r="R192" s="3">
        <f>L192-Q192</f>
        <v>77.23999999999998</v>
      </c>
      <c r="S192" s="2">
        <f>NETWORKDAYS(B192,C192)-1</f>
        <v>2</v>
      </c>
      <c r="T192" s="1">
        <f>WORKDAY(B192,5)</f>
        <v>46273</v>
      </c>
      <c r="U192" t="b">
        <f>C192&gt;T192</f>
        <v>0</v>
      </c>
    </row>
    <row r="193" spans="1:21" x14ac:dyDescent="0.25">
      <c r="A193" t="s">
        <v>287</v>
      </c>
      <c r="B193" s="1">
        <v>46266</v>
      </c>
      <c r="C193" s="1">
        <v>46273</v>
      </c>
      <c r="D193" t="s">
        <v>288</v>
      </c>
      <c r="E193" t="s">
        <v>256</v>
      </c>
      <c r="F193" t="s">
        <v>88</v>
      </c>
      <c r="G193" t="s">
        <v>226</v>
      </c>
      <c r="H193" t="s">
        <v>49</v>
      </c>
      <c r="I193" s="2">
        <v>1</v>
      </c>
      <c r="J193" s="3">
        <v>120</v>
      </c>
      <c r="K193" s="4">
        <v>0.05</v>
      </c>
      <c r="L193" s="3">
        <v>114</v>
      </c>
      <c r="M193" t="b">
        <v>1</v>
      </c>
      <c r="N193" s="2">
        <f>YEAR(B193)</f>
        <v>2026</v>
      </c>
      <c r="O193" t="str">
        <f>INDEX(Agences!$C:$C,MATCH(F193,Agences!$A:$A,0))</f>
        <v>Sud-Ouest</v>
      </c>
      <c r="P193" t="str">
        <f>INDEX(Produits!$C:$C,MATCH(H193,Produits!$A:$A,0))</f>
        <v>Maintenance</v>
      </c>
      <c r="Q193" s="3">
        <f>I193*INDEX(Produits!$E:$E,MATCH(H193,Produits!$A:$A,0))</f>
        <v>55.2</v>
      </c>
      <c r="R193" s="3">
        <f>L193-Q193</f>
        <v>58.8</v>
      </c>
      <c r="S193" s="2">
        <f>NETWORKDAYS(B193,C193)-1</f>
        <v>5</v>
      </c>
      <c r="T193" s="1">
        <f>WORKDAY(B193,5)</f>
        <v>46273</v>
      </c>
      <c r="U193" t="b">
        <f>C193&gt;T193</f>
        <v>0</v>
      </c>
    </row>
    <row r="194" spans="1:21" x14ac:dyDescent="0.25">
      <c r="A194" t="s">
        <v>289</v>
      </c>
      <c r="B194" s="1">
        <v>46266</v>
      </c>
      <c r="C194" s="1">
        <v>46272</v>
      </c>
      <c r="D194" t="s">
        <v>290</v>
      </c>
      <c r="E194" t="s">
        <v>191</v>
      </c>
      <c r="F194" t="s">
        <v>62</v>
      </c>
      <c r="G194" t="s">
        <v>68</v>
      </c>
      <c r="H194" t="s">
        <v>58</v>
      </c>
      <c r="I194" s="2">
        <v>1</v>
      </c>
      <c r="J194" s="3">
        <v>649</v>
      </c>
      <c r="K194" s="4">
        <v>0.02</v>
      </c>
      <c r="L194" s="3">
        <v>636.02</v>
      </c>
      <c r="M194" t="b">
        <v>1</v>
      </c>
      <c r="N194" s="2">
        <f>YEAR(B194)</f>
        <v>2026</v>
      </c>
      <c r="O194" t="str">
        <f>INDEX(Agences!$C:$C,MATCH(F194,Agences!$A:$A,0))</f>
        <v>Méditerranée</v>
      </c>
      <c r="P194" t="str">
        <f>INDEX(Produits!$C:$C,MATCH(H194,Produits!$A:$A,0))</f>
        <v>Mobilier</v>
      </c>
      <c r="Q194" s="3">
        <f>I194*INDEX(Produits!$E:$E,MATCH(H194,Produits!$A:$A,0))</f>
        <v>408.87</v>
      </c>
      <c r="R194" s="3">
        <f>L194-Q194</f>
        <v>227.14999999999998</v>
      </c>
      <c r="S194" s="2">
        <f>NETWORKDAYS(B194,C194)-1</f>
        <v>4</v>
      </c>
      <c r="T194" s="1">
        <f>WORKDAY(B194,5)</f>
        <v>46273</v>
      </c>
      <c r="U194" t="b">
        <f>C194&gt;T194</f>
        <v>0</v>
      </c>
    </row>
    <row r="195" spans="1:21" x14ac:dyDescent="0.25">
      <c r="A195" t="s">
        <v>289</v>
      </c>
      <c r="B195" s="1">
        <v>46266</v>
      </c>
      <c r="C195" s="1">
        <v>46272</v>
      </c>
      <c r="D195" t="s">
        <v>290</v>
      </c>
      <c r="E195" t="s">
        <v>191</v>
      </c>
      <c r="F195" t="s">
        <v>62</v>
      </c>
      <c r="G195" t="s">
        <v>68</v>
      </c>
      <c r="H195" t="s">
        <v>42</v>
      </c>
      <c r="I195" s="2">
        <v>2</v>
      </c>
      <c r="J195" s="3">
        <v>55</v>
      </c>
      <c r="K195" s="4">
        <v>0.02</v>
      </c>
      <c r="L195" s="3">
        <v>107.8</v>
      </c>
      <c r="M195" t="b">
        <v>1</v>
      </c>
      <c r="N195" s="2">
        <f>YEAR(B195)</f>
        <v>2026</v>
      </c>
      <c r="O195" t="str">
        <f>INDEX(Agences!$C:$C,MATCH(F195,Agences!$A:$A,0))</f>
        <v>Méditerranée</v>
      </c>
      <c r="P195" t="str">
        <f>INDEX(Produits!$C:$C,MATCH(H195,Produits!$A:$A,0))</f>
        <v>Maintenance</v>
      </c>
      <c r="Q195" s="3">
        <f>I195*INDEX(Produits!$E:$E,MATCH(H195,Produits!$A:$A,0))</f>
        <v>49.5</v>
      </c>
      <c r="R195" s="3">
        <f>L195-Q195</f>
        <v>58.3</v>
      </c>
      <c r="S195" s="2">
        <f>NETWORKDAYS(B195,C195)-1</f>
        <v>4</v>
      </c>
      <c r="T195" s="1">
        <f>WORKDAY(B195,5)</f>
        <v>46273</v>
      </c>
      <c r="U195" t="b">
        <f>C195&gt;T195</f>
        <v>0</v>
      </c>
    </row>
    <row r="196" spans="1:21" x14ac:dyDescent="0.25">
      <c r="A196" t="s">
        <v>289</v>
      </c>
      <c r="B196" s="1">
        <v>46266</v>
      </c>
      <c r="C196" s="1">
        <v>46272</v>
      </c>
      <c r="D196" t="s">
        <v>290</v>
      </c>
      <c r="E196" t="s">
        <v>191</v>
      </c>
      <c r="F196" t="s">
        <v>62</v>
      </c>
      <c r="G196" t="s">
        <v>68</v>
      </c>
      <c r="H196" t="s">
        <v>50</v>
      </c>
      <c r="I196" s="2">
        <v>1</v>
      </c>
      <c r="J196" s="3">
        <v>69</v>
      </c>
      <c r="K196" s="4">
        <v>0.02</v>
      </c>
      <c r="L196" s="3">
        <v>67.62</v>
      </c>
      <c r="M196" t="b">
        <v>1</v>
      </c>
      <c r="N196" s="2">
        <f>YEAR(B196)</f>
        <v>2026</v>
      </c>
      <c r="O196" t="str">
        <f>INDEX(Agences!$C:$C,MATCH(F196,Agences!$A:$A,0))</f>
        <v>Méditerranée</v>
      </c>
      <c r="P196" t="str">
        <f>INDEX(Produits!$C:$C,MATCH(H196,Produits!$A:$A,0))</f>
        <v>Informatique</v>
      </c>
      <c r="Q196" s="3">
        <f>I196*INDEX(Produits!$E:$E,MATCH(H196,Produits!$A:$A,0))</f>
        <v>54.51</v>
      </c>
      <c r="R196" s="3">
        <f>L196-Q196</f>
        <v>13.110000000000007</v>
      </c>
      <c r="S196" s="2">
        <f>NETWORKDAYS(B196,C196)-1</f>
        <v>4</v>
      </c>
      <c r="T196" s="1">
        <f>WORKDAY(B196,5)</f>
        <v>46273</v>
      </c>
      <c r="U196" t="b">
        <f>C196&gt;T196</f>
        <v>0</v>
      </c>
    </row>
    <row r="197" spans="1:21" x14ac:dyDescent="0.25">
      <c r="A197" t="s">
        <v>289</v>
      </c>
      <c r="B197" s="1">
        <v>46266</v>
      </c>
      <c r="C197" s="1">
        <v>46272</v>
      </c>
      <c r="D197" t="s">
        <v>290</v>
      </c>
      <c r="E197" t="s">
        <v>191</v>
      </c>
      <c r="F197" t="s">
        <v>62</v>
      </c>
      <c r="G197" t="s">
        <v>68</v>
      </c>
      <c r="H197" t="s">
        <v>123</v>
      </c>
      <c r="I197" s="2">
        <v>5</v>
      </c>
      <c r="J197" s="3">
        <v>39.9</v>
      </c>
      <c r="K197" s="4">
        <v>0.05</v>
      </c>
      <c r="L197" s="3">
        <v>189.53</v>
      </c>
      <c r="M197" t="b">
        <v>1</v>
      </c>
      <c r="N197" s="2">
        <f>YEAR(B197)</f>
        <v>2026</v>
      </c>
      <c r="O197" t="str">
        <f>INDEX(Agences!$C:$C,MATCH(F197,Agences!$A:$A,0))</f>
        <v>Méditerranée</v>
      </c>
      <c r="P197" t="str">
        <f>INDEX(Produits!$C:$C,MATCH(H197,Produits!$A:$A,0))</f>
        <v>Fournitures</v>
      </c>
      <c r="Q197" s="3">
        <f>I197*INDEX(Produits!$E:$E,MATCH(H197,Produits!$A:$A,0))</f>
        <v>111.7</v>
      </c>
      <c r="R197" s="3">
        <f>L197-Q197</f>
        <v>77.83</v>
      </c>
      <c r="S197" s="2">
        <f>NETWORKDAYS(B197,C197)-1</f>
        <v>4</v>
      </c>
      <c r="T197" s="1">
        <f>WORKDAY(B197,5)</f>
        <v>46273</v>
      </c>
      <c r="U197" t="b">
        <f>C197&gt;T197</f>
        <v>0</v>
      </c>
    </row>
    <row r="198" spans="1:21" x14ac:dyDescent="0.25">
      <c r="A198" t="s">
        <v>291</v>
      </c>
      <c r="B198" s="1">
        <v>46266</v>
      </c>
      <c r="C198" s="1">
        <v>46272</v>
      </c>
      <c r="D198" t="s">
        <v>292</v>
      </c>
      <c r="E198" t="s">
        <v>45</v>
      </c>
      <c r="F198" t="s">
        <v>46</v>
      </c>
      <c r="G198" t="s">
        <v>111</v>
      </c>
      <c r="H198" t="s">
        <v>49</v>
      </c>
      <c r="I198" s="2">
        <v>1</v>
      </c>
      <c r="J198" s="3">
        <v>120</v>
      </c>
      <c r="K198" s="4">
        <v>0.08</v>
      </c>
      <c r="L198" s="3">
        <v>110.4</v>
      </c>
      <c r="M198" t="b">
        <v>1</v>
      </c>
      <c r="N198" s="2">
        <f>YEAR(B198)</f>
        <v>2026</v>
      </c>
      <c r="O198" t="str">
        <f>INDEX(Agences!$C:$C,MATCH(F198,Agences!$A:$A,0))</f>
        <v>Est</v>
      </c>
      <c r="P198" t="str">
        <f>INDEX(Produits!$C:$C,MATCH(H198,Produits!$A:$A,0))</f>
        <v>Maintenance</v>
      </c>
      <c r="Q198" s="3">
        <f>I198*INDEX(Produits!$E:$E,MATCH(H198,Produits!$A:$A,0))</f>
        <v>55.2</v>
      </c>
      <c r="R198" s="3">
        <f>L198-Q198</f>
        <v>55.2</v>
      </c>
      <c r="S198" s="2">
        <f>NETWORKDAYS(B198,C198)-1</f>
        <v>4</v>
      </c>
      <c r="T198" s="1">
        <f>WORKDAY(B198,5)</f>
        <v>46273</v>
      </c>
      <c r="U198" t="b">
        <f>C198&gt;T198</f>
        <v>0</v>
      </c>
    </row>
    <row r="199" spans="1:21" x14ac:dyDescent="0.25">
      <c r="A199" t="s">
        <v>291</v>
      </c>
      <c r="B199" s="1">
        <v>46266</v>
      </c>
      <c r="C199" s="1">
        <v>46272</v>
      </c>
      <c r="D199" t="s">
        <v>292</v>
      </c>
      <c r="E199" t="s">
        <v>45</v>
      </c>
      <c r="F199" t="s">
        <v>46</v>
      </c>
      <c r="G199" t="s">
        <v>111</v>
      </c>
      <c r="H199" t="s">
        <v>84</v>
      </c>
      <c r="I199" s="2">
        <v>2</v>
      </c>
      <c r="J199" s="3">
        <v>420</v>
      </c>
      <c r="K199" s="4">
        <v>0.05</v>
      </c>
      <c r="L199" s="3">
        <v>798</v>
      </c>
      <c r="M199" t="b">
        <v>1</v>
      </c>
      <c r="N199" s="2">
        <f>YEAR(B199)</f>
        <v>2026</v>
      </c>
      <c r="O199" t="str">
        <f>INDEX(Agences!$C:$C,MATCH(F199,Agences!$A:$A,0))</f>
        <v>Est</v>
      </c>
      <c r="P199" t="str">
        <f>INDEX(Produits!$C:$C,MATCH(H199,Produits!$A:$A,0))</f>
        <v>Mobilier</v>
      </c>
      <c r="Q199" s="3">
        <f>I199*INDEX(Produits!$E:$E,MATCH(H199,Produits!$A:$A,0))</f>
        <v>487.2</v>
      </c>
      <c r="R199" s="3">
        <f>L199-Q199</f>
        <v>310.8</v>
      </c>
      <c r="S199" s="2">
        <f>NETWORKDAYS(B199,C199)-1</f>
        <v>4</v>
      </c>
      <c r="T199" s="1">
        <f>WORKDAY(B199,5)</f>
        <v>46273</v>
      </c>
      <c r="U199" t="b">
        <f>C199&gt;T199</f>
        <v>0</v>
      </c>
    </row>
    <row r="200" spans="1:21" x14ac:dyDescent="0.25">
      <c r="A200" t="s">
        <v>291</v>
      </c>
      <c r="B200" s="1">
        <v>46266</v>
      </c>
      <c r="C200" s="1">
        <v>46272</v>
      </c>
      <c r="D200" t="s">
        <v>292</v>
      </c>
      <c r="E200" t="s">
        <v>45</v>
      </c>
      <c r="F200" t="s">
        <v>46</v>
      </c>
      <c r="G200" t="s">
        <v>111</v>
      </c>
      <c r="H200" t="s">
        <v>107</v>
      </c>
      <c r="I200" s="2">
        <v>1</v>
      </c>
      <c r="J200" s="3">
        <v>99</v>
      </c>
      <c r="K200" s="4">
        <v>0</v>
      </c>
      <c r="L200" s="3">
        <v>99</v>
      </c>
      <c r="M200" t="b">
        <v>1</v>
      </c>
      <c r="N200" s="2">
        <f>YEAR(B200)</f>
        <v>2026</v>
      </c>
      <c r="O200" t="str">
        <f>INDEX(Agences!$C:$C,MATCH(F200,Agences!$A:$A,0))</f>
        <v>Est</v>
      </c>
      <c r="P200" t="str">
        <f>INDEX(Produits!$C:$C,MATCH(H200,Produits!$A:$A,0))</f>
        <v>Informatique</v>
      </c>
      <c r="Q200" s="3">
        <f>I200*INDEX(Produits!$E:$E,MATCH(H200,Produits!$A:$A,0))</f>
        <v>75.24</v>
      </c>
      <c r="R200" s="3">
        <f>L200-Q200</f>
        <v>23.760000000000005</v>
      </c>
      <c r="S200" s="2">
        <f>NETWORKDAYS(B200,C200)-1</f>
        <v>4</v>
      </c>
      <c r="T200" s="1">
        <f>WORKDAY(B200,5)</f>
        <v>46273</v>
      </c>
      <c r="U200" t="b">
        <f>C200&gt;T200</f>
        <v>0</v>
      </c>
    </row>
    <row r="201" spans="1:21" x14ac:dyDescent="0.25">
      <c r="A201" t="s">
        <v>291</v>
      </c>
      <c r="B201" s="1">
        <v>46266</v>
      </c>
      <c r="C201" s="1">
        <v>46272</v>
      </c>
      <c r="D201" t="s">
        <v>292</v>
      </c>
      <c r="E201" t="s">
        <v>45</v>
      </c>
      <c r="F201" t="s">
        <v>46</v>
      </c>
      <c r="G201" t="s">
        <v>111</v>
      </c>
      <c r="H201" t="s">
        <v>205</v>
      </c>
      <c r="I201" s="2">
        <v>2</v>
      </c>
      <c r="J201" s="3">
        <v>359</v>
      </c>
      <c r="K201" s="4">
        <v>0</v>
      </c>
      <c r="L201" s="3">
        <v>718</v>
      </c>
      <c r="M201" t="b">
        <v>1</v>
      </c>
      <c r="N201" s="2">
        <f>YEAR(B201)</f>
        <v>2026</v>
      </c>
      <c r="O201" t="str">
        <f>INDEX(Agences!$C:$C,MATCH(F201,Agences!$A:$A,0))</f>
        <v>Est</v>
      </c>
      <c r="P201" t="str">
        <f>INDEX(Produits!$C:$C,MATCH(H201,Produits!$A:$A,0))</f>
        <v>Mobilier</v>
      </c>
      <c r="Q201" s="3">
        <f>I201*INDEX(Produits!$E:$E,MATCH(H201,Produits!$A:$A,0))</f>
        <v>409.26</v>
      </c>
      <c r="R201" s="3">
        <f>L201-Q201</f>
        <v>308.74</v>
      </c>
      <c r="S201" s="2">
        <f>NETWORKDAYS(B201,C201)-1</f>
        <v>4</v>
      </c>
      <c r="T201" s="1">
        <f>WORKDAY(B201,5)</f>
        <v>46273</v>
      </c>
      <c r="U201" t="b">
        <f>C201&gt;T201</f>
        <v>0</v>
      </c>
    </row>
    <row r="202" spans="1:21" x14ac:dyDescent="0.25">
      <c r="A202" t="s">
        <v>293</v>
      </c>
      <c r="B202" s="1">
        <v>46265</v>
      </c>
      <c r="C202" s="1">
        <v>46267</v>
      </c>
      <c r="D202" t="s">
        <v>294</v>
      </c>
      <c r="E202" t="s">
        <v>82</v>
      </c>
      <c r="F202" t="s">
        <v>39</v>
      </c>
      <c r="G202" t="s">
        <v>131</v>
      </c>
      <c r="H202" t="s">
        <v>112</v>
      </c>
      <c r="I202" s="2">
        <v>3</v>
      </c>
      <c r="J202" s="3">
        <v>129</v>
      </c>
      <c r="K202" s="4">
        <v>0</v>
      </c>
      <c r="L202" s="3">
        <v>387</v>
      </c>
      <c r="M202" t="b">
        <v>1</v>
      </c>
      <c r="N202" s="2">
        <f>YEAR(B202)</f>
        <v>2026</v>
      </c>
      <c r="O202" t="str">
        <f>INDEX(Agences!$C:$C,MATCH(F202,Agences!$A:$A,0))</f>
        <v>Sud-Ouest</v>
      </c>
      <c r="P202" t="str">
        <f>INDEX(Produits!$C:$C,MATCH(H202,Produits!$A:$A,0))</f>
        <v>Mobilier</v>
      </c>
      <c r="Q202" s="3">
        <f>I202*INDEX(Produits!$E:$E,MATCH(H202,Produits!$A:$A,0))</f>
        <v>259.29</v>
      </c>
      <c r="R202" s="3">
        <f>L202-Q202</f>
        <v>127.70999999999998</v>
      </c>
      <c r="S202" s="2">
        <f>NETWORKDAYS(B202,C202)-1</f>
        <v>2</v>
      </c>
      <c r="T202" s="1">
        <f>WORKDAY(B202,5)</f>
        <v>46272</v>
      </c>
      <c r="U202" t="b">
        <f>C202&gt;T202</f>
        <v>0</v>
      </c>
    </row>
    <row r="203" spans="1:21" x14ac:dyDescent="0.25">
      <c r="A203" t="s">
        <v>295</v>
      </c>
      <c r="B203" s="1">
        <v>46265</v>
      </c>
      <c r="C203" s="1">
        <v>46276</v>
      </c>
      <c r="D203" t="s">
        <v>296</v>
      </c>
      <c r="E203" t="s">
        <v>229</v>
      </c>
      <c r="F203" t="s">
        <v>55</v>
      </c>
      <c r="G203" t="s">
        <v>195</v>
      </c>
      <c r="H203" t="s">
        <v>72</v>
      </c>
      <c r="I203" s="2">
        <v>2</v>
      </c>
      <c r="J203" s="3">
        <v>179</v>
      </c>
      <c r="K203" s="4">
        <v>0.02</v>
      </c>
      <c r="L203" s="3">
        <v>350.84</v>
      </c>
      <c r="M203" t="b">
        <v>1</v>
      </c>
      <c r="N203" s="2">
        <f>YEAR(B203)</f>
        <v>2026</v>
      </c>
      <c r="O203" t="str">
        <f>INDEX(Agences!$C:$C,MATCH(F203,Agences!$A:$A,0))</f>
        <v>Est</v>
      </c>
      <c r="P203" t="str">
        <f>INDEX(Produits!$C:$C,MATCH(H203,Produits!$A:$A,0))</f>
        <v>Informatique</v>
      </c>
      <c r="Q203" s="3">
        <f>I203*INDEX(Produits!$E:$E,MATCH(H203,Produits!$A:$A,0))</f>
        <v>293.56</v>
      </c>
      <c r="R203" s="3">
        <f>L203-Q203</f>
        <v>57.27999999999997</v>
      </c>
      <c r="S203" s="2">
        <f>NETWORKDAYS(B203,C203)-1</f>
        <v>9</v>
      </c>
      <c r="T203" s="1">
        <f>WORKDAY(B203,5)</f>
        <v>46272</v>
      </c>
      <c r="U203" t="b">
        <f>C203&gt;T203</f>
        <v>1</v>
      </c>
    </row>
    <row r="204" spans="1:21" x14ac:dyDescent="0.25">
      <c r="A204" t="s">
        <v>295</v>
      </c>
      <c r="B204" s="1">
        <v>46265</v>
      </c>
      <c r="C204" s="1">
        <v>46276</v>
      </c>
      <c r="D204" t="s">
        <v>296</v>
      </c>
      <c r="E204" t="s">
        <v>229</v>
      </c>
      <c r="F204" t="s">
        <v>55</v>
      </c>
      <c r="G204" t="s">
        <v>195</v>
      </c>
      <c r="H204" t="s">
        <v>108</v>
      </c>
      <c r="I204" s="2">
        <v>10</v>
      </c>
      <c r="J204" s="3">
        <v>24.5</v>
      </c>
      <c r="K204" s="4">
        <v>0</v>
      </c>
      <c r="L204" s="3">
        <v>245</v>
      </c>
      <c r="M204" t="b">
        <v>1</v>
      </c>
      <c r="N204" s="2">
        <f>YEAR(B204)</f>
        <v>2026</v>
      </c>
      <c r="O204" t="str">
        <f>INDEX(Agences!$C:$C,MATCH(F204,Agences!$A:$A,0))</f>
        <v>Est</v>
      </c>
      <c r="P204" t="str">
        <f>INDEX(Produits!$C:$C,MATCH(H204,Produits!$A:$A,0))</f>
        <v>Fournitures</v>
      </c>
      <c r="Q204" s="3">
        <f>I204*INDEX(Produits!$E:$E,MATCH(H204,Produits!$A:$A,0))</f>
        <v>147</v>
      </c>
      <c r="R204" s="3">
        <f>L204-Q204</f>
        <v>98</v>
      </c>
      <c r="S204" s="2">
        <f>NETWORKDAYS(B204,C204)-1</f>
        <v>9</v>
      </c>
      <c r="T204" s="1">
        <f>WORKDAY(B204,5)</f>
        <v>46272</v>
      </c>
      <c r="U204" t="b">
        <f>C204&gt;T204</f>
        <v>1</v>
      </c>
    </row>
    <row r="205" spans="1:21" x14ac:dyDescent="0.25">
      <c r="A205" t="s">
        <v>297</v>
      </c>
      <c r="B205" s="1">
        <v>46261</v>
      </c>
      <c r="C205" s="1">
        <v>46266</v>
      </c>
      <c r="D205" t="s">
        <v>298</v>
      </c>
      <c r="E205" t="s">
        <v>172</v>
      </c>
      <c r="F205" t="s">
        <v>99</v>
      </c>
      <c r="G205" t="s">
        <v>100</v>
      </c>
      <c r="H205" t="s">
        <v>83</v>
      </c>
      <c r="I205" s="2">
        <v>1</v>
      </c>
      <c r="J205" s="3">
        <v>49</v>
      </c>
      <c r="K205" s="4">
        <v>0.05</v>
      </c>
      <c r="L205" s="3">
        <v>46.55</v>
      </c>
      <c r="M205" t="b">
        <v>1</v>
      </c>
      <c r="N205" s="2">
        <f>YEAR(B205)</f>
        <v>2026</v>
      </c>
      <c r="O205" t="str">
        <f>INDEX(Agences!$C:$C,MATCH(F205,Agences!$A:$A,0))</f>
        <v>Nord</v>
      </c>
      <c r="P205" t="str">
        <f>INDEX(Produits!$C:$C,MATCH(H205,Produits!$A:$A,0))</f>
        <v>Mobilier</v>
      </c>
      <c r="Q205" s="3">
        <f>I205*INDEX(Produits!$E:$E,MATCH(H205,Produits!$A:$A,0))</f>
        <v>28.42</v>
      </c>
      <c r="R205" s="3">
        <f>L205-Q205</f>
        <v>18.129999999999995</v>
      </c>
      <c r="S205" s="2">
        <f>NETWORKDAYS(B205,C205)-1</f>
        <v>3</v>
      </c>
      <c r="T205" s="1">
        <f>WORKDAY(B205,5)</f>
        <v>46268</v>
      </c>
      <c r="U205" t="b">
        <f>C205&gt;T205</f>
        <v>0</v>
      </c>
    </row>
    <row r="206" spans="1:21" x14ac:dyDescent="0.25">
      <c r="A206" t="s">
        <v>297</v>
      </c>
      <c r="B206" s="1">
        <v>46261</v>
      </c>
      <c r="C206" s="1">
        <v>46266</v>
      </c>
      <c r="D206" t="s">
        <v>298</v>
      </c>
      <c r="E206" t="s">
        <v>172</v>
      </c>
      <c r="F206" t="s">
        <v>99</v>
      </c>
      <c r="G206" t="s">
        <v>100</v>
      </c>
      <c r="H206" t="s">
        <v>49</v>
      </c>
      <c r="I206" s="2">
        <v>1</v>
      </c>
      <c r="J206" s="3">
        <v>120</v>
      </c>
      <c r="K206" s="4">
        <v>0.05</v>
      </c>
      <c r="L206" s="3">
        <v>114</v>
      </c>
      <c r="M206" t="b">
        <v>1</v>
      </c>
      <c r="N206" s="2">
        <f>YEAR(B206)</f>
        <v>2026</v>
      </c>
      <c r="O206" t="str">
        <f>INDEX(Agences!$C:$C,MATCH(F206,Agences!$A:$A,0))</f>
        <v>Nord</v>
      </c>
      <c r="P206" t="str">
        <f>INDEX(Produits!$C:$C,MATCH(H206,Produits!$A:$A,0))</f>
        <v>Maintenance</v>
      </c>
      <c r="Q206" s="3">
        <f>I206*INDEX(Produits!$E:$E,MATCH(H206,Produits!$A:$A,0))</f>
        <v>55.2</v>
      </c>
      <c r="R206" s="3">
        <f>L206-Q206</f>
        <v>58.8</v>
      </c>
      <c r="S206" s="2">
        <f>NETWORKDAYS(B206,C206)-1</f>
        <v>3</v>
      </c>
      <c r="T206" s="1">
        <f>WORKDAY(B206,5)</f>
        <v>46268</v>
      </c>
      <c r="U206" t="b">
        <f>C206&gt;T206</f>
        <v>0</v>
      </c>
    </row>
    <row r="207" spans="1:21" x14ac:dyDescent="0.25">
      <c r="A207" t="s">
        <v>297</v>
      </c>
      <c r="B207" s="1">
        <v>46261</v>
      </c>
      <c r="C207" s="1">
        <v>46266</v>
      </c>
      <c r="D207" t="s">
        <v>298</v>
      </c>
      <c r="E207" t="s">
        <v>172</v>
      </c>
      <c r="F207" t="s">
        <v>99</v>
      </c>
      <c r="G207" t="s">
        <v>100</v>
      </c>
      <c r="H207" t="s">
        <v>103</v>
      </c>
      <c r="I207" s="2">
        <v>3</v>
      </c>
      <c r="J207" s="3">
        <v>245</v>
      </c>
      <c r="K207" s="4">
        <v>0.05</v>
      </c>
      <c r="L207" s="3">
        <v>698.25</v>
      </c>
      <c r="M207" t="b">
        <v>1</v>
      </c>
      <c r="N207" s="2">
        <f>YEAR(B207)</f>
        <v>2026</v>
      </c>
      <c r="O207" t="str">
        <f>INDEX(Agences!$C:$C,MATCH(F207,Agences!$A:$A,0))</f>
        <v>Nord</v>
      </c>
      <c r="P207" t="str">
        <f>INDEX(Produits!$C:$C,MATCH(H207,Produits!$A:$A,0))</f>
        <v>Mobilier</v>
      </c>
      <c r="Q207" s="3">
        <f>I207*INDEX(Produits!$E:$E,MATCH(H207,Produits!$A:$A,0))</f>
        <v>492.45000000000005</v>
      </c>
      <c r="R207" s="3">
        <f>L207-Q207</f>
        <v>205.79999999999995</v>
      </c>
      <c r="S207" s="2">
        <f>NETWORKDAYS(B207,C207)-1</f>
        <v>3</v>
      </c>
      <c r="T207" s="1">
        <f>WORKDAY(B207,5)</f>
        <v>46268</v>
      </c>
      <c r="U207" t="b">
        <f>C207&gt;T207</f>
        <v>0</v>
      </c>
    </row>
    <row r="208" spans="1:21" x14ac:dyDescent="0.25">
      <c r="A208" t="s">
        <v>297</v>
      </c>
      <c r="B208" s="1">
        <v>46261</v>
      </c>
      <c r="C208" s="1">
        <v>46266</v>
      </c>
      <c r="D208" t="s">
        <v>298</v>
      </c>
      <c r="E208" t="s">
        <v>172</v>
      </c>
      <c r="F208" t="s">
        <v>99</v>
      </c>
      <c r="G208" t="s">
        <v>100</v>
      </c>
      <c r="H208" t="s">
        <v>64</v>
      </c>
      <c r="I208" s="2">
        <v>10</v>
      </c>
      <c r="J208" s="3">
        <v>16.8</v>
      </c>
      <c r="K208" s="4">
        <v>0</v>
      </c>
      <c r="L208" s="3">
        <v>168</v>
      </c>
      <c r="M208" t="b">
        <v>1</v>
      </c>
      <c r="N208" s="2">
        <f>YEAR(B208)</f>
        <v>2026</v>
      </c>
      <c r="O208" t="str">
        <f>INDEX(Agences!$C:$C,MATCH(F208,Agences!$A:$A,0))</f>
        <v>Nord</v>
      </c>
      <c r="P208" t="str">
        <f>INDEX(Produits!$C:$C,MATCH(H208,Produits!$A:$A,0))</f>
        <v>Fournitures</v>
      </c>
      <c r="Q208" s="3">
        <f>I208*INDEX(Produits!$E:$E,MATCH(H208,Produits!$A:$A,0))</f>
        <v>87.4</v>
      </c>
      <c r="R208" s="3">
        <f>L208-Q208</f>
        <v>80.6</v>
      </c>
      <c r="S208" s="2">
        <f>NETWORKDAYS(B208,C208)-1</f>
        <v>3</v>
      </c>
      <c r="T208" s="1">
        <f>WORKDAY(B208,5)</f>
        <v>46268</v>
      </c>
      <c r="U208" t="b">
        <f>C208&gt;T208</f>
        <v>0</v>
      </c>
    </row>
    <row r="209" spans="1:21" x14ac:dyDescent="0.25">
      <c r="A209" t="s">
        <v>299</v>
      </c>
      <c r="B209" s="1">
        <v>46261</v>
      </c>
      <c r="C209" s="1">
        <v>46266</v>
      </c>
      <c r="D209" t="s">
        <v>300</v>
      </c>
      <c r="E209" t="s">
        <v>172</v>
      </c>
      <c r="F209" t="s">
        <v>99</v>
      </c>
      <c r="G209" t="s">
        <v>100</v>
      </c>
      <c r="H209" t="s">
        <v>83</v>
      </c>
      <c r="I209" s="2">
        <v>1</v>
      </c>
      <c r="J209" s="3">
        <v>49</v>
      </c>
      <c r="K209" s="4">
        <v>0.02</v>
      </c>
      <c r="L209" s="3">
        <v>48.02</v>
      </c>
      <c r="M209" t="b">
        <v>1</v>
      </c>
      <c r="N209" s="2">
        <f>YEAR(B209)</f>
        <v>2026</v>
      </c>
      <c r="O209" t="str">
        <f>INDEX(Agences!$C:$C,MATCH(F209,Agences!$A:$A,0))</f>
        <v>Nord</v>
      </c>
      <c r="P209" t="str">
        <f>INDEX(Produits!$C:$C,MATCH(H209,Produits!$A:$A,0))</f>
        <v>Mobilier</v>
      </c>
      <c r="Q209" s="3">
        <f>I209*INDEX(Produits!$E:$E,MATCH(H209,Produits!$A:$A,0))</f>
        <v>28.42</v>
      </c>
      <c r="R209" s="3">
        <f>L209-Q209</f>
        <v>19.6</v>
      </c>
      <c r="S209" s="2">
        <f>NETWORKDAYS(B209,C209)-1</f>
        <v>3</v>
      </c>
      <c r="T209" s="1">
        <f>WORKDAY(B209,5)</f>
        <v>46268</v>
      </c>
      <c r="U209" t="b">
        <f>C209&gt;T209</f>
        <v>0</v>
      </c>
    </row>
    <row r="210" spans="1:21" x14ac:dyDescent="0.25">
      <c r="A210" t="s">
        <v>301</v>
      </c>
      <c r="B210" s="1">
        <v>46261</v>
      </c>
      <c r="C210" s="1">
        <v>46265</v>
      </c>
      <c r="D210" t="s">
        <v>302</v>
      </c>
      <c r="E210" t="s">
        <v>67</v>
      </c>
      <c r="F210" t="s">
        <v>62</v>
      </c>
      <c r="G210" t="s">
        <v>63</v>
      </c>
      <c r="H210" t="s">
        <v>49</v>
      </c>
      <c r="I210" s="2">
        <v>2</v>
      </c>
      <c r="J210" s="3">
        <v>120</v>
      </c>
      <c r="K210" s="4">
        <v>0</v>
      </c>
      <c r="L210" s="3">
        <v>240</v>
      </c>
      <c r="M210" t="b">
        <v>1</v>
      </c>
      <c r="N210" s="2">
        <f>YEAR(B210)</f>
        <v>2026</v>
      </c>
      <c r="O210" t="str">
        <f>INDEX(Agences!$C:$C,MATCH(F210,Agences!$A:$A,0))</f>
        <v>Méditerranée</v>
      </c>
      <c r="P210" t="str">
        <f>INDEX(Produits!$C:$C,MATCH(H210,Produits!$A:$A,0))</f>
        <v>Maintenance</v>
      </c>
      <c r="Q210" s="3">
        <f>I210*INDEX(Produits!$E:$E,MATCH(H210,Produits!$A:$A,0))</f>
        <v>110.4</v>
      </c>
      <c r="R210" s="3">
        <f>L210-Q210</f>
        <v>129.6</v>
      </c>
      <c r="S210" s="2">
        <f>NETWORKDAYS(B210,C210)-1</f>
        <v>2</v>
      </c>
      <c r="T210" s="1">
        <f>WORKDAY(B210,5)</f>
        <v>46268</v>
      </c>
      <c r="U210" t="b">
        <f>C210&gt;T210</f>
        <v>0</v>
      </c>
    </row>
    <row r="211" spans="1:21" x14ac:dyDescent="0.25">
      <c r="A211" t="s">
        <v>303</v>
      </c>
      <c r="B211" s="1">
        <v>46260</v>
      </c>
      <c r="C211" s="1">
        <v>46261</v>
      </c>
      <c r="D211" t="s">
        <v>304</v>
      </c>
      <c r="E211" t="s">
        <v>119</v>
      </c>
      <c r="F211" t="s">
        <v>24</v>
      </c>
      <c r="G211" t="s">
        <v>116</v>
      </c>
      <c r="H211" t="s">
        <v>42</v>
      </c>
      <c r="I211" s="2">
        <v>2</v>
      </c>
      <c r="J211" s="3">
        <v>55</v>
      </c>
      <c r="K211" s="4">
        <v>0.05</v>
      </c>
      <c r="L211" s="3">
        <v>104.5</v>
      </c>
      <c r="M211" t="b">
        <v>1</v>
      </c>
      <c r="N211" s="2">
        <f>YEAR(B211)</f>
        <v>2026</v>
      </c>
      <c r="O211" t="str">
        <f>INDEX(Agences!$C:$C,MATCH(F211,Agences!$A:$A,0))</f>
        <v>Nord</v>
      </c>
      <c r="P211" t="str">
        <f>INDEX(Produits!$C:$C,MATCH(H211,Produits!$A:$A,0))</f>
        <v>Maintenance</v>
      </c>
      <c r="Q211" s="3">
        <f>I211*INDEX(Produits!$E:$E,MATCH(H211,Produits!$A:$A,0))</f>
        <v>49.5</v>
      </c>
      <c r="R211" s="3">
        <f>L211-Q211</f>
        <v>55</v>
      </c>
      <c r="S211" s="2">
        <f>NETWORKDAYS(B211,C211)-1</f>
        <v>1</v>
      </c>
      <c r="T211" s="1">
        <f>WORKDAY(B211,5)</f>
        <v>46267</v>
      </c>
      <c r="U211" t="b">
        <f>C211&gt;T211</f>
        <v>0</v>
      </c>
    </row>
    <row r="212" spans="1:21" x14ac:dyDescent="0.25">
      <c r="A212" t="s">
        <v>303</v>
      </c>
      <c r="B212" s="1">
        <v>46260</v>
      </c>
      <c r="C212" s="1">
        <v>46261</v>
      </c>
      <c r="D212" t="s">
        <v>304</v>
      </c>
      <c r="E212" t="s">
        <v>119</v>
      </c>
      <c r="F212" t="s">
        <v>24</v>
      </c>
      <c r="G212" t="s">
        <v>116</v>
      </c>
      <c r="H212" t="s">
        <v>35</v>
      </c>
      <c r="I212" s="2">
        <v>4</v>
      </c>
      <c r="J212" s="3">
        <v>79</v>
      </c>
      <c r="K212" s="4">
        <v>0.08</v>
      </c>
      <c r="L212" s="3">
        <v>290.72</v>
      </c>
      <c r="M212" t="b">
        <v>1</v>
      </c>
      <c r="N212" s="2">
        <f>YEAR(B212)</f>
        <v>2026</v>
      </c>
      <c r="O212" t="str">
        <f>INDEX(Agences!$C:$C,MATCH(F212,Agences!$A:$A,0))</f>
        <v>Nord</v>
      </c>
      <c r="P212" t="str">
        <f>INDEX(Produits!$C:$C,MATCH(H212,Produits!$A:$A,0))</f>
        <v>Mobilier</v>
      </c>
      <c r="Q212" s="3">
        <f>I212*INDEX(Produits!$E:$E,MATCH(H212,Produits!$A:$A,0))</f>
        <v>186.44</v>
      </c>
      <c r="R212" s="3">
        <f>L212-Q212</f>
        <v>104.28000000000003</v>
      </c>
      <c r="S212" s="2">
        <f>NETWORKDAYS(B212,C212)-1</f>
        <v>1</v>
      </c>
      <c r="T212" s="1">
        <f>WORKDAY(B212,5)</f>
        <v>46267</v>
      </c>
      <c r="U212" t="b">
        <f>C212&gt;T212</f>
        <v>0</v>
      </c>
    </row>
    <row r="213" spans="1:21" x14ac:dyDescent="0.25">
      <c r="A213" t="s">
        <v>303</v>
      </c>
      <c r="B213" s="1">
        <v>46260</v>
      </c>
      <c r="C213" s="1">
        <v>46261</v>
      </c>
      <c r="D213" t="s">
        <v>304</v>
      </c>
      <c r="E213" t="s">
        <v>119</v>
      </c>
      <c r="F213" t="s">
        <v>24</v>
      </c>
      <c r="G213" t="s">
        <v>116</v>
      </c>
      <c r="H213" t="s">
        <v>90</v>
      </c>
      <c r="I213" s="2">
        <v>5</v>
      </c>
      <c r="J213" s="3">
        <v>22.9</v>
      </c>
      <c r="K213" s="4">
        <v>0.02</v>
      </c>
      <c r="L213" s="3">
        <v>112.21</v>
      </c>
      <c r="M213" t="b">
        <v>1</v>
      </c>
      <c r="N213" s="2">
        <f>YEAR(B213)</f>
        <v>2026</v>
      </c>
      <c r="O213" t="str">
        <f>INDEX(Agences!$C:$C,MATCH(F213,Agences!$A:$A,0))</f>
        <v>Nord</v>
      </c>
      <c r="P213" t="str">
        <f>INDEX(Produits!$C:$C,MATCH(H213,Produits!$A:$A,0))</f>
        <v>Fournitures</v>
      </c>
      <c r="Q213" s="3">
        <f>I213*INDEX(Produits!$E:$E,MATCH(H213,Produits!$A:$A,0))</f>
        <v>64.1</v>
      </c>
      <c r="R213" s="3">
        <f>L213-Q213</f>
        <v>48.11</v>
      </c>
      <c r="S213" s="2">
        <f>NETWORKDAYS(B213,C213)-1</f>
        <v>1</v>
      </c>
      <c r="T213" s="1">
        <f>WORKDAY(B213,5)</f>
        <v>46267</v>
      </c>
      <c r="U213" t="b">
        <f>C213&gt;T213</f>
        <v>0</v>
      </c>
    </row>
    <row r="214" spans="1:21" x14ac:dyDescent="0.25">
      <c r="A214" t="s">
        <v>303</v>
      </c>
      <c r="B214" s="1">
        <v>46260</v>
      </c>
      <c r="C214" s="1">
        <v>46261</v>
      </c>
      <c r="D214" t="s">
        <v>304</v>
      </c>
      <c r="E214" t="s">
        <v>119</v>
      </c>
      <c r="F214" t="s">
        <v>24</v>
      </c>
      <c r="G214" t="s">
        <v>116</v>
      </c>
      <c r="H214" t="s">
        <v>196</v>
      </c>
      <c r="I214" s="2">
        <v>5</v>
      </c>
      <c r="J214" s="3">
        <v>18.5</v>
      </c>
      <c r="K214" s="4">
        <v>0.02</v>
      </c>
      <c r="L214" s="3">
        <v>90.65</v>
      </c>
      <c r="M214" t="b">
        <v>1</v>
      </c>
      <c r="N214" s="2">
        <f>YEAR(B214)</f>
        <v>2026</v>
      </c>
      <c r="O214" t="str">
        <f>INDEX(Agences!$C:$C,MATCH(F214,Agences!$A:$A,0))</f>
        <v>Nord</v>
      </c>
      <c r="P214" t="str">
        <f>INDEX(Produits!$C:$C,MATCH(H214,Produits!$A:$A,0))</f>
        <v>Fournitures</v>
      </c>
      <c r="Q214" s="3">
        <f>I214*INDEX(Produits!$E:$E,MATCH(H214,Produits!$A:$A,0))</f>
        <v>47.199999999999996</v>
      </c>
      <c r="R214" s="3">
        <f>L214-Q214</f>
        <v>43.45000000000001</v>
      </c>
      <c r="S214" s="2">
        <f>NETWORKDAYS(B214,C214)-1</f>
        <v>1</v>
      </c>
      <c r="T214" s="1">
        <f>WORKDAY(B214,5)</f>
        <v>46267</v>
      </c>
      <c r="U214" t="b">
        <f>C214&gt;T214</f>
        <v>0</v>
      </c>
    </row>
    <row r="215" spans="1:21" x14ac:dyDescent="0.25">
      <c r="A215" t="s">
        <v>305</v>
      </c>
      <c r="B215" s="1">
        <v>46260</v>
      </c>
      <c r="C215" s="1">
        <v>46262</v>
      </c>
      <c r="D215" t="s">
        <v>306</v>
      </c>
      <c r="E215" t="s">
        <v>307</v>
      </c>
      <c r="F215" t="s">
        <v>76</v>
      </c>
      <c r="G215" t="s">
        <v>176</v>
      </c>
      <c r="H215" t="s">
        <v>26</v>
      </c>
      <c r="I215" s="2">
        <v>1</v>
      </c>
      <c r="J215" s="3">
        <v>290</v>
      </c>
      <c r="K215" s="4">
        <v>0</v>
      </c>
      <c r="L215" s="3">
        <v>290</v>
      </c>
      <c r="M215" t="b">
        <v>1</v>
      </c>
      <c r="N215" s="2">
        <f>YEAR(B215)</f>
        <v>2026</v>
      </c>
      <c r="O215" t="str">
        <f>INDEX(Agences!$C:$C,MATCH(F215,Agences!$A:$A,0))</f>
        <v>Île-de-France</v>
      </c>
      <c r="P215" t="str">
        <f>INDEX(Produits!$C:$C,MATCH(H215,Produits!$A:$A,0))</f>
        <v>Maintenance</v>
      </c>
      <c r="Q215" s="3">
        <f>I215*INDEX(Produits!$E:$E,MATCH(H215,Produits!$A:$A,0))</f>
        <v>139.2</v>
      </c>
      <c r="R215" s="3">
        <f>L215-Q215</f>
        <v>150.8</v>
      </c>
      <c r="S215" s="2">
        <f>NETWORKDAYS(B215,C215)-1</f>
        <v>2</v>
      </c>
      <c r="T215" s="1">
        <f>WORKDAY(B215,5)</f>
        <v>46267</v>
      </c>
      <c r="U215" t="b">
        <f>C215&gt;T215</f>
        <v>0</v>
      </c>
    </row>
    <row r="216" spans="1:21" x14ac:dyDescent="0.25">
      <c r="A216" t="s">
        <v>305</v>
      </c>
      <c r="B216" s="1">
        <v>46260</v>
      </c>
      <c r="C216" s="1">
        <v>46262</v>
      </c>
      <c r="D216" t="s">
        <v>306</v>
      </c>
      <c r="E216" t="s">
        <v>307</v>
      </c>
      <c r="F216" t="s">
        <v>76</v>
      </c>
      <c r="G216" t="s">
        <v>176</v>
      </c>
      <c r="H216" t="s">
        <v>150</v>
      </c>
      <c r="I216" s="2">
        <v>1</v>
      </c>
      <c r="J216" s="3">
        <v>790</v>
      </c>
      <c r="K216" s="4">
        <v>0.05</v>
      </c>
      <c r="L216" s="3">
        <v>750.5</v>
      </c>
      <c r="M216" t="b">
        <v>1</v>
      </c>
      <c r="N216" s="2">
        <f>YEAR(B216)</f>
        <v>2026</v>
      </c>
      <c r="O216" t="str">
        <f>INDEX(Agences!$C:$C,MATCH(F216,Agences!$A:$A,0))</f>
        <v>Île-de-France</v>
      </c>
      <c r="P216" t="str">
        <f>INDEX(Produits!$C:$C,MATCH(H216,Produits!$A:$A,0))</f>
        <v>Informatique</v>
      </c>
      <c r="Q216" s="3">
        <f>I216*INDEX(Produits!$E:$E,MATCH(H216,Produits!$A:$A,0))</f>
        <v>584.6</v>
      </c>
      <c r="R216" s="3">
        <f>L216-Q216</f>
        <v>165.89999999999998</v>
      </c>
      <c r="S216" s="2">
        <f>NETWORKDAYS(B216,C216)-1</f>
        <v>2</v>
      </c>
      <c r="T216" s="1">
        <f>WORKDAY(B216,5)</f>
        <v>46267</v>
      </c>
      <c r="U216" t="b">
        <f>C216&gt;T216</f>
        <v>0</v>
      </c>
    </row>
    <row r="217" spans="1:21" x14ac:dyDescent="0.25">
      <c r="A217" t="s">
        <v>305</v>
      </c>
      <c r="B217" s="1">
        <v>46260</v>
      </c>
      <c r="C217" s="1">
        <v>46262</v>
      </c>
      <c r="D217" t="s">
        <v>306</v>
      </c>
      <c r="E217" t="s">
        <v>307</v>
      </c>
      <c r="F217" t="s">
        <v>76</v>
      </c>
      <c r="G217" t="s">
        <v>176</v>
      </c>
      <c r="H217" t="s">
        <v>233</v>
      </c>
      <c r="I217" s="2">
        <v>15</v>
      </c>
      <c r="J217" s="3">
        <v>27.5</v>
      </c>
      <c r="K217" s="4">
        <v>0</v>
      </c>
      <c r="L217" s="3">
        <v>412.5</v>
      </c>
      <c r="M217" t="b">
        <v>1</v>
      </c>
      <c r="N217" s="2">
        <f>YEAR(B217)</f>
        <v>2026</v>
      </c>
      <c r="O217" t="str">
        <f>INDEX(Agences!$C:$C,MATCH(F217,Agences!$A:$A,0))</f>
        <v>Île-de-France</v>
      </c>
      <c r="P217" t="str">
        <f>INDEX(Produits!$C:$C,MATCH(H217,Produits!$A:$A,0))</f>
        <v>Fournitures</v>
      </c>
      <c r="Q217" s="3">
        <f>I217*INDEX(Produits!$E:$E,MATCH(H217,Produits!$A:$A,0))</f>
        <v>231</v>
      </c>
      <c r="R217" s="3">
        <f>L217-Q217</f>
        <v>181.5</v>
      </c>
      <c r="S217" s="2">
        <f>NETWORKDAYS(B217,C217)-1</f>
        <v>2</v>
      </c>
      <c r="T217" s="1">
        <f>WORKDAY(B217,5)</f>
        <v>46267</v>
      </c>
      <c r="U217" t="b">
        <f>C217&gt;T217</f>
        <v>0</v>
      </c>
    </row>
    <row r="218" spans="1:21" x14ac:dyDescent="0.25">
      <c r="A218" t="s">
        <v>305</v>
      </c>
      <c r="B218" s="1">
        <v>46260</v>
      </c>
      <c r="C218" s="1">
        <v>46262</v>
      </c>
      <c r="D218" t="s">
        <v>306</v>
      </c>
      <c r="E218" t="s">
        <v>307</v>
      </c>
      <c r="F218" t="s">
        <v>76</v>
      </c>
      <c r="G218" t="s">
        <v>176</v>
      </c>
      <c r="H218" t="s">
        <v>58</v>
      </c>
      <c r="I218" s="2">
        <v>2</v>
      </c>
      <c r="J218" s="3">
        <v>649</v>
      </c>
      <c r="K218" s="4">
        <v>0</v>
      </c>
      <c r="L218" s="3">
        <v>1298</v>
      </c>
      <c r="M218" t="b">
        <v>1</v>
      </c>
      <c r="N218" s="2">
        <f>YEAR(B218)</f>
        <v>2026</v>
      </c>
      <c r="O218" t="str">
        <f>INDEX(Agences!$C:$C,MATCH(F218,Agences!$A:$A,0))</f>
        <v>Île-de-France</v>
      </c>
      <c r="P218" t="str">
        <f>INDEX(Produits!$C:$C,MATCH(H218,Produits!$A:$A,0))</f>
        <v>Mobilier</v>
      </c>
      <c r="Q218" s="3">
        <f>I218*INDEX(Produits!$E:$E,MATCH(H218,Produits!$A:$A,0))</f>
        <v>817.74</v>
      </c>
      <c r="R218" s="3">
        <f>L218-Q218</f>
        <v>480.26</v>
      </c>
      <c r="S218" s="2">
        <f>NETWORKDAYS(B218,C218)-1</f>
        <v>2</v>
      </c>
      <c r="T218" s="1">
        <f>WORKDAY(B218,5)</f>
        <v>46267</v>
      </c>
      <c r="U218" t="b">
        <f>C218&gt;T218</f>
        <v>0</v>
      </c>
    </row>
    <row r="219" spans="1:21" x14ac:dyDescent="0.25">
      <c r="A219" t="s">
        <v>305</v>
      </c>
      <c r="B219" s="1">
        <v>46260</v>
      </c>
      <c r="C219" s="1">
        <v>46262</v>
      </c>
      <c r="D219" t="s">
        <v>306</v>
      </c>
      <c r="E219" t="s">
        <v>307</v>
      </c>
      <c r="F219" t="s">
        <v>76</v>
      </c>
      <c r="G219" t="s">
        <v>176</v>
      </c>
      <c r="H219" t="s">
        <v>50</v>
      </c>
      <c r="I219" s="2">
        <v>2</v>
      </c>
      <c r="J219" s="3">
        <v>69</v>
      </c>
      <c r="K219" s="4">
        <v>0.02</v>
      </c>
      <c r="L219" s="3">
        <v>135.24</v>
      </c>
      <c r="M219" t="b">
        <v>1</v>
      </c>
      <c r="N219" s="2">
        <f>YEAR(B219)</f>
        <v>2026</v>
      </c>
      <c r="O219" t="str">
        <f>INDEX(Agences!$C:$C,MATCH(F219,Agences!$A:$A,0))</f>
        <v>Île-de-France</v>
      </c>
      <c r="P219" t="str">
        <f>INDEX(Produits!$C:$C,MATCH(H219,Produits!$A:$A,0))</f>
        <v>Informatique</v>
      </c>
      <c r="Q219" s="3">
        <f>I219*INDEX(Produits!$E:$E,MATCH(H219,Produits!$A:$A,0))</f>
        <v>109.02</v>
      </c>
      <c r="R219" s="3">
        <f>L219-Q219</f>
        <v>26.220000000000013</v>
      </c>
      <c r="S219" s="2">
        <f>NETWORKDAYS(B219,C219)-1</f>
        <v>2</v>
      </c>
      <c r="T219" s="1">
        <f>WORKDAY(B219,5)</f>
        <v>46267</v>
      </c>
      <c r="U219" t="b">
        <f>C219&gt;T219</f>
        <v>0</v>
      </c>
    </row>
    <row r="220" spans="1:21" x14ac:dyDescent="0.25">
      <c r="A220" t="s">
        <v>308</v>
      </c>
      <c r="B220" s="1">
        <v>46260</v>
      </c>
      <c r="C220" s="1">
        <v>46261</v>
      </c>
      <c r="D220" t="s">
        <v>309</v>
      </c>
      <c r="E220" t="s">
        <v>256</v>
      </c>
      <c r="F220" t="s">
        <v>88</v>
      </c>
      <c r="G220" t="s">
        <v>142</v>
      </c>
      <c r="H220" t="s">
        <v>107</v>
      </c>
      <c r="I220" s="2">
        <v>1</v>
      </c>
      <c r="J220" s="3">
        <v>99</v>
      </c>
      <c r="K220" s="4">
        <v>0.08</v>
      </c>
      <c r="L220" s="3">
        <v>91.08</v>
      </c>
      <c r="M220" t="b">
        <v>1</v>
      </c>
      <c r="N220" s="2">
        <f>YEAR(B220)</f>
        <v>2026</v>
      </c>
      <c r="O220" t="str">
        <f>INDEX(Agences!$C:$C,MATCH(F220,Agences!$A:$A,0))</f>
        <v>Sud-Ouest</v>
      </c>
      <c r="P220" t="str">
        <f>INDEX(Produits!$C:$C,MATCH(H220,Produits!$A:$A,0))</f>
        <v>Informatique</v>
      </c>
      <c r="Q220" s="3">
        <f>I220*INDEX(Produits!$E:$E,MATCH(H220,Produits!$A:$A,0))</f>
        <v>75.24</v>
      </c>
      <c r="R220" s="3">
        <f>L220-Q220</f>
        <v>15.840000000000003</v>
      </c>
      <c r="S220" s="2">
        <f>NETWORKDAYS(B220,C220)-1</f>
        <v>1</v>
      </c>
      <c r="T220" s="1">
        <f>WORKDAY(B220,5)</f>
        <v>46267</v>
      </c>
      <c r="U220" t="b">
        <f>C220&gt;T220</f>
        <v>0</v>
      </c>
    </row>
    <row r="221" spans="1:21" x14ac:dyDescent="0.25">
      <c r="A221" t="s">
        <v>308</v>
      </c>
      <c r="B221" s="1">
        <v>46260</v>
      </c>
      <c r="C221" s="1">
        <v>46261</v>
      </c>
      <c r="D221" t="s">
        <v>309</v>
      </c>
      <c r="E221" t="s">
        <v>256</v>
      </c>
      <c r="F221" t="s">
        <v>88</v>
      </c>
      <c r="G221" t="s">
        <v>142</v>
      </c>
      <c r="H221" t="s">
        <v>34</v>
      </c>
      <c r="I221" s="2">
        <v>1</v>
      </c>
      <c r="J221" s="3">
        <v>340</v>
      </c>
      <c r="K221" s="4">
        <v>0</v>
      </c>
      <c r="L221" s="3">
        <v>340</v>
      </c>
      <c r="M221" t="b">
        <v>1</v>
      </c>
      <c r="N221" s="2">
        <f>YEAR(B221)</f>
        <v>2026</v>
      </c>
      <c r="O221" t="str">
        <f>INDEX(Agences!$C:$C,MATCH(F221,Agences!$A:$A,0))</f>
        <v>Sud-Ouest</v>
      </c>
      <c r="P221" t="str">
        <f>INDEX(Produits!$C:$C,MATCH(H221,Produits!$A:$A,0))</f>
        <v>Informatique</v>
      </c>
      <c r="Q221" s="3">
        <f>I221*INDEX(Produits!$E:$E,MATCH(H221,Produits!$A:$A,0))</f>
        <v>275.4</v>
      </c>
      <c r="R221" s="3">
        <f>L221-Q221</f>
        <v>64.60000000000002</v>
      </c>
      <c r="S221" s="2">
        <f>NETWORKDAYS(B221,C221)-1</f>
        <v>1</v>
      </c>
      <c r="T221" s="1">
        <f>WORKDAY(B221,5)</f>
        <v>46267</v>
      </c>
      <c r="U221" t="b">
        <f>C221&gt;T221</f>
        <v>0</v>
      </c>
    </row>
    <row r="222" spans="1:21" x14ac:dyDescent="0.25">
      <c r="A222" t="s">
        <v>310</v>
      </c>
      <c r="B222" s="1">
        <v>46260</v>
      </c>
      <c r="C222" s="1">
        <v>46265</v>
      </c>
      <c r="D222" t="s">
        <v>311</v>
      </c>
      <c r="E222" t="s">
        <v>93</v>
      </c>
      <c r="F222" t="s">
        <v>94</v>
      </c>
      <c r="G222" t="s">
        <v>154</v>
      </c>
      <c r="H222" t="s">
        <v>107</v>
      </c>
      <c r="I222" s="2">
        <v>1</v>
      </c>
      <c r="J222" s="3">
        <v>99</v>
      </c>
      <c r="K222" s="4">
        <v>0</v>
      </c>
      <c r="L222" s="3">
        <v>99</v>
      </c>
      <c r="M222" t="b">
        <v>1</v>
      </c>
      <c r="N222" s="2">
        <f>YEAR(B222)</f>
        <v>2026</v>
      </c>
      <c r="O222" t="str">
        <f>INDEX(Agences!$C:$C,MATCH(F222,Agences!$A:$A,0))</f>
        <v>Méditerranée</v>
      </c>
      <c r="P222" t="str">
        <f>INDEX(Produits!$C:$C,MATCH(H222,Produits!$A:$A,0))</f>
        <v>Informatique</v>
      </c>
      <c r="Q222" s="3">
        <f>I222*INDEX(Produits!$E:$E,MATCH(H222,Produits!$A:$A,0))</f>
        <v>75.24</v>
      </c>
      <c r="R222" s="3">
        <f>L222-Q222</f>
        <v>23.760000000000005</v>
      </c>
      <c r="S222" s="2">
        <f>NETWORKDAYS(B222,C222)-1</f>
        <v>3</v>
      </c>
      <c r="T222" s="1">
        <f>WORKDAY(B222,5)</f>
        <v>46267</v>
      </c>
      <c r="U222" t="b">
        <f>C222&gt;T222</f>
        <v>0</v>
      </c>
    </row>
    <row r="223" spans="1:21" x14ac:dyDescent="0.25">
      <c r="A223" t="s">
        <v>310</v>
      </c>
      <c r="B223" s="1">
        <v>46260</v>
      </c>
      <c r="C223" s="1">
        <v>46265</v>
      </c>
      <c r="D223" t="s">
        <v>311</v>
      </c>
      <c r="E223" t="s">
        <v>93</v>
      </c>
      <c r="F223" t="s">
        <v>94</v>
      </c>
      <c r="G223" t="s">
        <v>154</v>
      </c>
      <c r="H223" t="s">
        <v>42</v>
      </c>
      <c r="I223" s="2">
        <v>1</v>
      </c>
      <c r="J223" s="3">
        <v>55</v>
      </c>
      <c r="K223" s="4">
        <v>0.05</v>
      </c>
      <c r="L223" s="3">
        <v>52.25</v>
      </c>
      <c r="M223" t="b">
        <v>1</v>
      </c>
      <c r="N223" s="2">
        <f>YEAR(B223)</f>
        <v>2026</v>
      </c>
      <c r="O223" t="str">
        <f>INDEX(Agences!$C:$C,MATCH(F223,Agences!$A:$A,0))</f>
        <v>Méditerranée</v>
      </c>
      <c r="P223" t="str">
        <f>INDEX(Produits!$C:$C,MATCH(H223,Produits!$A:$A,0))</f>
        <v>Maintenance</v>
      </c>
      <c r="Q223" s="3">
        <f>I223*INDEX(Produits!$E:$E,MATCH(H223,Produits!$A:$A,0))</f>
        <v>24.75</v>
      </c>
      <c r="R223" s="3">
        <f>L223-Q223</f>
        <v>27.5</v>
      </c>
      <c r="S223" s="2">
        <f>NETWORKDAYS(B223,C223)-1</f>
        <v>3</v>
      </c>
      <c r="T223" s="1">
        <f>WORKDAY(B223,5)</f>
        <v>46267</v>
      </c>
      <c r="U223" t="b">
        <f>C223&gt;T223</f>
        <v>0</v>
      </c>
    </row>
    <row r="224" spans="1:21" x14ac:dyDescent="0.25">
      <c r="A224" t="s">
        <v>310</v>
      </c>
      <c r="B224" s="1">
        <v>46260</v>
      </c>
      <c r="C224" s="1">
        <v>46265</v>
      </c>
      <c r="D224" t="s">
        <v>311</v>
      </c>
      <c r="E224" t="s">
        <v>93</v>
      </c>
      <c r="F224" t="s">
        <v>94</v>
      </c>
      <c r="G224" t="s">
        <v>154</v>
      </c>
      <c r="H224" t="s">
        <v>33</v>
      </c>
      <c r="I224" s="2">
        <v>1</v>
      </c>
      <c r="J224" s="3">
        <v>219</v>
      </c>
      <c r="K224" s="4">
        <v>0.02</v>
      </c>
      <c r="L224" s="3">
        <v>214.62</v>
      </c>
      <c r="M224" t="b">
        <v>1</v>
      </c>
      <c r="N224" s="2">
        <f>YEAR(B224)</f>
        <v>2026</v>
      </c>
      <c r="O224" t="str">
        <f>INDEX(Agences!$C:$C,MATCH(F224,Agences!$A:$A,0))</f>
        <v>Méditerranée</v>
      </c>
      <c r="P224" t="str">
        <f>INDEX(Produits!$C:$C,MATCH(H224,Produits!$A:$A,0))</f>
        <v>Informatique</v>
      </c>
      <c r="Q224" s="3">
        <f>I224*INDEX(Produits!$E:$E,MATCH(H224,Produits!$A:$A,0))</f>
        <v>179.58</v>
      </c>
      <c r="R224" s="3">
        <f>L224-Q224</f>
        <v>35.03999999999999</v>
      </c>
      <c r="S224" s="2">
        <f>NETWORKDAYS(B224,C224)-1</f>
        <v>3</v>
      </c>
      <c r="T224" s="1">
        <f>WORKDAY(B224,5)</f>
        <v>46267</v>
      </c>
      <c r="U224" t="b">
        <f>C224&gt;T224</f>
        <v>0</v>
      </c>
    </row>
    <row r="225" spans="1:21" x14ac:dyDescent="0.25">
      <c r="A225" t="s">
        <v>310</v>
      </c>
      <c r="B225" s="1">
        <v>46260</v>
      </c>
      <c r="C225" s="1">
        <v>46265</v>
      </c>
      <c r="D225" t="s">
        <v>311</v>
      </c>
      <c r="E225" t="s">
        <v>93</v>
      </c>
      <c r="F225" t="s">
        <v>94</v>
      </c>
      <c r="G225" t="s">
        <v>154</v>
      </c>
      <c r="H225" t="s">
        <v>72</v>
      </c>
      <c r="I225" s="2">
        <v>1</v>
      </c>
      <c r="J225" s="3">
        <v>179</v>
      </c>
      <c r="K225" s="4">
        <v>0</v>
      </c>
      <c r="L225" s="3">
        <v>179</v>
      </c>
      <c r="M225" t="b">
        <v>1</v>
      </c>
      <c r="N225" s="2">
        <f>YEAR(B225)</f>
        <v>2026</v>
      </c>
      <c r="O225" t="str">
        <f>INDEX(Agences!$C:$C,MATCH(F225,Agences!$A:$A,0))</f>
        <v>Méditerranée</v>
      </c>
      <c r="P225" t="str">
        <f>INDEX(Produits!$C:$C,MATCH(H225,Produits!$A:$A,0))</f>
        <v>Informatique</v>
      </c>
      <c r="Q225" s="3">
        <f>I225*INDEX(Produits!$E:$E,MATCH(H225,Produits!$A:$A,0))</f>
        <v>146.78</v>
      </c>
      <c r="R225" s="3">
        <f>L225-Q225</f>
        <v>32.22</v>
      </c>
      <c r="S225" s="2">
        <f>NETWORKDAYS(B225,C225)-1</f>
        <v>3</v>
      </c>
      <c r="T225" s="1">
        <f>WORKDAY(B225,5)</f>
        <v>46267</v>
      </c>
      <c r="U225" t="b">
        <f>C225&gt;T225</f>
        <v>0</v>
      </c>
    </row>
    <row r="226" spans="1:21" x14ac:dyDescent="0.25">
      <c r="A226" t="s">
        <v>312</v>
      </c>
      <c r="B226" s="1">
        <v>46259</v>
      </c>
      <c r="C226" s="1">
        <v>46266</v>
      </c>
      <c r="D226" t="s">
        <v>313</v>
      </c>
      <c r="E226" t="s">
        <v>93</v>
      </c>
      <c r="F226" t="s">
        <v>94</v>
      </c>
      <c r="G226" t="s">
        <v>182</v>
      </c>
      <c r="H226" t="s">
        <v>49</v>
      </c>
      <c r="I226" s="2">
        <v>2</v>
      </c>
      <c r="J226" s="3">
        <v>120</v>
      </c>
      <c r="K226" s="4">
        <v>0</v>
      </c>
      <c r="L226" s="3">
        <v>240</v>
      </c>
      <c r="M226" t="b">
        <v>1</v>
      </c>
      <c r="N226" s="2">
        <f>YEAR(B226)</f>
        <v>2026</v>
      </c>
      <c r="O226" t="str">
        <f>INDEX(Agences!$C:$C,MATCH(F226,Agences!$A:$A,0))</f>
        <v>Méditerranée</v>
      </c>
      <c r="P226" t="str">
        <f>INDEX(Produits!$C:$C,MATCH(H226,Produits!$A:$A,0))</f>
        <v>Maintenance</v>
      </c>
      <c r="Q226" s="3">
        <f>I226*INDEX(Produits!$E:$E,MATCH(H226,Produits!$A:$A,0))</f>
        <v>110.4</v>
      </c>
      <c r="R226" s="3">
        <f>L226-Q226</f>
        <v>129.6</v>
      </c>
      <c r="S226" s="2">
        <f>NETWORKDAYS(B226,C226)-1</f>
        <v>5</v>
      </c>
      <c r="T226" s="1">
        <f>WORKDAY(B226,5)</f>
        <v>46266</v>
      </c>
      <c r="U226" t="b">
        <f>C226&gt;T226</f>
        <v>0</v>
      </c>
    </row>
    <row r="227" spans="1:21" x14ac:dyDescent="0.25">
      <c r="A227" t="s">
        <v>312</v>
      </c>
      <c r="B227" s="1">
        <v>46259</v>
      </c>
      <c r="C227" s="1">
        <v>46266</v>
      </c>
      <c r="D227" t="s">
        <v>313</v>
      </c>
      <c r="E227" t="s">
        <v>93</v>
      </c>
      <c r="F227" t="s">
        <v>94</v>
      </c>
      <c r="G227" t="s">
        <v>182</v>
      </c>
      <c r="H227" t="s">
        <v>205</v>
      </c>
      <c r="I227" s="2">
        <v>1</v>
      </c>
      <c r="J227" s="3">
        <v>359</v>
      </c>
      <c r="K227" s="4">
        <v>0</v>
      </c>
      <c r="L227" s="3">
        <v>359</v>
      </c>
      <c r="M227" t="b">
        <v>1</v>
      </c>
      <c r="N227" s="2">
        <f>YEAR(B227)</f>
        <v>2026</v>
      </c>
      <c r="O227" t="str">
        <f>INDEX(Agences!$C:$C,MATCH(F227,Agences!$A:$A,0))</f>
        <v>Méditerranée</v>
      </c>
      <c r="P227" t="str">
        <f>INDEX(Produits!$C:$C,MATCH(H227,Produits!$A:$A,0))</f>
        <v>Mobilier</v>
      </c>
      <c r="Q227" s="3">
        <f>I227*INDEX(Produits!$E:$E,MATCH(H227,Produits!$A:$A,0))</f>
        <v>204.63</v>
      </c>
      <c r="R227" s="3">
        <f>L227-Q227</f>
        <v>154.37</v>
      </c>
      <c r="S227" s="2">
        <f>NETWORKDAYS(B227,C227)-1</f>
        <v>5</v>
      </c>
      <c r="T227" s="1">
        <f>WORKDAY(B227,5)</f>
        <v>46266</v>
      </c>
      <c r="U227" t="b">
        <f>C227&gt;T227</f>
        <v>0</v>
      </c>
    </row>
    <row r="228" spans="1:21" x14ac:dyDescent="0.25">
      <c r="A228" t="s">
        <v>312</v>
      </c>
      <c r="B228" s="1">
        <v>46259</v>
      </c>
      <c r="C228" s="1">
        <v>46266</v>
      </c>
      <c r="D228" t="s">
        <v>313</v>
      </c>
      <c r="E228" t="s">
        <v>93</v>
      </c>
      <c r="F228" t="s">
        <v>94</v>
      </c>
      <c r="G228" t="s">
        <v>182</v>
      </c>
      <c r="H228" t="s">
        <v>64</v>
      </c>
      <c r="I228" s="2">
        <v>5</v>
      </c>
      <c r="J228" s="3">
        <v>16.8</v>
      </c>
      <c r="K228" s="4">
        <v>0.08</v>
      </c>
      <c r="L228" s="3">
        <v>77.28</v>
      </c>
      <c r="M228" t="b">
        <v>1</v>
      </c>
      <c r="N228" s="2">
        <f>YEAR(B228)</f>
        <v>2026</v>
      </c>
      <c r="O228" t="str">
        <f>INDEX(Agences!$C:$C,MATCH(F228,Agences!$A:$A,0))</f>
        <v>Méditerranée</v>
      </c>
      <c r="P228" t="str">
        <f>INDEX(Produits!$C:$C,MATCH(H228,Produits!$A:$A,0))</f>
        <v>Fournitures</v>
      </c>
      <c r="Q228" s="3">
        <f>I228*INDEX(Produits!$E:$E,MATCH(H228,Produits!$A:$A,0))</f>
        <v>43.7</v>
      </c>
      <c r="R228" s="3">
        <f>L228-Q228</f>
        <v>33.58</v>
      </c>
      <c r="S228" s="2">
        <f>NETWORKDAYS(B228,C228)-1</f>
        <v>5</v>
      </c>
      <c r="T228" s="1">
        <f>WORKDAY(B228,5)</f>
        <v>46266</v>
      </c>
      <c r="U228" t="b">
        <f>C228&gt;T228</f>
        <v>0</v>
      </c>
    </row>
    <row r="229" spans="1:21" x14ac:dyDescent="0.25">
      <c r="A229" t="s">
        <v>312</v>
      </c>
      <c r="B229" s="1">
        <v>46259</v>
      </c>
      <c r="C229" s="1">
        <v>46266</v>
      </c>
      <c r="D229" t="s">
        <v>313</v>
      </c>
      <c r="E229" t="s">
        <v>93</v>
      </c>
      <c r="F229" t="s">
        <v>94</v>
      </c>
      <c r="G229" t="s">
        <v>182</v>
      </c>
      <c r="H229" t="s">
        <v>48</v>
      </c>
      <c r="I229" s="2">
        <v>1</v>
      </c>
      <c r="J229" s="3">
        <v>165</v>
      </c>
      <c r="K229" s="4">
        <v>0.05</v>
      </c>
      <c r="L229" s="3">
        <v>156.75</v>
      </c>
      <c r="M229" t="b">
        <v>1</v>
      </c>
      <c r="N229" s="2">
        <f>YEAR(B229)</f>
        <v>2026</v>
      </c>
      <c r="O229" t="str">
        <f>INDEX(Agences!$C:$C,MATCH(F229,Agences!$A:$A,0))</f>
        <v>Méditerranée</v>
      </c>
      <c r="P229" t="str">
        <f>INDEX(Produits!$C:$C,MATCH(H229,Produits!$A:$A,0))</f>
        <v>Mobilier</v>
      </c>
      <c r="Q229" s="3">
        <f>I229*INDEX(Produits!$E:$E,MATCH(H229,Produits!$A:$A,0))</f>
        <v>107.25</v>
      </c>
      <c r="R229" s="3">
        <f>L229-Q229</f>
        <v>49.5</v>
      </c>
      <c r="S229" s="2">
        <f>NETWORKDAYS(B229,C229)-1</f>
        <v>5</v>
      </c>
      <c r="T229" s="1">
        <f>WORKDAY(B229,5)</f>
        <v>46266</v>
      </c>
      <c r="U229" t="b">
        <f>C229&gt;T229</f>
        <v>0</v>
      </c>
    </row>
    <row r="230" spans="1:21" x14ac:dyDescent="0.25">
      <c r="A230" t="s">
        <v>314</v>
      </c>
      <c r="B230" s="1">
        <v>46259</v>
      </c>
      <c r="C230" s="1">
        <v>46261</v>
      </c>
      <c r="D230" t="s">
        <v>315</v>
      </c>
      <c r="E230" t="s">
        <v>316</v>
      </c>
      <c r="F230" t="s">
        <v>46</v>
      </c>
      <c r="G230" t="s">
        <v>111</v>
      </c>
      <c r="H230" t="s">
        <v>48</v>
      </c>
      <c r="I230" s="2">
        <v>1</v>
      </c>
      <c r="J230" s="3">
        <v>165</v>
      </c>
      <c r="K230" s="4">
        <v>0</v>
      </c>
      <c r="L230" s="3">
        <v>165</v>
      </c>
      <c r="M230" t="b">
        <v>1</v>
      </c>
      <c r="N230" s="2">
        <f>YEAR(B230)</f>
        <v>2026</v>
      </c>
      <c r="O230" t="str">
        <f>INDEX(Agences!$C:$C,MATCH(F230,Agences!$A:$A,0))</f>
        <v>Est</v>
      </c>
      <c r="P230" t="str">
        <f>INDEX(Produits!$C:$C,MATCH(H230,Produits!$A:$A,0))</f>
        <v>Mobilier</v>
      </c>
      <c r="Q230" s="3">
        <f>I230*INDEX(Produits!$E:$E,MATCH(H230,Produits!$A:$A,0))</f>
        <v>107.25</v>
      </c>
      <c r="R230" s="3">
        <f>L230-Q230</f>
        <v>57.75</v>
      </c>
      <c r="S230" s="2">
        <f>NETWORKDAYS(B230,C230)-1</f>
        <v>2</v>
      </c>
      <c r="T230" s="1">
        <f>WORKDAY(B230,5)</f>
        <v>46266</v>
      </c>
      <c r="U230" t="b">
        <f>C230&gt;T230</f>
        <v>0</v>
      </c>
    </row>
    <row r="231" spans="1:21" x14ac:dyDescent="0.25">
      <c r="A231" t="s">
        <v>314</v>
      </c>
      <c r="B231" s="1">
        <v>46259</v>
      </c>
      <c r="C231" s="1">
        <v>46261</v>
      </c>
      <c r="D231" t="s">
        <v>315</v>
      </c>
      <c r="E231" t="s">
        <v>316</v>
      </c>
      <c r="F231" t="s">
        <v>46</v>
      </c>
      <c r="G231" t="s">
        <v>111</v>
      </c>
      <c r="H231" t="s">
        <v>42</v>
      </c>
      <c r="I231" s="2">
        <v>1</v>
      </c>
      <c r="J231" s="3">
        <v>55</v>
      </c>
      <c r="K231" s="4">
        <v>0</v>
      </c>
      <c r="L231" s="3">
        <v>55</v>
      </c>
      <c r="M231" t="b">
        <v>1</v>
      </c>
      <c r="N231" s="2">
        <f>YEAR(B231)</f>
        <v>2026</v>
      </c>
      <c r="O231" t="str">
        <f>INDEX(Agences!$C:$C,MATCH(F231,Agences!$A:$A,0))</f>
        <v>Est</v>
      </c>
      <c r="P231" t="str">
        <f>INDEX(Produits!$C:$C,MATCH(H231,Produits!$A:$A,0))</f>
        <v>Maintenance</v>
      </c>
      <c r="Q231" s="3">
        <f>I231*INDEX(Produits!$E:$E,MATCH(H231,Produits!$A:$A,0))</f>
        <v>24.75</v>
      </c>
      <c r="R231" s="3">
        <f>L231-Q231</f>
        <v>30.25</v>
      </c>
      <c r="S231" s="2">
        <f>NETWORKDAYS(B231,C231)-1</f>
        <v>2</v>
      </c>
      <c r="T231" s="1">
        <f>WORKDAY(B231,5)</f>
        <v>46266</v>
      </c>
      <c r="U231" t="b">
        <f>C231&gt;T231</f>
        <v>0</v>
      </c>
    </row>
    <row r="232" spans="1:21" x14ac:dyDescent="0.25">
      <c r="A232" t="s">
        <v>314</v>
      </c>
      <c r="B232" s="1">
        <v>46259</v>
      </c>
      <c r="C232" s="1">
        <v>46261</v>
      </c>
      <c r="D232" t="s">
        <v>315</v>
      </c>
      <c r="E232" t="s">
        <v>316</v>
      </c>
      <c r="F232" t="s">
        <v>46</v>
      </c>
      <c r="G232" t="s">
        <v>111</v>
      </c>
      <c r="H232" t="s">
        <v>107</v>
      </c>
      <c r="I232" s="2">
        <v>1</v>
      </c>
      <c r="J232" s="3">
        <v>99</v>
      </c>
      <c r="K232" s="4">
        <v>0</v>
      </c>
      <c r="L232" s="3">
        <v>99</v>
      </c>
      <c r="M232" t="b">
        <v>1</v>
      </c>
      <c r="N232" s="2">
        <f>YEAR(B232)</f>
        <v>2026</v>
      </c>
      <c r="O232" t="str">
        <f>INDEX(Agences!$C:$C,MATCH(F232,Agences!$A:$A,0))</f>
        <v>Est</v>
      </c>
      <c r="P232" t="str">
        <f>INDEX(Produits!$C:$C,MATCH(H232,Produits!$A:$A,0))</f>
        <v>Informatique</v>
      </c>
      <c r="Q232" s="3">
        <f>I232*INDEX(Produits!$E:$E,MATCH(H232,Produits!$A:$A,0))</f>
        <v>75.24</v>
      </c>
      <c r="R232" s="3">
        <f>L232-Q232</f>
        <v>23.760000000000005</v>
      </c>
      <c r="S232" s="2">
        <f>NETWORKDAYS(B232,C232)-1</f>
        <v>2</v>
      </c>
      <c r="T232" s="1">
        <f>WORKDAY(B232,5)</f>
        <v>46266</v>
      </c>
      <c r="U232" t="b">
        <f>C232&gt;T232</f>
        <v>0</v>
      </c>
    </row>
    <row r="233" spans="1:21" x14ac:dyDescent="0.25">
      <c r="A233" t="s">
        <v>317</v>
      </c>
      <c r="B233" s="1">
        <v>46258</v>
      </c>
      <c r="C233" s="1">
        <v>46261</v>
      </c>
      <c r="D233" t="s">
        <v>318</v>
      </c>
      <c r="E233" t="s">
        <v>130</v>
      </c>
      <c r="F233" t="s">
        <v>39</v>
      </c>
      <c r="G233" t="s">
        <v>131</v>
      </c>
      <c r="H233" t="s">
        <v>319</v>
      </c>
      <c r="I233" s="2">
        <v>2</v>
      </c>
      <c r="J233" s="3">
        <v>289</v>
      </c>
      <c r="K233" s="4">
        <v>0.05</v>
      </c>
      <c r="L233" s="3">
        <v>549.1</v>
      </c>
      <c r="M233" t="b">
        <v>1</v>
      </c>
      <c r="N233" s="2">
        <f>YEAR(B233)</f>
        <v>2026</v>
      </c>
      <c r="O233" t="str">
        <f>INDEX(Agences!$C:$C,MATCH(F233,Agences!$A:$A,0))</f>
        <v>Sud-Ouest</v>
      </c>
      <c r="P233" t="str">
        <f>INDEX(Produits!$C:$C,MATCH(H233,Produits!$A:$A,0))</f>
        <v>Informatique</v>
      </c>
      <c r="Q233" s="3">
        <f>I233*INDEX(Produits!$E:$E,MATCH(H233,Produits!$A:$A,0))</f>
        <v>427.72</v>
      </c>
      <c r="R233" s="3">
        <f>L233-Q233</f>
        <v>121.38</v>
      </c>
      <c r="S233" s="2">
        <f>NETWORKDAYS(B233,C233)-1</f>
        <v>3</v>
      </c>
      <c r="T233" s="1">
        <f>WORKDAY(B233,5)</f>
        <v>46265</v>
      </c>
      <c r="U233" t="b">
        <f>C233&gt;T233</f>
        <v>0</v>
      </c>
    </row>
    <row r="234" spans="1:21" x14ac:dyDescent="0.25">
      <c r="A234" t="s">
        <v>317</v>
      </c>
      <c r="B234" s="1">
        <v>46258</v>
      </c>
      <c r="C234" s="1">
        <v>46261</v>
      </c>
      <c r="D234" t="s">
        <v>318</v>
      </c>
      <c r="E234" t="s">
        <v>130</v>
      </c>
      <c r="F234" t="s">
        <v>39</v>
      </c>
      <c r="G234" t="s">
        <v>131</v>
      </c>
      <c r="H234" t="s">
        <v>107</v>
      </c>
      <c r="I234" s="2">
        <v>1</v>
      </c>
      <c r="J234" s="3">
        <v>99</v>
      </c>
      <c r="K234" s="4">
        <v>0.02</v>
      </c>
      <c r="L234" s="3">
        <v>97.02</v>
      </c>
      <c r="M234" t="b">
        <v>1</v>
      </c>
      <c r="N234" s="2">
        <f>YEAR(B234)</f>
        <v>2026</v>
      </c>
      <c r="O234" t="str">
        <f>INDEX(Agences!$C:$C,MATCH(F234,Agences!$A:$A,0))</f>
        <v>Sud-Ouest</v>
      </c>
      <c r="P234" t="str">
        <f>INDEX(Produits!$C:$C,MATCH(H234,Produits!$A:$A,0))</f>
        <v>Informatique</v>
      </c>
      <c r="Q234" s="3">
        <f>I234*INDEX(Produits!$E:$E,MATCH(H234,Produits!$A:$A,0))</f>
        <v>75.24</v>
      </c>
      <c r="R234" s="3">
        <f>L234-Q234</f>
        <v>21.78</v>
      </c>
      <c r="S234" s="2">
        <f>NETWORKDAYS(B234,C234)-1</f>
        <v>3</v>
      </c>
      <c r="T234" s="1">
        <f>WORKDAY(B234,5)</f>
        <v>46265</v>
      </c>
      <c r="U234" t="b">
        <f>C234&gt;T234</f>
        <v>0</v>
      </c>
    </row>
    <row r="235" spans="1:21" x14ac:dyDescent="0.25">
      <c r="A235" t="s">
        <v>317</v>
      </c>
      <c r="B235" s="1">
        <v>46258</v>
      </c>
      <c r="C235" s="1">
        <v>46261</v>
      </c>
      <c r="D235" t="s">
        <v>318</v>
      </c>
      <c r="E235" t="s">
        <v>130</v>
      </c>
      <c r="F235" t="s">
        <v>39</v>
      </c>
      <c r="G235" t="s">
        <v>131</v>
      </c>
      <c r="H235" t="s">
        <v>27</v>
      </c>
      <c r="I235" s="2">
        <v>1</v>
      </c>
      <c r="J235" s="3">
        <v>310</v>
      </c>
      <c r="K235" s="4">
        <v>0.02</v>
      </c>
      <c r="L235" s="3">
        <v>303.8</v>
      </c>
      <c r="M235" t="b">
        <v>1</v>
      </c>
      <c r="N235" s="2">
        <f>YEAR(B235)</f>
        <v>2026</v>
      </c>
      <c r="O235" t="str">
        <f>INDEX(Agences!$C:$C,MATCH(F235,Agences!$A:$A,0))</f>
        <v>Sud-Ouest</v>
      </c>
      <c r="P235" t="str">
        <f>INDEX(Produits!$C:$C,MATCH(H235,Produits!$A:$A,0))</f>
        <v>Mobilier</v>
      </c>
      <c r="Q235" s="3">
        <f>I235*INDEX(Produits!$E:$E,MATCH(H235,Produits!$A:$A,0))</f>
        <v>186</v>
      </c>
      <c r="R235" s="3">
        <f>L235-Q235</f>
        <v>117.80000000000001</v>
      </c>
      <c r="S235" s="2">
        <f>NETWORKDAYS(B235,C235)-1</f>
        <v>3</v>
      </c>
      <c r="T235" s="1">
        <f>WORKDAY(B235,5)</f>
        <v>46265</v>
      </c>
      <c r="U235" t="b">
        <f>C235&gt;T235</f>
        <v>0</v>
      </c>
    </row>
    <row r="236" spans="1:21" x14ac:dyDescent="0.25">
      <c r="A236" t="s">
        <v>320</v>
      </c>
      <c r="B236" s="1">
        <v>46258</v>
      </c>
      <c r="C236" s="1">
        <v>46259</v>
      </c>
      <c r="D236" t="s">
        <v>321</v>
      </c>
      <c r="E236" t="s">
        <v>38</v>
      </c>
      <c r="F236" t="s">
        <v>39</v>
      </c>
      <c r="G236" t="s">
        <v>322</v>
      </c>
      <c r="H236" t="s">
        <v>49</v>
      </c>
      <c r="I236" s="2">
        <v>1</v>
      </c>
      <c r="J236" s="3">
        <v>120</v>
      </c>
      <c r="K236" s="4">
        <v>0</v>
      </c>
      <c r="L236" s="3">
        <v>120</v>
      </c>
      <c r="M236" t="b">
        <v>1</v>
      </c>
      <c r="N236" s="2">
        <f>YEAR(B236)</f>
        <v>2026</v>
      </c>
      <c r="O236" t="str">
        <f>INDEX(Agences!$C:$C,MATCH(F236,Agences!$A:$A,0))</f>
        <v>Sud-Ouest</v>
      </c>
      <c r="P236" t="str">
        <f>INDEX(Produits!$C:$C,MATCH(H236,Produits!$A:$A,0))</f>
        <v>Maintenance</v>
      </c>
      <c r="Q236" s="3">
        <f>I236*INDEX(Produits!$E:$E,MATCH(H236,Produits!$A:$A,0))</f>
        <v>55.2</v>
      </c>
      <c r="R236" s="3">
        <f>L236-Q236</f>
        <v>64.8</v>
      </c>
      <c r="S236" s="2">
        <f>NETWORKDAYS(B236,C236)-1</f>
        <v>1</v>
      </c>
      <c r="T236" s="1">
        <f>WORKDAY(B236,5)</f>
        <v>46265</v>
      </c>
      <c r="U236" t="b">
        <f>C236&gt;T236</f>
        <v>0</v>
      </c>
    </row>
    <row r="237" spans="1:21" x14ac:dyDescent="0.25">
      <c r="A237" t="s">
        <v>320</v>
      </c>
      <c r="B237" s="1">
        <v>46258</v>
      </c>
      <c r="C237" s="1">
        <v>46259</v>
      </c>
      <c r="D237" t="s">
        <v>321</v>
      </c>
      <c r="E237" t="s">
        <v>38</v>
      </c>
      <c r="F237" t="s">
        <v>39</v>
      </c>
      <c r="G237" t="s">
        <v>322</v>
      </c>
      <c r="H237" t="s">
        <v>50</v>
      </c>
      <c r="I237" s="2">
        <v>2</v>
      </c>
      <c r="J237" s="3">
        <v>69</v>
      </c>
      <c r="K237" s="4">
        <v>0</v>
      </c>
      <c r="L237" s="3">
        <v>138</v>
      </c>
      <c r="M237" t="b">
        <v>1</v>
      </c>
      <c r="N237" s="2">
        <f>YEAR(B237)</f>
        <v>2026</v>
      </c>
      <c r="O237" t="str">
        <f>INDEX(Agences!$C:$C,MATCH(F237,Agences!$A:$A,0))</f>
        <v>Sud-Ouest</v>
      </c>
      <c r="P237" t="str">
        <f>INDEX(Produits!$C:$C,MATCH(H237,Produits!$A:$A,0))</f>
        <v>Informatique</v>
      </c>
      <c r="Q237" s="3">
        <f>I237*INDEX(Produits!$E:$E,MATCH(H237,Produits!$A:$A,0))</f>
        <v>109.02</v>
      </c>
      <c r="R237" s="3">
        <f>L237-Q237</f>
        <v>28.980000000000004</v>
      </c>
      <c r="S237" s="2">
        <f>NETWORKDAYS(B237,C237)-1</f>
        <v>1</v>
      </c>
      <c r="T237" s="1">
        <f>WORKDAY(B237,5)</f>
        <v>46265</v>
      </c>
      <c r="U237" t="b">
        <f>C237&gt;T237</f>
        <v>0</v>
      </c>
    </row>
    <row r="238" spans="1:21" x14ac:dyDescent="0.25">
      <c r="A238" t="s">
        <v>320</v>
      </c>
      <c r="B238" s="1">
        <v>46258</v>
      </c>
      <c r="C238" s="1">
        <v>46259</v>
      </c>
      <c r="D238" t="s">
        <v>321</v>
      </c>
      <c r="E238" t="s">
        <v>38</v>
      </c>
      <c r="F238" t="s">
        <v>39</v>
      </c>
      <c r="G238" t="s">
        <v>322</v>
      </c>
      <c r="H238" t="s">
        <v>83</v>
      </c>
      <c r="I238" s="2">
        <v>3</v>
      </c>
      <c r="J238" s="3">
        <v>49</v>
      </c>
      <c r="K238" s="4">
        <v>0</v>
      </c>
      <c r="L238" s="3">
        <v>147</v>
      </c>
      <c r="M238" t="b">
        <v>1</v>
      </c>
      <c r="N238" s="2">
        <f>YEAR(B238)</f>
        <v>2026</v>
      </c>
      <c r="O238" t="str">
        <f>INDEX(Agences!$C:$C,MATCH(F238,Agences!$A:$A,0))</f>
        <v>Sud-Ouest</v>
      </c>
      <c r="P238" t="str">
        <f>INDEX(Produits!$C:$C,MATCH(H238,Produits!$A:$A,0))</f>
        <v>Mobilier</v>
      </c>
      <c r="Q238" s="3">
        <f>I238*INDEX(Produits!$E:$E,MATCH(H238,Produits!$A:$A,0))</f>
        <v>85.26</v>
      </c>
      <c r="R238" s="3">
        <f>L238-Q238</f>
        <v>61.739999999999995</v>
      </c>
      <c r="S238" s="2">
        <f>NETWORKDAYS(B238,C238)-1</f>
        <v>1</v>
      </c>
      <c r="T238" s="1">
        <f>WORKDAY(B238,5)</f>
        <v>46265</v>
      </c>
      <c r="U238" t="b">
        <f>C238&gt;T238</f>
        <v>0</v>
      </c>
    </row>
    <row r="239" spans="1:21" x14ac:dyDescent="0.25">
      <c r="A239" t="s">
        <v>323</v>
      </c>
      <c r="B239" s="1">
        <v>46258</v>
      </c>
      <c r="C239" s="1">
        <v>46260</v>
      </c>
      <c r="D239" t="s">
        <v>324</v>
      </c>
      <c r="E239" t="s">
        <v>130</v>
      </c>
      <c r="F239" t="s">
        <v>39</v>
      </c>
      <c r="G239" t="s">
        <v>131</v>
      </c>
      <c r="H239" t="s">
        <v>72</v>
      </c>
      <c r="I239" s="2">
        <v>2</v>
      </c>
      <c r="J239" s="3">
        <v>179</v>
      </c>
      <c r="K239" s="4">
        <v>0.08</v>
      </c>
      <c r="L239" s="3">
        <v>329.36</v>
      </c>
      <c r="M239" t="b">
        <v>1</v>
      </c>
      <c r="N239" s="2">
        <f>YEAR(B239)</f>
        <v>2026</v>
      </c>
      <c r="O239" t="str">
        <f>INDEX(Agences!$C:$C,MATCH(F239,Agences!$A:$A,0))</f>
        <v>Sud-Ouest</v>
      </c>
      <c r="P239" t="str">
        <f>INDEX(Produits!$C:$C,MATCH(H239,Produits!$A:$A,0))</f>
        <v>Informatique</v>
      </c>
      <c r="Q239" s="3">
        <f>I239*INDEX(Produits!$E:$E,MATCH(H239,Produits!$A:$A,0))</f>
        <v>293.56</v>
      </c>
      <c r="R239" s="3">
        <f>L239-Q239</f>
        <v>35.80000000000001</v>
      </c>
      <c r="S239" s="2">
        <f>NETWORKDAYS(B239,C239)-1</f>
        <v>2</v>
      </c>
      <c r="T239" s="1">
        <f>WORKDAY(B239,5)</f>
        <v>46265</v>
      </c>
      <c r="U239" t="b">
        <f>C239&gt;T239</f>
        <v>0</v>
      </c>
    </row>
    <row r="240" spans="1:21" x14ac:dyDescent="0.25">
      <c r="A240" t="s">
        <v>325</v>
      </c>
      <c r="B240" s="1">
        <v>46258</v>
      </c>
      <c r="C240" s="1">
        <v>46260</v>
      </c>
      <c r="D240" t="s">
        <v>326</v>
      </c>
      <c r="E240" t="s">
        <v>61</v>
      </c>
      <c r="F240" t="s">
        <v>62</v>
      </c>
      <c r="G240" t="s">
        <v>106</v>
      </c>
      <c r="H240" t="s">
        <v>107</v>
      </c>
      <c r="I240" s="2">
        <v>1</v>
      </c>
      <c r="J240" s="3">
        <v>99</v>
      </c>
      <c r="K240" s="4">
        <v>0.22</v>
      </c>
      <c r="L240" s="3">
        <v>77.22</v>
      </c>
      <c r="M240" t="b">
        <v>1</v>
      </c>
      <c r="N240" s="2">
        <f>YEAR(B240)</f>
        <v>2026</v>
      </c>
      <c r="O240" t="str">
        <f>INDEX(Agences!$C:$C,MATCH(F240,Agences!$A:$A,0))</f>
        <v>Méditerranée</v>
      </c>
      <c r="P240" t="str">
        <f>INDEX(Produits!$C:$C,MATCH(H240,Produits!$A:$A,0))</f>
        <v>Informatique</v>
      </c>
      <c r="Q240" s="3">
        <f>I240*INDEX(Produits!$E:$E,MATCH(H240,Produits!$A:$A,0))</f>
        <v>75.24</v>
      </c>
      <c r="R240" s="3">
        <f>L240-Q240</f>
        <v>1.980000000000004</v>
      </c>
      <c r="S240" s="2">
        <f>NETWORKDAYS(B240,C240)-1</f>
        <v>2</v>
      </c>
      <c r="T240" s="1">
        <f>WORKDAY(B240,5)</f>
        <v>46265</v>
      </c>
      <c r="U240" t="b">
        <f>C240&gt;T240</f>
        <v>0</v>
      </c>
    </row>
    <row r="241" spans="1:21" x14ac:dyDescent="0.25">
      <c r="A241" t="s">
        <v>325</v>
      </c>
      <c r="B241" s="1">
        <v>46258</v>
      </c>
      <c r="C241" s="1">
        <v>46260</v>
      </c>
      <c r="D241" t="s">
        <v>326</v>
      </c>
      <c r="E241" t="s">
        <v>61</v>
      </c>
      <c r="F241" t="s">
        <v>62</v>
      </c>
      <c r="G241" t="s">
        <v>106</v>
      </c>
      <c r="H241" t="s">
        <v>35</v>
      </c>
      <c r="I241" s="2">
        <v>1</v>
      </c>
      <c r="J241" s="3">
        <v>79</v>
      </c>
      <c r="K241" s="4">
        <v>0.22</v>
      </c>
      <c r="L241" s="3">
        <v>61.62</v>
      </c>
      <c r="M241" t="b">
        <v>1</v>
      </c>
      <c r="N241" s="2">
        <f>YEAR(B241)</f>
        <v>2026</v>
      </c>
      <c r="O241" t="str">
        <f>INDEX(Agences!$C:$C,MATCH(F241,Agences!$A:$A,0))</f>
        <v>Méditerranée</v>
      </c>
      <c r="P241" t="str">
        <f>INDEX(Produits!$C:$C,MATCH(H241,Produits!$A:$A,0))</f>
        <v>Mobilier</v>
      </c>
      <c r="Q241" s="3">
        <f>I241*INDEX(Produits!$E:$E,MATCH(H241,Produits!$A:$A,0))</f>
        <v>46.61</v>
      </c>
      <c r="R241" s="3">
        <f>L241-Q241</f>
        <v>15.009999999999998</v>
      </c>
      <c r="S241" s="2">
        <f>NETWORKDAYS(B241,C241)-1</f>
        <v>2</v>
      </c>
      <c r="T241" s="1">
        <f>WORKDAY(B241,5)</f>
        <v>46265</v>
      </c>
      <c r="U241" t="b">
        <f>C241&gt;T241</f>
        <v>0</v>
      </c>
    </row>
    <row r="242" spans="1:21" x14ac:dyDescent="0.25">
      <c r="A242" t="s">
        <v>325</v>
      </c>
      <c r="B242" s="1">
        <v>46258</v>
      </c>
      <c r="C242" s="1">
        <v>46260</v>
      </c>
      <c r="D242" t="s">
        <v>326</v>
      </c>
      <c r="E242" t="s">
        <v>61</v>
      </c>
      <c r="F242" t="s">
        <v>62</v>
      </c>
      <c r="G242" t="s">
        <v>106</v>
      </c>
      <c r="H242" t="s">
        <v>108</v>
      </c>
      <c r="I242" s="2">
        <v>5</v>
      </c>
      <c r="J242" s="3">
        <v>24.5</v>
      </c>
      <c r="K242" s="4">
        <v>0.25</v>
      </c>
      <c r="L242" s="3">
        <v>91.88</v>
      </c>
      <c r="M242" t="b">
        <v>1</v>
      </c>
      <c r="N242" s="2">
        <f>YEAR(B242)</f>
        <v>2026</v>
      </c>
      <c r="O242" t="str">
        <f>INDEX(Agences!$C:$C,MATCH(F242,Agences!$A:$A,0))</f>
        <v>Méditerranée</v>
      </c>
      <c r="P242" t="str">
        <f>INDEX(Produits!$C:$C,MATCH(H242,Produits!$A:$A,0))</f>
        <v>Fournitures</v>
      </c>
      <c r="Q242" s="3">
        <f>I242*INDEX(Produits!$E:$E,MATCH(H242,Produits!$A:$A,0))</f>
        <v>73.5</v>
      </c>
      <c r="R242" s="3">
        <f>L242-Q242</f>
        <v>18.379999999999995</v>
      </c>
      <c r="S242" s="2">
        <f>NETWORKDAYS(B242,C242)-1</f>
        <v>2</v>
      </c>
      <c r="T242" s="1">
        <f>WORKDAY(B242,5)</f>
        <v>46265</v>
      </c>
      <c r="U242" t="b">
        <f>C242&gt;T242</f>
        <v>0</v>
      </c>
    </row>
    <row r="243" spans="1:21" x14ac:dyDescent="0.25">
      <c r="A243" t="s">
        <v>325</v>
      </c>
      <c r="B243" s="1">
        <v>46258</v>
      </c>
      <c r="C243" s="1">
        <v>46260</v>
      </c>
      <c r="D243" t="s">
        <v>326</v>
      </c>
      <c r="E243" t="s">
        <v>61</v>
      </c>
      <c r="F243" t="s">
        <v>62</v>
      </c>
      <c r="G243" t="s">
        <v>106</v>
      </c>
      <c r="H243" t="s">
        <v>72</v>
      </c>
      <c r="I243" s="2">
        <v>1</v>
      </c>
      <c r="J243" s="3">
        <v>179</v>
      </c>
      <c r="K243" s="4">
        <v>0.18</v>
      </c>
      <c r="L243" s="3">
        <v>146.78</v>
      </c>
      <c r="M243" t="b">
        <v>1</v>
      </c>
      <c r="N243" s="2">
        <f>YEAR(B243)</f>
        <v>2026</v>
      </c>
      <c r="O243" t="str">
        <f>INDEX(Agences!$C:$C,MATCH(F243,Agences!$A:$A,0))</f>
        <v>Méditerranée</v>
      </c>
      <c r="P243" t="str">
        <f>INDEX(Produits!$C:$C,MATCH(H243,Produits!$A:$A,0))</f>
        <v>Informatique</v>
      </c>
      <c r="Q243" s="3">
        <f>I243*INDEX(Produits!$E:$E,MATCH(H243,Produits!$A:$A,0))</f>
        <v>146.78</v>
      </c>
      <c r="R243" s="3">
        <f>L243-Q243</f>
        <v>0</v>
      </c>
      <c r="S243" s="2">
        <f>NETWORKDAYS(B243,C243)-1</f>
        <v>2</v>
      </c>
      <c r="T243" s="1">
        <f>WORKDAY(B243,5)</f>
        <v>46265</v>
      </c>
      <c r="U243" t="b">
        <f>C243&gt;T243</f>
        <v>0</v>
      </c>
    </row>
    <row r="244" spans="1:21" x14ac:dyDescent="0.25">
      <c r="A244" t="s">
        <v>325</v>
      </c>
      <c r="B244" s="1">
        <v>46258</v>
      </c>
      <c r="C244" s="1">
        <v>46260</v>
      </c>
      <c r="D244" t="s">
        <v>326</v>
      </c>
      <c r="E244" t="s">
        <v>61</v>
      </c>
      <c r="F244" t="s">
        <v>62</v>
      </c>
      <c r="G244" t="s">
        <v>106</v>
      </c>
      <c r="H244" t="s">
        <v>50</v>
      </c>
      <c r="I244" s="2">
        <v>1</v>
      </c>
      <c r="J244" s="3">
        <v>69</v>
      </c>
      <c r="K244" s="4">
        <v>0.25</v>
      </c>
      <c r="L244" s="3">
        <v>51.75</v>
      </c>
      <c r="M244" t="b">
        <v>1</v>
      </c>
      <c r="N244" s="2">
        <f>YEAR(B244)</f>
        <v>2026</v>
      </c>
      <c r="O244" t="str">
        <f>INDEX(Agences!$C:$C,MATCH(F244,Agences!$A:$A,0))</f>
        <v>Méditerranée</v>
      </c>
      <c r="P244" t="str">
        <f>INDEX(Produits!$C:$C,MATCH(H244,Produits!$A:$A,0))</f>
        <v>Informatique</v>
      </c>
      <c r="Q244" s="3">
        <f>I244*INDEX(Produits!$E:$E,MATCH(H244,Produits!$A:$A,0))</f>
        <v>54.51</v>
      </c>
      <c r="R244" s="3">
        <f>L244-Q244</f>
        <v>-2.759999999999998</v>
      </c>
      <c r="S244" s="2">
        <f>NETWORKDAYS(B244,C244)-1</f>
        <v>2</v>
      </c>
      <c r="T244" s="1">
        <f>WORKDAY(B244,5)</f>
        <v>46265</v>
      </c>
      <c r="U244" t="b">
        <f>C244&gt;T244</f>
        <v>0</v>
      </c>
    </row>
    <row r="245" spans="1:21" x14ac:dyDescent="0.25">
      <c r="A245" t="s">
        <v>327</v>
      </c>
      <c r="B245" s="1">
        <v>46258</v>
      </c>
      <c r="C245" s="1">
        <v>46260</v>
      </c>
      <c r="D245" t="s">
        <v>328</v>
      </c>
      <c r="E245" t="s">
        <v>153</v>
      </c>
      <c r="F245" t="s">
        <v>94</v>
      </c>
      <c r="G245" t="s">
        <v>95</v>
      </c>
      <c r="H245" t="s">
        <v>107</v>
      </c>
      <c r="I245" s="2">
        <v>2</v>
      </c>
      <c r="J245" s="3">
        <v>99</v>
      </c>
      <c r="K245" s="4">
        <v>0</v>
      </c>
      <c r="L245" s="3">
        <v>198</v>
      </c>
      <c r="M245" t="b">
        <v>1</v>
      </c>
      <c r="N245" s="2">
        <f>YEAR(B245)</f>
        <v>2026</v>
      </c>
      <c r="O245" t="str">
        <f>INDEX(Agences!$C:$C,MATCH(F245,Agences!$A:$A,0))</f>
        <v>Méditerranée</v>
      </c>
      <c r="P245" t="str">
        <f>INDEX(Produits!$C:$C,MATCH(H245,Produits!$A:$A,0))</f>
        <v>Informatique</v>
      </c>
      <c r="Q245" s="3">
        <f>I245*INDEX(Produits!$E:$E,MATCH(H245,Produits!$A:$A,0))</f>
        <v>150.48</v>
      </c>
      <c r="R245" s="3">
        <f>L245-Q245</f>
        <v>47.52000000000001</v>
      </c>
      <c r="S245" s="2">
        <f>NETWORKDAYS(B245,C245)-1</f>
        <v>2</v>
      </c>
      <c r="T245" s="1">
        <f>WORKDAY(B245,5)</f>
        <v>46265</v>
      </c>
      <c r="U245" t="b">
        <f>C245&gt;T245</f>
        <v>0</v>
      </c>
    </row>
    <row r="246" spans="1:21" x14ac:dyDescent="0.25">
      <c r="A246" t="s">
        <v>327</v>
      </c>
      <c r="B246" s="1">
        <v>46258</v>
      </c>
      <c r="C246" s="1">
        <v>46260</v>
      </c>
      <c r="D246" t="s">
        <v>328</v>
      </c>
      <c r="E246" t="s">
        <v>153</v>
      </c>
      <c r="F246" t="s">
        <v>94</v>
      </c>
      <c r="G246" t="s">
        <v>95</v>
      </c>
      <c r="H246" t="s">
        <v>83</v>
      </c>
      <c r="I246" s="2">
        <v>6</v>
      </c>
      <c r="J246" s="3">
        <v>49</v>
      </c>
      <c r="K246" s="4">
        <v>0</v>
      </c>
      <c r="L246" s="3">
        <v>294</v>
      </c>
      <c r="M246" t="b">
        <v>1</v>
      </c>
      <c r="N246" s="2">
        <f>YEAR(B246)</f>
        <v>2026</v>
      </c>
      <c r="O246" t="str">
        <f>INDEX(Agences!$C:$C,MATCH(F246,Agences!$A:$A,0))</f>
        <v>Méditerranée</v>
      </c>
      <c r="P246" t="str">
        <f>INDEX(Produits!$C:$C,MATCH(H246,Produits!$A:$A,0))</f>
        <v>Mobilier</v>
      </c>
      <c r="Q246" s="3">
        <f>I246*INDEX(Produits!$E:$E,MATCH(H246,Produits!$A:$A,0))</f>
        <v>170.52</v>
      </c>
      <c r="R246" s="3">
        <f>L246-Q246</f>
        <v>123.47999999999999</v>
      </c>
      <c r="S246" s="2">
        <f>NETWORKDAYS(B246,C246)-1</f>
        <v>2</v>
      </c>
      <c r="T246" s="1">
        <f>WORKDAY(B246,5)</f>
        <v>46265</v>
      </c>
      <c r="U246" t="b">
        <f>C246&gt;T246</f>
        <v>0</v>
      </c>
    </row>
    <row r="247" spans="1:21" x14ac:dyDescent="0.25">
      <c r="A247" t="s">
        <v>329</v>
      </c>
      <c r="B247" s="1">
        <v>46255</v>
      </c>
      <c r="C247" s="1">
        <v>46259</v>
      </c>
      <c r="D247" t="s">
        <v>330</v>
      </c>
      <c r="E247" t="s">
        <v>23</v>
      </c>
      <c r="F247" t="s">
        <v>24</v>
      </c>
      <c r="G247" t="s">
        <v>25</v>
      </c>
      <c r="H247" t="s">
        <v>35</v>
      </c>
      <c r="I247" s="2">
        <v>5</v>
      </c>
      <c r="J247" s="3">
        <v>79</v>
      </c>
      <c r="K247" s="4">
        <v>0.02</v>
      </c>
      <c r="L247" s="3">
        <v>387.1</v>
      </c>
      <c r="M247" t="b">
        <v>1</v>
      </c>
      <c r="N247" s="2">
        <f>YEAR(B247)</f>
        <v>2026</v>
      </c>
      <c r="O247" t="str">
        <f>INDEX(Agences!$C:$C,MATCH(F247,Agences!$A:$A,0))</f>
        <v>Nord</v>
      </c>
      <c r="P247" t="str">
        <f>INDEX(Produits!$C:$C,MATCH(H247,Produits!$A:$A,0))</f>
        <v>Mobilier</v>
      </c>
      <c r="Q247" s="3">
        <f>I247*INDEX(Produits!$E:$E,MATCH(H247,Produits!$A:$A,0))</f>
        <v>233.05</v>
      </c>
      <c r="R247" s="3">
        <f>L247-Q247</f>
        <v>154.05</v>
      </c>
      <c r="S247" s="2">
        <f>NETWORKDAYS(B247,C247)-1</f>
        <v>2</v>
      </c>
      <c r="T247" s="1">
        <f>WORKDAY(B247,5)</f>
        <v>46262</v>
      </c>
      <c r="U247" t="b">
        <f>C247&gt;T247</f>
        <v>0</v>
      </c>
    </row>
    <row r="248" spans="1:21" x14ac:dyDescent="0.25">
      <c r="A248" t="s">
        <v>329</v>
      </c>
      <c r="B248" s="1">
        <v>46255</v>
      </c>
      <c r="C248" s="1">
        <v>46259</v>
      </c>
      <c r="D248" t="s">
        <v>330</v>
      </c>
      <c r="E248" t="s">
        <v>23</v>
      </c>
      <c r="F248" t="s">
        <v>24</v>
      </c>
      <c r="G248" t="s">
        <v>25</v>
      </c>
      <c r="H248" t="s">
        <v>83</v>
      </c>
      <c r="I248" s="2">
        <v>1</v>
      </c>
      <c r="J248" s="3">
        <v>49</v>
      </c>
      <c r="K248" s="4">
        <v>0</v>
      </c>
      <c r="L248" s="3">
        <v>49</v>
      </c>
      <c r="M248" t="b">
        <v>1</v>
      </c>
      <c r="N248" s="2">
        <f>YEAR(B248)</f>
        <v>2026</v>
      </c>
      <c r="O248" t="str">
        <f>INDEX(Agences!$C:$C,MATCH(F248,Agences!$A:$A,0))</f>
        <v>Nord</v>
      </c>
      <c r="P248" t="str">
        <f>INDEX(Produits!$C:$C,MATCH(H248,Produits!$A:$A,0))</f>
        <v>Mobilier</v>
      </c>
      <c r="Q248" s="3">
        <f>I248*INDEX(Produits!$E:$E,MATCH(H248,Produits!$A:$A,0))</f>
        <v>28.42</v>
      </c>
      <c r="R248" s="3">
        <f>L248-Q248</f>
        <v>20.58</v>
      </c>
      <c r="S248" s="2">
        <f>NETWORKDAYS(B248,C248)-1</f>
        <v>2</v>
      </c>
      <c r="T248" s="1">
        <f>WORKDAY(B248,5)</f>
        <v>46262</v>
      </c>
      <c r="U248" t="b">
        <f>C248&gt;T248</f>
        <v>0</v>
      </c>
    </row>
    <row r="249" spans="1:21" x14ac:dyDescent="0.25">
      <c r="A249" t="s">
        <v>329</v>
      </c>
      <c r="B249" s="1">
        <v>46255</v>
      </c>
      <c r="C249" s="1">
        <v>46259</v>
      </c>
      <c r="D249" t="s">
        <v>330</v>
      </c>
      <c r="E249" t="s">
        <v>23</v>
      </c>
      <c r="F249" t="s">
        <v>24</v>
      </c>
      <c r="G249" t="s">
        <v>25</v>
      </c>
      <c r="H249" t="s">
        <v>107</v>
      </c>
      <c r="I249" s="2">
        <v>2</v>
      </c>
      <c r="J249" s="3">
        <v>99</v>
      </c>
      <c r="K249" s="4">
        <v>0.05</v>
      </c>
      <c r="L249" s="3">
        <v>188.1</v>
      </c>
      <c r="M249" t="b">
        <v>1</v>
      </c>
      <c r="N249" s="2">
        <f>YEAR(B249)</f>
        <v>2026</v>
      </c>
      <c r="O249" t="str">
        <f>INDEX(Agences!$C:$C,MATCH(F249,Agences!$A:$A,0))</f>
        <v>Nord</v>
      </c>
      <c r="P249" t="str">
        <f>INDEX(Produits!$C:$C,MATCH(H249,Produits!$A:$A,0))</f>
        <v>Informatique</v>
      </c>
      <c r="Q249" s="3">
        <f>I249*INDEX(Produits!$E:$E,MATCH(H249,Produits!$A:$A,0))</f>
        <v>150.48</v>
      </c>
      <c r="R249" s="3">
        <f>L249-Q249</f>
        <v>37.620000000000005</v>
      </c>
      <c r="S249" s="2">
        <f>NETWORKDAYS(B249,C249)-1</f>
        <v>2</v>
      </c>
      <c r="T249" s="1">
        <f>WORKDAY(B249,5)</f>
        <v>46262</v>
      </c>
      <c r="U249" t="b">
        <f>C249&gt;T249</f>
        <v>0</v>
      </c>
    </row>
    <row r="250" spans="1:21" x14ac:dyDescent="0.25">
      <c r="A250" t="s">
        <v>329</v>
      </c>
      <c r="B250" s="1">
        <v>46255</v>
      </c>
      <c r="C250" s="1">
        <v>46259</v>
      </c>
      <c r="D250" t="s">
        <v>330</v>
      </c>
      <c r="E250" t="s">
        <v>23</v>
      </c>
      <c r="F250" t="s">
        <v>24</v>
      </c>
      <c r="G250" t="s">
        <v>25</v>
      </c>
      <c r="H250" t="s">
        <v>49</v>
      </c>
      <c r="I250" s="2">
        <v>3</v>
      </c>
      <c r="J250" s="3">
        <v>120</v>
      </c>
      <c r="K250" s="4">
        <v>0.05</v>
      </c>
      <c r="L250" s="3">
        <v>342</v>
      </c>
      <c r="M250" t="b">
        <v>1</v>
      </c>
      <c r="N250" s="2">
        <f>YEAR(B250)</f>
        <v>2026</v>
      </c>
      <c r="O250" t="str">
        <f>INDEX(Agences!$C:$C,MATCH(F250,Agences!$A:$A,0))</f>
        <v>Nord</v>
      </c>
      <c r="P250" t="str">
        <f>INDEX(Produits!$C:$C,MATCH(H250,Produits!$A:$A,0))</f>
        <v>Maintenance</v>
      </c>
      <c r="Q250" s="3">
        <f>I250*INDEX(Produits!$E:$E,MATCH(H250,Produits!$A:$A,0))</f>
        <v>165.60000000000002</v>
      </c>
      <c r="R250" s="3">
        <f>L250-Q250</f>
        <v>176.39999999999998</v>
      </c>
      <c r="S250" s="2">
        <f>NETWORKDAYS(B250,C250)-1</f>
        <v>2</v>
      </c>
      <c r="T250" s="1">
        <f>WORKDAY(B250,5)</f>
        <v>46262</v>
      </c>
      <c r="U250" t="b">
        <f>C250&gt;T250</f>
        <v>0</v>
      </c>
    </row>
    <row r="251" spans="1:21" x14ac:dyDescent="0.25">
      <c r="A251" t="s">
        <v>329</v>
      </c>
      <c r="B251" s="1">
        <v>46255</v>
      </c>
      <c r="C251" s="1">
        <v>46259</v>
      </c>
      <c r="D251" t="s">
        <v>330</v>
      </c>
      <c r="E251" t="s">
        <v>23</v>
      </c>
      <c r="F251" t="s">
        <v>24</v>
      </c>
      <c r="G251" t="s">
        <v>25</v>
      </c>
      <c r="H251" t="s">
        <v>319</v>
      </c>
      <c r="I251" s="2">
        <v>5</v>
      </c>
      <c r="J251" s="3">
        <v>289</v>
      </c>
      <c r="K251" s="4">
        <v>0</v>
      </c>
      <c r="L251" s="3">
        <v>1445</v>
      </c>
      <c r="M251" t="b">
        <v>1</v>
      </c>
      <c r="N251" s="2">
        <f>YEAR(B251)</f>
        <v>2026</v>
      </c>
      <c r="O251" t="str">
        <f>INDEX(Agences!$C:$C,MATCH(F251,Agences!$A:$A,0))</f>
        <v>Nord</v>
      </c>
      <c r="P251" t="str">
        <f>INDEX(Produits!$C:$C,MATCH(H251,Produits!$A:$A,0))</f>
        <v>Informatique</v>
      </c>
      <c r="Q251" s="3">
        <f>I251*INDEX(Produits!$E:$E,MATCH(H251,Produits!$A:$A,0))</f>
        <v>1069.3000000000002</v>
      </c>
      <c r="R251" s="3">
        <f>L251-Q251</f>
        <v>375.6999999999998</v>
      </c>
      <c r="S251" s="2">
        <f>NETWORKDAYS(B251,C251)-1</f>
        <v>2</v>
      </c>
      <c r="T251" s="1">
        <f>WORKDAY(B251,5)</f>
        <v>46262</v>
      </c>
      <c r="U251" t="b">
        <f>C251&gt;T251</f>
        <v>0</v>
      </c>
    </row>
    <row r="252" spans="1:21" x14ac:dyDescent="0.25">
      <c r="A252" t="s">
        <v>331</v>
      </c>
      <c r="B252" s="1">
        <v>46255</v>
      </c>
      <c r="C252" s="1">
        <v>46260</v>
      </c>
      <c r="D252" t="s">
        <v>332</v>
      </c>
      <c r="E252" t="s">
        <v>333</v>
      </c>
      <c r="F252" t="s">
        <v>138</v>
      </c>
      <c r="G252" t="s">
        <v>214</v>
      </c>
      <c r="H252" t="s">
        <v>57</v>
      </c>
      <c r="I252" s="2">
        <v>1</v>
      </c>
      <c r="J252" s="3">
        <v>149</v>
      </c>
      <c r="K252" s="4">
        <v>0</v>
      </c>
      <c r="L252" s="3">
        <v>149</v>
      </c>
      <c r="M252" t="b">
        <v>1</v>
      </c>
      <c r="N252" s="2">
        <f>YEAR(B252)</f>
        <v>2026</v>
      </c>
      <c r="O252" t="str">
        <f>INDEX(Agences!$C:$C,MATCH(F252,Agences!$A:$A,0))</f>
        <v>Île-de-France</v>
      </c>
      <c r="P252" t="str">
        <f>INDEX(Produits!$C:$C,MATCH(H252,Produits!$A:$A,0))</f>
        <v>Informatique</v>
      </c>
      <c r="Q252" s="3">
        <f>I252*INDEX(Produits!$E:$E,MATCH(H252,Produits!$A:$A,0))</f>
        <v>114.73</v>
      </c>
      <c r="R252" s="3">
        <f>L252-Q252</f>
        <v>34.269999999999996</v>
      </c>
      <c r="S252" s="2">
        <f>NETWORKDAYS(B252,C252)-1</f>
        <v>3</v>
      </c>
      <c r="T252" s="1">
        <f>WORKDAY(B252,5)</f>
        <v>46262</v>
      </c>
      <c r="U252" t="b">
        <f>C252&gt;T252</f>
        <v>0</v>
      </c>
    </row>
    <row r="253" spans="1:21" x14ac:dyDescent="0.25">
      <c r="A253" t="s">
        <v>334</v>
      </c>
      <c r="B253" s="1">
        <v>46255</v>
      </c>
      <c r="C253" s="1">
        <v>46258</v>
      </c>
      <c r="D253" t="s">
        <v>335</v>
      </c>
      <c r="E253" t="s">
        <v>336</v>
      </c>
      <c r="F253" t="s">
        <v>166</v>
      </c>
      <c r="G253" t="s">
        <v>167</v>
      </c>
      <c r="H253" t="s">
        <v>42</v>
      </c>
      <c r="I253" s="2">
        <v>1</v>
      </c>
      <c r="J253" s="3">
        <v>55</v>
      </c>
      <c r="K253" s="4">
        <v>0.08</v>
      </c>
      <c r="L253" s="3">
        <v>50.6</v>
      </c>
      <c r="M253" t="b">
        <v>1</v>
      </c>
      <c r="N253" s="2">
        <f>YEAR(B253)</f>
        <v>2026</v>
      </c>
      <c r="O253" t="str">
        <f>INDEX(Agences!$C:$C,MATCH(F253,Agences!$A:$A,0))</f>
        <v>Ouest</v>
      </c>
      <c r="P253" t="str">
        <f>INDEX(Produits!$C:$C,MATCH(H253,Produits!$A:$A,0))</f>
        <v>Maintenance</v>
      </c>
      <c r="Q253" s="3">
        <f>I253*INDEX(Produits!$E:$E,MATCH(H253,Produits!$A:$A,0))</f>
        <v>24.75</v>
      </c>
      <c r="R253" s="3">
        <f>L253-Q253</f>
        <v>25.85</v>
      </c>
      <c r="S253" s="2">
        <f>NETWORKDAYS(B253,C253)-1</f>
        <v>1</v>
      </c>
      <c r="T253" s="1">
        <f>WORKDAY(B253,5)</f>
        <v>46262</v>
      </c>
      <c r="U253" t="b">
        <f>C253&gt;T253</f>
        <v>0</v>
      </c>
    </row>
    <row r="254" spans="1:21" x14ac:dyDescent="0.25">
      <c r="A254" t="s">
        <v>334</v>
      </c>
      <c r="B254" s="1">
        <v>46255</v>
      </c>
      <c r="C254" s="1">
        <v>46258</v>
      </c>
      <c r="D254" t="s">
        <v>335</v>
      </c>
      <c r="E254" t="s">
        <v>336</v>
      </c>
      <c r="F254" t="s">
        <v>166</v>
      </c>
      <c r="G254" t="s">
        <v>167</v>
      </c>
      <c r="H254" t="s">
        <v>107</v>
      </c>
      <c r="I254" s="2">
        <v>3</v>
      </c>
      <c r="J254" s="3">
        <v>99</v>
      </c>
      <c r="K254" s="4">
        <v>0</v>
      </c>
      <c r="L254" s="3">
        <v>297</v>
      </c>
      <c r="M254" t="b">
        <v>1</v>
      </c>
      <c r="N254" s="2">
        <f>YEAR(B254)</f>
        <v>2026</v>
      </c>
      <c r="O254" t="str">
        <f>INDEX(Agences!$C:$C,MATCH(F254,Agences!$A:$A,0))</f>
        <v>Ouest</v>
      </c>
      <c r="P254" t="str">
        <f>INDEX(Produits!$C:$C,MATCH(H254,Produits!$A:$A,0))</f>
        <v>Informatique</v>
      </c>
      <c r="Q254" s="3">
        <f>I254*INDEX(Produits!$E:$E,MATCH(H254,Produits!$A:$A,0))</f>
        <v>225.71999999999997</v>
      </c>
      <c r="R254" s="3">
        <f>L254-Q254</f>
        <v>71.28000000000003</v>
      </c>
      <c r="S254" s="2">
        <f>NETWORKDAYS(B254,C254)-1</f>
        <v>1</v>
      </c>
      <c r="T254" s="1">
        <f>WORKDAY(B254,5)</f>
        <v>46262</v>
      </c>
      <c r="U254" t="b">
        <f>C254&gt;T254</f>
        <v>0</v>
      </c>
    </row>
    <row r="255" spans="1:21" x14ac:dyDescent="0.25">
      <c r="A255" t="s">
        <v>334</v>
      </c>
      <c r="B255" s="1">
        <v>46255</v>
      </c>
      <c r="C255" s="1">
        <v>46258</v>
      </c>
      <c r="D255" t="s">
        <v>335</v>
      </c>
      <c r="E255" t="s">
        <v>336</v>
      </c>
      <c r="F255" t="s">
        <v>166</v>
      </c>
      <c r="G255" t="s">
        <v>167</v>
      </c>
      <c r="H255" t="s">
        <v>162</v>
      </c>
      <c r="I255" s="2">
        <v>5</v>
      </c>
      <c r="J255" s="3">
        <v>289</v>
      </c>
      <c r="K255" s="4">
        <v>0</v>
      </c>
      <c r="L255" s="3">
        <v>1445</v>
      </c>
      <c r="M255" t="b">
        <v>1</v>
      </c>
      <c r="N255" s="2">
        <f>YEAR(B255)</f>
        <v>2026</v>
      </c>
      <c r="O255" t="str">
        <f>INDEX(Agences!$C:$C,MATCH(F255,Agences!$A:$A,0))</f>
        <v>Ouest</v>
      </c>
      <c r="P255" t="str">
        <f>INDEX(Produits!$C:$C,MATCH(H255,Produits!$A:$A,0))</f>
        <v>Mobilier</v>
      </c>
      <c r="Q255" s="3">
        <f>I255*INDEX(Produits!$E:$E,MATCH(H255,Produits!$A:$A,0))</f>
        <v>968.15</v>
      </c>
      <c r="R255" s="3">
        <f>L255-Q255</f>
        <v>476.85</v>
      </c>
      <c r="S255" s="2">
        <f>NETWORKDAYS(B255,C255)-1</f>
        <v>1</v>
      </c>
      <c r="T255" s="1">
        <f>WORKDAY(B255,5)</f>
        <v>46262</v>
      </c>
      <c r="U255" t="b">
        <f>C255&gt;T255</f>
        <v>0</v>
      </c>
    </row>
    <row r="256" spans="1:21" x14ac:dyDescent="0.25">
      <c r="A256" t="s">
        <v>337</v>
      </c>
      <c r="B256" s="1">
        <v>46255</v>
      </c>
      <c r="C256" s="1">
        <v>46259</v>
      </c>
      <c r="D256" t="s">
        <v>338</v>
      </c>
      <c r="E256" t="s">
        <v>339</v>
      </c>
      <c r="F256" t="s">
        <v>31</v>
      </c>
      <c r="G256" t="s">
        <v>186</v>
      </c>
      <c r="H256" t="s">
        <v>112</v>
      </c>
      <c r="I256" s="2">
        <v>3</v>
      </c>
      <c r="J256" s="3">
        <v>129</v>
      </c>
      <c r="K256" s="4">
        <v>0.02</v>
      </c>
      <c r="L256" s="3">
        <v>379.26</v>
      </c>
      <c r="M256" t="b">
        <v>1</v>
      </c>
      <c r="N256" s="2">
        <f>YEAR(B256)</f>
        <v>2026</v>
      </c>
      <c r="O256" t="str">
        <f>INDEX(Agences!$C:$C,MATCH(F256,Agences!$A:$A,0))</f>
        <v>Ouest</v>
      </c>
      <c r="P256" t="str">
        <f>INDEX(Produits!$C:$C,MATCH(H256,Produits!$A:$A,0))</f>
        <v>Mobilier</v>
      </c>
      <c r="Q256" s="3">
        <f>I256*INDEX(Produits!$E:$E,MATCH(H256,Produits!$A:$A,0))</f>
        <v>259.29</v>
      </c>
      <c r="R256" s="3">
        <f>L256-Q256</f>
        <v>119.96999999999997</v>
      </c>
      <c r="S256" s="2">
        <f>NETWORKDAYS(B256,C256)-1</f>
        <v>2</v>
      </c>
      <c r="T256" s="1">
        <f>WORKDAY(B256,5)</f>
        <v>46262</v>
      </c>
      <c r="U256" t="b">
        <f>C256&gt;T256</f>
        <v>0</v>
      </c>
    </row>
    <row r="257" spans="1:21" x14ac:dyDescent="0.25">
      <c r="A257" t="s">
        <v>337</v>
      </c>
      <c r="B257" s="1">
        <v>46255</v>
      </c>
      <c r="C257" s="1">
        <v>46259</v>
      </c>
      <c r="D257" t="s">
        <v>338</v>
      </c>
      <c r="E257" t="s">
        <v>339</v>
      </c>
      <c r="F257" t="s">
        <v>31</v>
      </c>
      <c r="G257" t="s">
        <v>186</v>
      </c>
      <c r="H257" t="s">
        <v>83</v>
      </c>
      <c r="I257" s="2">
        <v>1</v>
      </c>
      <c r="J257" s="3">
        <v>49</v>
      </c>
      <c r="K257" s="4">
        <v>0</v>
      </c>
      <c r="L257" s="3">
        <v>49</v>
      </c>
      <c r="M257" t="b">
        <v>1</v>
      </c>
      <c r="N257" s="2">
        <f>YEAR(B257)</f>
        <v>2026</v>
      </c>
      <c r="O257" t="str">
        <f>INDEX(Agences!$C:$C,MATCH(F257,Agences!$A:$A,0))</f>
        <v>Ouest</v>
      </c>
      <c r="P257" t="str">
        <f>INDEX(Produits!$C:$C,MATCH(H257,Produits!$A:$A,0))</f>
        <v>Mobilier</v>
      </c>
      <c r="Q257" s="3">
        <f>I257*INDEX(Produits!$E:$E,MATCH(H257,Produits!$A:$A,0))</f>
        <v>28.42</v>
      </c>
      <c r="R257" s="3">
        <f>L257-Q257</f>
        <v>20.58</v>
      </c>
      <c r="S257" s="2">
        <f>NETWORKDAYS(B257,C257)-1</f>
        <v>2</v>
      </c>
      <c r="T257" s="1">
        <f>WORKDAY(B257,5)</f>
        <v>46262</v>
      </c>
      <c r="U257" t="b">
        <f>C257&gt;T257</f>
        <v>0</v>
      </c>
    </row>
    <row r="258" spans="1:21" x14ac:dyDescent="0.25">
      <c r="A258" t="s">
        <v>337</v>
      </c>
      <c r="B258" s="1">
        <v>46255</v>
      </c>
      <c r="C258" s="1">
        <v>46259</v>
      </c>
      <c r="D258" t="s">
        <v>338</v>
      </c>
      <c r="E258" t="s">
        <v>339</v>
      </c>
      <c r="F258" t="s">
        <v>31</v>
      </c>
      <c r="G258" t="s">
        <v>186</v>
      </c>
      <c r="H258" t="s">
        <v>42</v>
      </c>
      <c r="I258" s="2">
        <v>1</v>
      </c>
      <c r="J258" s="3">
        <v>55</v>
      </c>
      <c r="K258" s="4">
        <v>0.02</v>
      </c>
      <c r="L258" s="3">
        <v>53.9</v>
      </c>
      <c r="M258" t="b">
        <v>1</v>
      </c>
      <c r="N258" s="2">
        <f>YEAR(B258)</f>
        <v>2026</v>
      </c>
      <c r="O258" t="str">
        <f>INDEX(Agences!$C:$C,MATCH(F258,Agences!$A:$A,0))</f>
        <v>Ouest</v>
      </c>
      <c r="P258" t="str">
        <f>INDEX(Produits!$C:$C,MATCH(H258,Produits!$A:$A,0))</f>
        <v>Maintenance</v>
      </c>
      <c r="Q258" s="3">
        <f>I258*INDEX(Produits!$E:$E,MATCH(H258,Produits!$A:$A,0))</f>
        <v>24.75</v>
      </c>
      <c r="R258" s="3">
        <f>L258-Q258</f>
        <v>29.15</v>
      </c>
      <c r="S258" s="2">
        <f>NETWORKDAYS(B258,C258)-1</f>
        <v>2</v>
      </c>
      <c r="T258" s="1">
        <f>WORKDAY(B258,5)</f>
        <v>46262</v>
      </c>
      <c r="U258" t="b">
        <f>C258&gt;T258</f>
        <v>0</v>
      </c>
    </row>
    <row r="259" spans="1:21" x14ac:dyDescent="0.25">
      <c r="A259" t="s">
        <v>337</v>
      </c>
      <c r="B259" s="1">
        <v>46255</v>
      </c>
      <c r="C259" s="1">
        <v>46259</v>
      </c>
      <c r="D259" t="s">
        <v>338</v>
      </c>
      <c r="E259" t="s">
        <v>339</v>
      </c>
      <c r="F259" t="s">
        <v>31</v>
      </c>
      <c r="G259" t="s">
        <v>186</v>
      </c>
      <c r="H259" t="s">
        <v>205</v>
      </c>
      <c r="I259" s="2">
        <v>1</v>
      </c>
      <c r="J259" s="3">
        <v>359</v>
      </c>
      <c r="K259" s="4">
        <v>0</v>
      </c>
      <c r="L259" s="3">
        <v>359</v>
      </c>
      <c r="M259" t="b">
        <v>1</v>
      </c>
      <c r="N259" s="2">
        <f>YEAR(B259)</f>
        <v>2026</v>
      </c>
      <c r="O259" t="str">
        <f>INDEX(Agences!$C:$C,MATCH(F259,Agences!$A:$A,0))</f>
        <v>Ouest</v>
      </c>
      <c r="P259" t="str">
        <f>INDEX(Produits!$C:$C,MATCH(H259,Produits!$A:$A,0))</f>
        <v>Mobilier</v>
      </c>
      <c r="Q259" s="3">
        <f>I259*INDEX(Produits!$E:$E,MATCH(H259,Produits!$A:$A,0))</f>
        <v>204.63</v>
      </c>
      <c r="R259" s="3">
        <f>L259-Q259</f>
        <v>154.37</v>
      </c>
      <c r="S259" s="2">
        <f>NETWORKDAYS(B259,C259)-1</f>
        <v>2</v>
      </c>
      <c r="T259" s="1">
        <f>WORKDAY(B259,5)</f>
        <v>46262</v>
      </c>
      <c r="U259" t="b">
        <f>C259&gt;T259</f>
        <v>0</v>
      </c>
    </row>
    <row r="260" spans="1:21" x14ac:dyDescent="0.25">
      <c r="A260" t="s">
        <v>337</v>
      </c>
      <c r="B260" s="1">
        <v>46255</v>
      </c>
      <c r="C260" s="1">
        <v>46259</v>
      </c>
      <c r="D260" t="s">
        <v>338</v>
      </c>
      <c r="E260" t="s">
        <v>339</v>
      </c>
      <c r="F260" t="s">
        <v>31</v>
      </c>
      <c r="G260" t="s">
        <v>186</v>
      </c>
      <c r="H260" t="s">
        <v>50</v>
      </c>
      <c r="I260" s="2">
        <v>3</v>
      </c>
      <c r="J260" s="3">
        <v>69</v>
      </c>
      <c r="K260" s="4">
        <v>0.05</v>
      </c>
      <c r="L260" s="3">
        <v>196.65</v>
      </c>
      <c r="M260" t="b">
        <v>1</v>
      </c>
      <c r="N260" s="2">
        <f>YEAR(B260)</f>
        <v>2026</v>
      </c>
      <c r="O260" t="str">
        <f>INDEX(Agences!$C:$C,MATCH(F260,Agences!$A:$A,0))</f>
        <v>Ouest</v>
      </c>
      <c r="P260" t="str">
        <f>INDEX(Produits!$C:$C,MATCH(H260,Produits!$A:$A,0))</f>
        <v>Informatique</v>
      </c>
      <c r="Q260" s="3">
        <f>I260*INDEX(Produits!$E:$E,MATCH(H260,Produits!$A:$A,0))</f>
        <v>163.53</v>
      </c>
      <c r="R260" s="3">
        <f>L260-Q260</f>
        <v>33.120000000000005</v>
      </c>
      <c r="S260" s="2">
        <f>NETWORKDAYS(B260,C260)-1</f>
        <v>2</v>
      </c>
      <c r="T260" s="1">
        <f>WORKDAY(B260,5)</f>
        <v>46262</v>
      </c>
      <c r="U260" t="b">
        <f>C260&gt;T260</f>
        <v>0</v>
      </c>
    </row>
    <row r="261" spans="1:21" x14ac:dyDescent="0.25">
      <c r="A261" t="s">
        <v>340</v>
      </c>
      <c r="B261" s="1">
        <v>46255</v>
      </c>
      <c r="C261" s="1">
        <v>46261</v>
      </c>
      <c r="D261" t="s">
        <v>341</v>
      </c>
      <c r="E261" t="s">
        <v>30</v>
      </c>
      <c r="F261" t="s">
        <v>31</v>
      </c>
      <c r="G261" t="s">
        <v>32</v>
      </c>
      <c r="H261" t="s">
        <v>42</v>
      </c>
      <c r="I261" s="2">
        <v>2</v>
      </c>
      <c r="J261" s="3">
        <v>55</v>
      </c>
      <c r="K261" s="4">
        <v>0</v>
      </c>
      <c r="L261" s="3">
        <v>110</v>
      </c>
      <c r="M261" t="b">
        <v>1</v>
      </c>
      <c r="N261" s="2">
        <f>YEAR(B261)</f>
        <v>2026</v>
      </c>
      <c r="O261" t="str">
        <f>INDEX(Agences!$C:$C,MATCH(F261,Agences!$A:$A,0))</f>
        <v>Ouest</v>
      </c>
      <c r="P261" t="str">
        <f>INDEX(Produits!$C:$C,MATCH(H261,Produits!$A:$A,0))</f>
        <v>Maintenance</v>
      </c>
      <c r="Q261" s="3">
        <f>I261*INDEX(Produits!$E:$E,MATCH(H261,Produits!$A:$A,0))</f>
        <v>49.5</v>
      </c>
      <c r="R261" s="3">
        <f>L261-Q261</f>
        <v>60.5</v>
      </c>
      <c r="S261" s="2">
        <f>NETWORKDAYS(B261,C261)-1</f>
        <v>4</v>
      </c>
      <c r="T261" s="1">
        <f>WORKDAY(B261,5)</f>
        <v>46262</v>
      </c>
      <c r="U261" t="b">
        <f>C261&gt;T261</f>
        <v>0</v>
      </c>
    </row>
    <row r="262" spans="1:21" x14ac:dyDescent="0.25">
      <c r="A262" t="s">
        <v>342</v>
      </c>
      <c r="B262" s="1">
        <v>46253</v>
      </c>
      <c r="C262" s="1">
        <v>46254</v>
      </c>
      <c r="D262" t="s">
        <v>343</v>
      </c>
      <c r="E262" t="s">
        <v>185</v>
      </c>
      <c r="F262" t="s">
        <v>31</v>
      </c>
      <c r="G262" t="s">
        <v>32</v>
      </c>
      <c r="H262" t="s">
        <v>112</v>
      </c>
      <c r="I262" s="2">
        <v>2</v>
      </c>
      <c r="J262" s="3">
        <v>129</v>
      </c>
      <c r="K262" s="4">
        <v>0</v>
      </c>
      <c r="L262" s="3">
        <v>258</v>
      </c>
      <c r="M262" t="b">
        <v>1</v>
      </c>
      <c r="N262" s="2">
        <f>YEAR(B262)</f>
        <v>2026</v>
      </c>
      <c r="O262" t="str">
        <f>INDEX(Agences!$C:$C,MATCH(F262,Agences!$A:$A,0))</f>
        <v>Ouest</v>
      </c>
      <c r="P262" t="str">
        <f>INDEX(Produits!$C:$C,MATCH(H262,Produits!$A:$A,0))</f>
        <v>Mobilier</v>
      </c>
      <c r="Q262" s="3">
        <f>I262*INDEX(Produits!$E:$E,MATCH(H262,Produits!$A:$A,0))</f>
        <v>172.86</v>
      </c>
      <c r="R262" s="3">
        <f>L262-Q262</f>
        <v>85.13999999999999</v>
      </c>
      <c r="S262" s="2">
        <f>NETWORKDAYS(B262,C262)-1</f>
        <v>1</v>
      </c>
      <c r="T262" s="1">
        <f>WORKDAY(B262,5)</f>
        <v>46260</v>
      </c>
      <c r="U262" t="b">
        <f>C262&gt;T262</f>
        <v>0</v>
      </c>
    </row>
    <row r="263" spans="1:21" x14ac:dyDescent="0.25">
      <c r="A263" t="s">
        <v>344</v>
      </c>
      <c r="B263" s="1">
        <v>46253</v>
      </c>
      <c r="C263" s="1">
        <v>46254</v>
      </c>
      <c r="D263" t="s">
        <v>345</v>
      </c>
      <c r="E263" t="s">
        <v>191</v>
      </c>
      <c r="F263" t="s">
        <v>62</v>
      </c>
      <c r="G263" t="s">
        <v>63</v>
      </c>
      <c r="H263" t="s">
        <v>319</v>
      </c>
      <c r="I263" s="2">
        <v>4</v>
      </c>
      <c r="J263" s="3">
        <v>289</v>
      </c>
      <c r="K263" s="4">
        <v>0</v>
      </c>
      <c r="L263" s="3">
        <v>1156</v>
      </c>
      <c r="M263" t="b">
        <v>1</v>
      </c>
      <c r="N263" s="2">
        <f>YEAR(B263)</f>
        <v>2026</v>
      </c>
      <c r="O263" t="str">
        <f>INDEX(Agences!$C:$C,MATCH(F263,Agences!$A:$A,0))</f>
        <v>Méditerranée</v>
      </c>
      <c r="P263" t="str">
        <f>INDEX(Produits!$C:$C,MATCH(H263,Produits!$A:$A,0))</f>
        <v>Informatique</v>
      </c>
      <c r="Q263" s="3">
        <f>I263*INDEX(Produits!$E:$E,MATCH(H263,Produits!$A:$A,0))</f>
        <v>855.44</v>
      </c>
      <c r="R263" s="3">
        <f>L263-Q263</f>
        <v>300.55999999999995</v>
      </c>
      <c r="S263" s="2">
        <f>NETWORKDAYS(B263,C263)-1</f>
        <v>1</v>
      </c>
      <c r="T263" s="1">
        <f>WORKDAY(B263,5)</f>
        <v>46260</v>
      </c>
      <c r="U263" t="b">
        <f>C263&gt;T263</f>
        <v>0</v>
      </c>
    </row>
    <row r="264" spans="1:21" x14ac:dyDescent="0.25">
      <c r="A264" t="s">
        <v>346</v>
      </c>
      <c r="B264" s="1">
        <v>46253</v>
      </c>
      <c r="C264" s="1">
        <v>46255</v>
      </c>
      <c r="D264" t="s">
        <v>347</v>
      </c>
      <c r="E264" t="s">
        <v>242</v>
      </c>
      <c r="F264" t="s">
        <v>94</v>
      </c>
      <c r="G264" t="s">
        <v>182</v>
      </c>
      <c r="H264" t="s">
        <v>107</v>
      </c>
      <c r="I264" s="2">
        <v>2</v>
      </c>
      <c r="J264" s="3">
        <v>99</v>
      </c>
      <c r="K264" s="4">
        <v>0.02</v>
      </c>
      <c r="L264" s="3">
        <v>194.04</v>
      </c>
      <c r="M264" t="b">
        <v>1</v>
      </c>
      <c r="N264" s="2">
        <f>YEAR(B264)</f>
        <v>2026</v>
      </c>
      <c r="O264" t="str">
        <f>INDEX(Agences!$C:$C,MATCH(F264,Agences!$A:$A,0))</f>
        <v>Méditerranée</v>
      </c>
      <c r="P264" t="str">
        <f>INDEX(Produits!$C:$C,MATCH(H264,Produits!$A:$A,0))</f>
        <v>Informatique</v>
      </c>
      <c r="Q264" s="3">
        <f>I264*INDEX(Produits!$E:$E,MATCH(H264,Produits!$A:$A,0))</f>
        <v>150.48</v>
      </c>
      <c r="R264" s="3">
        <f>L264-Q264</f>
        <v>43.56</v>
      </c>
      <c r="S264" s="2">
        <f>NETWORKDAYS(B264,C264)-1</f>
        <v>2</v>
      </c>
      <c r="T264" s="1">
        <f>WORKDAY(B264,5)</f>
        <v>46260</v>
      </c>
      <c r="U264" t="b">
        <f>C264&gt;T264</f>
        <v>0</v>
      </c>
    </row>
    <row r="265" spans="1:21" x14ac:dyDescent="0.25">
      <c r="A265" t="s">
        <v>346</v>
      </c>
      <c r="B265" s="1">
        <v>46253</v>
      </c>
      <c r="C265" s="1">
        <v>46255</v>
      </c>
      <c r="D265" t="s">
        <v>347</v>
      </c>
      <c r="E265" t="s">
        <v>242</v>
      </c>
      <c r="F265" t="s">
        <v>94</v>
      </c>
      <c r="G265" t="s">
        <v>182</v>
      </c>
      <c r="H265" t="s">
        <v>48</v>
      </c>
      <c r="I265" s="2">
        <v>1</v>
      </c>
      <c r="J265" s="3">
        <v>165</v>
      </c>
      <c r="K265" s="4">
        <v>0.02</v>
      </c>
      <c r="L265" s="3">
        <v>161.7</v>
      </c>
      <c r="M265" t="b">
        <v>1</v>
      </c>
      <c r="N265" s="2">
        <f>YEAR(B265)</f>
        <v>2026</v>
      </c>
      <c r="O265" t="str">
        <f>INDEX(Agences!$C:$C,MATCH(F265,Agences!$A:$A,0))</f>
        <v>Méditerranée</v>
      </c>
      <c r="P265" t="str">
        <f>INDEX(Produits!$C:$C,MATCH(H265,Produits!$A:$A,0))</f>
        <v>Mobilier</v>
      </c>
      <c r="Q265" s="3">
        <f>I265*INDEX(Produits!$E:$E,MATCH(H265,Produits!$A:$A,0))</f>
        <v>107.25</v>
      </c>
      <c r="R265" s="3">
        <f>L265-Q265</f>
        <v>54.44999999999999</v>
      </c>
      <c r="S265" s="2">
        <f>NETWORKDAYS(B265,C265)-1</f>
        <v>2</v>
      </c>
      <c r="T265" s="1">
        <f>WORKDAY(B265,5)</f>
        <v>46260</v>
      </c>
      <c r="U265" t="b">
        <f>C265&gt;T265</f>
        <v>0</v>
      </c>
    </row>
    <row r="266" spans="1:21" x14ac:dyDescent="0.25">
      <c r="A266" t="s">
        <v>348</v>
      </c>
      <c r="B266" s="1">
        <v>46253</v>
      </c>
      <c r="C266" s="1">
        <v>46266</v>
      </c>
      <c r="D266" t="s">
        <v>349</v>
      </c>
      <c r="E266" t="s">
        <v>194</v>
      </c>
      <c r="F266" t="s">
        <v>55</v>
      </c>
      <c r="G266" t="s">
        <v>195</v>
      </c>
      <c r="H266" t="s">
        <v>83</v>
      </c>
      <c r="I266" s="2">
        <v>2</v>
      </c>
      <c r="J266" s="3">
        <v>49</v>
      </c>
      <c r="K266" s="4">
        <v>0</v>
      </c>
      <c r="L266" s="3">
        <v>98</v>
      </c>
      <c r="M266" t="b">
        <v>1</v>
      </c>
      <c r="N266" s="2">
        <f>YEAR(B266)</f>
        <v>2026</v>
      </c>
      <c r="O266" t="str">
        <f>INDEX(Agences!$C:$C,MATCH(F266,Agences!$A:$A,0))</f>
        <v>Est</v>
      </c>
      <c r="P266" t="str">
        <f>INDEX(Produits!$C:$C,MATCH(H266,Produits!$A:$A,0))</f>
        <v>Mobilier</v>
      </c>
      <c r="Q266" s="3">
        <f>I266*INDEX(Produits!$E:$E,MATCH(H266,Produits!$A:$A,0))</f>
        <v>56.84</v>
      </c>
      <c r="R266" s="3">
        <f>L266-Q266</f>
        <v>41.16</v>
      </c>
      <c r="S266" s="2">
        <f>NETWORKDAYS(B266,C266)-1</f>
        <v>9</v>
      </c>
      <c r="T266" s="1">
        <f>WORKDAY(B266,5)</f>
        <v>46260</v>
      </c>
      <c r="U266" t="b">
        <f>C266&gt;T266</f>
        <v>1</v>
      </c>
    </row>
    <row r="267" spans="1:21" x14ac:dyDescent="0.25">
      <c r="A267" t="s">
        <v>348</v>
      </c>
      <c r="B267" s="1">
        <v>46253</v>
      </c>
      <c r="C267" s="1">
        <v>46266</v>
      </c>
      <c r="D267" t="s">
        <v>349</v>
      </c>
      <c r="E267" t="s">
        <v>194</v>
      </c>
      <c r="F267" t="s">
        <v>55</v>
      </c>
      <c r="G267" t="s">
        <v>195</v>
      </c>
      <c r="H267" t="s">
        <v>112</v>
      </c>
      <c r="I267" s="2">
        <v>1</v>
      </c>
      <c r="J267" s="3">
        <v>129</v>
      </c>
      <c r="K267" s="4">
        <v>0.02</v>
      </c>
      <c r="L267" s="3">
        <v>126.42</v>
      </c>
      <c r="M267" t="b">
        <v>1</v>
      </c>
      <c r="N267" s="2">
        <f>YEAR(B267)</f>
        <v>2026</v>
      </c>
      <c r="O267" t="str">
        <f>INDEX(Agences!$C:$C,MATCH(F267,Agences!$A:$A,0))</f>
        <v>Est</v>
      </c>
      <c r="P267" t="str">
        <f>INDEX(Produits!$C:$C,MATCH(H267,Produits!$A:$A,0))</f>
        <v>Mobilier</v>
      </c>
      <c r="Q267" s="3">
        <f>I267*INDEX(Produits!$E:$E,MATCH(H267,Produits!$A:$A,0))</f>
        <v>86.43</v>
      </c>
      <c r="R267" s="3">
        <f>L267-Q267</f>
        <v>39.989999999999995</v>
      </c>
      <c r="S267" s="2">
        <f>NETWORKDAYS(B267,C267)-1</f>
        <v>9</v>
      </c>
      <c r="T267" s="1">
        <f>WORKDAY(B267,5)</f>
        <v>46260</v>
      </c>
      <c r="U267" t="b">
        <f>C267&gt;T267</f>
        <v>1</v>
      </c>
    </row>
    <row r="268" spans="1:21" x14ac:dyDescent="0.25">
      <c r="A268" t="s">
        <v>348</v>
      </c>
      <c r="B268" s="1">
        <v>46253</v>
      </c>
      <c r="C268" s="1">
        <v>46266</v>
      </c>
      <c r="D268" t="s">
        <v>349</v>
      </c>
      <c r="E268" t="s">
        <v>194</v>
      </c>
      <c r="F268" t="s">
        <v>55</v>
      </c>
      <c r="G268" t="s">
        <v>195</v>
      </c>
      <c r="H268" t="s">
        <v>42</v>
      </c>
      <c r="I268" s="2">
        <v>1</v>
      </c>
      <c r="J268" s="3">
        <v>55</v>
      </c>
      <c r="K268" s="4">
        <v>0</v>
      </c>
      <c r="L268" s="3">
        <v>55</v>
      </c>
      <c r="M268" t="b">
        <v>1</v>
      </c>
      <c r="N268" s="2">
        <f>YEAR(B268)</f>
        <v>2026</v>
      </c>
      <c r="O268" t="str">
        <f>INDEX(Agences!$C:$C,MATCH(F268,Agences!$A:$A,0))</f>
        <v>Est</v>
      </c>
      <c r="P268" t="str">
        <f>INDEX(Produits!$C:$C,MATCH(H268,Produits!$A:$A,0))</f>
        <v>Maintenance</v>
      </c>
      <c r="Q268" s="3">
        <f>I268*INDEX(Produits!$E:$E,MATCH(H268,Produits!$A:$A,0))</f>
        <v>24.75</v>
      </c>
      <c r="R268" s="3">
        <f>L268-Q268</f>
        <v>30.25</v>
      </c>
      <c r="S268" s="2">
        <f>NETWORKDAYS(B268,C268)-1</f>
        <v>9</v>
      </c>
      <c r="T268" s="1">
        <f>WORKDAY(B268,5)</f>
        <v>46260</v>
      </c>
      <c r="U268" t="b">
        <f>C268&gt;T268</f>
        <v>1</v>
      </c>
    </row>
    <row r="269" spans="1:21" x14ac:dyDescent="0.25">
      <c r="A269" t="s">
        <v>350</v>
      </c>
      <c r="B269" s="1">
        <v>46252</v>
      </c>
      <c r="C269" s="1">
        <v>46255</v>
      </c>
      <c r="D269" t="s">
        <v>351</v>
      </c>
      <c r="E269" t="s">
        <v>202</v>
      </c>
      <c r="F269" t="s">
        <v>138</v>
      </c>
      <c r="G269" t="s">
        <v>139</v>
      </c>
      <c r="H269" t="s">
        <v>83</v>
      </c>
      <c r="I269" s="2">
        <v>1</v>
      </c>
      <c r="J269" s="3">
        <v>49</v>
      </c>
      <c r="K269" s="4">
        <v>0</v>
      </c>
      <c r="L269" s="3">
        <v>49</v>
      </c>
      <c r="M269" t="b">
        <v>1</v>
      </c>
      <c r="N269" s="2">
        <f>YEAR(B269)</f>
        <v>2026</v>
      </c>
      <c r="O269" t="str">
        <f>INDEX(Agences!$C:$C,MATCH(F269,Agences!$A:$A,0))</f>
        <v>Île-de-France</v>
      </c>
      <c r="P269" t="str">
        <f>INDEX(Produits!$C:$C,MATCH(H269,Produits!$A:$A,0))</f>
        <v>Mobilier</v>
      </c>
      <c r="Q269" s="3">
        <f>I269*INDEX(Produits!$E:$E,MATCH(H269,Produits!$A:$A,0))</f>
        <v>28.42</v>
      </c>
      <c r="R269" s="3">
        <f>L269-Q269</f>
        <v>20.58</v>
      </c>
      <c r="S269" s="2">
        <f>NETWORKDAYS(B269,C269)-1</f>
        <v>3</v>
      </c>
      <c r="T269" s="1">
        <f>WORKDAY(B269,5)</f>
        <v>46259</v>
      </c>
      <c r="U269" t="b">
        <f>C269&gt;T269</f>
        <v>0</v>
      </c>
    </row>
    <row r="270" spans="1:21" x14ac:dyDescent="0.25">
      <c r="A270" t="s">
        <v>350</v>
      </c>
      <c r="B270" s="1">
        <v>46252</v>
      </c>
      <c r="C270" s="1">
        <v>46255</v>
      </c>
      <c r="D270" t="s">
        <v>351</v>
      </c>
      <c r="E270" t="s">
        <v>202</v>
      </c>
      <c r="F270" t="s">
        <v>138</v>
      </c>
      <c r="G270" t="s">
        <v>139</v>
      </c>
      <c r="H270" t="s">
        <v>161</v>
      </c>
      <c r="I270" s="2">
        <v>15</v>
      </c>
      <c r="J270" s="3">
        <v>32</v>
      </c>
      <c r="K270" s="4">
        <v>0.05</v>
      </c>
      <c r="L270" s="3">
        <v>456</v>
      </c>
      <c r="M270" t="b">
        <v>1</v>
      </c>
      <c r="N270" s="2">
        <f>YEAR(B270)</f>
        <v>2026</v>
      </c>
      <c r="O270" t="str">
        <f>INDEX(Agences!$C:$C,MATCH(F270,Agences!$A:$A,0))</f>
        <v>Île-de-France</v>
      </c>
      <c r="P270" t="str">
        <f>INDEX(Produits!$C:$C,MATCH(H270,Produits!$A:$A,0))</f>
        <v>Fournitures</v>
      </c>
      <c r="Q270" s="3">
        <f>I270*INDEX(Produits!$E:$E,MATCH(H270,Produits!$A:$A,0))</f>
        <v>264</v>
      </c>
      <c r="R270" s="3">
        <f>L270-Q270</f>
        <v>192</v>
      </c>
      <c r="S270" s="2">
        <f>NETWORKDAYS(B270,C270)-1</f>
        <v>3</v>
      </c>
      <c r="T270" s="1">
        <f>WORKDAY(B270,5)</f>
        <v>46259</v>
      </c>
      <c r="U270" t="b">
        <f>C270&gt;T270</f>
        <v>0</v>
      </c>
    </row>
    <row r="271" spans="1:21" x14ac:dyDescent="0.25">
      <c r="A271" t="s">
        <v>350</v>
      </c>
      <c r="B271" s="1">
        <v>46252</v>
      </c>
      <c r="C271" s="1">
        <v>46255</v>
      </c>
      <c r="D271" t="s">
        <v>351</v>
      </c>
      <c r="E271" t="s">
        <v>202</v>
      </c>
      <c r="F271" t="s">
        <v>138</v>
      </c>
      <c r="G271" t="s">
        <v>139</v>
      </c>
      <c r="H271" t="s">
        <v>50</v>
      </c>
      <c r="I271" s="2">
        <v>3</v>
      </c>
      <c r="J271" s="3">
        <v>69</v>
      </c>
      <c r="K271" s="4">
        <v>0.05</v>
      </c>
      <c r="L271" s="3">
        <v>196.65</v>
      </c>
      <c r="M271" t="b">
        <v>1</v>
      </c>
      <c r="N271" s="2">
        <f>YEAR(B271)</f>
        <v>2026</v>
      </c>
      <c r="O271" t="str">
        <f>INDEX(Agences!$C:$C,MATCH(F271,Agences!$A:$A,0))</f>
        <v>Île-de-France</v>
      </c>
      <c r="P271" t="str">
        <f>INDEX(Produits!$C:$C,MATCH(H271,Produits!$A:$A,0))</f>
        <v>Informatique</v>
      </c>
      <c r="Q271" s="3">
        <f>I271*INDEX(Produits!$E:$E,MATCH(H271,Produits!$A:$A,0))</f>
        <v>163.53</v>
      </c>
      <c r="R271" s="3">
        <f>L271-Q271</f>
        <v>33.120000000000005</v>
      </c>
      <c r="S271" s="2">
        <f>NETWORKDAYS(B271,C271)-1</f>
        <v>3</v>
      </c>
      <c r="T271" s="1">
        <f>WORKDAY(B271,5)</f>
        <v>46259</v>
      </c>
      <c r="U271" t="b">
        <f>C271&gt;T271</f>
        <v>0</v>
      </c>
    </row>
    <row r="272" spans="1:21" x14ac:dyDescent="0.25">
      <c r="A272" t="s">
        <v>352</v>
      </c>
      <c r="B272" s="1">
        <v>46252</v>
      </c>
      <c r="C272" s="1">
        <v>46253</v>
      </c>
      <c r="D272" t="s">
        <v>353</v>
      </c>
      <c r="E272" t="s">
        <v>149</v>
      </c>
      <c r="F272" t="s">
        <v>88</v>
      </c>
      <c r="G272" t="s">
        <v>226</v>
      </c>
      <c r="H272" t="s">
        <v>50</v>
      </c>
      <c r="I272" s="2">
        <v>2</v>
      </c>
      <c r="J272" s="3">
        <v>69</v>
      </c>
      <c r="K272" s="4">
        <v>0</v>
      </c>
      <c r="L272" s="3">
        <v>138</v>
      </c>
      <c r="M272" t="b">
        <v>1</v>
      </c>
      <c r="N272" s="2">
        <f>YEAR(B272)</f>
        <v>2026</v>
      </c>
      <c r="O272" t="str">
        <f>INDEX(Agences!$C:$C,MATCH(F272,Agences!$A:$A,0))</f>
        <v>Sud-Ouest</v>
      </c>
      <c r="P272" t="str">
        <f>INDEX(Produits!$C:$C,MATCH(H272,Produits!$A:$A,0))</f>
        <v>Informatique</v>
      </c>
      <c r="Q272" s="3">
        <f>I272*INDEX(Produits!$E:$E,MATCH(H272,Produits!$A:$A,0))</f>
        <v>109.02</v>
      </c>
      <c r="R272" s="3">
        <f>L272-Q272</f>
        <v>28.980000000000004</v>
      </c>
      <c r="S272" s="2">
        <f>NETWORKDAYS(B272,C272)-1</f>
        <v>1</v>
      </c>
      <c r="T272" s="1">
        <f>WORKDAY(B272,5)</f>
        <v>46259</v>
      </c>
      <c r="U272" t="b">
        <f>C272&gt;T272</f>
        <v>0</v>
      </c>
    </row>
    <row r="273" spans="1:21" x14ac:dyDescent="0.25">
      <c r="A273" t="s">
        <v>354</v>
      </c>
      <c r="B273" s="1">
        <v>46252</v>
      </c>
      <c r="C273" s="1">
        <v>46254</v>
      </c>
      <c r="D273" t="s">
        <v>355</v>
      </c>
      <c r="E273" t="s">
        <v>256</v>
      </c>
      <c r="F273" t="s">
        <v>88</v>
      </c>
      <c r="G273" t="s">
        <v>226</v>
      </c>
      <c r="H273" t="s">
        <v>27</v>
      </c>
      <c r="I273" s="2">
        <v>1</v>
      </c>
      <c r="J273" s="3">
        <v>310</v>
      </c>
      <c r="K273" s="4">
        <v>0</v>
      </c>
      <c r="L273" s="3">
        <v>310</v>
      </c>
      <c r="M273" t="b">
        <v>1</v>
      </c>
      <c r="N273" s="2">
        <f>YEAR(B273)</f>
        <v>2026</v>
      </c>
      <c r="O273" t="str">
        <f>INDEX(Agences!$C:$C,MATCH(F273,Agences!$A:$A,0))</f>
        <v>Sud-Ouest</v>
      </c>
      <c r="P273" t="str">
        <f>INDEX(Produits!$C:$C,MATCH(H273,Produits!$A:$A,0))</f>
        <v>Mobilier</v>
      </c>
      <c r="Q273" s="3">
        <f>I273*INDEX(Produits!$E:$E,MATCH(H273,Produits!$A:$A,0))</f>
        <v>186</v>
      </c>
      <c r="R273" s="3">
        <f>L273-Q273</f>
        <v>124</v>
      </c>
      <c r="S273" s="2">
        <f>NETWORKDAYS(B273,C273)-1</f>
        <v>2</v>
      </c>
      <c r="T273" s="1">
        <f>WORKDAY(B273,5)</f>
        <v>46259</v>
      </c>
      <c r="U273" t="b">
        <f>C273&gt;T273</f>
        <v>0</v>
      </c>
    </row>
    <row r="274" spans="1:21" x14ac:dyDescent="0.25">
      <c r="A274" t="s">
        <v>354</v>
      </c>
      <c r="B274" s="1">
        <v>46252</v>
      </c>
      <c r="C274" s="1">
        <v>46254</v>
      </c>
      <c r="D274" t="s">
        <v>355</v>
      </c>
      <c r="E274" t="s">
        <v>256</v>
      </c>
      <c r="F274" t="s">
        <v>88</v>
      </c>
      <c r="G274" t="s">
        <v>226</v>
      </c>
      <c r="H274" t="s">
        <v>112</v>
      </c>
      <c r="I274" s="2">
        <v>2</v>
      </c>
      <c r="J274" s="3">
        <v>129</v>
      </c>
      <c r="K274" s="4">
        <v>0</v>
      </c>
      <c r="L274" s="3">
        <v>258</v>
      </c>
      <c r="M274" t="b">
        <v>1</v>
      </c>
      <c r="N274" s="2">
        <f>YEAR(B274)</f>
        <v>2026</v>
      </c>
      <c r="O274" t="str">
        <f>INDEX(Agences!$C:$C,MATCH(F274,Agences!$A:$A,0))</f>
        <v>Sud-Ouest</v>
      </c>
      <c r="P274" t="str">
        <f>INDEX(Produits!$C:$C,MATCH(H274,Produits!$A:$A,0))</f>
        <v>Mobilier</v>
      </c>
      <c r="Q274" s="3">
        <f>I274*INDEX(Produits!$E:$E,MATCH(H274,Produits!$A:$A,0))</f>
        <v>172.86</v>
      </c>
      <c r="R274" s="3">
        <f>L274-Q274</f>
        <v>85.13999999999999</v>
      </c>
      <c r="S274" s="2">
        <f>NETWORKDAYS(B274,C274)-1</f>
        <v>2</v>
      </c>
      <c r="T274" s="1">
        <f>WORKDAY(B274,5)</f>
        <v>46259</v>
      </c>
      <c r="U274" t="b">
        <f>C274&gt;T274</f>
        <v>0</v>
      </c>
    </row>
    <row r="275" spans="1:21" x14ac:dyDescent="0.25">
      <c r="A275" t="s">
        <v>356</v>
      </c>
      <c r="B275" s="1">
        <v>46252</v>
      </c>
      <c r="C275" s="1">
        <v>46255</v>
      </c>
      <c r="D275" t="s">
        <v>357</v>
      </c>
      <c r="E275" t="s">
        <v>87</v>
      </c>
      <c r="F275" t="s">
        <v>88</v>
      </c>
      <c r="G275" t="s">
        <v>142</v>
      </c>
      <c r="H275" t="s">
        <v>42</v>
      </c>
      <c r="I275" s="2">
        <v>1</v>
      </c>
      <c r="J275" s="3">
        <v>55</v>
      </c>
      <c r="K275" s="4">
        <v>0.05</v>
      </c>
      <c r="L275" s="3">
        <v>52.25</v>
      </c>
      <c r="M275" t="b">
        <v>1</v>
      </c>
      <c r="N275" s="2">
        <f>YEAR(B275)</f>
        <v>2026</v>
      </c>
      <c r="O275" t="str">
        <f>INDEX(Agences!$C:$C,MATCH(F275,Agences!$A:$A,0))</f>
        <v>Sud-Ouest</v>
      </c>
      <c r="P275" t="str">
        <f>INDEX(Produits!$C:$C,MATCH(H275,Produits!$A:$A,0))</f>
        <v>Maintenance</v>
      </c>
      <c r="Q275" s="3">
        <f>I275*INDEX(Produits!$E:$E,MATCH(H275,Produits!$A:$A,0))</f>
        <v>24.75</v>
      </c>
      <c r="R275" s="3">
        <f>L275-Q275</f>
        <v>27.5</v>
      </c>
      <c r="S275" s="2">
        <f>NETWORKDAYS(B275,C275)-1</f>
        <v>3</v>
      </c>
      <c r="T275" s="1">
        <f>WORKDAY(B275,5)</f>
        <v>46259</v>
      </c>
      <c r="U275" t="b">
        <f>C275&gt;T275</f>
        <v>0</v>
      </c>
    </row>
    <row r="276" spans="1:21" x14ac:dyDescent="0.25">
      <c r="A276" t="s">
        <v>356</v>
      </c>
      <c r="B276" s="1">
        <v>46252</v>
      </c>
      <c r="C276" s="1">
        <v>46255</v>
      </c>
      <c r="D276" t="s">
        <v>357</v>
      </c>
      <c r="E276" t="s">
        <v>87</v>
      </c>
      <c r="F276" t="s">
        <v>88</v>
      </c>
      <c r="G276" t="s">
        <v>142</v>
      </c>
      <c r="H276" t="s">
        <v>83</v>
      </c>
      <c r="I276" s="2">
        <v>2</v>
      </c>
      <c r="J276" s="3">
        <v>49</v>
      </c>
      <c r="K276" s="4">
        <v>0.05</v>
      </c>
      <c r="L276" s="3">
        <v>93.1</v>
      </c>
      <c r="M276" t="b">
        <v>1</v>
      </c>
      <c r="N276" s="2">
        <f>YEAR(B276)</f>
        <v>2026</v>
      </c>
      <c r="O276" t="str">
        <f>INDEX(Agences!$C:$C,MATCH(F276,Agences!$A:$A,0))</f>
        <v>Sud-Ouest</v>
      </c>
      <c r="P276" t="str">
        <f>INDEX(Produits!$C:$C,MATCH(H276,Produits!$A:$A,0))</f>
        <v>Mobilier</v>
      </c>
      <c r="Q276" s="3">
        <f>I276*INDEX(Produits!$E:$E,MATCH(H276,Produits!$A:$A,0))</f>
        <v>56.84</v>
      </c>
      <c r="R276" s="3">
        <f>L276-Q276</f>
        <v>36.25999999999999</v>
      </c>
      <c r="S276" s="2">
        <f>NETWORKDAYS(B276,C276)-1</f>
        <v>3</v>
      </c>
      <c r="T276" s="1">
        <f>WORKDAY(B276,5)</f>
        <v>46259</v>
      </c>
      <c r="U276" t="b">
        <f>C276&gt;T276</f>
        <v>0</v>
      </c>
    </row>
    <row r="277" spans="1:21" x14ac:dyDescent="0.25">
      <c r="A277" t="s">
        <v>356</v>
      </c>
      <c r="B277" s="1">
        <v>46252</v>
      </c>
      <c r="C277" s="1">
        <v>46255</v>
      </c>
      <c r="D277" t="s">
        <v>357</v>
      </c>
      <c r="E277" t="s">
        <v>87</v>
      </c>
      <c r="F277" t="s">
        <v>88</v>
      </c>
      <c r="G277" t="s">
        <v>142</v>
      </c>
      <c r="H277" t="s">
        <v>112</v>
      </c>
      <c r="I277" s="2">
        <v>2</v>
      </c>
      <c r="J277" s="3">
        <v>129</v>
      </c>
      <c r="K277" s="4">
        <v>0.08</v>
      </c>
      <c r="L277" s="3">
        <v>237.36</v>
      </c>
      <c r="M277" t="b">
        <v>1</v>
      </c>
      <c r="N277" s="2">
        <f>YEAR(B277)</f>
        <v>2026</v>
      </c>
      <c r="O277" t="str">
        <f>INDEX(Agences!$C:$C,MATCH(F277,Agences!$A:$A,0))</f>
        <v>Sud-Ouest</v>
      </c>
      <c r="P277" t="str">
        <f>INDEX(Produits!$C:$C,MATCH(H277,Produits!$A:$A,0))</f>
        <v>Mobilier</v>
      </c>
      <c r="Q277" s="3">
        <f>I277*INDEX(Produits!$E:$E,MATCH(H277,Produits!$A:$A,0))</f>
        <v>172.86</v>
      </c>
      <c r="R277" s="3">
        <f>L277-Q277</f>
        <v>64.5</v>
      </c>
      <c r="S277" s="2">
        <f>NETWORKDAYS(B277,C277)-1</f>
        <v>3</v>
      </c>
      <c r="T277" s="1">
        <f>WORKDAY(B277,5)</f>
        <v>46259</v>
      </c>
      <c r="U277" t="b">
        <f>C277&gt;T277</f>
        <v>0</v>
      </c>
    </row>
    <row r="278" spans="1:21" x14ac:dyDescent="0.25">
      <c r="A278" t="s">
        <v>358</v>
      </c>
      <c r="B278" s="1">
        <v>46251</v>
      </c>
      <c r="C278" s="1">
        <v>46258</v>
      </c>
      <c r="D278" t="s">
        <v>359</v>
      </c>
      <c r="E278" t="s">
        <v>137</v>
      </c>
      <c r="F278" t="s">
        <v>138</v>
      </c>
      <c r="G278" t="s">
        <v>220</v>
      </c>
      <c r="H278" t="s">
        <v>112</v>
      </c>
      <c r="I278" s="2">
        <v>1</v>
      </c>
      <c r="J278" s="3">
        <v>129</v>
      </c>
      <c r="K278" s="4">
        <v>0.02</v>
      </c>
      <c r="L278" s="3">
        <v>126.42</v>
      </c>
      <c r="M278" t="b">
        <v>1</v>
      </c>
      <c r="N278" s="2">
        <f>YEAR(B278)</f>
        <v>2026</v>
      </c>
      <c r="O278" t="str">
        <f>INDEX(Agences!$C:$C,MATCH(F278,Agences!$A:$A,0))</f>
        <v>Île-de-France</v>
      </c>
      <c r="P278" t="str">
        <f>INDEX(Produits!$C:$C,MATCH(H278,Produits!$A:$A,0))</f>
        <v>Mobilier</v>
      </c>
      <c r="Q278" s="3">
        <f>I278*INDEX(Produits!$E:$E,MATCH(H278,Produits!$A:$A,0))</f>
        <v>86.43</v>
      </c>
      <c r="R278" s="3">
        <f>L278-Q278</f>
        <v>39.989999999999995</v>
      </c>
      <c r="S278" s="2">
        <f>NETWORKDAYS(B278,C278)-1</f>
        <v>5</v>
      </c>
      <c r="T278" s="1">
        <f>WORKDAY(B278,5)</f>
        <v>46258</v>
      </c>
      <c r="U278" t="b">
        <f>C278&gt;T278</f>
        <v>0</v>
      </c>
    </row>
    <row r="279" spans="1:21" x14ac:dyDescent="0.25">
      <c r="A279" t="s">
        <v>358</v>
      </c>
      <c r="B279" s="1">
        <v>46251</v>
      </c>
      <c r="C279" s="1">
        <v>46258</v>
      </c>
      <c r="D279" t="s">
        <v>359</v>
      </c>
      <c r="E279" t="s">
        <v>137</v>
      </c>
      <c r="F279" t="s">
        <v>138</v>
      </c>
      <c r="G279" t="s">
        <v>220</v>
      </c>
      <c r="H279" t="s">
        <v>237</v>
      </c>
      <c r="I279" s="2">
        <v>2</v>
      </c>
      <c r="J279" s="3">
        <v>890</v>
      </c>
      <c r="K279" s="4">
        <v>0</v>
      </c>
      <c r="L279" s="3">
        <v>1780</v>
      </c>
      <c r="M279" t="b">
        <v>1</v>
      </c>
      <c r="N279" s="2">
        <f>YEAR(B279)</f>
        <v>2026</v>
      </c>
      <c r="O279" t="str">
        <f>INDEX(Agences!$C:$C,MATCH(F279,Agences!$A:$A,0))</f>
        <v>Île-de-France</v>
      </c>
      <c r="P279" t="str">
        <f>INDEX(Produits!$C:$C,MATCH(H279,Produits!$A:$A,0))</f>
        <v>Mobilier</v>
      </c>
      <c r="Q279" s="3">
        <f>I279*INDEX(Produits!$E:$E,MATCH(H279,Produits!$A:$A,0))</f>
        <v>1192.6</v>
      </c>
      <c r="R279" s="3">
        <f>L279-Q279</f>
        <v>587.4000000000001</v>
      </c>
      <c r="S279" s="2">
        <f>NETWORKDAYS(B279,C279)-1</f>
        <v>5</v>
      </c>
      <c r="T279" s="1">
        <f>WORKDAY(B279,5)</f>
        <v>46258</v>
      </c>
      <c r="U279" t="b">
        <f>C279&gt;T279</f>
        <v>0</v>
      </c>
    </row>
    <row r="280" spans="1:21" x14ac:dyDescent="0.25">
      <c r="A280" t="s">
        <v>358</v>
      </c>
      <c r="B280" s="1">
        <v>46251</v>
      </c>
      <c r="C280" s="1">
        <v>46258</v>
      </c>
      <c r="D280" t="s">
        <v>359</v>
      </c>
      <c r="E280" t="s">
        <v>137</v>
      </c>
      <c r="F280" t="s">
        <v>138</v>
      </c>
      <c r="G280" t="s">
        <v>220</v>
      </c>
      <c r="H280" t="s">
        <v>50</v>
      </c>
      <c r="I280" s="2">
        <v>1</v>
      </c>
      <c r="J280" s="3">
        <v>69</v>
      </c>
      <c r="K280" s="4">
        <v>0.08</v>
      </c>
      <c r="L280" s="3">
        <v>63.48</v>
      </c>
      <c r="M280" t="b">
        <v>1</v>
      </c>
      <c r="N280" s="2">
        <f>YEAR(B280)</f>
        <v>2026</v>
      </c>
      <c r="O280" t="str">
        <f>INDEX(Agences!$C:$C,MATCH(F280,Agences!$A:$A,0))</f>
        <v>Île-de-France</v>
      </c>
      <c r="P280" t="str">
        <f>INDEX(Produits!$C:$C,MATCH(H280,Produits!$A:$A,0))</f>
        <v>Informatique</v>
      </c>
      <c r="Q280" s="3">
        <f>I280*INDEX(Produits!$E:$E,MATCH(H280,Produits!$A:$A,0))</f>
        <v>54.51</v>
      </c>
      <c r="R280" s="3">
        <f>L280-Q280</f>
        <v>8.969999999999999</v>
      </c>
      <c r="S280" s="2">
        <f>NETWORKDAYS(B280,C280)-1</f>
        <v>5</v>
      </c>
      <c r="T280" s="1">
        <f>WORKDAY(B280,5)</f>
        <v>46258</v>
      </c>
      <c r="U280" t="b">
        <f>C280&gt;T280</f>
        <v>0</v>
      </c>
    </row>
    <row r="281" spans="1:21" x14ac:dyDescent="0.25">
      <c r="A281" t="s">
        <v>358</v>
      </c>
      <c r="B281" s="1">
        <v>46251</v>
      </c>
      <c r="C281" s="1">
        <v>46258</v>
      </c>
      <c r="D281" t="s">
        <v>359</v>
      </c>
      <c r="E281" t="s">
        <v>137</v>
      </c>
      <c r="F281" t="s">
        <v>138</v>
      </c>
      <c r="G281" t="s">
        <v>220</v>
      </c>
      <c r="H281" t="s">
        <v>33</v>
      </c>
      <c r="I281" s="2">
        <v>1</v>
      </c>
      <c r="J281" s="3">
        <v>219</v>
      </c>
      <c r="K281" s="4">
        <v>0</v>
      </c>
      <c r="L281" s="3">
        <v>219</v>
      </c>
      <c r="M281" t="b">
        <v>1</v>
      </c>
      <c r="N281" s="2">
        <f>YEAR(B281)</f>
        <v>2026</v>
      </c>
      <c r="O281" t="str">
        <f>INDEX(Agences!$C:$C,MATCH(F281,Agences!$A:$A,0))</f>
        <v>Île-de-France</v>
      </c>
      <c r="P281" t="str">
        <f>INDEX(Produits!$C:$C,MATCH(H281,Produits!$A:$A,0))</f>
        <v>Informatique</v>
      </c>
      <c r="Q281" s="3">
        <f>I281*INDEX(Produits!$E:$E,MATCH(H281,Produits!$A:$A,0))</f>
        <v>179.58</v>
      </c>
      <c r="R281" s="3">
        <f>L281-Q281</f>
        <v>39.41999999999999</v>
      </c>
      <c r="S281" s="2">
        <f>NETWORKDAYS(B281,C281)-1</f>
        <v>5</v>
      </c>
      <c r="T281" s="1">
        <f>WORKDAY(B281,5)</f>
        <v>46258</v>
      </c>
      <c r="U281" t="b">
        <f>C281&gt;T281</f>
        <v>0</v>
      </c>
    </row>
    <row r="282" spans="1:21" x14ac:dyDescent="0.25">
      <c r="A282" t="s">
        <v>360</v>
      </c>
      <c r="B282" s="1">
        <v>46251</v>
      </c>
      <c r="C282" s="1">
        <v>46252</v>
      </c>
      <c r="D282" t="s">
        <v>361</v>
      </c>
      <c r="E282" t="s">
        <v>165</v>
      </c>
      <c r="F282" t="s">
        <v>166</v>
      </c>
      <c r="G282" t="s">
        <v>167</v>
      </c>
      <c r="H282" t="s">
        <v>42</v>
      </c>
      <c r="I282" s="2">
        <v>1</v>
      </c>
      <c r="J282" s="3">
        <v>55</v>
      </c>
      <c r="K282" s="4">
        <v>0.05</v>
      </c>
      <c r="L282" s="3">
        <v>52.25</v>
      </c>
      <c r="M282" t="b">
        <v>1</v>
      </c>
      <c r="N282" s="2">
        <f>YEAR(B282)</f>
        <v>2026</v>
      </c>
      <c r="O282" t="str">
        <f>INDEX(Agences!$C:$C,MATCH(F282,Agences!$A:$A,0))</f>
        <v>Ouest</v>
      </c>
      <c r="P282" t="str">
        <f>INDEX(Produits!$C:$C,MATCH(H282,Produits!$A:$A,0))</f>
        <v>Maintenance</v>
      </c>
      <c r="Q282" s="3">
        <f>I282*INDEX(Produits!$E:$E,MATCH(H282,Produits!$A:$A,0))</f>
        <v>24.75</v>
      </c>
      <c r="R282" s="3">
        <f>L282-Q282</f>
        <v>27.5</v>
      </c>
      <c r="S282" s="2">
        <f>NETWORKDAYS(B282,C282)-1</f>
        <v>1</v>
      </c>
      <c r="T282" s="1">
        <f>WORKDAY(B282,5)</f>
        <v>46258</v>
      </c>
      <c r="U282" t="b">
        <f>C282&gt;T282</f>
        <v>0</v>
      </c>
    </row>
    <row r="283" spans="1:21" x14ac:dyDescent="0.25">
      <c r="A283" t="s">
        <v>360</v>
      </c>
      <c r="B283" s="1">
        <v>46251</v>
      </c>
      <c r="C283" s="1">
        <v>46252</v>
      </c>
      <c r="D283" t="s">
        <v>361</v>
      </c>
      <c r="E283" t="s">
        <v>165</v>
      </c>
      <c r="F283" t="s">
        <v>166</v>
      </c>
      <c r="G283" t="s">
        <v>167</v>
      </c>
      <c r="H283" t="s">
        <v>206</v>
      </c>
      <c r="I283" s="2">
        <v>10</v>
      </c>
      <c r="J283" s="3">
        <v>34</v>
      </c>
      <c r="K283" s="4">
        <v>0.02</v>
      </c>
      <c r="L283" s="3">
        <v>333.2</v>
      </c>
      <c r="M283" t="b">
        <v>1</v>
      </c>
      <c r="N283" s="2">
        <f>YEAR(B283)</f>
        <v>2026</v>
      </c>
      <c r="O283" t="str">
        <f>INDEX(Agences!$C:$C,MATCH(F283,Agences!$A:$A,0))</f>
        <v>Ouest</v>
      </c>
      <c r="P283" t="str">
        <f>INDEX(Produits!$C:$C,MATCH(H283,Produits!$A:$A,0))</f>
        <v>Fournitures</v>
      </c>
      <c r="Q283" s="3">
        <f>I283*INDEX(Produits!$E:$E,MATCH(H283,Produits!$A:$A,0))</f>
        <v>193.79999999999998</v>
      </c>
      <c r="R283" s="3">
        <f>L283-Q283</f>
        <v>139.4</v>
      </c>
      <c r="S283" s="2">
        <f>NETWORKDAYS(B283,C283)-1</f>
        <v>1</v>
      </c>
      <c r="T283" s="1">
        <f>WORKDAY(B283,5)</f>
        <v>46258</v>
      </c>
      <c r="U283" t="b">
        <f>C283&gt;T283</f>
        <v>0</v>
      </c>
    </row>
    <row r="284" spans="1:21" x14ac:dyDescent="0.25">
      <c r="A284" t="s">
        <v>360</v>
      </c>
      <c r="B284" s="1">
        <v>46251</v>
      </c>
      <c r="C284" s="1">
        <v>46252</v>
      </c>
      <c r="D284" t="s">
        <v>361</v>
      </c>
      <c r="E284" t="s">
        <v>165</v>
      </c>
      <c r="F284" t="s">
        <v>166</v>
      </c>
      <c r="G284" t="s">
        <v>167</v>
      </c>
      <c r="H284" t="s">
        <v>217</v>
      </c>
      <c r="I284" s="2">
        <v>1</v>
      </c>
      <c r="J284" s="3">
        <v>1090</v>
      </c>
      <c r="K284" s="4">
        <v>0</v>
      </c>
      <c r="L284" s="3">
        <v>1090</v>
      </c>
      <c r="M284" t="b">
        <v>1</v>
      </c>
      <c r="N284" s="2">
        <f>YEAR(B284)</f>
        <v>2026</v>
      </c>
      <c r="O284" t="str">
        <f>INDEX(Agences!$C:$C,MATCH(F284,Agences!$A:$A,0))</f>
        <v>Ouest</v>
      </c>
      <c r="P284" t="str">
        <f>INDEX(Produits!$C:$C,MATCH(H284,Produits!$A:$A,0))</f>
        <v>Informatique</v>
      </c>
      <c r="Q284" s="3">
        <f>I284*INDEX(Produits!$E:$E,MATCH(H284,Produits!$A:$A,0))</f>
        <v>817.5</v>
      </c>
      <c r="R284" s="3">
        <f>L284-Q284</f>
        <v>272.5</v>
      </c>
      <c r="S284" s="2">
        <f>NETWORKDAYS(B284,C284)-1</f>
        <v>1</v>
      </c>
      <c r="T284" s="1">
        <f>WORKDAY(B284,5)</f>
        <v>46258</v>
      </c>
      <c r="U284" t="b">
        <f>C284&gt;T284</f>
        <v>0</v>
      </c>
    </row>
    <row r="285" spans="1:21" x14ac:dyDescent="0.25">
      <c r="A285" t="s">
        <v>360</v>
      </c>
      <c r="B285" s="1">
        <v>46251</v>
      </c>
      <c r="C285" s="1">
        <v>46252</v>
      </c>
      <c r="D285" t="s">
        <v>361</v>
      </c>
      <c r="E285" t="s">
        <v>165</v>
      </c>
      <c r="F285" t="s">
        <v>166</v>
      </c>
      <c r="G285" t="s">
        <v>167</v>
      </c>
      <c r="H285" t="s">
        <v>51</v>
      </c>
      <c r="I285" s="2">
        <v>1</v>
      </c>
      <c r="J285" s="3">
        <v>180</v>
      </c>
      <c r="K285" s="4">
        <v>0.02</v>
      </c>
      <c r="L285" s="3">
        <v>176.4</v>
      </c>
      <c r="M285" t="b">
        <v>1</v>
      </c>
      <c r="N285" s="2">
        <f>YEAR(B285)</f>
        <v>2026</v>
      </c>
      <c r="O285" t="str">
        <f>INDEX(Agences!$C:$C,MATCH(F285,Agences!$A:$A,0))</f>
        <v>Ouest</v>
      </c>
      <c r="P285" t="str">
        <f>INDEX(Produits!$C:$C,MATCH(H285,Produits!$A:$A,0))</f>
        <v>Maintenance</v>
      </c>
      <c r="Q285" s="3">
        <f>I285*INDEX(Produits!$E:$E,MATCH(H285,Produits!$A:$A,0))</f>
        <v>82.8</v>
      </c>
      <c r="R285" s="3">
        <f>L285-Q285</f>
        <v>93.60000000000001</v>
      </c>
      <c r="S285" s="2">
        <f>NETWORKDAYS(B285,C285)-1</f>
        <v>1</v>
      </c>
      <c r="T285" s="1">
        <f>WORKDAY(B285,5)</f>
        <v>46258</v>
      </c>
      <c r="U285" t="b">
        <f>C285&gt;T285</f>
        <v>0</v>
      </c>
    </row>
    <row r="286" spans="1:21" x14ac:dyDescent="0.25">
      <c r="A286" t="s">
        <v>362</v>
      </c>
      <c r="B286" s="1">
        <v>46251</v>
      </c>
      <c r="C286" s="1">
        <v>46262</v>
      </c>
      <c r="D286" t="s">
        <v>363</v>
      </c>
      <c r="E286" t="s">
        <v>229</v>
      </c>
      <c r="F286" t="s">
        <v>55</v>
      </c>
      <c r="G286" t="s">
        <v>56</v>
      </c>
      <c r="H286" t="s">
        <v>51</v>
      </c>
      <c r="I286" s="2">
        <v>1</v>
      </c>
      <c r="J286" s="3">
        <v>180</v>
      </c>
      <c r="K286" s="4">
        <v>0</v>
      </c>
      <c r="L286" s="3">
        <v>180</v>
      </c>
      <c r="M286" t="b">
        <v>1</v>
      </c>
      <c r="N286" s="2">
        <f>YEAR(B286)</f>
        <v>2026</v>
      </c>
      <c r="O286" t="str">
        <f>INDEX(Agences!$C:$C,MATCH(F286,Agences!$A:$A,0))</f>
        <v>Est</v>
      </c>
      <c r="P286" t="str">
        <f>INDEX(Produits!$C:$C,MATCH(H286,Produits!$A:$A,0))</f>
        <v>Maintenance</v>
      </c>
      <c r="Q286" s="3">
        <f>I286*INDEX(Produits!$E:$E,MATCH(H286,Produits!$A:$A,0))</f>
        <v>82.8</v>
      </c>
      <c r="R286" s="3">
        <f>L286-Q286</f>
        <v>97.2</v>
      </c>
      <c r="S286" s="2">
        <f>NETWORKDAYS(B286,C286)-1</f>
        <v>9</v>
      </c>
      <c r="T286" s="1">
        <f>WORKDAY(B286,5)</f>
        <v>46258</v>
      </c>
      <c r="U286" t="b">
        <f>C286&gt;T286</f>
        <v>1</v>
      </c>
    </row>
    <row r="287" spans="1:21" x14ac:dyDescent="0.25">
      <c r="A287" t="s">
        <v>362</v>
      </c>
      <c r="B287" s="1">
        <v>46251</v>
      </c>
      <c r="C287" s="1">
        <v>46262</v>
      </c>
      <c r="D287" t="s">
        <v>363</v>
      </c>
      <c r="E287" t="s">
        <v>229</v>
      </c>
      <c r="F287" t="s">
        <v>55</v>
      </c>
      <c r="G287" t="s">
        <v>56</v>
      </c>
      <c r="H287" t="s">
        <v>50</v>
      </c>
      <c r="I287" s="2">
        <v>1</v>
      </c>
      <c r="J287" s="3">
        <v>69</v>
      </c>
      <c r="K287" s="4">
        <v>0</v>
      </c>
      <c r="L287" s="3">
        <v>69</v>
      </c>
      <c r="M287" t="b">
        <v>1</v>
      </c>
      <c r="N287" s="2">
        <f>YEAR(B287)</f>
        <v>2026</v>
      </c>
      <c r="O287" t="str">
        <f>INDEX(Agences!$C:$C,MATCH(F287,Agences!$A:$A,0))</f>
        <v>Est</v>
      </c>
      <c r="P287" t="str">
        <f>INDEX(Produits!$C:$C,MATCH(H287,Produits!$A:$A,0))</f>
        <v>Informatique</v>
      </c>
      <c r="Q287" s="3">
        <f>I287*INDEX(Produits!$E:$E,MATCH(H287,Produits!$A:$A,0))</f>
        <v>54.51</v>
      </c>
      <c r="R287" s="3">
        <f>L287-Q287</f>
        <v>14.490000000000002</v>
      </c>
      <c r="S287" s="2">
        <f>NETWORKDAYS(B287,C287)-1</f>
        <v>9</v>
      </c>
      <c r="T287" s="1">
        <f>WORKDAY(B287,5)</f>
        <v>46258</v>
      </c>
      <c r="U287" t="b">
        <f>C287&gt;T287</f>
        <v>1</v>
      </c>
    </row>
    <row r="288" spans="1:21" x14ac:dyDescent="0.25">
      <c r="A288" t="s">
        <v>362</v>
      </c>
      <c r="B288" s="1">
        <v>46251</v>
      </c>
      <c r="C288" s="1">
        <v>46262</v>
      </c>
      <c r="D288" t="s">
        <v>363</v>
      </c>
      <c r="E288" t="s">
        <v>229</v>
      </c>
      <c r="F288" t="s">
        <v>55</v>
      </c>
      <c r="G288" t="s">
        <v>56</v>
      </c>
      <c r="H288" t="s">
        <v>72</v>
      </c>
      <c r="I288" s="2">
        <v>1</v>
      </c>
      <c r="J288" s="3">
        <v>179</v>
      </c>
      <c r="K288" s="4">
        <v>0</v>
      </c>
      <c r="L288" s="3">
        <v>179</v>
      </c>
      <c r="M288" t="b">
        <v>1</v>
      </c>
      <c r="N288" s="2">
        <f>YEAR(B288)</f>
        <v>2026</v>
      </c>
      <c r="O288" t="str">
        <f>INDEX(Agences!$C:$C,MATCH(F288,Agences!$A:$A,0))</f>
        <v>Est</v>
      </c>
      <c r="P288" t="str">
        <f>INDEX(Produits!$C:$C,MATCH(H288,Produits!$A:$A,0))</f>
        <v>Informatique</v>
      </c>
      <c r="Q288" s="3">
        <f>I288*INDEX(Produits!$E:$E,MATCH(H288,Produits!$A:$A,0))</f>
        <v>146.78</v>
      </c>
      <c r="R288" s="3">
        <f>L288-Q288</f>
        <v>32.22</v>
      </c>
      <c r="S288" s="2">
        <f>NETWORKDAYS(B288,C288)-1</f>
        <v>9</v>
      </c>
      <c r="T288" s="1">
        <f>WORKDAY(B288,5)</f>
        <v>46258</v>
      </c>
      <c r="U288" t="b">
        <f>C288&gt;T288</f>
        <v>1</v>
      </c>
    </row>
    <row r="289" spans="1:21" x14ac:dyDescent="0.25">
      <c r="A289" t="s">
        <v>362</v>
      </c>
      <c r="B289" s="1">
        <v>46251</v>
      </c>
      <c r="C289" s="1">
        <v>46262</v>
      </c>
      <c r="D289" t="s">
        <v>363</v>
      </c>
      <c r="E289" t="s">
        <v>229</v>
      </c>
      <c r="F289" t="s">
        <v>55</v>
      </c>
      <c r="G289" t="s">
        <v>56</v>
      </c>
      <c r="H289" t="s">
        <v>79</v>
      </c>
      <c r="I289" s="2">
        <v>5</v>
      </c>
      <c r="J289" s="3">
        <v>14.9</v>
      </c>
      <c r="K289" s="4">
        <v>0</v>
      </c>
      <c r="L289" s="3">
        <v>74.5</v>
      </c>
      <c r="M289" t="b">
        <v>1</v>
      </c>
      <c r="N289" s="2">
        <f>YEAR(B289)</f>
        <v>2026</v>
      </c>
      <c r="O289" t="str">
        <f>INDEX(Agences!$C:$C,MATCH(F289,Agences!$A:$A,0))</f>
        <v>Est</v>
      </c>
      <c r="P289" t="str">
        <f>INDEX(Produits!$C:$C,MATCH(H289,Produits!$A:$A,0))</f>
        <v>Fournitures</v>
      </c>
      <c r="Q289" s="3">
        <f>I289*INDEX(Produits!$E:$E,MATCH(H289,Produits!$A:$A,0))</f>
        <v>40.25</v>
      </c>
      <c r="R289" s="3">
        <f>L289-Q289</f>
        <v>34.25</v>
      </c>
      <c r="S289" s="2">
        <f>NETWORKDAYS(B289,C289)-1</f>
        <v>9</v>
      </c>
      <c r="T289" s="1">
        <f>WORKDAY(B289,5)</f>
        <v>46258</v>
      </c>
      <c r="U289" t="b">
        <f>C289&gt;T289</f>
        <v>1</v>
      </c>
    </row>
    <row r="290" spans="1:21" x14ac:dyDescent="0.25">
      <c r="A290" t="s">
        <v>364</v>
      </c>
      <c r="B290" s="1">
        <v>46248</v>
      </c>
      <c r="C290" s="1">
        <v>46252</v>
      </c>
      <c r="D290" t="s">
        <v>365</v>
      </c>
      <c r="E290" t="s">
        <v>119</v>
      </c>
      <c r="F290" t="s">
        <v>24</v>
      </c>
      <c r="G290" t="s">
        <v>25</v>
      </c>
      <c r="H290" t="s">
        <v>83</v>
      </c>
      <c r="I290" s="2">
        <v>2</v>
      </c>
      <c r="J290" s="3">
        <v>49</v>
      </c>
      <c r="K290" s="4">
        <v>0</v>
      </c>
      <c r="L290" s="3">
        <v>98</v>
      </c>
      <c r="M290" t="b">
        <v>1</v>
      </c>
      <c r="N290" s="2">
        <f>YEAR(B290)</f>
        <v>2026</v>
      </c>
      <c r="O290" t="str">
        <f>INDEX(Agences!$C:$C,MATCH(F290,Agences!$A:$A,0))</f>
        <v>Nord</v>
      </c>
      <c r="P290" t="str">
        <f>INDEX(Produits!$C:$C,MATCH(H290,Produits!$A:$A,0))</f>
        <v>Mobilier</v>
      </c>
      <c r="Q290" s="3">
        <f>I290*INDEX(Produits!$E:$E,MATCH(H290,Produits!$A:$A,0))</f>
        <v>56.84</v>
      </c>
      <c r="R290" s="3">
        <f>L290-Q290</f>
        <v>41.16</v>
      </c>
      <c r="S290" s="2">
        <f>NETWORKDAYS(B290,C290)-1</f>
        <v>2</v>
      </c>
      <c r="T290" s="1">
        <f>WORKDAY(B290,5)</f>
        <v>46255</v>
      </c>
      <c r="U290" t="b">
        <f>C290&gt;T290</f>
        <v>0</v>
      </c>
    </row>
    <row r="291" spans="1:21" x14ac:dyDescent="0.25">
      <c r="A291" t="s">
        <v>364</v>
      </c>
      <c r="B291" s="1">
        <v>46248</v>
      </c>
      <c r="C291" s="1">
        <v>46252</v>
      </c>
      <c r="D291" t="s">
        <v>365</v>
      </c>
      <c r="E291" t="s">
        <v>119</v>
      </c>
      <c r="F291" t="s">
        <v>24</v>
      </c>
      <c r="G291" t="s">
        <v>25</v>
      </c>
      <c r="H291" t="s">
        <v>64</v>
      </c>
      <c r="I291" s="2">
        <v>5</v>
      </c>
      <c r="J291" s="3">
        <v>16.8</v>
      </c>
      <c r="K291" s="4">
        <v>0.05</v>
      </c>
      <c r="L291" s="3">
        <v>79.8</v>
      </c>
      <c r="M291" t="b">
        <v>1</v>
      </c>
      <c r="N291" s="2">
        <f>YEAR(B291)</f>
        <v>2026</v>
      </c>
      <c r="O291" t="str">
        <f>INDEX(Agences!$C:$C,MATCH(F291,Agences!$A:$A,0))</f>
        <v>Nord</v>
      </c>
      <c r="P291" t="str">
        <f>INDEX(Produits!$C:$C,MATCH(H291,Produits!$A:$A,0))</f>
        <v>Fournitures</v>
      </c>
      <c r="Q291" s="3">
        <f>I291*INDEX(Produits!$E:$E,MATCH(H291,Produits!$A:$A,0))</f>
        <v>43.7</v>
      </c>
      <c r="R291" s="3">
        <f>L291-Q291</f>
        <v>36.099999999999994</v>
      </c>
      <c r="S291" s="2">
        <f>NETWORKDAYS(B291,C291)-1</f>
        <v>2</v>
      </c>
      <c r="T291" s="1">
        <f>WORKDAY(B291,5)</f>
        <v>46255</v>
      </c>
      <c r="U291" t="b">
        <f>C291&gt;T291</f>
        <v>0</v>
      </c>
    </row>
    <row r="292" spans="1:21" x14ac:dyDescent="0.25">
      <c r="A292" t="s">
        <v>366</v>
      </c>
      <c r="B292" s="1">
        <v>46248</v>
      </c>
      <c r="C292" s="1">
        <v>46252</v>
      </c>
      <c r="D292" t="s">
        <v>367</v>
      </c>
      <c r="E292" t="s">
        <v>175</v>
      </c>
      <c r="F292" t="s">
        <v>76</v>
      </c>
      <c r="G292" t="s">
        <v>77</v>
      </c>
      <c r="H292" t="s">
        <v>107</v>
      </c>
      <c r="I292" s="2">
        <v>1</v>
      </c>
      <c r="J292" s="3">
        <v>99</v>
      </c>
      <c r="K292" s="4">
        <v>0.08</v>
      </c>
      <c r="L292" s="3">
        <v>91.08</v>
      </c>
      <c r="M292" t="b">
        <v>1</v>
      </c>
      <c r="N292" s="2">
        <f>YEAR(B292)</f>
        <v>2026</v>
      </c>
      <c r="O292" t="str">
        <f>INDEX(Agences!$C:$C,MATCH(F292,Agences!$A:$A,0))</f>
        <v>Île-de-France</v>
      </c>
      <c r="P292" t="str">
        <f>INDEX(Produits!$C:$C,MATCH(H292,Produits!$A:$A,0))</f>
        <v>Informatique</v>
      </c>
      <c r="Q292" s="3">
        <f>I292*INDEX(Produits!$E:$E,MATCH(H292,Produits!$A:$A,0))</f>
        <v>75.24</v>
      </c>
      <c r="R292" s="3">
        <f>L292-Q292</f>
        <v>15.840000000000003</v>
      </c>
      <c r="S292" s="2">
        <f>NETWORKDAYS(B292,C292)-1</f>
        <v>2</v>
      </c>
      <c r="T292" s="1">
        <f>WORKDAY(B292,5)</f>
        <v>46255</v>
      </c>
      <c r="U292" t="b">
        <f>C292&gt;T292</f>
        <v>0</v>
      </c>
    </row>
    <row r="293" spans="1:21" x14ac:dyDescent="0.25">
      <c r="A293" t="s">
        <v>368</v>
      </c>
      <c r="B293" s="1">
        <v>46248</v>
      </c>
      <c r="C293" s="1">
        <v>46252</v>
      </c>
      <c r="D293" t="s">
        <v>369</v>
      </c>
      <c r="E293" t="s">
        <v>157</v>
      </c>
      <c r="F293" t="s">
        <v>46</v>
      </c>
      <c r="G293" t="s">
        <v>158</v>
      </c>
      <c r="H293" t="s">
        <v>79</v>
      </c>
      <c r="I293" s="2">
        <v>10</v>
      </c>
      <c r="J293" s="3">
        <v>14.9</v>
      </c>
      <c r="K293" s="4">
        <v>0.02</v>
      </c>
      <c r="L293" s="3">
        <v>146.02</v>
      </c>
      <c r="M293" t="b">
        <v>1</v>
      </c>
      <c r="N293" s="2">
        <f>YEAR(B293)</f>
        <v>2026</v>
      </c>
      <c r="O293" t="str">
        <f>INDEX(Agences!$C:$C,MATCH(F293,Agences!$A:$A,0))</f>
        <v>Est</v>
      </c>
      <c r="P293" t="str">
        <f>INDEX(Produits!$C:$C,MATCH(H293,Produits!$A:$A,0))</f>
        <v>Fournitures</v>
      </c>
      <c r="Q293" s="3">
        <f>I293*INDEX(Produits!$E:$E,MATCH(H293,Produits!$A:$A,0))</f>
        <v>80.5</v>
      </c>
      <c r="R293" s="3">
        <f>L293-Q293</f>
        <v>65.52000000000001</v>
      </c>
      <c r="S293" s="2">
        <f>NETWORKDAYS(B293,C293)-1</f>
        <v>2</v>
      </c>
      <c r="T293" s="1">
        <f>WORKDAY(B293,5)</f>
        <v>46255</v>
      </c>
      <c r="U293" t="b">
        <f>C293&gt;T293</f>
        <v>0</v>
      </c>
    </row>
    <row r="294" spans="1:21" x14ac:dyDescent="0.25">
      <c r="A294" t="s">
        <v>368</v>
      </c>
      <c r="B294" s="1">
        <v>46248</v>
      </c>
      <c r="C294" s="1">
        <v>46252</v>
      </c>
      <c r="D294" t="s">
        <v>369</v>
      </c>
      <c r="E294" t="s">
        <v>157</v>
      </c>
      <c r="F294" t="s">
        <v>46</v>
      </c>
      <c r="G294" t="s">
        <v>158</v>
      </c>
      <c r="H294" t="s">
        <v>83</v>
      </c>
      <c r="I294" s="2">
        <v>1</v>
      </c>
      <c r="J294" s="3">
        <v>49</v>
      </c>
      <c r="K294" s="4">
        <v>0</v>
      </c>
      <c r="L294" s="3">
        <v>49</v>
      </c>
      <c r="M294" t="b">
        <v>1</v>
      </c>
      <c r="N294" s="2">
        <f>YEAR(B294)</f>
        <v>2026</v>
      </c>
      <c r="O294" t="str">
        <f>INDEX(Agences!$C:$C,MATCH(F294,Agences!$A:$A,0))</f>
        <v>Est</v>
      </c>
      <c r="P294" t="str">
        <f>INDEX(Produits!$C:$C,MATCH(H294,Produits!$A:$A,0))</f>
        <v>Mobilier</v>
      </c>
      <c r="Q294" s="3">
        <f>I294*INDEX(Produits!$E:$E,MATCH(H294,Produits!$A:$A,0))</f>
        <v>28.42</v>
      </c>
      <c r="R294" s="3">
        <f>L294-Q294</f>
        <v>20.58</v>
      </c>
      <c r="S294" s="2">
        <f>NETWORKDAYS(B294,C294)-1</f>
        <v>2</v>
      </c>
      <c r="T294" s="1">
        <f>WORKDAY(B294,5)</f>
        <v>46255</v>
      </c>
      <c r="U294" t="b">
        <f>C294&gt;T294</f>
        <v>0</v>
      </c>
    </row>
    <row r="295" spans="1:21" x14ac:dyDescent="0.25">
      <c r="A295" t="s">
        <v>370</v>
      </c>
      <c r="B295" s="1">
        <v>46247</v>
      </c>
      <c r="C295" s="1">
        <v>46248</v>
      </c>
      <c r="D295" t="s">
        <v>371</v>
      </c>
      <c r="E295" t="s">
        <v>126</v>
      </c>
      <c r="F295" t="s">
        <v>99</v>
      </c>
      <c r="G295" t="s">
        <v>265</v>
      </c>
      <c r="H295" t="s">
        <v>49</v>
      </c>
      <c r="I295" s="2">
        <v>1</v>
      </c>
      <c r="J295" s="3">
        <v>120</v>
      </c>
      <c r="K295" s="4">
        <v>0</v>
      </c>
      <c r="L295" s="3">
        <v>120</v>
      </c>
      <c r="M295" t="b">
        <v>1</v>
      </c>
      <c r="N295" s="2">
        <f>YEAR(B295)</f>
        <v>2026</v>
      </c>
      <c r="O295" t="str">
        <f>INDEX(Agences!$C:$C,MATCH(F295,Agences!$A:$A,0))</f>
        <v>Nord</v>
      </c>
      <c r="P295" t="str">
        <f>INDEX(Produits!$C:$C,MATCH(H295,Produits!$A:$A,0))</f>
        <v>Maintenance</v>
      </c>
      <c r="Q295" s="3">
        <f>I295*INDEX(Produits!$E:$E,MATCH(H295,Produits!$A:$A,0))</f>
        <v>55.2</v>
      </c>
      <c r="R295" s="3">
        <f>L295-Q295</f>
        <v>64.8</v>
      </c>
      <c r="S295" s="2">
        <f>NETWORKDAYS(B295,C295)-1</f>
        <v>1</v>
      </c>
      <c r="T295" s="1">
        <f>WORKDAY(B295,5)</f>
        <v>46254</v>
      </c>
      <c r="U295" t="b">
        <f>C295&gt;T295</f>
        <v>0</v>
      </c>
    </row>
    <row r="296" spans="1:21" x14ac:dyDescent="0.25">
      <c r="A296" t="s">
        <v>372</v>
      </c>
      <c r="B296" s="1">
        <v>46247</v>
      </c>
      <c r="C296" s="1">
        <v>46252</v>
      </c>
      <c r="D296" t="s">
        <v>373</v>
      </c>
      <c r="E296" t="s">
        <v>374</v>
      </c>
      <c r="F296" t="s">
        <v>31</v>
      </c>
      <c r="G296" t="s">
        <v>375</v>
      </c>
      <c r="H296" t="s">
        <v>83</v>
      </c>
      <c r="I296" s="2">
        <v>1</v>
      </c>
      <c r="J296" s="3">
        <v>49</v>
      </c>
      <c r="K296" s="4">
        <v>0.1</v>
      </c>
      <c r="L296" s="3">
        <v>44.1</v>
      </c>
      <c r="M296" t="b">
        <v>1</v>
      </c>
      <c r="N296" s="2">
        <f>YEAR(B296)</f>
        <v>2026</v>
      </c>
      <c r="O296" t="str">
        <f>INDEX(Agences!$C:$C,MATCH(F296,Agences!$A:$A,0))</f>
        <v>Ouest</v>
      </c>
      <c r="P296" t="str">
        <f>INDEX(Produits!$C:$C,MATCH(H296,Produits!$A:$A,0))</f>
        <v>Mobilier</v>
      </c>
      <c r="Q296" s="3">
        <f>I296*INDEX(Produits!$E:$E,MATCH(H296,Produits!$A:$A,0))</f>
        <v>28.42</v>
      </c>
      <c r="R296" s="3">
        <f>L296-Q296</f>
        <v>15.68</v>
      </c>
      <c r="S296" s="2">
        <f>NETWORKDAYS(B296,C296)-1</f>
        <v>3</v>
      </c>
      <c r="T296" s="1">
        <f>WORKDAY(B296,5)</f>
        <v>46254</v>
      </c>
      <c r="U296" t="b">
        <f>C296&gt;T296</f>
        <v>0</v>
      </c>
    </row>
    <row r="297" spans="1:21" x14ac:dyDescent="0.25">
      <c r="A297" t="s">
        <v>372</v>
      </c>
      <c r="B297" s="1">
        <v>46247</v>
      </c>
      <c r="C297" s="1">
        <v>46252</v>
      </c>
      <c r="D297" t="s">
        <v>373</v>
      </c>
      <c r="E297" t="s">
        <v>374</v>
      </c>
      <c r="F297" t="s">
        <v>31</v>
      </c>
      <c r="G297" t="s">
        <v>375</v>
      </c>
      <c r="H297" t="s">
        <v>196</v>
      </c>
      <c r="I297" s="2">
        <v>10</v>
      </c>
      <c r="J297" s="3">
        <v>18.5</v>
      </c>
      <c r="K297" s="4">
        <v>0.02</v>
      </c>
      <c r="L297" s="3">
        <v>181.3</v>
      </c>
      <c r="M297" t="b">
        <v>1</v>
      </c>
      <c r="N297" s="2">
        <f>YEAR(B297)</f>
        <v>2026</v>
      </c>
      <c r="O297" t="str">
        <f>INDEX(Agences!$C:$C,MATCH(F297,Agences!$A:$A,0))</f>
        <v>Ouest</v>
      </c>
      <c r="P297" t="str">
        <f>INDEX(Produits!$C:$C,MATCH(H297,Produits!$A:$A,0))</f>
        <v>Fournitures</v>
      </c>
      <c r="Q297" s="3">
        <f>I297*INDEX(Produits!$E:$E,MATCH(H297,Produits!$A:$A,0))</f>
        <v>94.39999999999999</v>
      </c>
      <c r="R297" s="3">
        <f>L297-Q297</f>
        <v>86.90000000000002</v>
      </c>
      <c r="S297" s="2">
        <f>NETWORKDAYS(B297,C297)-1</f>
        <v>3</v>
      </c>
      <c r="T297" s="1">
        <f>WORKDAY(B297,5)</f>
        <v>46254</v>
      </c>
      <c r="U297" t="b">
        <f>C297&gt;T297</f>
        <v>0</v>
      </c>
    </row>
    <row r="298" spans="1:21" x14ac:dyDescent="0.25">
      <c r="A298" t="s">
        <v>372</v>
      </c>
      <c r="B298" s="1">
        <v>46247</v>
      </c>
      <c r="C298" s="1">
        <v>46252</v>
      </c>
      <c r="D298" t="s">
        <v>373</v>
      </c>
      <c r="E298" t="s">
        <v>374</v>
      </c>
      <c r="F298" t="s">
        <v>31</v>
      </c>
      <c r="G298" t="s">
        <v>375</v>
      </c>
      <c r="H298" t="s">
        <v>107</v>
      </c>
      <c r="I298" s="2">
        <v>1</v>
      </c>
      <c r="J298" s="3">
        <v>99</v>
      </c>
      <c r="K298" s="4">
        <v>0</v>
      </c>
      <c r="L298" s="3">
        <v>99</v>
      </c>
      <c r="M298" t="b">
        <v>1</v>
      </c>
      <c r="N298" s="2">
        <f>YEAR(B298)</f>
        <v>2026</v>
      </c>
      <c r="O298" t="str">
        <f>INDEX(Agences!$C:$C,MATCH(F298,Agences!$A:$A,0))</f>
        <v>Ouest</v>
      </c>
      <c r="P298" t="str">
        <f>INDEX(Produits!$C:$C,MATCH(H298,Produits!$A:$A,0))</f>
        <v>Informatique</v>
      </c>
      <c r="Q298" s="3">
        <f>I298*INDEX(Produits!$E:$E,MATCH(H298,Produits!$A:$A,0))</f>
        <v>75.24</v>
      </c>
      <c r="R298" s="3">
        <f>L298-Q298</f>
        <v>23.760000000000005</v>
      </c>
      <c r="S298" s="2">
        <f>NETWORKDAYS(B298,C298)-1</f>
        <v>3</v>
      </c>
      <c r="T298" s="1">
        <f>WORKDAY(B298,5)</f>
        <v>46254</v>
      </c>
      <c r="U298" t="b">
        <f>C298&gt;T298</f>
        <v>0</v>
      </c>
    </row>
    <row r="299" spans="1:21" x14ac:dyDescent="0.25">
      <c r="A299" t="s">
        <v>372</v>
      </c>
      <c r="B299" s="1">
        <v>46247</v>
      </c>
      <c r="C299" s="1">
        <v>46252</v>
      </c>
      <c r="D299" t="s">
        <v>373</v>
      </c>
      <c r="E299" t="s">
        <v>374</v>
      </c>
      <c r="F299" t="s">
        <v>31</v>
      </c>
      <c r="G299" t="s">
        <v>375</v>
      </c>
      <c r="H299" t="s">
        <v>42</v>
      </c>
      <c r="I299" s="2">
        <v>2</v>
      </c>
      <c r="J299" s="3">
        <v>55</v>
      </c>
      <c r="K299" s="4">
        <v>0</v>
      </c>
      <c r="L299" s="3">
        <v>110</v>
      </c>
      <c r="M299" t="b">
        <v>1</v>
      </c>
      <c r="N299" s="2">
        <f>YEAR(B299)</f>
        <v>2026</v>
      </c>
      <c r="O299" t="str">
        <f>INDEX(Agences!$C:$C,MATCH(F299,Agences!$A:$A,0))</f>
        <v>Ouest</v>
      </c>
      <c r="P299" t="str">
        <f>INDEX(Produits!$C:$C,MATCH(H299,Produits!$A:$A,0))</f>
        <v>Maintenance</v>
      </c>
      <c r="Q299" s="3">
        <f>I299*INDEX(Produits!$E:$E,MATCH(H299,Produits!$A:$A,0))</f>
        <v>49.5</v>
      </c>
      <c r="R299" s="3">
        <f>L299-Q299</f>
        <v>60.5</v>
      </c>
      <c r="S299" s="2">
        <f>NETWORKDAYS(B299,C299)-1</f>
        <v>3</v>
      </c>
      <c r="T299" s="1">
        <f>WORKDAY(B299,5)</f>
        <v>46254</v>
      </c>
      <c r="U299" t="b">
        <f>C299&gt;T299</f>
        <v>0</v>
      </c>
    </row>
    <row r="300" spans="1:21" x14ac:dyDescent="0.25">
      <c r="A300" t="s">
        <v>376</v>
      </c>
      <c r="B300" s="1">
        <v>46247</v>
      </c>
      <c r="C300" s="1">
        <v>46253</v>
      </c>
      <c r="D300" t="s">
        <v>377</v>
      </c>
      <c r="E300" t="s">
        <v>45</v>
      </c>
      <c r="F300" t="s">
        <v>46</v>
      </c>
      <c r="G300" t="s">
        <v>47</v>
      </c>
      <c r="H300" t="s">
        <v>107</v>
      </c>
      <c r="I300" s="2">
        <v>2</v>
      </c>
      <c r="J300" s="3">
        <v>99</v>
      </c>
      <c r="K300" s="4">
        <v>0</v>
      </c>
      <c r="L300" s="3">
        <v>198</v>
      </c>
      <c r="M300" t="b">
        <v>1</v>
      </c>
      <c r="N300" s="2">
        <f>YEAR(B300)</f>
        <v>2026</v>
      </c>
      <c r="O300" t="str">
        <f>INDEX(Agences!$C:$C,MATCH(F300,Agences!$A:$A,0))</f>
        <v>Est</v>
      </c>
      <c r="P300" t="str">
        <f>INDEX(Produits!$C:$C,MATCH(H300,Produits!$A:$A,0))</f>
        <v>Informatique</v>
      </c>
      <c r="Q300" s="3">
        <f>I300*INDEX(Produits!$E:$E,MATCH(H300,Produits!$A:$A,0))</f>
        <v>150.48</v>
      </c>
      <c r="R300" s="3">
        <f>L300-Q300</f>
        <v>47.52000000000001</v>
      </c>
      <c r="S300" s="2">
        <f>NETWORKDAYS(B300,C300)-1</f>
        <v>4</v>
      </c>
      <c r="T300" s="1">
        <f>WORKDAY(B300,5)</f>
        <v>46254</v>
      </c>
      <c r="U300" t="b">
        <f>C300&gt;T300</f>
        <v>0</v>
      </c>
    </row>
    <row r="301" spans="1:21" x14ac:dyDescent="0.25">
      <c r="A301" t="s">
        <v>376</v>
      </c>
      <c r="B301" s="1">
        <v>46247</v>
      </c>
      <c r="C301" s="1">
        <v>46253</v>
      </c>
      <c r="D301" t="s">
        <v>377</v>
      </c>
      <c r="E301" t="s">
        <v>45</v>
      </c>
      <c r="F301" t="s">
        <v>46</v>
      </c>
      <c r="G301" t="s">
        <v>47</v>
      </c>
      <c r="H301" t="s">
        <v>49</v>
      </c>
      <c r="I301" s="2">
        <v>2</v>
      </c>
      <c r="J301" s="3">
        <v>120</v>
      </c>
      <c r="K301" s="4">
        <v>0</v>
      </c>
      <c r="L301" s="3">
        <v>240</v>
      </c>
      <c r="M301" t="b">
        <v>1</v>
      </c>
      <c r="N301" s="2">
        <f>YEAR(B301)</f>
        <v>2026</v>
      </c>
      <c r="O301" t="str">
        <f>INDEX(Agences!$C:$C,MATCH(F301,Agences!$A:$A,0))</f>
        <v>Est</v>
      </c>
      <c r="P301" t="str">
        <f>INDEX(Produits!$C:$C,MATCH(H301,Produits!$A:$A,0))</f>
        <v>Maintenance</v>
      </c>
      <c r="Q301" s="3">
        <f>I301*INDEX(Produits!$E:$E,MATCH(H301,Produits!$A:$A,0))</f>
        <v>110.4</v>
      </c>
      <c r="R301" s="3">
        <f>L301-Q301</f>
        <v>129.6</v>
      </c>
      <c r="S301" s="2">
        <f>NETWORKDAYS(B301,C301)-1</f>
        <v>4</v>
      </c>
      <c r="T301" s="1">
        <f>WORKDAY(B301,5)</f>
        <v>46254</v>
      </c>
      <c r="U301" t="b">
        <f>C301&gt;T301</f>
        <v>0</v>
      </c>
    </row>
    <row r="302" spans="1:21" x14ac:dyDescent="0.25">
      <c r="A302" t="s">
        <v>376</v>
      </c>
      <c r="B302" s="1">
        <v>46247</v>
      </c>
      <c r="C302" s="1">
        <v>46253</v>
      </c>
      <c r="D302" t="s">
        <v>377</v>
      </c>
      <c r="E302" t="s">
        <v>45</v>
      </c>
      <c r="F302" t="s">
        <v>46</v>
      </c>
      <c r="G302" t="s">
        <v>47</v>
      </c>
      <c r="H302" t="s">
        <v>64</v>
      </c>
      <c r="I302" s="2">
        <v>10</v>
      </c>
      <c r="J302" s="3">
        <v>16.8</v>
      </c>
      <c r="K302" s="4">
        <v>0.02</v>
      </c>
      <c r="L302" s="3">
        <v>164.64</v>
      </c>
      <c r="M302" t="b">
        <v>1</v>
      </c>
      <c r="N302" s="2">
        <f>YEAR(B302)</f>
        <v>2026</v>
      </c>
      <c r="O302" t="str">
        <f>INDEX(Agences!$C:$C,MATCH(F302,Agences!$A:$A,0))</f>
        <v>Est</v>
      </c>
      <c r="P302" t="str">
        <f>INDEX(Produits!$C:$C,MATCH(H302,Produits!$A:$A,0))</f>
        <v>Fournitures</v>
      </c>
      <c r="Q302" s="3">
        <f>I302*INDEX(Produits!$E:$E,MATCH(H302,Produits!$A:$A,0))</f>
        <v>87.4</v>
      </c>
      <c r="R302" s="3">
        <f>L302-Q302</f>
        <v>77.23999999999998</v>
      </c>
      <c r="S302" s="2">
        <f>NETWORKDAYS(B302,C302)-1</f>
        <v>4</v>
      </c>
      <c r="T302" s="1">
        <f>WORKDAY(B302,5)</f>
        <v>46254</v>
      </c>
      <c r="U302" t="b">
        <f>C302&gt;T302</f>
        <v>0</v>
      </c>
    </row>
    <row r="303" spans="1:21" x14ac:dyDescent="0.25">
      <c r="A303" t="s">
        <v>376</v>
      </c>
      <c r="B303" s="1">
        <v>46247</v>
      </c>
      <c r="C303" s="1">
        <v>46253</v>
      </c>
      <c r="D303" t="s">
        <v>377</v>
      </c>
      <c r="E303" t="s">
        <v>45</v>
      </c>
      <c r="F303" t="s">
        <v>46</v>
      </c>
      <c r="G303" t="s">
        <v>47</v>
      </c>
      <c r="H303" t="s">
        <v>48</v>
      </c>
      <c r="I303" s="2">
        <v>3</v>
      </c>
      <c r="J303" s="3">
        <v>165</v>
      </c>
      <c r="K303" s="4">
        <v>0</v>
      </c>
      <c r="L303" s="3">
        <v>495</v>
      </c>
      <c r="M303" t="b">
        <v>1</v>
      </c>
      <c r="N303" s="2">
        <f>YEAR(B303)</f>
        <v>2026</v>
      </c>
      <c r="O303" t="str">
        <f>INDEX(Agences!$C:$C,MATCH(F303,Agences!$A:$A,0))</f>
        <v>Est</v>
      </c>
      <c r="P303" t="str">
        <f>INDEX(Produits!$C:$C,MATCH(H303,Produits!$A:$A,0))</f>
        <v>Mobilier</v>
      </c>
      <c r="Q303" s="3">
        <f>I303*INDEX(Produits!$E:$E,MATCH(H303,Produits!$A:$A,0))</f>
        <v>321.75</v>
      </c>
      <c r="R303" s="3">
        <f>L303-Q303</f>
        <v>173.25</v>
      </c>
      <c r="S303" s="2">
        <f>NETWORKDAYS(B303,C303)-1</f>
        <v>4</v>
      </c>
      <c r="T303" s="1">
        <f>WORKDAY(B303,5)</f>
        <v>46254</v>
      </c>
      <c r="U303" t="b">
        <f>C303&gt;T303</f>
        <v>0</v>
      </c>
    </row>
    <row r="304" spans="1:21" x14ac:dyDescent="0.25">
      <c r="A304" t="s">
        <v>378</v>
      </c>
      <c r="B304" s="1">
        <v>46246</v>
      </c>
      <c r="C304" s="1">
        <v>46252</v>
      </c>
      <c r="D304" t="s">
        <v>379</v>
      </c>
      <c r="E304" t="s">
        <v>374</v>
      </c>
      <c r="F304" t="s">
        <v>31</v>
      </c>
      <c r="G304" t="s">
        <v>32</v>
      </c>
      <c r="H304" t="s">
        <v>196</v>
      </c>
      <c r="I304" s="2">
        <v>5</v>
      </c>
      <c r="J304" s="3">
        <v>18.5</v>
      </c>
      <c r="K304" s="4">
        <v>0.05</v>
      </c>
      <c r="L304" s="3">
        <v>87.88</v>
      </c>
      <c r="M304" t="b">
        <v>1</v>
      </c>
      <c r="N304" s="2">
        <f>YEAR(B304)</f>
        <v>2026</v>
      </c>
      <c r="O304" t="str">
        <f>INDEX(Agences!$C:$C,MATCH(F304,Agences!$A:$A,0))</f>
        <v>Ouest</v>
      </c>
      <c r="P304" t="str">
        <f>INDEX(Produits!$C:$C,MATCH(H304,Produits!$A:$A,0))</f>
        <v>Fournitures</v>
      </c>
      <c r="Q304" s="3">
        <f>I304*INDEX(Produits!$E:$E,MATCH(H304,Produits!$A:$A,0))</f>
        <v>47.199999999999996</v>
      </c>
      <c r="R304" s="3">
        <f>L304-Q304</f>
        <v>40.68</v>
      </c>
      <c r="S304" s="2">
        <f>NETWORKDAYS(B304,C304)-1</f>
        <v>4</v>
      </c>
      <c r="T304" s="1">
        <f>WORKDAY(B304,5)</f>
        <v>46253</v>
      </c>
      <c r="U304" t="b">
        <f>C304&gt;T304</f>
        <v>0</v>
      </c>
    </row>
    <row r="305" spans="1:21" x14ac:dyDescent="0.25">
      <c r="A305" t="s">
        <v>378</v>
      </c>
      <c r="B305" s="1">
        <v>46246</v>
      </c>
      <c r="C305" s="1">
        <v>46252</v>
      </c>
      <c r="D305" t="s">
        <v>379</v>
      </c>
      <c r="E305" t="s">
        <v>374</v>
      </c>
      <c r="F305" t="s">
        <v>31</v>
      </c>
      <c r="G305" t="s">
        <v>32</v>
      </c>
      <c r="H305" t="s">
        <v>57</v>
      </c>
      <c r="I305" s="2">
        <v>2</v>
      </c>
      <c r="J305" s="3">
        <v>149</v>
      </c>
      <c r="K305" s="4">
        <v>0</v>
      </c>
      <c r="L305" s="3">
        <v>298</v>
      </c>
      <c r="M305" t="b">
        <v>1</v>
      </c>
      <c r="N305" s="2">
        <f>YEAR(B305)</f>
        <v>2026</v>
      </c>
      <c r="O305" t="str">
        <f>INDEX(Agences!$C:$C,MATCH(F305,Agences!$A:$A,0))</f>
        <v>Ouest</v>
      </c>
      <c r="P305" t="str">
        <f>INDEX(Produits!$C:$C,MATCH(H305,Produits!$A:$A,0))</f>
        <v>Informatique</v>
      </c>
      <c r="Q305" s="3">
        <f>I305*INDEX(Produits!$E:$E,MATCH(H305,Produits!$A:$A,0))</f>
        <v>229.46</v>
      </c>
      <c r="R305" s="3">
        <f>L305-Q305</f>
        <v>68.53999999999999</v>
      </c>
      <c r="S305" s="2">
        <f>NETWORKDAYS(B305,C305)-1</f>
        <v>4</v>
      </c>
      <c r="T305" s="1">
        <f>WORKDAY(B305,5)</f>
        <v>46253</v>
      </c>
      <c r="U305" t="b">
        <f>C305&gt;T305</f>
        <v>0</v>
      </c>
    </row>
    <row r="306" spans="1:21" x14ac:dyDescent="0.25">
      <c r="A306" t="s">
        <v>380</v>
      </c>
      <c r="B306" s="1">
        <v>46246</v>
      </c>
      <c r="C306" s="1">
        <v>46247</v>
      </c>
      <c r="D306" t="s">
        <v>381</v>
      </c>
      <c r="E306" t="s">
        <v>157</v>
      </c>
      <c r="F306" t="s">
        <v>46</v>
      </c>
      <c r="G306" t="s">
        <v>47</v>
      </c>
      <c r="H306" t="s">
        <v>162</v>
      </c>
      <c r="I306" s="2">
        <v>1</v>
      </c>
      <c r="J306" s="3">
        <v>289</v>
      </c>
      <c r="K306" s="4">
        <v>0</v>
      </c>
      <c r="L306" s="3">
        <v>289</v>
      </c>
      <c r="M306" t="b">
        <v>1</v>
      </c>
      <c r="N306" s="2">
        <f>YEAR(B306)</f>
        <v>2026</v>
      </c>
      <c r="O306" t="str">
        <f>INDEX(Agences!$C:$C,MATCH(F306,Agences!$A:$A,0))</f>
        <v>Est</v>
      </c>
      <c r="P306" t="str">
        <f>INDEX(Produits!$C:$C,MATCH(H306,Produits!$A:$A,0))</f>
        <v>Mobilier</v>
      </c>
      <c r="Q306" s="3">
        <f>I306*INDEX(Produits!$E:$E,MATCH(H306,Produits!$A:$A,0))</f>
        <v>193.63</v>
      </c>
      <c r="R306" s="3">
        <f>L306-Q306</f>
        <v>95.37</v>
      </c>
      <c r="S306" s="2">
        <f>NETWORKDAYS(B306,C306)-1</f>
        <v>1</v>
      </c>
      <c r="T306" s="1">
        <f>WORKDAY(B306,5)</f>
        <v>46253</v>
      </c>
      <c r="U306" t="b">
        <f>C306&gt;T306</f>
        <v>0</v>
      </c>
    </row>
    <row r="307" spans="1:21" x14ac:dyDescent="0.25">
      <c r="A307" t="s">
        <v>380</v>
      </c>
      <c r="B307" s="1">
        <v>46246</v>
      </c>
      <c r="C307" s="1">
        <v>46247</v>
      </c>
      <c r="D307" t="s">
        <v>381</v>
      </c>
      <c r="E307" t="s">
        <v>157</v>
      </c>
      <c r="F307" t="s">
        <v>46</v>
      </c>
      <c r="G307" t="s">
        <v>47</v>
      </c>
      <c r="H307" t="s">
        <v>42</v>
      </c>
      <c r="I307" s="2">
        <v>1</v>
      </c>
      <c r="J307" s="3">
        <v>55</v>
      </c>
      <c r="K307" s="4">
        <v>0.02</v>
      </c>
      <c r="L307" s="3">
        <v>53.9</v>
      </c>
      <c r="M307" t="b">
        <v>1</v>
      </c>
      <c r="N307" s="2">
        <f>YEAR(B307)</f>
        <v>2026</v>
      </c>
      <c r="O307" t="str">
        <f>INDEX(Agences!$C:$C,MATCH(F307,Agences!$A:$A,0))</f>
        <v>Est</v>
      </c>
      <c r="P307" t="str">
        <f>INDEX(Produits!$C:$C,MATCH(H307,Produits!$A:$A,0))</f>
        <v>Maintenance</v>
      </c>
      <c r="Q307" s="3">
        <f>I307*INDEX(Produits!$E:$E,MATCH(H307,Produits!$A:$A,0))</f>
        <v>24.75</v>
      </c>
      <c r="R307" s="3">
        <f>L307-Q307</f>
        <v>29.15</v>
      </c>
      <c r="S307" s="2">
        <f>NETWORKDAYS(B307,C307)-1</f>
        <v>1</v>
      </c>
      <c r="T307" s="1">
        <f>WORKDAY(B307,5)</f>
        <v>46253</v>
      </c>
      <c r="U307" t="b">
        <f>C307&gt;T307</f>
        <v>0</v>
      </c>
    </row>
    <row r="308" spans="1:21" x14ac:dyDescent="0.25">
      <c r="A308" t="s">
        <v>382</v>
      </c>
      <c r="B308" s="1">
        <v>46246</v>
      </c>
      <c r="C308" s="1">
        <v>46247</v>
      </c>
      <c r="D308" t="s">
        <v>383</v>
      </c>
      <c r="E308" t="s">
        <v>384</v>
      </c>
      <c r="F308" t="s">
        <v>46</v>
      </c>
      <c r="G308" t="s">
        <v>158</v>
      </c>
      <c r="H308" t="s">
        <v>33</v>
      </c>
      <c r="I308" s="2">
        <v>4</v>
      </c>
      <c r="J308" s="3">
        <v>219</v>
      </c>
      <c r="K308" s="4">
        <v>0.02</v>
      </c>
      <c r="L308" s="3">
        <v>858.48</v>
      </c>
      <c r="M308" t="b">
        <v>1</v>
      </c>
      <c r="N308" s="2">
        <f>YEAR(B308)</f>
        <v>2026</v>
      </c>
      <c r="O308" t="str">
        <f>INDEX(Agences!$C:$C,MATCH(F308,Agences!$A:$A,0))</f>
        <v>Est</v>
      </c>
      <c r="P308" t="str">
        <f>INDEX(Produits!$C:$C,MATCH(H308,Produits!$A:$A,0))</f>
        <v>Informatique</v>
      </c>
      <c r="Q308" s="3">
        <f>I308*INDEX(Produits!$E:$E,MATCH(H308,Produits!$A:$A,0))</f>
        <v>718.32</v>
      </c>
      <c r="R308" s="3">
        <f>L308-Q308</f>
        <v>140.15999999999997</v>
      </c>
      <c r="S308" s="2">
        <f>NETWORKDAYS(B308,C308)-1</f>
        <v>1</v>
      </c>
      <c r="T308" s="1">
        <f>WORKDAY(B308,5)</f>
        <v>46253</v>
      </c>
      <c r="U308" t="b">
        <f>C308&gt;T308</f>
        <v>0</v>
      </c>
    </row>
    <row r="309" spans="1:21" x14ac:dyDescent="0.25">
      <c r="A309" t="s">
        <v>385</v>
      </c>
      <c r="B309" s="1">
        <v>46245</v>
      </c>
      <c r="C309" s="1">
        <v>46252</v>
      </c>
      <c r="D309" t="s">
        <v>386</v>
      </c>
      <c r="E309" t="s">
        <v>172</v>
      </c>
      <c r="F309" t="s">
        <v>99</v>
      </c>
      <c r="G309" t="s">
        <v>100</v>
      </c>
      <c r="H309" t="s">
        <v>42</v>
      </c>
      <c r="I309" s="2">
        <v>1</v>
      </c>
      <c r="J309" s="3">
        <v>55</v>
      </c>
      <c r="K309" s="4">
        <v>0</v>
      </c>
      <c r="L309" s="3">
        <v>55</v>
      </c>
      <c r="M309" t="b">
        <v>1</v>
      </c>
      <c r="N309" s="2">
        <f>YEAR(B309)</f>
        <v>2026</v>
      </c>
      <c r="O309" t="str">
        <f>INDEX(Agences!$C:$C,MATCH(F309,Agences!$A:$A,0))</f>
        <v>Nord</v>
      </c>
      <c r="P309" t="str">
        <f>INDEX(Produits!$C:$C,MATCH(H309,Produits!$A:$A,0))</f>
        <v>Maintenance</v>
      </c>
      <c r="Q309" s="3">
        <f>I309*INDEX(Produits!$E:$E,MATCH(H309,Produits!$A:$A,0))</f>
        <v>24.75</v>
      </c>
      <c r="R309" s="3">
        <f>L309-Q309</f>
        <v>30.25</v>
      </c>
      <c r="S309" s="2">
        <f>NETWORKDAYS(B309,C309)-1</f>
        <v>5</v>
      </c>
      <c r="T309" s="1">
        <f>WORKDAY(B309,5)</f>
        <v>46252</v>
      </c>
      <c r="U309" t="b">
        <f>C309&gt;T309</f>
        <v>0</v>
      </c>
    </row>
    <row r="310" spans="1:21" x14ac:dyDescent="0.25">
      <c r="A310" t="s">
        <v>385</v>
      </c>
      <c r="B310" s="1">
        <v>46245</v>
      </c>
      <c r="C310" s="1">
        <v>46252</v>
      </c>
      <c r="D310" t="s">
        <v>386</v>
      </c>
      <c r="E310" t="s">
        <v>172</v>
      </c>
      <c r="F310" t="s">
        <v>99</v>
      </c>
      <c r="G310" t="s">
        <v>100</v>
      </c>
      <c r="H310" t="s">
        <v>35</v>
      </c>
      <c r="I310" s="2">
        <v>1</v>
      </c>
      <c r="J310" s="3">
        <v>79</v>
      </c>
      <c r="K310" s="4">
        <v>0</v>
      </c>
      <c r="L310" s="3">
        <v>79</v>
      </c>
      <c r="M310" t="b">
        <v>1</v>
      </c>
      <c r="N310" s="2">
        <f>YEAR(B310)</f>
        <v>2026</v>
      </c>
      <c r="O310" t="str">
        <f>INDEX(Agences!$C:$C,MATCH(F310,Agences!$A:$A,0))</f>
        <v>Nord</v>
      </c>
      <c r="P310" t="str">
        <f>INDEX(Produits!$C:$C,MATCH(H310,Produits!$A:$A,0))</f>
        <v>Mobilier</v>
      </c>
      <c r="Q310" s="3">
        <f>I310*INDEX(Produits!$E:$E,MATCH(H310,Produits!$A:$A,0))</f>
        <v>46.61</v>
      </c>
      <c r="R310" s="3">
        <f>L310-Q310</f>
        <v>32.39</v>
      </c>
      <c r="S310" s="2">
        <f>NETWORKDAYS(B310,C310)-1</f>
        <v>5</v>
      </c>
      <c r="T310" s="1">
        <f>WORKDAY(B310,5)</f>
        <v>46252</v>
      </c>
      <c r="U310" t="b">
        <f>C310&gt;T310</f>
        <v>0</v>
      </c>
    </row>
    <row r="311" spans="1:21" x14ac:dyDescent="0.25">
      <c r="A311" t="s">
        <v>387</v>
      </c>
      <c r="B311" s="1">
        <v>46245</v>
      </c>
      <c r="C311" s="1">
        <v>46248</v>
      </c>
      <c r="D311" t="s">
        <v>216</v>
      </c>
      <c r="E311" t="s">
        <v>202</v>
      </c>
      <c r="F311" t="s">
        <v>138</v>
      </c>
      <c r="G311" t="s">
        <v>139</v>
      </c>
      <c r="H311" t="s">
        <v>50</v>
      </c>
      <c r="I311" s="2">
        <v>1</v>
      </c>
      <c r="J311" s="3">
        <v>69</v>
      </c>
      <c r="K311" s="4">
        <v>0.08</v>
      </c>
      <c r="L311" s="3">
        <v>63.48</v>
      </c>
      <c r="M311" t="b">
        <v>1</v>
      </c>
      <c r="N311" s="2">
        <f>YEAR(B311)</f>
        <v>2026</v>
      </c>
      <c r="O311" t="str">
        <f>INDEX(Agences!$C:$C,MATCH(F311,Agences!$A:$A,0))</f>
        <v>Île-de-France</v>
      </c>
      <c r="P311" t="str">
        <f>INDEX(Produits!$C:$C,MATCH(H311,Produits!$A:$A,0))</f>
        <v>Informatique</v>
      </c>
      <c r="Q311" s="3">
        <f>I311*INDEX(Produits!$E:$E,MATCH(H311,Produits!$A:$A,0))</f>
        <v>54.51</v>
      </c>
      <c r="R311" s="3">
        <f>L311-Q311</f>
        <v>8.969999999999999</v>
      </c>
      <c r="S311" s="2">
        <f>NETWORKDAYS(B311,C311)-1</f>
        <v>3</v>
      </c>
      <c r="T311" s="1">
        <f>WORKDAY(B311,5)</f>
        <v>46252</v>
      </c>
      <c r="U311" t="b">
        <f>C311&gt;T311</f>
        <v>0</v>
      </c>
    </row>
    <row r="312" spans="1:21" x14ac:dyDescent="0.25">
      <c r="A312" t="s">
        <v>387</v>
      </c>
      <c r="B312" s="1">
        <v>46245</v>
      </c>
      <c r="C312" s="1">
        <v>46248</v>
      </c>
      <c r="D312" t="s">
        <v>216</v>
      </c>
      <c r="E312" t="s">
        <v>202</v>
      </c>
      <c r="F312" t="s">
        <v>138</v>
      </c>
      <c r="G312" t="s">
        <v>139</v>
      </c>
      <c r="H312" t="s">
        <v>57</v>
      </c>
      <c r="I312" s="2">
        <v>1</v>
      </c>
      <c r="J312" s="3">
        <v>149</v>
      </c>
      <c r="K312" s="4">
        <v>0.05</v>
      </c>
      <c r="L312" s="3">
        <v>141.55</v>
      </c>
      <c r="M312" t="b">
        <v>1</v>
      </c>
      <c r="N312" s="2">
        <f>YEAR(B312)</f>
        <v>2026</v>
      </c>
      <c r="O312" t="str">
        <f>INDEX(Agences!$C:$C,MATCH(F312,Agences!$A:$A,0))</f>
        <v>Île-de-France</v>
      </c>
      <c r="P312" t="str">
        <f>INDEX(Produits!$C:$C,MATCH(H312,Produits!$A:$A,0))</f>
        <v>Informatique</v>
      </c>
      <c r="Q312" s="3">
        <f>I312*INDEX(Produits!$E:$E,MATCH(H312,Produits!$A:$A,0))</f>
        <v>114.73</v>
      </c>
      <c r="R312" s="3">
        <f>L312-Q312</f>
        <v>26.820000000000007</v>
      </c>
      <c r="S312" s="2">
        <f>NETWORKDAYS(B312,C312)-1</f>
        <v>3</v>
      </c>
      <c r="T312" s="1">
        <f>WORKDAY(B312,5)</f>
        <v>46252</v>
      </c>
      <c r="U312" t="b">
        <f>C312&gt;T312</f>
        <v>0</v>
      </c>
    </row>
    <row r="313" spans="1:21" x14ac:dyDescent="0.25">
      <c r="A313" t="s">
        <v>387</v>
      </c>
      <c r="B313" s="1">
        <v>46245</v>
      </c>
      <c r="C313" s="1">
        <v>46248</v>
      </c>
      <c r="D313" t="s">
        <v>216</v>
      </c>
      <c r="E313" t="s">
        <v>202</v>
      </c>
      <c r="F313" t="s">
        <v>138</v>
      </c>
      <c r="G313" t="s">
        <v>139</v>
      </c>
      <c r="H313" t="s">
        <v>107</v>
      </c>
      <c r="I313" s="2">
        <v>1</v>
      </c>
      <c r="J313" s="3">
        <v>99</v>
      </c>
      <c r="K313" s="4">
        <v>0.05</v>
      </c>
      <c r="L313" s="3">
        <v>94.05</v>
      </c>
      <c r="M313" t="b">
        <v>1</v>
      </c>
      <c r="N313" s="2">
        <f>YEAR(B313)</f>
        <v>2026</v>
      </c>
      <c r="O313" t="str">
        <f>INDEX(Agences!$C:$C,MATCH(F313,Agences!$A:$A,0))</f>
        <v>Île-de-France</v>
      </c>
      <c r="P313" t="str">
        <f>INDEX(Produits!$C:$C,MATCH(H313,Produits!$A:$A,0))</f>
        <v>Informatique</v>
      </c>
      <c r="Q313" s="3">
        <f>I313*INDEX(Produits!$E:$E,MATCH(H313,Produits!$A:$A,0))</f>
        <v>75.24</v>
      </c>
      <c r="R313" s="3">
        <f>L313-Q313</f>
        <v>18.810000000000002</v>
      </c>
      <c r="S313" s="2">
        <f>NETWORKDAYS(B313,C313)-1</f>
        <v>3</v>
      </c>
      <c r="T313" s="1">
        <f>WORKDAY(B313,5)</f>
        <v>46252</v>
      </c>
      <c r="U313" t="b">
        <f>C313&gt;T313</f>
        <v>0</v>
      </c>
    </row>
    <row r="314" spans="1:21" x14ac:dyDescent="0.25">
      <c r="A314" t="s">
        <v>387</v>
      </c>
      <c r="B314" s="1">
        <v>46245</v>
      </c>
      <c r="C314" s="1">
        <v>46248</v>
      </c>
      <c r="D314" t="s">
        <v>216</v>
      </c>
      <c r="E314" t="s">
        <v>202</v>
      </c>
      <c r="F314" t="s">
        <v>138</v>
      </c>
      <c r="G314" t="s">
        <v>139</v>
      </c>
      <c r="H314" t="s">
        <v>49</v>
      </c>
      <c r="I314" s="2">
        <v>1</v>
      </c>
      <c r="J314" s="3">
        <v>120</v>
      </c>
      <c r="K314" s="4">
        <v>0.05</v>
      </c>
      <c r="L314" s="3">
        <v>114</v>
      </c>
      <c r="M314" t="b">
        <v>1</v>
      </c>
      <c r="N314" s="2">
        <f>YEAR(B314)</f>
        <v>2026</v>
      </c>
      <c r="O314" t="str">
        <f>INDEX(Agences!$C:$C,MATCH(F314,Agences!$A:$A,0))</f>
        <v>Île-de-France</v>
      </c>
      <c r="P314" t="str">
        <f>INDEX(Produits!$C:$C,MATCH(H314,Produits!$A:$A,0))</f>
        <v>Maintenance</v>
      </c>
      <c r="Q314" s="3">
        <f>I314*INDEX(Produits!$E:$E,MATCH(H314,Produits!$A:$A,0))</f>
        <v>55.2</v>
      </c>
      <c r="R314" s="3">
        <f>L314-Q314</f>
        <v>58.8</v>
      </c>
      <c r="S314" s="2">
        <f>NETWORKDAYS(B314,C314)-1</f>
        <v>3</v>
      </c>
      <c r="T314" s="1">
        <f>WORKDAY(B314,5)</f>
        <v>46252</v>
      </c>
      <c r="U314" t="b">
        <f>C314&gt;T314</f>
        <v>0</v>
      </c>
    </row>
    <row r="315" spans="1:21" x14ac:dyDescent="0.25">
      <c r="A315" t="s">
        <v>388</v>
      </c>
      <c r="B315" s="1">
        <v>46245</v>
      </c>
      <c r="C315" s="1">
        <v>46251</v>
      </c>
      <c r="D315" t="s">
        <v>389</v>
      </c>
      <c r="E315" t="s">
        <v>149</v>
      </c>
      <c r="F315" t="s">
        <v>88</v>
      </c>
      <c r="G315" t="s">
        <v>226</v>
      </c>
      <c r="H315" t="s">
        <v>162</v>
      </c>
      <c r="I315" s="2">
        <v>1</v>
      </c>
      <c r="J315" s="3">
        <v>289</v>
      </c>
      <c r="K315" s="4">
        <v>0</v>
      </c>
      <c r="L315" s="3">
        <v>289</v>
      </c>
      <c r="M315" t="b">
        <v>1</v>
      </c>
      <c r="N315" s="2">
        <f>YEAR(B315)</f>
        <v>2026</v>
      </c>
      <c r="O315" t="str">
        <f>INDEX(Agences!$C:$C,MATCH(F315,Agences!$A:$A,0))</f>
        <v>Sud-Ouest</v>
      </c>
      <c r="P315" t="str">
        <f>INDEX(Produits!$C:$C,MATCH(H315,Produits!$A:$A,0))</f>
        <v>Mobilier</v>
      </c>
      <c r="Q315" s="3">
        <f>I315*INDEX(Produits!$E:$E,MATCH(H315,Produits!$A:$A,0))</f>
        <v>193.63</v>
      </c>
      <c r="R315" s="3">
        <f>L315-Q315</f>
        <v>95.37</v>
      </c>
      <c r="S315" s="2">
        <f>NETWORKDAYS(B315,C315)-1</f>
        <v>4</v>
      </c>
      <c r="T315" s="1">
        <f>WORKDAY(B315,5)</f>
        <v>46252</v>
      </c>
      <c r="U315" t="b">
        <f>C315&gt;T315</f>
        <v>0</v>
      </c>
    </row>
    <row r="316" spans="1:21" x14ac:dyDescent="0.25">
      <c r="A316" t="s">
        <v>388</v>
      </c>
      <c r="B316" s="1">
        <v>46245</v>
      </c>
      <c r="C316" s="1">
        <v>46251</v>
      </c>
      <c r="D316" t="s">
        <v>389</v>
      </c>
      <c r="E316" t="s">
        <v>149</v>
      </c>
      <c r="F316" t="s">
        <v>88</v>
      </c>
      <c r="G316" t="s">
        <v>226</v>
      </c>
      <c r="H316" t="s">
        <v>57</v>
      </c>
      <c r="I316" s="2">
        <v>1</v>
      </c>
      <c r="J316" s="3">
        <v>149</v>
      </c>
      <c r="K316" s="4">
        <v>0</v>
      </c>
      <c r="L316" s="3">
        <v>149</v>
      </c>
      <c r="M316" t="b">
        <v>1</v>
      </c>
      <c r="N316" s="2">
        <f>YEAR(B316)</f>
        <v>2026</v>
      </c>
      <c r="O316" t="str">
        <f>INDEX(Agences!$C:$C,MATCH(F316,Agences!$A:$A,0))</f>
        <v>Sud-Ouest</v>
      </c>
      <c r="P316" t="str">
        <f>INDEX(Produits!$C:$C,MATCH(H316,Produits!$A:$A,0))</f>
        <v>Informatique</v>
      </c>
      <c r="Q316" s="3">
        <f>I316*INDEX(Produits!$E:$E,MATCH(H316,Produits!$A:$A,0))</f>
        <v>114.73</v>
      </c>
      <c r="R316" s="3">
        <f>L316-Q316</f>
        <v>34.269999999999996</v>
      </c>
      <c r="S316" s="2">
        <f>NETWORKDAYS(B316,C316)-1</f>
        <v>4</v>
      </c>
      <c r="T316" s="1">
        <f>WORKDAY(B316,5)</f>
        <v>46252</v>
      </c>
      <c r="U316" t="b">
        <f>C316&gt;T316</f>
        <v>0</v>
      </c>
    </row>
    <row r="317" spans="1:21" x14ac:dyDescent="0.25">
      <c r="A317" t="s">
        <v>388</v>
      </c>
      <c r="B317" s="1">
        <v>46245</v>
      </c>
      <c r="C317" s="1">
        <v>46251</v>
      </c>
      <c r="D317" t="s">
        <v>389</v>
      </c>
      <c r="E317" t="s">
        <v>149</v>
      </c>
      <c r="F317" t="s">
        <v>88</v>
      </c>
      <c r="G317" t="s">
        <v>226</v>
      </c>
      <c r="H317" t="s">
        <v>33</v>
      </c>
      <c r="I317" s="2">
        <v>3</v>
      </c>
      <c r="J317" s="3">
        <v>219</v>
      </c>
      <c r="K317" s="4">
        <v>0.1</v>
      </c>
      <c r="L317" s="3">
        <v>591.3</v>
      </c>
      <c r="M317" t="b">
        <v>1</v>
      </c>
      <c r="N317" s="2">
        <f>YEAR(B317)</f>
        <v>2026</v>
      </c>
      <c r="O317" t="str">
        <f>INDEX(Agences!$C:$C,MATCH(F317,Agences!$A:$A,0))</f>
        <v>Sud-Ouest</v>
      </c>
      <c r="P317" t="str">
        <f>INDEX(Produits!$C:$C,MATCH(H317,Produits!$A:$A,0))</f>
        <v>Informatique</v>
      </c>
      <c r="Q317" s="3">
        <f>I317*INDEX(Produits!$E:$E,MATCH(H317,Produits!$A:$A,0))</f>
        <v>538.74</v>
      </c>
      <c r="R317" s="3">
        <f>L317-Q317</f>
        <v>52.559999999999945</v>
      </c>
      <c r="S317" s="2">
        <f>NETWORKDAYS(B317,C317)-1</f>
        <v>4</v>
      </c>
      <c r="T317" s="1">
        <f>WORKDAY(B317,5)</f>
        <v>46252</v>
      </c>
      <c r="U317" t="b">
        <f>C317&gt;T317</f>
        <v>0</v>
      </c>
    </row>
    <row r="318" spans="1:21" x14ac:dyDescent="0.25">
      <c r="A318" t="s">
        <v>390</v>
      </c>
      <c r="B318" s="1">
        <v>46245</v>
      </c>
      <c r="C318" s="1">
        <v>46252</v>
      </c>
      <c r="D318" t="s">
        <v>391</v>
      </c>
      <c r="E318" t="s">
        <v>61</v>
      </c>
      <c r="F318" t="s">
        <v>62</v>
      </c>
      <c r="G318" t="s">
        <v>68</v>
      </c>
      <c r="H318" t="s">
        <v>83</v>
      </c>
      <c r="I318" s="2">
        <v>1</v>
      </c>
      <c r="J318" s="3">
        <v>49</v>
      </c>
      <c r="K318" s="4">
        <v>0</v>
      </c>
      <c r="L318" s="3">
        <v>49</v>
      </c>
      <c r="M318" t="b">
        <v>1</v>
      </c>
      <c r="N318" s="2">
        <f>YEAR(B318)</f>
        <v>2026</v>
      </c>
      <c r="O318" t="str">
        <f>INDEX(Agences!$C:$C,MATCH(F318,Agences!$A:$A,0))</f>
        <v>Méditerranée</v>
      </c>
      <c r="P318" t="str">
        <f>INDEX(Produits!$C:$C,MATCH(H318,Produits!$A:$A,0))</f>
        <v>Mobilier</v>
      </c>
      <c r="Q318" s="3">
        <f>I318*INDEX(Produits!$E:$E,MATCH(H318,Produits!$A:$A,0))</f>
        <v>28.42</v>
      </c>
      <c r="R318" s="3">
        <f>L318-Q318</f>
        <v>20.58</v>
      </c>
      <c r="S318" s="2">
        <f>NETWORKDAYS(B318,C318)-1</f>
        <v>5</v>
      </c>
      <c r="T318" s="1">
        <f>WORKDAY(B318,5)</f>
        <v>46252</v>
      </c>
      <c r="U318" t="b">
        <f>C318&gt;T318</f>
        <v>0</v>
      </c>
    </row>
    <row r="319" spans="1:21" x14ac:dyDescent="0.25">
      <c r="A319" t="s">
        <v>390</v>
      </c>
      <c r="B319" s="1">
        <v>46245</v>
      </c>
      <c r="C319" s="1">
        <v>46252</v>
      </c>
      <c r="D319" t="s">
        <v>391</v>
      </c>
      <c r="E319" t="s">
        <v>61</v>
      </c>
      <c r="F319" t="s">
        <v>62</v>
      </c>
      <c r="G319" t="s">
        <v>68</v>
      </c>
      <c r="H319" t="s">
        <v>79</v>
      </c>
      <c r="I319" s="2">
        <v>20</v>
      </c>
      <c r="J319" s="3">
        <v>14.9</v>
      </c>
      <c r="K319" s="4">
        <v>0</v>
      </c>
      <c r="L319" s="3">
        <v>298</v>
      </c>
      <c r="M319" t="b">
        <v>1</v>
      </c>
      <c r="N319" s="2">
        <f>YEAR(B319)</f>
        <v>2026</v>
      </c>
      <c r="O319" t="str">
        <f>INDEX(Agences!$C:$C,MATCH(F319,Agences!$A:$A,0))</f>
        <v>Méditerranée</v>
      </c>
      <c r="P319" t="str">
        <f>INDEX(Produits!$C:$C,MATCH(H319,Produits!$A:$A,0))</f>
        <v>Fournitures</v>
      </c>
      <c r="Q319" s="3">
        <f>I319*INDEX(Produits!$E:$E,MATCH(H319,Produits!$A:$A,0))</f>
        <v>161</v>
      </c>
      <c r="R319" s="3">
        <f>L319-Q319</f>
        <v>137</v>
      </c>
      <c r="S319" s="2">
        <f>NETWORKDAYS(B319,C319)-1</f>
        <v>5</v>
      </c>
      <c r="T319" s="1">
        <f>WORKDAY(B319,5)</f>
        <v>46252</v>
      </c>
      <c r="U319" t="b">
        <f>C319&gt;T319</f>
        <v>0</v>
      </c>
    </row>
    <row r="320" spans="1:21" x14ac:dyDescent="0.25">
      <c r="A320" t="s">
        <v>390</v>
      </c>
      <c r="B320" s="1">
        <v>46245</v>
      </c>
      <c r="C320" s="1">
        <v>46252</v>
      </c>
      <c r="D320" t="s">
        <v>391</v>
      </c>
      <c r="E320" t="s">
        <v>61</v>
      </c>
      <c r="F320" t="s">
        <v>62</v>
      </c>
      <c r="G320" t="s">
        <v>68</v>
      </c>
      <c r="H320" t="s">
        <v>51</v>
      </c>
      <c r="I320" s="2">
        <v>1</v>
      </c>
      <c r="J320" s="3">
        <v>180</v>
      </c>
      <c r="K320" s="4">
        <v>0</v>
      </c>
      <c r="L320" s="3">
        <v>180</v>
      </c>
      <c r="M320" t="b">
        <v>1</v>
      </c>
      <c r="N320" s="2">
        <f>YEAR(B320)</f>
        <v>2026</v>
      </c>
      <c r="O320" t="str">
        <f>INDEX(Agences!$C:$C,MATCH(F320,Agences!$A:$A,0))</f>
        <v>Méditerranée</v>
      </c>
      <c r="P320" t="str">
        <f>INDEX(Produits!$C:$C,MATCH(H320,Produits!$A:$A,0))</f>
        <v>Maintenance</v>
      </c>
      <c r="Q320" s="3">
        <f>I320*INDEX(Produits!$E:$E,MATCH(H320,Produits!$A:$A,0))</f>
        <v>82.8</v>
      </c>
      <c r="R320" s="3">
        <f>L320-Q320</f>
        <v>97.2</v>
      </c>
      <c r="S320" s="2">
        <f>NETWORKDAYS(B320,C320)-1</f>
        <v>5</v>
      </c>
      <c r="T320" s="1">
        <f>WORKDAY(B320,5)</f>
        <v>46252</v>
      </c>
      <c r="U320" t="b">
        <f>C320&gt;T320</f>
        <v>0</v>
      </c>
    </row>
    <row r="321" spans="1:21" x14ac:dyDescent="0.25">
      <c r="A321" t="s">
        <v>390</v>
      </c>
      <c r="B321" s="1">
        <v>46245</v>
      </c>
      <c r="C321" s="1">
        <v>46252</v>
      </c>
      <c r="D321" t="s">
        <v>391</v>
      </c>
      <c r="E321" t="s">
        <v>61</v>
      </c>
      <c r="F321" t="s">
        <v>62</v>
      </c>
      <c r="G321" t="s">
        <v>68</v>
      </c>
      <c r="H321" t="s">
        <v>35</v>
      </c>
      <c r="I321" s="2">
        <v>1</v>
      </c>
      <c r="J321" s="3">
        <v>79</v>
      </c>
      <c r="K321" s="4">
        <v>0.05</v>
      </c>
      <c r="L321" s="3">
        <v>75.05</v>
      </c>
      <c r="M321" t="b">
        <v>1</v>
      </c>
      <c r="N321" s="2">
        <f>YEAR(B321)</f>
        <v>2026</v>
      </c>
      <c r="O321" t="str">
        <f>INDEX(Agences!$C:$C,MATCH(F321,Agences!$A:$A,0))</f>
        <v>Méditerranée</v>
      </c>
      <c r="P321" t="str">
        <f>INDEX(Produits!$C:$C,MATCH(H321,Produits!$A:$A,0))</f>
        <v>Mobilier</v>
      </c>
      <c r="Q321" s="3">
        <f>I321*INDEX(Produits!$E:$E,MATCH(H321,Produits!$A:$A,0))</f>
        <v>46.61</v>
      </c>
      <c r="R321" s="3">
        <f>L321-Q321</f>
        <v>28.439999999999998</v>
      </c>
      <c r="S321" s="2">
        <f>NETWORKDAYS(B321,C321)-1</f>
        <v>5</v>
      </c>
      <c r="T321" s="1">
        <f>WORKDAY(B321,5)</f>
        <v>46252</v>
      </c>
      <c r="U321" t="b">
        <f>C321&gt;T321</f>
        <v>0</v>
      </c>
    </row>
    <row r="322" spans="1:21" x14ac:dyDescent="0.25">
      <c r="A322" t="s">
        <v>392</v>
      </c>
      <c r="B322" s="1">
        <v>46245</v>
      </c>
      <c r="C322" s="1">
        <v>46248</v>
      </c>
      <c r="D322" t="s">
        <v>393</v>
      </c>
      <c r="E322" t="s">
        <v>157</v>
      </c>
      <c r="F322" t="s">
        <v>46</v>
      </c>
      <c r="G322" t="s">
        <v>47</v>
      </c>
      <c r="H322" t="s">
        <v>48</v>
      </c>
      <c r="I322" s="2">
        <v>3</v>
      </c>
      <c r="J322" s="3">
        <v>165</v>
      </c>
      <c r="K322" s="4">
        <v>0.02</v>
      </c>
      <c r="L322" s="3">
        <v>485.1</v>
      </c>
      <c r="M322" t="b">
        <v>1</v>
      </c>
      <c r="N322" s="2">
        <f>YEAR(B322)</f>
        <v>2026</v>
      </c>
      <c r="O322" t="str">
        <f>INDEX(Agences!$C:$C,MATCH(F322,Agences!$A:$A,0))</f>
        <v>Est</v>
      </c>
      <c r="P322" t="str">
        <f>INDEX(Produits!$C:$C,MATCH(H322,Produits!$A:$A,0))</f>
        <v>Mobilier</v>
      </c>
      <c r="Q322" s="3">
        <f>I322*INDEX(Produits!$E:$E,MATCH(H322,Produits!$A:$A,0))</f>
        <v>321.75</v>
      </c>
      <c r="R322" s="3">
        <f>L322-Q322</f>
        <v>163.35000000000002</v>
      </c>
      <c r="S322" s="2">
        <f>NETWORKDAYS(B322,C322)-1</f>
        <v>3</v>
      </c>
      <c r="T322" s="1">
        <f>WORKDAY(B322,5)</f>
        <v>46252</v>
      </c>
      <c r="U322" t="b">
        <f>C322&gt;T322</f>
        <v>0</v>
      </c>
    </row>
    <row r="323" spans="1:21" x14ac:dyDescent="0.25">
      <c r="A323" t="s">
        <v>394</v>
      </c>
      <c r="B323" s="1">
        <v>46244</v>
      </c>
      <c r="C323" s="1">
        <v>46254</v>
      </c>
      <c r="D323" t="s">
        <v>395</v>
      </c>
      <c r="E323" t="s">
        <v>229</v>
      </c>
      <c r="F323" t="s">
        <v>55</v>
      </c>
      <c r="G323" t="s">
        <v>71</v>
      </c>
      <c r="H323" t="s">
        <v>33</v>
      </c>
      <c r="I323" s="2">
        <v>2</v>
      </c>
      <c r="J323" s="3">
        <v>219</v>
      </c>
      <c r="K323" s="4">
        <v>0</v>
      </c>
      <c r="L323" s="3">
        <v>438</v>
      </c>
      <c r="M323" t="b">
        <v>1</v>
      </c>
      <c r="N323" s="2">
        <f>YEAR(B323)</f>
        <v>2026</v>
      </c>
      <c r="O323" t="str">
        <f>INDEX(Agences!$C:$C,MATCH(F323,Agences!$A:$A,0))</f>
        <v>Est</v>
      </c>
      <c r="P323" t="str">
        <f>INDEX(Produits!$C:$C,MATCH(H323,Produits!$A:$A,0))</f>
        <v>Informatique</v>
      </c>
      <c r="Q323" s="3">
        <f>I323*INDEX(Produits!$E:$E,MATCH(H323,Produits!$A:$A,0))</f>
        <v>359.16</v>
      </c>
      <c r="R323" s="3">
        <f>L323-Q323</f>
        <v>78.83999999999997</v>
      </c>
      <c r="S323" s="2">
        <f>NETWORKDAYS(B323,C323)-1</f>
        <v>8</v>
      </c>
      <c r="T323" s="1">
        <f>WORKDAY(B323,5)</f>
        <v>46251</v>
      </c>
      <c r="U323" t="b">
        <f>C323&gt;T323</f>
        <v>1</v>
      </c>
    </row>
    <row r="324" spans="1:21" x14ac:dyDescent="0.25">
      <c r="A324" t="s">
        <v>396</v>
      </c>
      <c r="B324" s="1">
        <v>46241</v>
      </c>
      <c r="C324" s="1">
        <v>46246</v>
      </c>
      <c r="D324" t="s">
        <v>160</v>
      </c>
      <c r="E324" t="s">
        <v>137</v>
      </c>
      <c r="F324" t="s">
        <v>138</v>
      </c>
      <c r="G324" t="s">
        <v>139</v>
      </c>
      <c r="H324" t="s">
        <v>26</v>
      </c>
      <c r="I324" s="2">
        <v>1</v>
      </c>
      <c r="J324" s="3">
        <v>290</v>
      </c>
      <c r="K324" s="4">
        <v>0.05</v>
      </c>
      <c r="L324" s="3">
        <v>275.5</v>
      </c>
      <c r="M324" t="b">
        <v>1</v>
      </c>
      <c r="N324" s="2">
        <f>YEAR(B324)</f>
        <v>2026</v>
      </c>
      <c r="O324" t="str">
        <f>INDEX(Agences!$C:$C,MATCH(F324,Agences!$A:$A,0))</f>
        <v>Île-de-France</v>
      </c>
      <c r="P324" t="str">
        <f>INDEX(Produits!$C:$C,MATCH(H324,Produits!$A:$A,0))</f>
        <v>Maintenance</v>
      </c>
      <c r="Q324" s="3">
        <f>I324*INDEX(Produits!$E:$E,MATCH(H324,Produits!$A:$A,0))</f>
        <v>139.2</v>
      </c>
      <c r="R324" s="3">
        <f>L324-Q324</f>
        <v>136.3</v>
      </c>
      <c r="S324" s="2">
        <f>NETWORKDAYS(B324,C324)-1</f>
        <v>3</v>
      </c>
      <c r="T324" s="1">
        <f>WORKDAY(B324,5)</f>
        <v>46248</v>
      </c>
      <c r="U324" t="b">
        <f>C324&gt;T324</f>
        <v>0</v>
      </c>
    </row>
    <row r="325" spans="1:21" x14ac:dyDescent="0.25">
      <c r="A325" t="s">
        <v>396</v>
      </c>
      <c r="B325" s="1">
        <v>46241</v>
      </c>
      <c r="C325" s="1">
        <v>46246</v>
      </c>
      <c r="D325" t="s">
        <v>160</v>
      </c>
      <c r="E325" t="s">
        <v>137</v>
      </c>
      <c r="F325" t="s">
        <v>138</v>
      </c>
      <c r="G325" t="s">
        <v>139</v>
      </c>
      <c r="H325" t="s">
        <v>57</v>
      </c>
      <c r="I325" s="2">
        <v>1</v>
      </c>
      <c r="J325" s="3">
        <v>149</v>
      </c>
      <c r="K325" s="4">
        <v>0</v>
      </c>
      <c r="L325" s="3">
        <v>149</v>
      </c>
      <c r="M325" t="b">
        <v>1</v>
      </c>
      <c r="N325" s="2">
        <f>YEAR(B325)</f>
        <v>2026</v>
      </c>
      <c r="O325" t="str">
        <f>INDEX(Agences!$C:$C,MATCH(F325,Agences!$A:$A,0))</f>
        <v>Île-de-France</v>
      </c>
      <c r="P325" t="str">
        <f>INDEX(Produits!$C:$C,MATCH(H325,Produits!$A:$A,0))</f>
        <v>Informatique</v>
      </c>
      <c r="Q325" s="3">
        <f>I325*INDEX(Produits!$E:$E,MATCH(H325,Produits!$A:$A,0))</f>
        <v>114.73</v>
      </c>
      <c r="R325" s="3">
        <f>L325-Q325</f>
        <v>34.269999999999996</v>
      </c>
      <c r="S325" s="2">
        <f>NETWORKDAYS(B325,C325)-1</f>
        <v>3</v>
      </c>
      <c r="T325" s="1">
        <f>WORKDAY(B325,5)</f>
        <v>46248</v>
      </c>
      <c r="U325" t="b">
        <f>C325&gt;T325</f>
        <v>0</v>
      </c>
    </row>
    <row r="326" spans="1:21" x14ac:dyDescent="0.25">
      <c r="A326" t="s">
        <v>396</v>
      </c>
      <c r="B326" s="1">
        <v>46241</v>
      </c>
      <c r="C326" s="1">
        <v>46246</v>
      </c>
      <c r="D326" t="s">
        <v>160</v>
      </c>
      <c r="E326" t="s">
        <v>137</v>
      </c>
      <c r="F326" t="s">
        <v>138</v>
      </c>
      <c r="G326" t="s">
        <v>139</v>
      </c>
      <c r="H326" t="s">
        <v>127</v>
      </c>
      <c r="I326" s="2">
        <v>1</v>
      </c>
      <c r="J326" s="3">
        <v>649</v>
      </c>
      <c r="K326" s="4">
        <v>0</v>
      </c>
      <c r="L326" s="3">
        <v>649</v>
      </c>
      <c r="M326" t="b">
        <v>1</v>
      </c>
      <c r="N326" s="2">
        <f>YEAR(B326)</f>
        <v>2026</v>
      </c>
      <c r="O326" t="str">
        <f>INDEX(Agences!$C:$C,MATCH(F326,Agences!$A:$A,0))</f>
        <v>Île-de-France</v>
      </c>
      <c r="P326" t="str">
        <f>INDEX(Produits!$C:$C,MATCH(H326,Produits!$A:$A,0))</f>
        <v>Informatique</v>
      </c>
      <c r="Q326" s="3">
        <f>I326*INDEX(Produits!$E:$E,MATCH(H326,Produits!$A:$A,0))</f>
        <v>480.26</v>
      </c>
      <c r="R326" s="3">
        <f>L326-Q326</f>
        <v>168.74</v>
      </c>
      <c r="S326" s="2">
        <f>NETWORKDAYS(B326,C326)-1</f>
        <v>3</v>
      </c>
      <c r="T326" s="1">
        <f>WORKDAY(B326,5)</f>
        <v>46248</v>
      </c>
      <c r="U326" t="b">
        <f>C326&gt;T326</f>
        <v>0</v>
      </c>
    </row>
    <row r="327" spans="1:21" x14ac:dyDescent="0.25">
      <c r="A327" t="s">
        <v>396</v>
      </c>
      <c r="B327" s="1">
        <v>46241</v>
      </c>
      <c r="C327" s="1">
        <v>46246</v>
      </c>
      <c r="D327" t="s">
        <v>160</v>
      </c>
      <c r="E327" t="s">
        <v>137</v>
      </c>
      <c r="F327" t="s">
        <v>138</v>
      </c>
      <c r="G327" t="s">
        <v>139</v>
      </c>
      <c r="H327" t="s">
        <v>42</v>
      </c>
      <c r="I327" s="2">
        <v>2</v>
      </c>
      <c r="J327" s="3">
        <v>55</v>
      </c>
      <c r="K327" s="4">
        <v>0</v>
      </c>
      <c r="L327" s="3">
        <v>110</v>
      </c>
      <c r="M327" t="b">
        <v>1</v>
      </c>
      <c r="N327" s="2">
        <f>YEAR(B327)</f>
        <v>2026</v>
      </c>
      <c r="O327" t="str">
        <f>INDEX(Agences!$C:$C,MATCH(F327,Agences!$A:$A,0))</f>
        <v>Île-de-France</v>
      </c>
      <c r="P327" t="str">
        <f>INDEX(Produits!$C:$C,MATCH(H327,Produits!$A:$A,0))</f>
        <v>Maintenance</v>
      </c>
      <c r="Q327" s="3">
        <f>I327*INDEX(Produits!$E:$E,MATCH(H327,Produits!$A:$A,0))</f>
        <v>49.5</v>
      </c>
      <c r="R327" s="3">
        <f>L327-Q327</f>
        <v>60.5</v>
      </c>
      <c r="S327" s="2">
        <f>NETWORKDAYS(B327,C327)-1</f>
        <v>3</v>
      </c>
      <c r="T327" s="1">
        <f>WORKDAY(B327,5)</f>
        <v>46248</v>
      </c>
      <c r="U327" t="b">
        <f>C327&gt;T327</f>
        <v>0</v>
      </c>
    </row>
    <row r="328" spans="1:21" x14ac:dyDescent="0.25">
      <c r="A328" t="s">
        <v>397</v>
      </c>
      <c r="B328" s="1">
        <v>46241</v>
      </c>
      <c r="C328" s="1">
        <v>46246</v>
      </c>
      <c r="D328" t="s">
        <v>398</v>
      </c>
      <c r="E328" t="s">
        <v>399</v>
      </c>
      <c r="F328" t="s">
        <v>166</v>
      </c>
      <c r="G328" t="s">
        <v>167</v>
      </c>
      <c r="H328" t="s">
        <v>42</v>
      </c>
      <c r="I328" s="2">
        <v>2</v>
      </c>
      <c r="J328" s="3">
        <v>55</v>
      </c>
      <c r="K328" s="4">
        <v>0</v>
      </c>
      <c r="L328" s="3">
        <v>110</v>
      </c>
      <c r="M328" t="b">
        <v>1</v>
      </c>
      <c r="N328" s="2">
        <f>YEAR(B328)</f>
        <v>2026</v>
      </c>
      <c r="O328" t="str">
        <f>INDEX(Agences!$C:$C,MATCH(F328,Agences!$A:$A,0))</f>
        <v>Ouest</v>
      </c>
      <c r="P328" t="str">
        <f>INDEX(Produits!$C:$C,MATCH(H328,Produits!$A:$A,0))</f>
        <v>Maintenance</v>
      </c>
      <c r="Q328" s="3">
        <f>I328*INDEX(Produits!$E:$E,MATCH(H328,Produits!$A:$A,0))</f>
        <v>49.5</v>
      </c>
      <c r="R328" s="3">
        <f>L328-Q328</f>
        <v>60.5</v>
      </c>
      <c r="S328" s="2">
        <f>NETWORKDAYS(B328,C328)-1</f>
        <v>3</v>
      </c>
      <c r="T328" s="1">
        <f>WORKDAY(B328,5)</f>
        <v>46248</v>
      </c>
      <c r="U328" t="b">
        <f>C328&gt;T328</f>
        <v>0</v>
      </c>
    </row>
    <row r="329" spans="1:21" x14ac:dyDescent="0.25">
      <c r="A329" t="s">
        <v>400</v>
      </c>
      <c r="B329" s="1">
        <v>46240</v>
      </c>
      <c r="C329" s="1">
        <v>46247</v>
      </c>
      <c r="D329" t="s">
        <v>401</v>
      </c>
      <c r="E329" t="s">
        <v>175</v>
      </c>
      <c r="F329" t="s">
        <v>76</v>
      </c>
      <c r="G329" t="s">
        <v>232</v>
      </c>
      <c r="H329" t="s">
        <v>35</v>
      </c>
      <c r="I329" s="2">
        <v>2</v>
      </c>
      <c r="J329" s="3">
        <v>79</v>
      </c>
      <c r="K329" s="4">
        <v>0</v>
      </c>
      <c r="L329" s="3">
        <v>158</v>
      </c>
      <c r="M329" t="b">
        <v>1</v>
      </c>
      <c r="N329" s="2">
        <f>YEAR(B329)</f>
        <v>2026</v>
      </c>
      <c r="O329" t="str">
        <f>INDEX(Agences!$C:$C,MATCH(F329,Agences!$A:$A,0))</f>
        <v>Île-de-France</v>
      </c>
      <c r="P329" t="str">
        <f>INDEX(Produits!$C:$C,MATCH(H329,Produits!$A:$A,0))</f>
        <v>Mobilier</v>
      </c>
      <c r="Q329" s="3">
        <f>I329*INDEX(Produits!$E:$E,MATCH(H329,Produits!$A:$A,0))</f>
        <v>93.22</v>
      </c>
      <c r="R329" s="3">
        <f>L329-Q329</f>
        <v>64.78</v>
      </c>
      <c r="S329" s="2">
        <f>NETWORKDAYS(B329,C329)-1</f>
        <v>5</v>
      </c>
      <c r="T329" s="1">
        <f>WORKDAY(B329,5)</f>
        <v>46247</v>
      </c>
      <c r="U329" t="b">
        <f>C329&gt;T329</f>
        <v>0</v>
      </c>
    </row>
    <row r="330" spans="1:21" x14ac:dyDescent="0.25">
      <c r="A330" t="s">
        <v>400</v>
      </c>
      <c r="B330" s="1">
        <v>46240</v>
      </c>
      <c r="C330" s="1">
        <v>46247</v>
      </c>
      <c r="D330" t="s">
        <v>401</v>
      </c>
      <c r="E330" t="s">
        <v>175</v>
      </c>
      <c r="F330" t="s">
        <v>76</v>
      </c>
      <c r="G330" t="s">
        <v>232</v>
      </c>
      <c r="H330" t="s">
        <v>49</v>
      </c>
      <c r="I330" s="2">
        <v>1</v>
      </c>
      <c r="J330" s="3">
        <v>120</v>
      </c>
      <c r="K330" s="4">
        <v>0</v>
      </c>
      <c r="L330" s="3">
        <v>120</v>
      </c>
      <c r="M330" t="b">
        <v>1</v>
      </c>
      <c r="N330" s="2">
        <f>YEAR(B330)</f>
        <v>2026</v>
      </c>
      <c r="O330" t="str">
        <f>INDEX(Agences!$C:$C,MATCH(F330,Agences!$A:$A,0))</f>
        <v>Île-de-France</v>
      </c>
      <c r="P330" t="str">
        <f>INDEX(Produits!$C:$C,MATCH(H330,Produits!$A:$A,0))</f>
        <v>Maintenance</v>
      </c>
      <c r="Q330" s="3">
        <f>I330*INDEX(Produits!$E:$E,MATCH(H330,Produits!$A:$A,0))</f>
        <v>55.2</v>
      </c>
      <c r="R330" s="3">
        <f>L330-Q330</f>
        <v>64.8</v>
      </c>
      <c r="S330" s="2">
        <f>NETWORKDAYS(B330,C330)-1</f>
        <v>5</v>
      </c>
      <c r="T330" s="1">
        <f>WORKDAY(B330,5)</f>
        <v>46247</v>
      </c>
      <c r="U330" t="b">
        <f>C330&gt;T330</f>
        <v>0</v>
      </c>
    </row>
    <row r="331" spans="1:21" x14ac:dyDescent="0.25">
      <c r="A331" t="s">
        <v>400</v>
      </c>
      <c r="B331" s="1">
        <v>46240</v>
      </c>
      <c r="C331" s="1">
        <v>46247</v>
      </c>
      <c r="D331" t="s">
        <v>401</v>
      </c>
      <c r="E331" t="s">
        <v>175</v>
      </c>
      <c r="F331" t="s">
        <v>76</v>
      </c>
      <c r="G331" t="s">
        <v>232</v>
      </c>
      <c r="H331" t="s">
        <v>83</v>
      </c>
      <c r="I331" s="2">
        <v>4</v>
      </c>
      <c r="J331" s="3">
        <v>49</v>
      </c>
      <c r="K331" s="4">
        <v>0</v>
      </c>
      <c r="L331" s="3">
        <v>196</v>
      </c>
      <c r="M331" t="b">
        <v>1</v>
      </c>
      <c r="N331" s="2">
        <f>YEAR(B331)</f>
        <v>2026</v>
      </c>
      <c r="O331" t="str">
        <f>INDEX(Agences!$C:$C,MATCH(F331,Agences!$A:$A,0))</f>
        <v>Île-de-France</v>
      </c>
      <c r="P331" t="str">
        <f>INDEX(Produits!$C:$C,MATCH(H331,Produits!$A:$A,0))</f>
        <v>Mobilier</v>
      </c>
      <c r="Q331" s="3">
        <f>I331*INDEX(Produits!$E:$E,MATCH(H331,Produits!$A:$A,0))</f>
        <v>113.68</v>
      </c>
      <c r="R331" s="3">
        <f>L331-Q331</f>
        <v>82.32</v>
      </c>
      <c r="S331" s="2">
        <f>NETWORKDAYS(B331,C331)-1</f>
        <v>5</v>
      </c>
      <c r="T331" s="1">
        <f>WORKDAY(B331,5)</f>
        <v>46247</v>
      </c>
      <c r="U331" t="b">
        <f>C331&gt;T331</f>
        <v>0</v>
      </c>
    </row>
    <row r="332" spans="1:21" x14ac:dyDescent="0.25">
      <c r="A332" t="s">
        <v>400</v>
      </c>
      <c r="B332" s="1">
        <v>46240</v>
      </c>
      <c r="C332" s="1">
        <v>46247</v>
      </c>
      <c r="D332" t="s">
        <v>401</v>
      </c>
      <c r="E332" t="s">
        <v>175</v>
      </c>
      <c r="F332" t="s">
        <v>76</v>
      </c>
      <c r="G332" t="s">
        <v>232</v>
      </c>
      <c r="H332" t="s">
        <v>162</v>
      </c>
      <c r="I332" s="2">
        <v>1</v>
      </c>
      <c r="J332" s="3">
        <v>289</v>
      </c>
      <c r="K332" s="4">
        <v>0</v>
      </c>
      <c r="L332" s="3">
        <v>289</v>
      </c>
      <c r="M332" t="b">
        <v>1</v>
      </c>
      <c r="N332" s="2">
        <f>YEAR(B332)</f>
        <v>2026</v>
      </c>
      <c r="O332" t="str">
        <f>INDEX(Agences!$C:$C,MATCH(F332,Agences!$A:$A,0))</f>
        <v>Île-de-France</v>
      </c>
      <c r="P332" t="str">
        <f>INDEX(Produits!$C:$C,MATCH(H332,Produits!$A:$A,0))</f>
        <v>Mobilier</v>
      </c>
      <c r="Q332" s="3">
        <f>I332*INDEX(Produits!$E:$E,MATCH(H332,Produits!$A:$A,0))</f>
        <v>193.63</v>
      </c>
      <c r="R332" s="3">
        <f>L332-Q332</f>
        <v>95.37</v>
      </c>
      <c r="S332" s="2">
        <f>NETWORKDAYS(B332,C332)-1</f>
        <v>5</v>
      </c>
      <c r="T332" s="1">
        <f>WORKDAY(B332,5)</f>
        <v>46247</v>
      </c>
      <c r="U332" t="b">
        <f>C332&gt;T332</f>
        <v>0</v>
      </c>
    </row>
    <row r="333" spans="1:21" x14ac:dyDescent="0.25">
      <c r="A333" t="s">
        <v>402</v>
      </c>
      <c r="B333" s="1">
        <v>46240</v>
      </c>
      <c r="C333" s="1">
        <v>46241</v>
      </c>
      <c r="D333" t="s">
        <v>403</v>
      </c>
      <c r="E333" t="s">
        <v>236</v>
      </c>
      <c r="F333" t="s">
        <v>39</v>
      </c>
      <c r="G333" t="s">
        <v>131</v>
      </c>
      <c r="H333" t="s">
        <v>123</v>
      </c>
      <c r="I333" s="2">
        <v>10</v>
      </c>
      <c r="J333" s="3">
        <v>39.9</v>
      </c>
      <c r="K333" s="4">
        <v>0</v>
      </c>
      <c r="L333" s="3">
        <v>399</v>
      </c>
      <c r="M333" t="b">
        <v>1</v>
      </c>
      <c r="N333" s="2">
        <f>YEAR(B333)</f>
        <v>2026</v>
      </c>
      <c r="O333" t="str">
        <f>INDEX(Agences!$C:$C,MATCH(F333,Agences!$A:$A,0))</f>
        <v>Sud-Ouest</v>
      </c>
      <c r="P333" t="str">
        <f>INDEX(Produits!$C:$C,MATCH(H333,Produits!$A:$A,0))</f>
        <v>Fournitures</v>
      </c>
      <c r="Q333" s="3">
        <f>I333*INDEX(Produits!$E:$E,MATCH(H333,Produits!$A:$A,0))</f>
        <v>223.4</v>
      </c>
      <c r="R333" s="3">
        <f>L333-Q333</f>
        <v>175.6</v>
      </c>
      <c r="S333" s="2">
        <f>NETWORKDAYS(B333,C333)-1</f>
        <v>1</v>
      </c>
      <c r="T333" s="1">
        <f>WORKDAY(B333,5)</f>
        <v>46247</v>
      </c>
      <c r="U333" t="b">
        <f>C333&gt;T333</f>
        <v>0</v>
      </c>
    </row>
    <row r="334" spans="1:21" x14ac:dyDescent="0.25">
      <c r="A334" t="s">
        <v>402</v>
      </c>
      <c r="B334" s="1">
        <v>46240</v>
      </c>
      <c r="C334" s="1">
        <v>46241</v>
      </c>
      <c r="D334" t="s">
        <v>403</v>
      </c>
      <c r="E334" t="s">
        <v>236</v>
      </c>
      <c r="F334" t="s">
        <v>39</v>
      </c>
      <c r="G334" t="s">
        <v>131</v>
      </c>
      <c r="H334" t="s">
        <v>26</v>
      </c>
      <c r="I334" s="2">
        <v>1</v>
      </c>
      <c r="J334" s="3">
        <v>290</v>
      </c>
      <c r="K334" s="4">
        <v>0.02</v>
      </c>
      <c r="L334" s="3">
        <v>284.2</v>
      </c>
      <c r="M334" t="b">
        <v>1</v>
      </c>
      <c r="N334" s="2">
        <f>YEAR(B334)</f>
        <v>2026</v>
      </c>
      <c r="O334" t="str">
        <f>INDEX(Agences!$C:$C,MATCH(F334,Agences!$A:$A,0))</f>
        <v>Sud-Ouest</v>
      </c>
      <c r="P334" t="str">
        <f>INDEX(Produits!$C:$C,MATCH(H334,Produits!$A:$A,0))</f>
        <v>Maintenance</v>
      </c>
      <c r="Q334" s="3">
        <f>I334*INDEX(Produits!$E:$E,MATCH(H334,Produits!$A:$A,0))</f>
        <v>139.2</v>
      </c>
      <c r="R334" s="3">
        <f>L334-Q334</f>
        <v>145</v>
      </c>
      <c r="S334" s="2">
        <f>NETWORKDAYS(B334,C334)-1</f>
        <v>1</v>
      </c>
      <c r="T334" s="1">
        <f>WORKDAY(B334,5)</f>
        <v>46247</v>
      </c>
      <c r="U334" t="b">
        <f>C334&gt;T334</f>
        <v>0</v>
      </c>
    </row>
    <row r="335" spans="1:21" x14ac:dyDescent="0.25">
      <c r="A335" t="s">
        <v>404</v>
      </c>
      <c r="B335" s="1">
        <v>46240</v>
      </c>
      <c r="C335" s="1">
        <v>46244</v>
      </c>
      <c r="D335" t="s">
        <v>405</v>
      </c>
      <c r="E335" t="s">
        <v>256</v>
      </c>
      <c r="F335" t="s">
        <v>88</v>
      </c>
      <c r="G335" t="s">
        <v>142</v>
      </c>
      <c r="H335" t="s">
        <v>161</v>
      </c>
      <c r="I335" s="2">
        <v>10</v>
      </c>
      <c r="J335" s="3">
        <v>32</v>
      </c>
      <c r="K335" s="4">
        <v>0.05</v>
      </c>
      <c r="L335" s="3">
        <v>304</v>
      </c>
      <c r="M335" t="b">
        <v>1</v>
      </c>
      <c r="N335" s="2">
        <f>YEAR(B335)</f>
        <v>2026</v>
      </c>
      <c r="O335" t="str">
        <f>INDEX(Agences!$C:$C,MATCH(F335,Agences!$A:$A,0))</f>
        <v>Sud-Ouest</v>
      </c>
      <c r="P335" t="str">
        <f>INDEX(Produits!$C:$C,MATCH(H335,Produits!$A:$A,0))</f>
        <v>Fournitures</v>
      </c>
      <c r="Q335" s="3">
        <f>I335*INDEX(Produits!$E:$E,MATCH(H335,Produits!$A:$A,0))</f>
        <v>176</v>
      </c>
      <c r="R335" s="3">
        <f>L335-Q335</f>
        <v>128</v>
      </c>
      <c r="S335" s="2">
        <f>NETWORKDAYS(B335,C335)-1</f>
        <v>2</v>
      </c>
      <c r="T335" s="1">
        <f>WORKDAY(B335,5)</f>
        <v>46247</v>
      </c>
      <c r="U335" t="b">
        <f>C335&gt;T335</f>
        <v>0</v>
      </c>
    </row>
    <row r="336" spans="1:21" x14ac:dyDescent="0.25">
      <c r="A336" t="s">
        <v>404</v>
      </c>
      <c r="B336" s="1">
        <v>46240</v>
      </c>
      <c r="C336" s="1">
        <v>46244</v>
      </c>
      <c r="D336" t="s">
        <v>405</v>
      </c>
      <c r="E336" t="s">
        <v>256</v>
      </c>
      <c r="F336" t="s">
        <v>88</v>
      </c>
      <c r="G336" t="s">
        <v>142</v>
      </c>
      <c r="H336" t="s">
        <v>51</v>
      </c>
      <c r="I336" s="2">
        <v>1</v>
      </c>
      <c r="J336" s="3">
        <v>180</v>
      </c>
      <c r="K336" s="4">
        <v>0</v>
      </c>
      <c r="L336" s="3">
        <v>180</v>
      </c>
      <c r="M336" t="b">
        <v>1</v>
      </c>
      <c r="N336" s="2">
        <f>YEAR(B336)</f>
        <v>2026</v>
      </c>
      <c r="O336" t="str">
        <f>INDEX(Agences!$C:$C,MATCH(F336,Agences!$A:$A,0))</f>
        <v>Sud-Ouest</v>
      </c>
      <c r="P336" t="str">
        <f>INDEX(Produits!$C:$C,MATCH(H336,Produits!$A:$A,0))</f>
        <v>Maintenance</v>
      </c>
      <c r="Q336" s="3">
        <f>I336*INDEX(Produits!$E:$E,MATCH(H336,Produits!$A:$A,0))</f>
        <v>82.8</v>
      </c>
      <c r="R336" s="3">
        <f>L336-Q336</f>
        <v>97.2</v>
      </c>
      <c r="S336" s="2">
        <f>NETWORKDAYS(B336,C336)-1</f>
        <v>2</v>
      </c>
      <c r="T336" s="1">
        <f>WORKDAY(B336,5)</f>
        <v>46247</v>
      </c>
      <c r="U336" t="b">
        <f>C336&gt;T336</f>
        <v>0</v>
      </c>
    </row>
    <row r="337" spans="1:21" x14ac:dyDescent="0.25">
      <c r="A337" t="s">
        <v>404</v>
      </c>
      <c r="B337" s="1">
        <v>46240</v>
      </c>
      <c r="C337" s="1">
        <v>46244</v>
      </c>
      <c r="D337" t="s">
        <v>405</v>
      </c>
      <c r="E337" t="s">
        <v>256</v>
      </c>
      <c r="F337" t="s">
        <v>88</v>
      </c>
      <c r="G337" t="s">
        <v>142</v>
      </c>
      <c r="H337" t="s">
        <v>79</v>
      </c>
      <c r="I337" s="2">
        <v>5</v>
      </c>
      <c r="J337" s="3">
        <v>14.9</v>
      </c>
      <c r="K337" s="4">
        <v>0</v>
      </c>
      <c r="L337" s="3">
        <v>74.5</v>
      </c>
      <c r="M337" t="b">
        <v>1</v>
      </c>
      <c r="N337" s="2">
        <f>YEAR(B337)</f>
        <v>2026</v>
      </c>
      <c r="O337" t="str">
        <f>INDEX(Agences!$C:$C,MATCH(F337,Agences!$A:$A,0))</f>
        <v>Sud-Ouest</v>
      </c>
      <c r="P337" t="str">
        <f>INDEX(Produits!$C:$C,MATCH(H337,Produits!$A:$A,0))</f>
        <v>Fournitures</v>
      </c>
      <c r="Q337" s="3">
        <f>I337*INDEX(Produits!$E:$E,MATCH(H337,Produits!$A:$A,0))</f>
        <v>40.25</v>
      </c>
      <c r="R337" s="3">
        <f>L337-Q337</f>
        <v>34.25</v>
      </c>
      <c r="S337" s="2">
        <f>NETWORKDAYS(B337,C337)-1</f>
        <v>2</v>
      </c>
      <c r="T337" s="1">
        <f>WORKDAY(B337,5)</f>
        <v>46247</v>
      </c>
      <c r="U337" t="b">
        <f>C337&gt;T337</f>
        <v>0</v>
      </c>
    </row>
    <row r="338" spans="1:21" x14ac:dyDescent="0.25">
      <c r="A338" t="s">
        <v>404</v>
      </c>
      <c r="B338" s="1">
        <v>46240</v>
      </c>
      <c r="C338" s="1">
        <v>46244</v>
      </c>
      <c r="D338" t="s">
        <v>405</v>
      </c>
      <c r="E338" t="s">
        <v>256</v>
      </c>
      <c r="F338" t="s">
        <v>88</v>
      </c>
      <c r="G338" t="s">
        <v>142</v>
      </c>
      <c r="H338" t="s">
        <v>103</v>
      </c>
      <c r="I338" s="2">
        <v>1</v>
      </c>
      <c r="J338" s="3">
        <v>245</v>
      </c>
      <c r="K338" s="4">
        <v>0.08</v>
      </c>
      <c r="L338" s="3">
        <v>225.4</v>
      </c>
      <c r="M338" t="b">
        <v>1</v>
      </c>
      <c r="N338" s="2">
        <f>YEAR(B338)</f>
        <v>2026</v>
      </c>
      <c r="O338" t="str">
        <f>INDEX(Agences!$C:$C,MATCH(F338,Agences!$A:$A,0))</f>
        <v>Sud-Ouest</v>
      </c>
      <c r="P338" t="str">
        <f>INDEX(Produits!$C:$C,MATCH(H338,Produits!$A:$A,0))</f>
        <v>Mobilier</v>
      </c>
      <c r="Q338" s="3">
        <f>I338*INDEX(Produits!$E:$E,MATCH(H338,Produits!$A:$A,0))</f>
        <v>164.15</v>
      </c>
      <c r="R338" s="3">
        <f>L338-Q338</f>
        <v>61.25</v>
      </c>
      <c r="S338" s="2">
        <f>NETWORKDAYS(B338,C338)-1</f>
        <v>2</v>
      </c>
      <c r="T338" s="1">
        <f>WORKDAY(B338,5)</f>
        <v>46247</v>
      </c>
      <c r="U338" t="b">
        <f>C338&gt;T338</f>
        <v>0</v>
      </c>
    </row>
    <row r="339" spans="1:21" x14ac:dyDescent="0.25">
      <c r="A339" t="s">
        <v>404</v>
      </c>
      <c r="B339" s="1">
        <v>46240</v>
      </c>
      <c r="C339" s="1">
        <v>46244</v>
      </c>
      <c r="D339" t="s">
        <v>405</v>
      </c>
      <c r="E339" t="s">
        <v>256</v>
      </c>
      <c r="F339" t="s">
        <v>88</v>
      </c>
      <c r="G339" t="s">
        <v>142</v>
      </c>
      <c r="H339" t="s">
        <v>49</v>
      </c>
      <c r="I339" s="2">
        <v>1</v>
      </c>
      <c r="J339" s="3">
        <v>120</v>
      </c>
      <c r="K339" s="4">
        <v>0.02</v>
      </c>
      <c r="L339" s="3">
        <v>117.6</v>
      </c>
      <c r="M339" t="b">
        <v>1</v>
      </c>
      <c r="N339" s="2">
        <f>YEAR(B339)</f>
        <v>2026</v>
      </c>
      <c r="O339" t="str">
        <f>INDEX(Agences!$C:$C,MATCH(F339,Agences!$A:$A,0))</f>
        <v>Sud-Ouest</v>
      </c>
      <c r="P339" t="str">
        <f>INDEX(Produits!$C:$C,MATCH(H339,Produits!$A:$A,0))</f>
        <v>Maintenance</v>
      </c>
      <c r="Q339" s="3">
        <f>I339*INDEX(Produits!$E:$E,MATCH(H339,Produits!$A:$A,0))</f>
        <v>55.2</v>
      </c>
      <c r="R339" s="3">
        <f>L339-Q339</f>
        <v>62.39999999999999</v>
      </c>
      <c r="S339" s="2">
        <f>NETWORKDAYS(B339,C339)-1</f>
        <v>2</v>
      </c>
      <c r="T339" s="1">
        <f>WORKDAY(B339,5)</f>
        <v>46247</v>
      </c>
      <c r="U339" t="b">
        <f>C339&gt;T339</f>
        <v>0</v>
      </c>
    </row>
    <row r="340" spans="1:21" x14ac:dyDescent="0.25">
      <c r="A340" t="s">
        <v>406</v>
      </c>
      <c r="B340" s="1">
        <v>46239</v>
      </c>
      <c r="C340" s="1">
        <v>46241</v>
      </c>
      <c r="D340" t="s">
        <v>318</v>
      </c>
      <c r="E340" t="s">
        <v>130</v>
      </c>
      <c r="F340" t="s">
        <v>39</v>
      </c>
      <c r="G340" t="s">
        <v>40</v>
      </c>
      <c r="H340" t="s">
        <v>84</v>
      </c>
      <c r="I340" s="2">
        <v>1</v>
      </c>
      <c r="J340" s="3">
        <v>420</v>
      </c>
      <c r="K340" s="4">
        <v>0.02</v>
      </c>
      <c r="L340" s="3">
        <v>411.6</v>
      </c>
      <c r="M340" t="b">
        <v>1</v>
      </c>
      <c r="N340" s="2">
        <f>YEAR(B340)</f>
        <v>2026</v>
      </c>
      <c r="O340" t="str">
        <f>INDEX(Agences!$C:$C,MATCH(F340,Agences!$A:$A,0))</f>
        <v>Sud-Ouest</v>
      </c>
      <c r="P340" t="str">
        <f>INDEX(Produits!$C:$C,MATCH(H340,Produits!$A:$A,0))</f>
        <v>Mobilier</v>
      </c>
      <c r="Q340" s="3">
        <f>I340*INDEX(Produits!$E:$E,MATCH(H340,Produits!$A:$A,0))</f>
        <v>243.6</v>
      </c>
      <c r="R340" s="3">
        <f>L340-Q340</f>
        <v>168.00000000000003</v>
      </c>
      <c r="S340" s="2">
        <f>NETWORKDAYS(B340,C340)-1</f>
        <v>2</v>
      </c>
      <c r="T340" s="1">
        <f>WORKDAY(B340,5)</f>
        <v>46246</v>
      </c>
      <c r="U340" t="b">
        <f>C340&gt;T340</f>
        <v>0</v>
      </c>
    </row>
    <row r="341" spans="1:21" x14ac:dyDescent="0.25">
      <c r="A341" t="s">
        <v>407</v>
      </c>
      <c r="B341" s="1">
        <v>46239</v>
      </c>
      <c r="C341" s="1">
        <v>46240</v>
      </c>
      <c r="D341" t="s">
        <v>408</v>
      </c>
      <c r="E341" t="s">
        <v>153</v>
      </c>
      <c r="F341" t="s">
        <v>94</v>
      </c>
      <c r="G341" t="s">
        <v>95</v>
      </c>
      <c r="H341" t="s">
        <v>50</v>
      </c>
      <c r="I341" s="2">
        <v>3</v>
      </c>
      <c r="J341" s="3">
        <v>69</v>
      </c>
      <c r="K341" s="4">
        <v>0.05</v>
      </c>
      <c r="L341" s="3">
        <v>196.65</v>
      </c>
      <c r="M341" t="b">
        <v>1</v>
      </c>
      <c r="N341" s="2">
        <f>YEAR(B341)</f>
        <v>2026</v>
      </c>
      <c r="O341" t="str">
        <f>INDEX(Agences!$C:$C,MATCH(F341,Agences!$A:$A,0))</f>
        <v>Méditerranée</v>
      </c>
      <c r="P341" t="str">
        <f>INDEX(Produits!$C:$C,MATCH(H341,Produits!$A:$A,0))</f>
        <v>Informatique</v>
      </c>
      <c r="Q341" s="3">
        <f>I341*INDEX(Produits!$E:$E,MATCH(H341,Produits!$A:$A,0))</f>
        <v>163.53</v>
      </c>
      <c r="R341" s="3">
        <f>L341-Q341</f>
        <v>33.120000000000005</v>
      </c>
      <c r="S341" s="2">
        <f>NETWORKDAYS(B341,C341)-1</f>
        <v>1</v>
      </c>
      <c r="T341" s="1">
        <f>WORKDAY(B341,5)</f>
        <v>46246</v>
      </c>
      <c r="U341" t="b">
        <f>C341&gt;T341</f>
        <v>0</v>
      </c>
    </row>
    <row r="342" spans="1:21" x14ac:dyDescent="0.25">
      <c r="A342" t="s">
        <v>407</v>
      </c>
      <c r="B342" s="1">
        <v>46239</v>
      </c>
      <c r="C342" s="1">
        <v>46240</v>
      </c>
      <c r="D342" t="s">
        <v>408</v>
      </c>
      <c r="E342" t="s">
        <v>153</v>
      </c>
      <c r="F342" t="s">
        <v>94</v>
      </c>
      <c r="G342" t="s">
        <v>95</v>
      </c>
      <c r="H342" t="s">
        <v>112</v>
      </c>
      <c r="I342" s="2">
        <v>2</v>
      </c>
      <c r="J342" s="3">
        <v>129</v>
      </c>
      <c r="K342" s="4">
        <v>0.05</v>
      </c>
      <c r="L342" s="3">
        <v>245.1</v>
      </c>
      <c r="M342" t="b">
        <v>1</v>
      </c>
      <c r="N342" s="2">
        <f>YEAR(B342)</f>
        <v>2026</v>
      </c>
      <c r="O342" t="str">
        <f>INDEX(Agences!$C:$C,MATCH(F342,Agences!$A:$A,0))</f>
        <v>Méditerranée</v>
      </c>
      <c r="P342" t="str">
        <f>INDEX(Produits!$C:$C,MATCH(H342,Produits!$A:$A,0))</f>
        <v>Mobilier</v>
      </c>
      <c r="Q342" s="3">
        <f>I342*INDEX(Produits!$E:$E,MATCH(H342,Produits!$A:$A,0))</f>
        <v>172.86</v>
      </c>
      <c r="R342" s="3">
        <f>L342-Q342</f>
        <v>72.23999999999998</v>
      </c>
      <c r="S342" s="2">
        <f>NETWORKDAYS(B342,C342)-1</f>
        <v>1</v>
      </c>
      <c r="T342" s="1">
        <f>WORKDAY(B342,5)</f>
        <v>46246</v>
      </c>
      <c r="U342" t="b">
        <f>C342&gt;T342</f>
        <v>0</v>
      </c>
    </row>
    <row r="343" spans="1:21" x14ac:dyDescent="0.25">
      <c r="A343" t="s">
        <v>409</v>
      </c>
      <c r="B343" s="1">
        <v>46239</v>
      </c>
      <c r="C343" s="1">
        <v>46246</v>
      </c>
      <c r="D343" t="s">
        <v>410</v>
      </c>
      <c r="E343" t="s">
        <v>93</v>
      </c>
      <c r="F343" t="s">
        <v>94</v>
      </c>
      <c r="G343" t="s">
        <v>154</v>
      </c>
      <c r="H343" t="s">
        <v>196</v>
      </c>
      <c r="I343" s="2">
        <v>10</v>
      </c>
      <c r="J343" s="3">
        <v>18.5</v>
      </c>
      <c r="K343" s="4">
        <v>0.08</v>
      </c>
      <c r="L343" s="3">
        <v>170.2</v>
      </c>
      <c r="M343" t="b">
        <v>1</v>
      </c>
      <c r="N343" s="2">
        <f>YEAR(B343)</f>
        <v>2026</v>
      </c>
      <c r="O343" t="str">
        <f>INDEX(Agences!$C:$C,MATCH(F343,Agences!$A:$A,0))</f>
        <v>Méditerranée</v>
      </c>
      <c r="P343" t="str">
        <f>INDEX(Produits!$C:$C,MATCH(H343,Produits!$A:$A,0))</f>
        <v>Fournitures</v>
      </c>
      <c r="Q343" s="3">
        <f>I343*INDEX(Produits!$E:$E,MATCH(H343,Produits!$A:$A,0))</f>
        <v>94.39999999999999</v>
      </c>
      <c r="R343" s="3">
        <f>L343-Q343</f>
        <v>75.8</v>
      </c>
      <c r="S343" s="2">
        <f>NETWORKDAYS(B343,C343)-1</f>
        <v>5</v>
      </c>
      <c r="T343" s="1">
        <f>WORKDAY(B343,5)</f>
        <v>46246</v>
      </c>
      <c r="U343" t="b">
        <f>C343&gt;T343</f>
        <v>0</v>
      </c>
    </row>
    <row r="344" spans="1:21" x14ac:dyDescent="0.25">
      <c r="A344" t="s">
        <v>411</v>
      </c>
      <c r="B344" s="1">
        <v>46238</v>
      </c>
      <c r="C344" s="1">
        <v>46241</v>
      </c>
      <c r="D344" t="s">
        <v>412</v>
      </c>
      <c r="E344" t="s">
        <v>23</v>
      </c>
      <c r="F344" t="s">
        <v>24</v>
      </c>
      <c r="G344" t="s">
        <v>116</v>
      </c>
      <c r="H344" t="s">
        <v>83</v>
      </c>
      <c r="I344" s="2">
        <v>1</v>
      </c>
      <c r="J344" s="3">
        <v>49</v>
      </c>
      <c r="K344" s="4">
        <v>0.05</v>
      </c>
      <c r="L344" s="3">
        <v>46.55</v>
      </c>
      <c r="M344" t="b">
        <v>1</v>
      </c>
      <c r="N344" s="2">
        <f>YEAR(B344)</f>
        <v>2026</v>
      </c>
      <c r="O344" t="str">
        <f>INDEX(Agences!$C:$C,MATCH(F344,Agences!$A:$A,0))</f>
        <v>Nord</v>
      </c>
      <c r="P344" t="str">
        <f>INDEX(Produits!$C:$C,MATCH(H344,Produits!$A:$A,0))</f>
        <v>Mobilier</v>
      </c>
      <c r="Q344" s="3">
        <f>I344*INDEX(Produits!$E:$E,MATCH(H344,Produits!$A:$A,0))</f>
        <v>28.42</v>
      </c>
      <c r="R344" s="3">
        <f>L344-Q344</f>
        <v>18.129999999999995</v>
      </c>
      <c r="S344" s="2">
        <f>NETWORKDAYS(B344,C344)-1</f>
        <v>3</v>
      </c>
      <c r="T344" s="1">
        <f>WORKDAY(B344,5)</f>
        <v>46245</v>
      </c>
      <c r="U344" t="b">
        <f>C344&gt;T344</f>
        <v>0</v>
      </c>
    </row>
    <row r="345" spans="1:21" x14ac:dyDescent="0.25">
      <c r="A345" t="s">
        <v>411</v>
      </c>
      <c r="B345" s="1">
        <v>46238</v>
      </c>
      <c r="C345" s="1">
        <v>46241</v>
      </c>
      <c r="D345" t="s">
        <v>412</v>
      </c>
      <c r="E345" t="s">
        <v>23</v>
      </c>
      <c r="F345" t="s">
        <v>24</v>
      </c>
      <c r="G345" t="s">
        <v>116</v>
      </c>
      <c r="H345" t="s">
        <v>196</v>
      </c>
      <c r="I345" s="2">
        <v>10</v>
      </c>
      <c r="J345" s="3">
        <v>18.5</v>
      </c>
      <c r="K345" s="4">
        <v>0.05</v>
      </c>
      <c r="L345" s="3">
        <v>175.75</v>
      </c>
      <c r="M345" t="b">
        <v>1</v>
      </c>
      <c r="N345" s="2">
        <f>YEAR(B345)</f>
        <v>2026</v>
      </c>
      <c r="O345" t="str">
        <f>INDEX(Agences!$C:$C,MATCH(F345,Agences!$A:$A,0))</f>
        <v>Nord</v>
      </c>
      <c r="P345" t="str">
        <f>INDEX(Produits!$C:$C,MATCH(H345,Produits!$A:$A,0))</f>
        <v>Fournitures</v>
      </c>
      <c r="Q345" s="3">
        <f>I345*INDEX(Produits!$E:$E,MATCH(H345,Produits!$A:$A,0))</f>
        <v>94.39999999999999</v>
      </c>
      <c r="R345" s="3">
        <f>L345-Q345</f>
        <v>81.35000000000001</v>
      </c>
      <c r="S345" s="2">
        <f>NETWORKDAYS(B345,C345)-1</f>
        <v>3</v>
      </c>
      <c r="T345" s="1">
        <f>WORKDAY(B345,5)</f>
        <v>46245</v>
      </c>
      <c r="U345" t="b">
        <f>C345&gt;T345</f>
        <v>0</v>
      </c>
    </row>
    <row r="346" spans="1:21" x14ac:dyDescent="0.25">
      <c r="A346" t="s">
        <v>413</v>
      </c>
      <c r="B346" s="1">
        <v>46238</v>
      </c>
      <c r="C346" s="1">
        <v>46241</v>
      </c>
      <c r="D346" t="s">
        <v>414</v>
      </c>
      <c r="E346" t="s">
        <v>172</v>
      </c>
      <c r="F346" t="s">
        <v>99</v>
      </c>
      <c r="G346" t="s">
        <v>100</v>
      </c>
      <c r="H346" t="s">
        <v>108</v>
      </c>
      <c r="I346" s="2">
        <v>5</v>
      </c>
      <c r="J346" s="3">
        <v>24.5</v>
      </c>
      <c r="K346" s="4">
        <v>0.02</v>
      </c>
      <c r="L346" s="3">
        <v>120.05</v>
      </c>
      <c r="M346" t="b">
        <v>1</v>
      </c>
      <c r="N346" s="2">
        <f>YEAR(B346)</f>
        <v>2026</v>
      </c>
      <c r="O346" t="str">
        <f>INDEX(Agences!$C:$C,MATCH(F346,Agences!$A:$A,0))</f>
        <v>Nord</v>
      </c>
      <c r="P346" t="str">
        <f>INDEX(Produits!$C:$C,MATCH(H346,Produits!$A:$A,0))</f>
        <v>Fournitures</v>
      </c>
      <c r="Q346" s="3">
        <f>I346*INDEX(Produits!$E:$E,MATCH(H346,Produits!$A:$A,0))</f>
        <v>73.5</v>
      </c>
      <c r="R346" s="3">
        <f>L346-Q346</f>
        <v>46.55</v>
      </c>
      <c r="S346" s="2">
        <f>NETWORKDAYS(B346,C346)-1</f>
        <v>3</v>
      </c>
      <c r="T346" s="1">
        <f>WORKDAY(B346,5)</f>
        <v>46245</v>
      </c>
      <c r="U346" t="b">
        <f>C346&gt;T346</f>
        <v>0</v>
      </c>
    </row>
    <row r="347" spans="1:21" x14ac:dyDescent="0.25">
      <c r="A347" t="s">
        <v>413</v>
      </c>
      <c r="B347" s="1">
        <v>46238</v>
      </c>
      <c r="C347" s="1">
        <v>46241</v>
      </c>
      <c r="D347" t="s">
        <v>414</v>
      </c>
      <c r="E347" t="s">
        <v>172</v>
      </c>
      <c r="F347" t="s">
        <v>99</v>
      </c>
      <c r="G347" t="s">
        <v>100</v>
      </c>
      <c r="H347" t="s">
        <v>48</v>
      </c>
      <c r="I347" s="2">
        <v>1</v>
      </c>
      <c r="J347" s="3">
        <v>165</v>
      </c>
      <c r="K347" s="4">
        <v>0.1</v>
      </c>
      <c r="L347" s="3">
        <v>148.5</v>
      </c>
      <c r="M347" t="b">
        <v>1</v>
      </c>
      <c r="N347" s="2">
        <f>YEAR(B347)</f>
        <v>2026</v>
      </c>
      <c r="O347" t="str">
        <f>INDEX(Agences!$C:$C,MATCH(F347,Agences!$A:$A,0))</f>
        <v>Nord</v>
      </c>
      <c r="P347" t="str">
        <f>INDEX(Produits!$C:$C,MATCH(H347,Produits!$A:$A,0))</f>
        <v>Mobilier</v>
      </c>
      <c r="Q347" s="3">
        <f>I347*INDEX(Produits!$E:$E,MATCH(H347,Produits!$A:$A,0))</f>
        <v>107.25</v>
      </c>
      <c r="R347" s="3">
        <f>L347-Q347</f>
        <v>41.25</v>
      </c>
      <c r="S347" s="2">
        <f>NETWORKDAYS(B347,C347)-1</f>
        <v>3</v>
      </c>
      <c r="T347" s="1">
        <f>WORKDAY(B347,5)</f>
        <v>46245</v>
      </c>
      <c r="U347" t="b">
        <f>C347&gt;T347</f>
        <v>0</v>
      </c>
    </row>
    <row r="348" spans="1:21" x14ac:dyDescent="0.25">
      <c r="A348" t="s">
        <v>413</v>
      </c>
      <c r="B348" s="1">
        <v>46238</v>
      </c>
      <c r="C348" s="1">
        <v>46241</v>
      </c>
      <c r="D348" t="s">
        <v>414</v>
      </c>
      <c r="E348" t="s">
        <v>172</v>
      </c>
      <c r="F348" t="s">
        <v>99</v>
      </c>
      <c r="G348" t="s">
        <v>100</v>
      </c>
      <c r="H348" t="s">
        <v>34</v>
      </c>
      <c r="I348" s="2">
        <v>3</v>
      </c>
      <c r="J348" s="3">
        <v>340</v>
      </c>
      <c r="K348" s="4">
        <v>0.02</v>
      </c>
      <c r="L348" s="3">
        <v>999.6</v>
      </c>
      <c r="M348" t="b">
        <v>1</v>
      </c>
      <c r="N348" s="2">
        <f>YEAR(B348)</f>
        <v>2026</v>
      </c>
      <c r="O348" t="str">
        <f>INDEX(Agences!$C:$C,MATCH(F348,Agences!$A:$A,0))</f>
        <v>Nord</v>
      </c>
      <c r="P348" t="str">
        <f>INDEX(Produits!$C:$C,MATCH(H348,Produits!$A:$A,0))</f>
        <v>Informatique</v>
      </c>
      <c r="Q348" s="3">
        <f>I348*INDEX(Produits!$E:$E,MATCH(H348,Produits!$A:$A,0))</f>
        <v>826.1999999999999</v>
      </c>
      <c r="R348" s="3">
        <f>L348-Q348</f>
        <v>173.4000000000001</v>
      </c>
      <c r="S348" s="2">
        <f>NETWORKDAYS(B348,C348)-1</f>
        <v>3</v>
      </c>
      <c r="T348" s="1">
        <f>WORKDAY(B348,5)</f>
        <v>46245</v>
      </c>
      <c r="U348" t="b">
        <f>C348&gt;T348</f>
        <v>0</v>
      </c>
    </row>
    <row r="349" spans="1:21" x14ac:dyDescent="0.25">
      <c r="A349" t="s">
        <v>415</v>
      </c>
      <c r="B349" s="1">
        <v>46238</v>
      </c>
      <c r="C349" s="1">
        <v>46241</v>
      </c>
      <c r="D349" t="s">
        <v>416</v>
      </c>
      <c r="E349" t="s">
        <v>61</v>
      </c>
      <c r="F349" t="s">
        <v>62</v>
      </c>
      <c r="G349" t="s">
        <v>68</v>
      </c>
      <c r="H349" t="s">
        <v>162</v>
      </c>
      <c r="I349" s="2">
        <v>5</v>
      </c>
      <c r="J349" s="3">
        <v>289</v>
      </c>
      <c r="K349" s="4">
        <v>0.05</v>
      </c>
      <c r="L349" s="3">
        <v>1372.75</v>
      </c>
      <c r="M349" t="b">
        <v>1</v>
      </c>
      <c r="N349" s="2">
        <f>YEAR(B349)</f>
        <v>2026</v>
      </c>
      <c r="O349" t="str">
        <f>INDEX(Agences!$C:$C,MATCH(F349,Agences!$A:$A,0))</f>
        <v>Méditerranée</v>
      </c>
      <c r="P349" t="str">
        <f>INDEX(Produits!$C:$C,MATCH(H349,Produits!$A:$A,0))</f>
        <v>Mobilier</v>
      </c>
      <c r="Q349" s="3">
        <f>I349*INDEX(Produits!$E:$E,MATCH(H349,Produits!$A:$A,0))</f>
        <v>968.15</v>
      </c>
      <c r="R349" s="3">
        <f>L349-Q349</f>
        <v>404.6</v>
      </c>
      <c r="S349" s="2">
        <f>NETWORKDAYS(B349,C349)-1</f>
        <v>3</v>
      </c>
      <c r="T349" s="1">
        <f>WORKDAY(B349,5)</f>
        <v>46245</v>
      </c>
      <c r="U349" t="b">
        <f>C349&gt;T349</f>
        <v>0</v>
      </c>
    </row>
    <row r="350" spans="1:21" x14ac:dyDescent="0.25">
      <c r="A350" t="s">
        <v>417</v>
      </c>
      <c r="B350" s="1">
        <v>46238</v>
      </c>
      <c r="C350" s="1">
        <v>46244</v>
      </c>
      <c r="D350" t="s">
        <v>418</v>
      </c>
      <c r="E350" t="s">
        <v>419</v>
      </c>
      <c r="F350" t="s">
        <v>62</v>
      </c>
      <c r="G350" t="s">
        <v>68</v>
      </c>
      <c r="H350" t="s">
        <v>50</v>
      </c>
      <c r="I350" s="2">
        <v>1</v>
      </c>
      <c r="J350" s="3">
        <v>69</v>
      </c>
      <c r="K350" s="4">
        <v>0</v>
      </c>
      <c r="L350" s="3">
        <v>69</v>
      </c>
      <c r="M350" t="b">
        <v>1</v>
      </c>
      <c r="N350" s="2">
        <f>YEAR(B350)</f>
        <v>2026</v>
      </c>
      <c r="O350" t="str">
        <f>INDEX(Agences!$C:$C,MATCH(F350,Agences!$A:$A,0))</f>
        <v>Méditerranée</v>
      </c>
      <c r="P350" t="str">
        <f>INDEX(Produits!$C:$C,MATCH(H350,Produits!$A:$A,0))</f>
        <v>Informatique</v>
      </c>
      <c r="Q350" s="3">
        <f>I350*INDEX(Produits!$E:$E,MATCH(H350,Produits!$A:$A,0))</f>
        <v>54.51</v>
      </c>
      <c r="R350" s="3">
        <f>L350-Q350</f>
        <v>14.490000000000002</v>
      </c>
      <c r="S350" s="2">
        <f>NETWORKDAYS(B350,C350)-1</f>
        <v>4</v>
      </c>
      <c r="T350" s="1">
        <f>WORKDAY(B350,5)</f>
        <v>46245</v>
      </c>
      <c r="U350" t="b">
        <f>C350&gt;T350</f>
        <v>0</v>
      </c>
    </row>
    <row r="351" spans="1:21" x14ac:dyDescent="0.25">
      <c r="A351" t="s">
        <v>420</v>
      </c>
      <c r="B351" s="1">
        <v>46238</v>
      </c>
      <c r="C351" s="1">
        <v>46241</v>
      </c>
      <c r="D351" t="s">
        <v>421</v>
      </c>
      <c r="E351" t="s">
        <v>316</v>
      </c>
      <c r="F351" t="s">
        <v>46</v>
      </c>
      <c r="G351" t="s">
        <v>47</v>
      </c>
      <c r="H351" t="s">
        <v>72</v>
      </c>
      <c r="I351" s="2">
        <v>3</v>
      </c>
      <c r="J351" s="3">
        <v>179</v>
      </c>
      <c r="K351" s="4">
        <v>0</v>
      </c>
      <c r="L351" s="3">
        <v>537</v>
      </c>
      <c r="M351" t="b">
        <v>1</v>
      </c>
      <c r="N351" s="2">
        <f>YEAR(B351)</f>
        <v>2026</v>
      </c>
      <c r="O351" t="str">
        <f>INDEX(Agences!$C:$C,MATCH(F351,Agences!$A:$A,0))</f>
        <v>Est</v>
      </c>
      <c r="P351" t="str">
        <f>INDEX(Produits!$C:$C,MATCH(H351,Produits!$A:$A,0))</f>
        <v>Informatique</v>
      </c>
      <c r="Q351" s="3">
        <f>I351*INDEX(Produits!$E:$E,MATCH(H351,Produits!$A:$A,0))</f>
        <v>440.34000000000003</v>
      </c>
      <c r="R351" s="3">
        <f>L351-Q351</f>
        <v>96.65999999999997</v>
      </c>
      <c r="S351" s="2">
        <f>NETWORKDAYS(B351,C351)-1</f>
        <v>3</v>
      </c>
      <c r="T351" s="1">
        <f>WORKDAY(B351,5)</f>
        <v>46245</v>
      </c>
      <c r="U351" t="b">
        <f>C351&gt;T351</f>
        <v>0</v>
      </c>
    </row>
    <row r="352" spans="1:21" x14ac:dyDescent="0.25">
      <c r="A352" t="s">
        <v>420</v>
      </c>
      <c r="B352" s="1">
        <v>46238</v>
      </c>
      <c r="C352" s="1">
        <v>46241</v>
      </c>
      <c r="D352" t="s">
        <v>421</v>
      </c>
      <c r="E352" t="s">
        <v>316</v>
      </c>
      <c r="F352" t="s">
        <v>46</v>
      </c>
      <c r="G352" t="s">
        <v>47</v>
      </c>
      <c r="H352" t="s">
        <v>49</v>
      </c>
      <c r="I352" s="2">
        <v>1</v>
      </c>
      <c r="J352" s="3">
        <v>120</v>
      </c>
      <c r="K352" s="4">
        <v>0</v>
      </c>
      <c r="L352" s="3">
        <v>120</v>
      </c>
      <c r="M352" t="b">
        <v>1</v>
      </c>
      <c r="N352" s="2">
        <f>YEAR(B352)</f>
        <v>2026</v>
      </c>
      <c r="O352" t="str">
        <f>INDEX(Agences!$C:$C,MATCH(F352,Agences!$A:$A,0))</f>
        <v>Est</v>
      </c>
      <c r="P352" t="str">
        <f>INDEX(Produits!$C:$C,MATCH(H352,Produits!$A:$A,0))</f>
        <v>Maintenance</v>
      </c>
      <c r="Q352" s="3">
        <f>I352*INDEX(Produits!$E:$E,MATCH(H352,Produits!$A:$A,0))</f>
        <v>55.2</v>
      </c>
      <c r="R352" s="3">
        <f>L352-Q352</f>
        <v>64.8</v>
      </c>
      <c r="S352" s="2">
        <f>NETWORKDAYS(B352,C352)-1</f>
        <v>3</v>
      </c>
      <c r="T352" s="1">
        <f>WORKDAY(B352,5)</f>
        <v>46245</v>
      </c>
      <c r="U352" t="b">
        <f>C352&gt;T352</f>
        <v>0</v>
      </c>
    </row>
    <row r="353" spans="1:21" x14ac:dyDescent="0.25">
      <c r="A353" t="s">
        <v>420</v>
      </c>
      <c r="B353" s="1">
        <v>46238</v>
      </c>
      <c r="C353" s="1">
        <v>46241</v>
      </c>
      <c r="D353" t="s">
        <v>421</v>
      </c>
      <c r="E353" t="s">
        <v>316</v>
      </c>
      <c r="F353" t="s">
        <v>46</v>
      </c>
      <c r="G353" t="s">
        <v>47</v>
      </c>
      <c r="H353" t="s">
        <v>83</v>
      </c>
      <c r="I353" s="2">
        <v>7</v>
      </c>
      <c r="J353" s="3">
        <v>49</v>
      </c>
      <c r="K353" s="4">
        <v>0</v>
      </c>
      <c r="L353" s="3">
        <v>343</v>
      </c>
      <c r="M353" t="b">
        <v>1</v>
      </c>
      <c r="N353" s="2">
        <f>YEAR(B353)</f>
        <v>2026</v>
      </c>
      <c r="O353" t="str">
        <f>INDEX(Agences!$C:$C,MATCH(F353,Agences!$A:$A,0))</f>
        <v>Est</v>
      </c>
      <c r="P353" t="str">
        <f>INDEX(Produits!$C:$C,MATCH(H353,Produits!$A:$A,0))</f>
        <v>Mobilier</v>
      </c>
      <c r="Q353" s="3">
        <f>I353*INDEX(Produits!$E:$E,MATCH(H353,Produits!$A:$A,0))</f>
        <v>198.94</v>
      </c>
      <c r="R353" s="3">
        <f>L353-Q353</f>
        <v>144.06</v>
      </c>
      <c r="S353" s="2">
        <f>NETWORKDAYS(B353,C353)-1</f>
        <v>3</v>
      </c>
      <c r="T353" s="1">
        <f>WORKDAY(B353,5)</f>
        <v>46245</v>
      </c>
      <c r="U353" t="b">
        <f>C353&gt;T353</f>
        <v>0</v>
      </c>
    </row>
    <row r="354" spans="1:21" x14ac:dyDescent="0.25">
      <c r="A354" t="s">
        <v>422</v>
      </c>
      <c r="B354" s="1">
        <v>46238</v>
      </c>
      <c r="C354" s="1">
        <v>46252</v>
      </c>
      <c r="D354" t="s">
        <v>423</v>
      </c>
      <c r="E354" t="s">
        <v>229</v>
      </c>
      <c r="F354" t="s">
        <v>55</v>
      </c>
      <c r="G354" t="s">
        <v>56</v>
      </c>
      <c r="H354" t="s">
        <v>35</v>
      </c>
      <c r="I354" s="2">
        <v>5</v>
      </c>
      <c r="J354" s="3">
        <v>79</v>
      </c>
      <c r="K354" s="4">
        <v>0</v>
      </c>
      <c r="L354" s="3">
        <v>395</v>
      </c>
      <c r="M354" t="b">
        <v>1</v>
      </c>
      <c r="N354" s="2">
        <f>YEAR(B354)</f>
        <v>2026</v>
      </c>
      <c r="O354" t="str">
        <f>INDEX(Agences!$C:$C,MATCH(F354,Agences!$A:$A,0))</f>
        <v>Est</v>
      </c>
      <c r="P354" t="str">
        <f>INDEX(Produits!$C:$C,MATCH(H354,Produits!$A:$A,0))</f>
        <v>Mobilier</v>
      </c>
      <c r="Q354" s="3">
        <f>I354*INDEX(Produits!$E:$E,MATCH(H354,Produits!$A:$A,0))</f>
        <v>233.05</v>
      </c>
      <c r="R354" s="3">
        <f>L354-Q354</f>
        <v>161.95</v>
      </c>
      <c r="S354" s="2">
        <f>NETWORKDAYS(B354,C354)-1</f>
        <v>10</v>
      </c>
      <c r="T354" s="1">
        <f>WORKDAY(B354,5)</f>
        <v>46245</v>
      </c>
      <c r="U354" t="b">
        <f>C354&gt;T354</f>
        <v>1</v>
      </c>
    </row>
    <row r="355" spans="1:21" x14ac:dyDescent="0.25">
      <c r="A355" t="s">
        <v>422</v>
      </c>
      <c r="B355" s="1">
        <v>46238</v>
      </c>
      <c r="C355" s="1">
        <v>46252</v>
      </c>
      <c r="D355" t="s">
        <v>423</v>
      </c>
      <c r="E355" t="s">
        <v>229</v>
      </c>
      <c r="F355" t="s">
        <v>55</v>
      </c>
      <c r="G355" t="s">
        <v>56</v>
      </c>
      <c r="H355" t="s">
        <v>103</v>
      </c>
      <c r="I355" s="2">
        <v>2</v>
      </c>
      <c r="J355" s="3">
        <v>245</v>
      </c>
      <c r="K355" s="4">
        <v>0</v>
      </c>
      <c r="L355" s="3">
        <v>490</v>
      </c>
      <c r="M355" t="b">
        <v>1</v>
      </c>
      <c r="N355" s="2">
        <f>YEAR(B355)</f>
        <v>2026</v>
      </c>
      <c r="O355" t="str">
        <f>INDEX(Agences!$C:$C,MATCH(F355,Agences!$A:$A,0))</f>
        <v>Est</v>
      </c>
      <c r="P355" t="str">
        <f>INDEX(Produits!$C:$C,MATCH(H355,Produits!$A:$A,0))</f>
        <v>Mobilier</v>
      </c>
      <c r="Q355" s="3">
        <f>I355*INDEX(Produits!$E:$E,MATCH(H355,Produits!$A:$A,0))</f>
        <v>328.3</v>
      </c>
      <c r="R355" s="3">
        <f>L355-Q355</f>
        <v>161.7</v>
      </c>
      <c r="S355" s="2">
        <f>NETWORKDAYS(B355,C355)-1</f>
        <v>10</v>
      </c>
      <c r="T355" s="1">
        <f>WORKDAY(B355,5)</f>
        <v>46245</v>
      </c>
      <c r="U355" t="b">
        <f>C355&gt;T355</f>
        <v>1</v>
      </c>
    </row>
    <row r="356" spans="1:21" x14ac:dyDescent="0.25">
      <c r="A356" t="s">
        <v>422</v>
      </c>
      <c r="B356" s="1">
        <v>46238</v>
      </c>
      <c r="C356" s="1">
        <v>46252</v>
      </c>
      <c r="D356" t="s">
        <v>423</v>
      </c>
      <c r="E356" t="s">
        <v>229</v>
      </c>
      <c r="F356" t="s">
        <v>55</v>
      </c>
      <c r="G356" t="s">
        <v>56</v>
      </c>
      <c r="H356" t="s">
        <v>83</v>
      </c>
      <c r="I356" s="2">
        <v>1</v>
      </c>
      <c r="J356" s="3">
        <v>49</v>
      </c>
      <c r="K356" s="4">
        <v>0</v>
      </c>
      <c r="L356" s="3">
        <v>49</v>
      </c>
      <c r="M356" t="b">
        <v>1</v>
      </c>
      <c r="N356" s="2">
        <f>YEAR(B356)</f>
        <v>2026</v>
      </c>
      <c r="O356" t="str">
        <f>INDEX(Agences!$C:$C,MATCH(F356,Agences!$A:$A,0))</f>
        <v>Est</v>
      </c>
      <c r="P356" t="str">
        <f>INDEX(Produits!$C:$C,MATCH(H356,Produits!$A:$A,0))</f>
        <v>Mobilier</v>
      </c>
      <c r="Q356" s="3">
        <f>I356*INDEX(Produits!$E:$E,MATCH(H356,Produits!$A:$A,0))</f>
        <v>28.42</v>
      </c>
      <c r="R356" s="3">
        <f>L356-Q356</f>
        <v>20.58</v>
      </c>
      <c r="S356" s="2">
        <f>NETWORKDAYS(B356,C356)-1</f>
        <v>10</v>
      </c>
      <c r="T356" s="1">
        <f>WORKDAY(B356,5)</f>
        <v>46245</v>
      </c>
      <c r="U356" t="b">
        <f>C356&gt;T356</f>
        <v>1</v>
      </c>
    </row>
    <row r="357" spans="1:21" x14ac:dyDescent="0.25">
      <c r="A357" t="s">
        <v>424</v>
      </c>
      <c r="B357" s="1">
        <v>46237</v>
      </c>
      <c r="C357" s="1">
        <v>46244</v>
      </c>
      <c r="D357" t="s">
        <v>425</v>
      </c>
      <c r="E357" t="s">
        <v>175</v>
      </c>
      <c r="F357" t="s">
        <v>76</v>
      </c>
      <c r="G357" t="s">
        <v>176</v>
      </c>
      <c r="H357" t="s">
        <v>49</v>
      </c>
      <c r="I357" s="2">
        <v>1</v>
      </c>
      <c r="J357" s="3">
        <v>120</v>
      </c>
      <c r="K357" s="4">
        <v>0</v>
      </c>
      <c r="L357" s="3">
        <v>120</v>
      </c>
      <c r="M357" t="b">
        <v>1</v>
      </c>
      <c r="N357" s="2">
        <f>YEAR(B357)</f>
        <v>2026</v>
      </c>
      <c r="O357" t="str">
        <f>INDEX(Agences!$C:$C,MATCH(F357,Agences!$A:$A,0))</f>
        <v>Île-de-France</v>
      </c>
      <c r="P357" t="str">
        <f>INDEX(Produits!$C:$C,MATCH(H357,Produits!$A:$A,0))</f>
        <v>Maintenance</v>
      </c>
      <c r="Q357" s="3">
        <f>I357*INDEX(Produits!$E:$E,MATCH(H357,Produits!$A:$A,0))</f>
        <v>55.2</v>
      </c>
      <c r="R357" s="3">
        <f>L357-Q357</f>
        <v>64.8</v>
      </c>
      <c r="S357" s="2">
        <f>NETWORKDAYS(B357,C357)-1</f>
        <v>5</v>
      </c>
      <c r="T357" s="1">
        <f>WORKDAY(B357,5)</f>
        <v>46244</v>
      </c>
      <c r="U357" t="b">
        <f>C357&gt;T357</f>
        <v>0</v>
      </c>
    </row>
    <row r="358" spans="1:21" x14ac:dyDescent="0.25">
      <c r="A358" t="s">
        <v>424</v>
      </c>
      <c r="B358" s="1">
        <v>46237</v>
      </c>
      <c r="C358" s="1">
        <v>46244</v>
      </c>
      <c r="D358" t="s">
        <v>425</v>
      </c>
      <c r="E358" t="s">
        <v>175</v>
      </c>
      <c r="F358" t="s">
        <v>76</v>
      </c>
      <c r="G358" t="s">
        <v>176</v>
      </c>
      <c r="H358" t="s">
        <v>41</v>
      </c>
      <c r="I358" s="2">
        <v>1</v>
      </c>
      <c r="J358" s="3">
        <v>790</v>
      </c>
      <c r="K358" s="4">
        <v>0.08</v>
      </c>
      <c r="L358" s="3">
        <v>726.8</v>
      </c>
      <c r="M358" t="b">
        <v>1</v>
      </c>
      <c r="N358" s="2">
        <f>YEAR(B358)</f>
        <v>2026</v>
      </c>
      <c r="O358" t="str">
        <f>INDEX(Agences!$C:$C,MATCH(F358,Agences!$A:$A,0))</f>
        <v>Île-de-France</v>
      </c>
      <c r="P358" t="str">
        <f>INDEX(Produits!$C:$C,MATCH(H358,Produits!$A:$A,0))</f>
        <v>Informatique</v>
      </c>
      <c r="Q358" s="3">
        <f>I358*INDEX(Produits!$E:$E,MATCH(H358,Produits!$A:$A,0))</f>
        <v>576.7</v>
      </c>
      <c r="R358" s="3">
        <f>L358-Q358</f>
        <v>150.0999999999999</v>
      </c>
      <c r="S358" s="2">
        <f>NETWORKDAYS(B358,C358)-1</f>
        <v>5</v>
      </c>
      <c r="T358" s="1">
        <f>WORKDAY(B358,5)</f>
        <v>46244</v>
      </c>
      <c r="U358" t="b">
        <f>C358&gt;T358</f>
        <v>0</v>
      </c>
    </row>
    <row r="359" spans="1:21" x14ac:dyDescent="0.25">
      <c r="A359" t="s">
        <v>424</v>
      </c>
      <c r="B359" s="1">
        <v>46237</v>
      </c>
      <c r="C359" s="1">
        <v>46244</v>
      </c>
      <c r="D359" t="s">
        <v>425</v>
      </c>
      <c r="E359" t="s">
        <v>175</v>
      </c>
      <c r="F359" t="s">
        <v>76</v>
      </c>
      <c r="G359" t="s">
        <v>176</v>
      </c>
      <c r="H359" t="s">
        <v>79</v>
      </c>
      <c r="I359" s="2">
        <v>5</v>
      </c>
      <c r="J359" s="3">
        <v>14.9</v>
      </c>
      <c r="K359" s="4">
        <v>0.05</v>
      </c>
      <c r="L359" s="3">
        <v>70.78</v>
      </c>
      <c r="M359" t="b">
        <v>1</v>
      </c>
      <c r="N359" s="2">
        <f>YEAR(B359)</f>
        <v>2026</v>
      </c>
      <c r="O359" t="str">
        <f>INDEX(Agences!$C:$C,MATCH(F359,Agences!$A:$A,0))</f>
        <v>Île-de-France</v>
      </c>
      <c r="P359" t="str">
        <f>INDEX(Produits!$C:$C,MATCH(H359,Produits!$A:$A,0))</f>
        <v>Fournitures</v>
      </c>
      <c r="Q359" s="3">
        <f>I359*INDEX(Produits!$E:$E,MATCH(H359,Produits!$A:$A,0))</f>
        <v>40.25</v>
      </c>
      <c r="R359" s="3">
        <f>L359-Q359</f>
        <v>30.53</v>
      </c>
      <c r="S359" s="2">
        <f>NETWORKDAYS(B359,C359)-1</f>
        <v>5</v>
      </c>
      <c r="T359" s="1">
        <f>WORKDAY(B359,5)</f>
        <v>46244</v>
      </c>
      <c r="U359" t="b">
        <f>C359&gt;T359</f>
        <v>0</v>
      </c>
    </row>
    <row r="360" spans="1:21" x14ac:dyDescent="0.25">
      <c r="A360" t="s">
        <v>426</v>
      </c>
      <c r="B360" s="1">
        <v>46237</v>
      </c>
      <c r="C360" s="1">
        <v>46238</v>
      </c>
      <c r="D360" t="s">
        <v>427</v>
      </c>
      <c r="E360" t="s">
        <v>236</v>
      </c>
      <c r="F360" t="s">
        <v>39</v>
      </c>
      <c r="G360" t="s">
        <v>40</v>
      </c>
      <c r="H360" t="s">
        <v>50</v>
      </c>
      <c r="I360" s="2">
        <v>4</v>
      </c>
      <c r="J360" s="3">
        <v>69</v>
      </c>
      <c r="K360" s="4">
        <v>0</v>
      </c>
      <c r="L360" s="3">
        <v>276</v>
      </c>
      <c r="M360" t="b">
        <v>1</v>
      </c>
      <c r="N360" s="2">
        <f>YEAR(B360)</f>
        <v>2026</v>
      </c>
      <c r="O360" t="str">
        <f>INDEX(Agences!$C:$C,MATCH(F360,Agences!$A:$A,0))</f>
        <v>Sud-Ouest</v>
      </c>
      <c r="P360" t="str">
        <f>INDEX(Produits!$C:$C,MATCH(H360,Produits!$A:$A,0))</f>
        <v>Informatique</v>
      </c>
      <c r="Q360" s="3">
        <f>I360*INDEX(Produits!$E:$E,MATCH(H360,Produits!$A:$A,0))</f>
        <v>218.04</v>
      </c>
      <c r="R360" s="3">
        <f>L360-Q360</f>
        <v>57.96000000000001</v>
      </c>
      <c r="S360" s="2">
        <f>NETWORKDAYS(B360,C360)-1</f>
        <v>1</v>
      </c>
      <c r="T360" s="1">
        <f>WORKDAY(B360,5)</f>
        <v>46244</v>
      </c>
      <c r="U360" t="b">
        <f>C360&gt;T360</f>
        <v>0</v>
      </c>
    </row>
    <row r="361" spans="1:21" x14ac:dyDescent="0.25">
      <c r="A361" t="s">
        <v>426</v>
      </c>
      <c r="B361" s="1">
        <v>46237</v>
      </c>
      <c r="C361" s="1">
        <v>46238</v>
      </c>
      <c r="D361" t="s">
        <v>427</v>
      </c>
      <c r="E361" t="s">
        <v>236</v>
      </c>
      <c r="F361" t="s">
        <v>39</v>
      </c>
      <c r="G361" t="s">
        <v>40</v>
      </c>
      <c r="H361" t="s">
        <v>112</v>
      </c>
      <c r="I361" s="2">
        <v>2</v>
      </c>
      <c r="J361" s="3">
        <v>129</v>
      </c>
      <c r="K361" s="4">
        <v>0</v>
      </c>
      <c r="L361" s="3">
        <v>258</v>
      </c>
      <c r="M361" t="b">
        <v>1</v>
      </c>
      <c r="N361" s="2">
        <f>YEAR(B361)</f>
        <v>2026</v>
      </c>
      <c r="O361" t="str">
        <f>INDEX(Agences!$C:$C,MATCH(F361,Agences!$A:$A,0))</f>
        <v>Sud-Ouest</v>
      </c>
      <c r="P361" t="str">
        <f>INDEX(Produits!$C:$C,MATCH(H361,Produits!$A:$A,0))</f>
        <v>Mobilier</v>
      </c>
      <c r="Q361" s="3">
        <f>I361*INDEX(Produits!$E:$E,MATCH(H361,Produits!$A:$A,0))</f>
        <v>172.86</v>
      </c>
      <c r="R361" s="3">
        <f>L361-Q361</f>
        <v>85.13999999999999</v>
      </c>
      <c r="S361" s="2">
        <f>NETWORKDAYS(B361,C361)-1</f>
        <v>1</v>
      </c>
      <c r="T361" s="1">
        <f>WORKDAY(B361,5)</f>
        <v>46244</v>
      </c>
      <c r="U361" t="b">
        <f>C361&gt;T361</f>
        <v>0</v>
      </c>
    </row>
    <row r="362" spans="1:21" x14ac:dyDescent="0.25">
      <c r="A362" t="s">
        <v>428</v>
      </c>
      <c r="B362" s="1">
        <v>46234</v>
      </c>
      <c r="C362" s="1">
        <v>46239</v>
      </c>
      <c r="D362" t="s">
        <v>429</v>
      </c>
      <c r="E362" t="s">
        <v>242</v>
      </c>
      <c r="F362" t="s">
        <v>94</v>
      </c>
      <c r="G362" t="s">
        <v>95</v>
      </c>
      <c r="H362" t="s">
        <v>35</v>
      </c>
      <c r="I362" s="2">
        <v>1</v>
      </c>
      <c r="J362" s="3">
        <v>79</v>
      </c>
      <c r="K362" s="4">
        <v>0</v>
      </c>
      <c r="L362" s="3">
        <v>79</v>
      </c>
      <c r="M362" t="b">
        <v>1</v>
      </c>
      <c r="N362" s="2">
        <f>YEAR(B362)</f>
        <v>2026</v>
      </c>
      <c r="O362" t="str">
        <f>INDEX(Agences!$C:$C,MATCH(F362,Agences!$A:$A,0))</f>
        <v>Méditerranée</v>
      </c>
      <c r="P362" t="str">
        <f>INDEX(Produits!$C:$C,MATCH(H362,Produits!$A:$A,0))</f>
        <v>Mobilier</v>
      </c>
      <c r="Q362" s="3">
        <f>I362*INDEX(Produits!$E:$E,MATCH(H362,Produits!$A:$A,0))</f>
        <v>46.61</v>
      </c>
      <c r="R362" s="3">
        <f>L362-Q362</f>
        <v>32.39</v>
      </c>
      <c r="S362" s="2">
        <f>NETWORKDAYS(B362,C362)-1</f>
        <v>3</v>
      </c>
      <c r="T362" s="1">
        <f>WORKDAY(B362,5)</f>
        <v>46241</v>
      </c>
      <c r="U362" t="b">
        <f>C362&gt;T362</f>
        <v>0</v>
      </c>
    </row>
    <row r="363" spans="1:21" x14ac:dyDescent="0.25">
      <c r="A363" t="s">
        <v>428</v>
      </c>
      <c r="B363" s="1">
        <v>46234</v>
      </c>
      <c r="C363" s="1">
        <v>46239</v>
      </c>
      <c r="D363" t="s">
        <v>429</v>
      </c>
      <c r="E363" t="s">
        <v>242</v>
      </c>
      <c r="F363" t="s">
        <v>94</v>
      </c>
      <c r="G363" t="s">
        <v>95</v>
      </c>
      <c r="H363" t="s">
        <v>112</v>
      </c>
      <c r="I363" s="2">
        <v>1</v>
      </c>
      <c r="J363" s="3">
        <v>129</v>
      </c>
      <c r="K363" s="4">
        <v>0.02</v>
      </c>
      <c r="L363" s="3">
        <v>126.42</v>
      </c>
      <c r="M363" t="b">
        <v>1</v>
      </c>
      <c r="N363" s="2">
        <f>YEAR(B363)</f>
        <v>2026</v>
      </c>
      <c r="O363" t="str">
        <f>INDEX(Agences!$C:$C,MATCH(F363,Agences!$A:$A,0))</f>
        <v>Méditerranée</v>
      </c>
      <c r="P363" t="str">
        <f>INDEX(Produits!$C:$C,MATCH(H363,Produits!$A:$A,0))</f>
        <v>Mobilier</v>
      </c>
      <c r="Q363" s="3">
        <f>I363*INDEX(Produits!$E:$E,MATCH(H363,Produits!$A:$A,0))</f>
        <v>86.43</v>
      </c>
      <c r="R363" s="3">
        <f>L363-Q363</f>
        <v>39.989999999999995</v>
      </c>
      <c r="S363" s="2">
        <f>NETWORKDAYS(B363,C363)-1</f>
        <v>3</v>
      </c>
      <c r="T363" s="1">
        <f>WORKDAY(B363,5)</f>
        <v>46241</v>
      </c>
      <c r="U363" t="b">
        <f>C363&gt;T363</f>
        <v>0</v>
      </c>
    </row>
    <row r="364" spans="1:21" x14ac:dyDescent="0.25">
      <c r="A364" t="s">
        <v>428</v>
      </c>
      <c r="B364" s="1">
        <v>46234</v>
      </c>
      <c r="C364" s="1">
        <v>46239</v>
      </c>
      <c r="D364" t="s">
        <v>429</v>
      </c>
      <c r="E364" t="s">
        <v>242</v>
      </c>
      <c r="F364" t="s">
        <v>94</v>
      </c>
      <c r="G364" t="s">
        <v>95</v>
      </c>
      <c r="H364" t="s">
        <v>33</v>
      </c>
      <c r="I364" s="2">
        <v>1</v>
      </c>
      <c r="J364" s="3">
        <v>219</v>
      </c>
      <c r="K364" s="4">
        <v>0.02</v>
      </c>
      <c r="L364" s="3">
        <v>214.62</v>
      </c>
      <c r="M364" t="b">
        <v>1</v>
      </c>
      <c r="N364" s="2">
        <f>YEAR(B364)</f>
        <v>2026</v>
      </c>
      <c r="O364" t="str">
        <f>INDEX(Agences!$C:$C,MATCH(F364,Agences!$A:$A,0))</f>
        <v>Méditerranée</v>
      </c>
      <c r="P364" t="str">
        <f>INDEX(Produits!$C:$C,MATCH(H364,Produits!$A:$A,0))</f>
        <v>Informatique</v>
      </c>
      <c r="Q364" s="3">
        <f>I364*INDEX(Produits!$E:$E,MATCH(H364,Produits!$A:$A,0))</f>
        <v>179.58</v>
      </c>
      <c r="R364" s="3">
        <f>L364-Q364</f>
        <v>35.03999999999999</v>
      </c>
      <c r="S364" s="2">
        <f>NETWORKDAYS(B364,C364)-1</f>
        <v>3</v>
      </c>
      <c r="T364" s="1">
        <f>WORKDAY(B364,5)</f>
        <v>46241</v>
      </c>
      <c r="U364" t="b">
        <f>C364&gt;T364</f>
        <v>0</v>
      </c>
    </row>
    <row r="365" spans="1:21" x14ac:dyDescent="0.25">
      <c r="A365" t="s">
        <v>430</v>
      </c>
      <c r="B365" s="1">
        <v>46234</v>
      </c>
      <c r="C365" s="1">
        <v>46304</v>
      </c>
      <c r="D365" t="s">
        <v>431</v>
      </c>
      <c r="E365" t="s">
        <v>194</v>
      </c>
      <c r="F365" t="s">
        <v>55</v>
      </c>
      <c r="G365" t="s">
        <v>56</v>
      </c>
      <c r="H365" t="s">
        <v>103</v>
      </c>
      <c r="I365" s="2">
        <v>3</v>
      </c>
      <c r="J365" s="3">
        <v>245</v>
      </c>
      <c r="K365" s="4">
        <v>0.02</v>
      </c>
      <c r="L365" s="3">
        <v>720.3</v>
      </c>
      <c r="M365" t="b">
        <v>0</v>
      </c>
      <c r="N365" s="2">
        <f>YEAR(B365)</f>
        <v>2026</v>
      </c>
      <c r="O365" t="str">
        <f>INDEX(Agences!$C:$C,MATCH(F365,Agences!$A:$A,0))</f>
        <v>Est</v>
      </c>
      <c r="P365" t="str">
        <f>INDEX(Produits!$C:$C,MATCH(H365,Produits!$A:$A,0))</f>
        <v>Mobilier</v>
      </c>
      <c r="Q365" s="3">
        <f>I365*INDEX(Produits!$E:$E,MATCH(H365,Produits!$A:$A,0))</f>
        <v>492.45000000000005</v>
      </c>
      <c r="R365" s="3">
        <f>L365-Q365</f>
        <v>227.8499999999999</v>
      </c>
      <c r="S365" s="2">
        <f>NETWORKDAYS(B365,C365)-1</f>
        <v>50</v>
      </c>
      <c r="T365" s="1">
        <f>WORKDAY(B365,5)</f>
        <v>46241</v>
      </c>
      <c r="U365" t="b">
        <f>C365&gt;T365</f>
        <v>1</v>
      </c>
    </row>
    <row r="366" spans="1:21" x14ac:dyDescent="0.25">
      <c r="A366" t="s">
        <v>432</v>
      </c>
      <c r="B366" s="1">
        <v>46234</v>
      </c>
      <c r="C366" s="1">
        <v>46252</v>
      </c>
      <c r="D366" t="s">
        <v>433</v>
      </c>
      <c r="E366" t="s">
        <v>434</v>
      </c>
      <c r="F366" t="s">
        <v>55</v>
      </c>
      <c r="G366" t="s">
        <v>195</v>
      </c>
      <c r="H366" t="s">
        <v>83</v>
      </c>
      <c r="I366" s="2">
        <v>2</v>
      </c>
      <c r="J366" s="3">
        <v>49</v>
      </c>
      <c r="K366" s="4">
        <v>0</v>
      </c>
      <c r="L366" s="3">
        <v>98</v>
      </c>
      <c r="M366" t="b">
        <v>1</v>
      </c>
      <c r="N366" s="2">
        <f>YEAR(B366)</f>
        <v>2026</v>
      </c>
      <c r="O366" t="str">
        <f>INDEX(Agences!$C:$C,MATCH(F366,Agences!$A:$A,0))</f>
        <v>Est</v>
      </c>
      <c r="P366" t="str">
        <f>INDEX(Produits!$C:$C,MATCH(H366,Produits!$A:$A,0))</f>
        <v>Mobilier</v>
      </c>
      <c r="Q366" s="3">
        <f>I366*INDEX(Produits!$E:$E,MATCH(H366,Produits!$A:$A,0))</f>
        <v>56.84</v>
      </c>
      <c r="R366" s="3">
        <f>L366-Q366</f>
        <v>41.16</v>
      </c>
      <c r="S366" s="2">
        <f>NETWORKDAYS(B366,C366)-1</f>
        <v>12</v>
      </c>
      <c r="T366" s="1">
        <f>WORKDAY(B366,5)</f>
        <v>46241</v>
      </c>
      <c r="U366" t="b">
        <f>C366&gt;T366</f>
        <v>1</v>
      </c>
    </row>
    <row r="367" spans="1:21" x14ac:dyDescent="0.25">
      <c r="A367" t="s">
        <v>435</v>
      </c>
      <c r="B367" s="1">
        <v>46233</v>
      </c>
      <c r="C367" s="1">
        <v>46238</v>
      </c>
      <c r="D367" t="s">
        <v>436</v>
      </c>
      <c r="E367" t="s">
        <v>98</v>
      </c>
      <c r="F367" t="s">
        <v>99</v>
      </c>
      <c r="G367" t="s">
        <v>100</v>
      </c>
      <c r="H367" t="s">
        <v>51</v>
      </c>
      <c r="I367" s="2">
        <v>1</v>
      </c>
      <c r="J367" s="3">
        <v>180</v>
      </c>
      <c r="K367" s="4">
        <v>0.05</v>
      </c>
      <c r="L367" s="3">
        <v>171</v>
      </c>
      <c r="M367" t="b">
        <v>1</v>
      </c>
      <c r="N367" s="2">
        <f>YEAR(B367)</f>
        <v>2026</v>
      </c>
      <c r="O367" t="str">
        <f>INDEX(Agences!$C:$C,MATCH(F367,Agences!$A:$A,0))</f>
        <v>Nord</v>
      </c>
      <c r="P367" t="str">
        <f>INDEX(Produits!$C:$C,MATCH(H367,Produits!$A:$A,0))</f>
        <v>Maintenance</v>
      </c>
      <c r="Q367" s="3">
        <f>I367*INDEX(Produits!$E:$E,MATCH(H367,Produits!$A:$A,0))</f>
        <v>82.8</v>
      </c>
      <c r="R367" s="3">
        <f>L367-Q367</f>
        <v>88.2</v>
      </c>
      <c r="S367" s="2">
        <f>NETWORKDAYS(B367,C367)-1</f>
        <v>3</v>
      </c>
      <c r="T367" s="1">
        <f>WORKDAY(B367,5)</f>
        <v>46240</v>
      </c>
      <c r="U367" t="b">
        <f>C367&gt;T367</f>
        <v>0</v>
      </c>
    </row>
    <row r="368" spans="1:21" x14ac:dyDescent="0.25">
      <c r="A368" t="s">
        <v>435</v>
      </c>
      <c r="B368" s="1">
        <v>46233</v>
      </c>
      <c r="C368" s="1">
        <v>46238</v>
      </c>
      <c r="D368" t="s">
        <v>436</v>
      </c>
      <c r="E368" t="s">
        <v>98</v>
      </c>
      <c r="F368" t="s">
        <v>99</v>
      </c>
      <c r="G368" t="s">
        <v>100</v>
      </c>
      <c r="H368" t="s">
        <v>41</v>
      </c>
      <c r="I368" s="2">
        <v>1</v>
      </c>
      <c r="J368" s="3">
        <v>790</v>
      </c>
      <c r="K368" s="4">
        <v>0.1</v>
      </c>
      <c r="L368" s="3">
        <v>711</v>
      </c>
      <c r="M368" t="b">
        <v>1</v>
      </c>
      <c r="N368" s="2">
        <f>YEAR(B368)</f>
        <v>2026</v>
      </c>
      <c r="O368" t="str">
        <f>INDEX(Agences!$C:$C,MATCH(F368,Agences!$A:$A,0))</f>
        <v>Nord</v>
      </c>
      <c r="P368" t="str">
        <f>INDEX(Produits!$C:$C,MATCH(H368,Produits!$A:$A,0))</f>
        <v>Informatique</v>
      </c>
      <c r="Q368" s="3">
        <f>I368*INDEX(Produits!$E:$E,MATCH(H368,Produits!$A:$A,0))</f>
        <v>576.7</v>
      </c>
      <c r="R368" s="3">
        <f>L368-Q368</f>
        <v>134.29999999999995</v>
      </c>
      <c r="S368" s="2">
        <f>NETWORKDAYS(B368,C368)-1</f>
        <v>3</v>
      </c>
      <c r="T368" s="1">
        <f>WORKDAY(B368,5)</f>
        <v>46240</v>
      </c>
      <c r="U368" t="b">
        <f>C368&gt;T368</f>
        <v>0</v>
      </c>
    </row>
    <row r="369" spans="1:21" x14ac:dyDescent="0.25">
      <c r="A369" t="s">
        <v>437</v>
      </c>
      <c r="B369" s="1">
        <v>46233</v>
      </c>
      <c r="C369" s="1">
        <v>46238</v>
      </c>
      <c r="D369" t="s">
        <v>438</v>
      </c>
      <c r="E369" t="s">
        <v>175</v>
      </c>
      <c r="F369" t="s">
        <v>76</v>
      </c>
      <c r="G369" t="s">
        <v>232</v>
      </c>
      <c r="H369" t="s">
        <v>112</v>
      </c>
      <c r="I369" s="2">
        <v>1</v>
      </c>
      <c r="J369" s="3">
        <v>129</v>
      </c>
      <c r="K369" s="4">
        <v>0.02</v>
      </c>
      <c r="L369" s="3">
        <v>126.42</v>
      </c>
      <c r="M369" t="b">
        <v>1</v>
      </c>
      <c r="N369" s="2">
        <f>YEAR(B369)</f>
        <v>2026</v>
      </c>
      <c r="O369" t="str">
        <f>INDEX(Agences!$C:$C,MATCH(F369,Agences!$A:$A,0))</f>
        <v>Île-de-France</v>
      </c>
      <c r="P369" t="str">
        <f>INDEX(Produits!$C:$C,MATCH(H369,Produits!$A:$A,0))</f>
        <v>Mobilier</v>
      </c>
      <c r="Q369" s="3">
        <f>I369*INDEX(Produits!$E:$E,MATCH(H369,Produits!$A:$A,0))</f>
        <v>86.43</v>
      </c>
      <c r="R369" s="3">
        <f>L369-Q369</f>
        <v>39.989999999999995</v>
      </c>
      <c r="S369" s="2">
        <f>NETWORKDAYS(B369,C369)-1</f>
        <v>3</v>
      </c>
      <c r="T369" s="1">
        <f>WORKDAY(B369,5)</f>
        <v>46240</v>
      </c>
      <c r="U369" t="b">
        <f>C369&gt;T369</f>
        <v>0</v>
      </c>
    </row>
    <row r="370" spans="1:21" x14ac:dyDescent="0.25">
      <c r="A370" t="s">
        <v>437</v>
      </c>
      <c r="B370" s="1">
        <v>46233</v>
      </c>
      <c r="C370" s="1">
        <v>46238</v>
      </c>
      <c r="D370" t="s">
        <v>438</v>
      </c>
      <c r="E370" t="s">
        <v>175</v>
      </c>
      <c r="F370" t="s">
        <v>76</v>
      </c>
      <c r="G370" t="s">
        <v>232</v>
      </c>
      <c r="H370" t="s">
        <v>196</v>
      </c>
      <c r="I370" s="2">
        <v>10</v>
      </c>
      <c r="J370" s="3">
        <v>18.5</v>
      </c>
      <c r="K370" s="4">
        <v>0.02</v>
      </c>
      <c r="L370" s="3">
        <v>181.3</v>
      </c>
      <c r="M370" t="b">
        <v>1</v>
      </c>
      <c r="N370" s="2">
        <f>YEAR(B370)</f>
        <v>2026</v>
      </c>
      <c r="O370" t="str">
        <f>INDEX(Agences!$C:$C,MATCH(F370,Agences!$A:$A,0))</f>
        <v>Île-de-France</v>
      </c>
      <c r="P370" t="str">
        <f>INDEX(Produits!$C:$C,MATCH(H370,Produits!$A:$A,0))</f>
        <v>Fournitures</v>
      </c>
      <c r="Q370" s="3">
        <f>I370*INDEX(Produits!$E:$E,MATCH(H370,Produits!$A:$A,0))</f>
        <v>94.39999999999999</v>
      </c>
      <c r="R370" s="3">
        <f>L370-Q370</f>
        <v>86.90000000000002</v>
      </c>
      <c r="S370" s="2">
        <f>NETWORKDAYS(B370,C370)-1</f>
        <v>3</v>
      </c>
      <c r="T370" s="1">
        <f>WORKDAY(B370,5)</f>
        <v>46240</v>
      </c>
      <c r="U370" t="b">
        <f>C370&gt;T370</f>
        <v>0</v>
      </c>
    </row>
    <row r="371" spans="1:21" x14ac:dyDescent="0.25">
      <c r="A371" t="s">
        <v>439</v>
      </c>
      <c r="B371" s="1">
        <v>46232</v>
      </c>
      <c r="C371" s="1">
        <v>46237</v>
      </c>
      <c r="D371" t="s">
        <v>440</v>
      </c>
      <c r="E371" t="s">
        <v>126</v>
      </c>
      <c r="F371" t="s">
        <v>99</v>
      </c>
      <c r="G371" t="s">
        <v>210</v>
      </c>
      <c r="H371" t="s">
        <v>83</v>
      </c>
      <c r="I371" s="2">
        <v>1</v>
      </c>
      <c r="J371" s="3">
        <v>49</v>
      </c>
      <c r="K371" s="4">
        <v>0</v>
      </c>
      <c r="L371" s="3">
        <v>49</v>
      </c>
      <c r="M371" t="b">
        <v>1</v>
      </c>
      <c r="N371" s="2">
        <f>YEAR(B371)</f>
        <v>2026</v>
      </c>
      <c r="O371" t="str">
        <f>INDEX(Agences!$C:$C,MATCH(F371,Agences!$A:$A,0))</f>
        <v>Nord</v>
      </c>
      <c r="P371" t="str">
        <f>INDEX(Produits!$C:$C,MATCH(H371,Produits!$A:$A,0))</f>
        <v>Mobilier</v>
      </c>
      <c r="Q371" s="3">
        <f>I371*INDEX(Produits!$E:$E,MATCH(H371,Produits!$A:$A,0))</f>
        <v>28.42</v>
      </c>
      <c r="R371" s="3">
        <f>L371-Q371</f>
        <v>20.58</v>
      </c>
      <c r="S371" s="2">
        <f>NETWORKDAYS(B371,C371)-1</f>
        <v>3</v>
      </c>
      <c r="T371" s="1">
        <f>WORKDAY(B371,5)</f>
        <v>46239</v>
      </c>
      <c r="U371" t="b">
        <f>C371&gt;T371</f>
        <v>0</v>
      </c>
    </row>
    <row r="372" spans="1:21" x14ac:dyDescent="0.25">
      <c r="A372" t="s">
        <v>439</v>
      </c>
      <c r="B372" s="1">
        <v>46232</v>
      </c>
      <c r="C372" s="1">
        <v>46237</v>
      </c>
      <c r="D372" t="s">
        <v>440</v>
      </c>
      <c r="E372" t="s">
        <v>126</v>
      </c>
      <c r="F372" t="s">
        <v>99</v>
      </c>
      <c r="G372" t="s">
        <v>210</v>
      </c>
      <c r="H372" t="s">
        <v>49</v>
      </c>
      <c r="I372" s="2">
        <v>1</v>
      </c>
      <c r="J372" s="3">
        <v>120</v>
      </c>
      <c r="K372" s="4">
        <v>0</v>
      </c>
      <c r="L372" s="3">
        <v>120</v>
      </c>
      <c r="M372" t="b">
        <v>1</v>
      </c>
      <c r="N372" s="2">
        <f>YEAR(B372)</f>
        <v>2026</v>
      </c>
      <c r="O372" t="str">
        <f>INDEX(Agences!$C:$C,MATCH(F372,Agences!$A:$A,0))</f>
        <v>Nord</v>
      </c>
      <c r="P372" t="str">
        <f>INDEX(Produits!$C:$C,MATCH(H372,Produits!$A:$A,0))</f>
        <v>Maintenance</v>
      </c>
      <c r="Q372" s="3">
        <f>I372*INDEX(Produits!$E:$E,MATCH(H372,Produits!$A:$A,0))</f>
        <v>55.2</v>
      </c>
      <c r="R372" s="3">
        <f>L372-Q372</f>
        <v>64.8</v>
      </c>
      <c r="S372" s="2">
        <f>NETWORKDAYS(B372,C372)-1</f>
        <v>3</v>
      </c>
      <c r="T372" s="1">
        <f>WORKDAY(B372,5)</f>
        <v>46239</v>
      </c>
      <c r="U372" t="b">
        <f>C372&gt;T372</f>
        <v>0</v>
      </c>
    </row>
    <row r="373" spans="1:21" x14ac:dyDescent="0.25">
      <c r="A373" t="s">
        <v>439</v>
      </c>
      <c r="B373" s="1">
        <v>46232</v>
      </c>
      <c r="C373" s="1">
        <v>46237</v>
      </c>
      <c r="D373" t="s">
        <v>440</v>
      </c>
      <c r="E373" t="s">
        <v>126</v>
      </c>
      <c r="F373" t="s">
        <v>99</v>
      </c>
      <c r="G373" t="s">
        <v>210</v>
      </c>
      <c r="H373" t="s">
        <v>42</v>
      </c>
      <c r="I373" s="2">
        <v>2</v>
      </c>
      <c r="J373" s="3">
        <v>55</v>
      </c>
      <c r="K373" s="4">
        <v>0.05</v>
      </c>
      <c r="L373" s="3">
        <v>104.5</v>
      </c>
      <c r="M373" t="b">
        <v>1</v>
      </c>
      <c r="N373" s="2">
        <f>YEAR(B373)</f>
        <v>2026</v>
      </c>
      <c r="O373" t="str">
        <f>INDEX(Agences!$C:$C,MATCH(F373,Agences!$A:$A,0))</f>
        <v>Nord</v>
      </c>
      <c r="P373" t="str">
        <f>INDEX(Produits!$C:$C,MATCH(H373,Produits!$A:$A,0))</f>
        <v>Maintenance</v>
      </c>
      <c r="Q373" s="3">
        <f>I373*INDEX(Produits!$E:$E,MATCH(H373,Produits!$A:$A,0))</f>
        <v>49.5</v>
      </c>
      <c r="R373" s="3">
        <f>L373-Q373</f>
        <v>55</v>
      </c>
      <c r="S373" s="2">
        <f>NETWORKDAYS(B373,C373)-1</f>
        <v>3</v>
      </c>
      <c r="T373" s="1">
        <f>WORKDAY(B373,5)</f>
        <v>46239</v>
      </c>
      <c r="U373" t="b">
        <f>C373&gt;T373</f>
        <v>0</v>
      </c>
    </row>
    <row r="374" spans="1:21" x14ac:dyDescent="0.25">
      <c r="A374" t="s">
        <v>439</v>
      </c>
      <c r="B374" s="1">
        <v>46232</v>
      </c>
      <c r="C374" s="1">
        <v>46237</v>
      </c>
      <c r="D374" t="s">
        <v>440</v>
      </c>
      <c r="E374" t="s">
        <v>126</v>
      </c>
      <c r="F374" t="s">
        <v>99</v>
      </c>
      <c r="G374" t="s">
        <v>210</v>
      </c>
      <c r="H374" t="s">
        <v>57</v>
      </c>
      <c r="I374" s="2">
        <v>1</v>
      </c>
      <c r="J374" s="3">
        <v>149</v>
      </c>
      <c r="K374" s="4">
        <v>0.02</v>
      </c>
      <c r="L374" s="3">
        <v>146.02</v>
      </c>
      <c r="M374" t="b">
        <v>1</v>
      </c>
      <c r="N374" s="2">
        <f>YEAR(B374)</f>
        <v>2026</v>
      </c>
      <c r="O374" t="str">
        <f>INDEX(Agences!$C:$C,MATCH(F374,Agences!$A:$A,0))</f>
        <v>Nord</v>
      </c>
      <c r="P374" t="str">
        <f>INDEX(Produits!$C:$C,MATCH(H374,Produits!$A:$A,0))</f>
        <v>Informatique</v>
      </c>
      <c r="Q374" s="3">
        <f>I374*INDEX(Produits!$E:$E,MATCH(H374,Produits!$A:$A,0))</f>
        <v>114.73</v>
      </c>
      <c r="R374" s="3">
        <f>L374-Q374</f>
        <v>31.290000000000006</v>
      </c>
      <c r="S374" s="2">
        <f>NETWORKDAYS(B374,C374)-1</f>
        <v>3</v>
      </c>
      <c r="T374" s="1">
        <f>WORKDAY(B374,5)</f>
        <v>46239</v>
      </c>
      <c r="U374" t="b">
        <f>C374&gt;T374</f>
        <v>0</v>
      </c>
    </row>
    <row r="375" spans="1:21" x14ac:dyDescent="0.25">
      <c r="A375" t="s">
        <v>439</v>
      </c>
      <c r="B375" s="1">
        <v>46232</v>
      </c>
      <c r="C375" s="1">
        <v>46237</v>
      </c>
      <c r="D375" t="s">
        <v>440</v>
      </c>
      <c r="E375" t="s">
        <v>126</v>
      </c>
      <c r="F375" t="s">
        <v>99</v>
      </c>
      <c r="G375" t="s">
        <v>210</v>
      </c>
      <c r="H375" t="s">
        <v>103</v>
      </c>
      <c r="I375" s="2">
        <v>5</v>
      </c>
      <c r="J375" s="3">
        <v>245</v>
      </c>
      <c r="K375" s="4">
        <v>0.05</v>
      </c>
      <c r="L375" s="3">
        <v>1163.75</v>
      </c>
      <c r="M375" t="b">
        <v>1</v>
      </c>
      <c r="N375" s="2">
        <f>YEAR(B375)</f>
        <v>2026</v>
      </c>
      <c r="O375" t="str">
        <f>INDEX(Agences!$C:$C,MATCH(F375,Agences!$A:$A,0))</f>
        <v>Nord</v>
      </c>
      <c r="P375" t="str">
        <f>INDEX(Produits!$C:$C,MATCH(H375,Produits!$A:$A,0))</f>
        <v>Mobilier</v>
      </c>
      <c r="Q375" s="3">
        <f>I375*INDEX(Produits!$E:$E,MATCH(H375,Produits!$A:$A,0))</f>
        <v>820.75</v>
      </c>
      <c r="R375" s="3">
        <f>L375-Q375</f>
        <v>343</v>
      </c>
      <c r="S375" s="2">
        <f>NETWORKDAYS(B375,C375)-1</f>
        <v>3</v>
      </c>
      <c r="T375" s="1">
        <f>WORKDAY(B375,5)</f>
        <v>46239</v>
      </c>
      <c r="U375" t="b">
        <f>C375&gt;T375</f>
        <v>0</v>
      </c>
    </row>
    <row r="376" spans="1:21" x14ac:dyDescent="0.25">
      <c r="A376" t="s">
        <v>441</v>
      </c>
      <c r="B376" s="1">
        <v>46232</v>
      </c>
      <c r="C376" s="1">
        <v>46238</v>
      </c>
      <c r="D376" t="s">
        <v>442</v>
      </c>
      <c r="E376" t="s">
        <v>251</v>
      </c>
      <c r="F376" t="s">
        <v>166</v>
      </c>
      <c r="G376" t="s">
        <v>248</v>
      </c>
      <c r="H376" t="s">
        <v>50</v>
      </c>
      <c r="I376" s="2">
        <v>3</v>
      </c>
      <c r="J376" s="3">
        <v>69</v>
      </c>
      <c r="K376" s="4">
        <v>0</v>
      </c>
      <c r="L376" s="3">
        <v>207</v>
      </c>
      <c r="M376" t="b">
        <v>1</v>
      </c>
      <c r="N376" s="2">
        <f>YEAR(B376)</f>
        <v>2026</v>
      </c>
      <c r="O376" t="str">
        <f>INDEX(Agences!$C:$C,MATCH(F376,Agences!$A:$A,0))</f>
        <v>Ouest</v>
      </c>
      <c r="P376" t="str">
        <f>INDEX(Produits!$C:$C,MATCH(H376,Produits!$A:$A,0))</f>
        <v>Informatique</v>
      </c>
      <c r="Q376" s="3">
        <f>I376*INDEX(Produits!$E:$E,MATCH(H376,Produits!$A:$A,0))</f>
        <v>163.53</v>
      </c>
      <c r="R376" s="3">
        <f>L376-Q376</f>
        <v>43.47</v>
      </c>
      <c r="S376" s="2">
        <f>NETWORKDAYS(B376,C376)-1</f>
        <v>4</v>
      </c>
      <c r="T376" s="1">
        <f>WORKDAY(B376,5)</f>
        <v>46239</v>
      </c>
      <c r="U376" t="b">
        <f>C376&gt;T376</f>
        <v>0</v>
      </c>
    </row>
    <row r="377" spans="1:21" x14ac:dyDescent="0.25">
      <c r="A377" t="s">
        <v>441</v>
      </c>
      <c r="B377" s="1">
        <v>46232</v>
      </c>
      <c r="C377" s="1">
        <v>46238</v>
      </c>
      <c r="D377" t="s">
        <v>442</v>
      </c>
      <c r="E377" t="s">
        <v>251</v>
      </c>
      <c r="F377" t="s">
        <v>166</v>
      </c>
      <c r="G377" t="s">
        <v>248</v>
      </c>
      <c r="H377" t="s">
        <v>162</v>
      </c>
      <c r="I377" s="2">
        <v>1</v>
      </c>
      <c r="J377" s="3">
        <v>289</v>
      </c>
      <c r="K377" s="4">
        <v>0.05</v>
      </c>
      <c r="L377" s="3">
        <v>274.55</v>
      </c>
      <c r="M377" t="b">
        <v>1</v>
      </c>
      <c r="N377" s="2">
        <f>YEAR(B377)</f>
        <v>2026</v>
      </c>
      <c r="O377" t="str">
        <f>INDEX(Agences!$C:$C,MATCH(F377,Agences!$A:$A,0))</f>
        <v>Ouest</v>
      </c>
      <c r="P377" t="str">
        <f>INDEX(Produits!$C:$C,MATCH(H377,Produits!$A:$A,0))</f>
        <v>Mobilier</v>
      </c>
      <c r="Q377" s="3">
        <f>I377*INDEX(Produits!$E:$E,MATCH(H377,Produits!$A:$A,0))</f>
        <v>193.63</v>
      </c>
      <c r="R377" s="3">
        <f>L377-Q377</f>
        <v>80.92000000000002</v>
      </c>
      <c r="S377" s="2">
        <f>NETWORKDAYS(B377,C377)-1</f>
        <v>4</v>
      </c>
      <c r="T377" s="1">
        <f>WORKDAY(B377,5)</f>
        <v>46239</v>
      </c>
      <c r="U377" t="b">
        <f>C377&gt;T377</f>
        <v>0</v>
      </c>
    </row>
    <row r="378" spans="1:21" x14ac:dyDescent="0.25">
      <c r="A378" t="s">
        <v>443</v>
      </c>
      <c r="B378" s="1">
        <v>46232</v>
      </c>
      <c r="C378" s="1">
        <v>46234</v>
      </c>
      <c r="D378" t="s">
        <v>444</v>
      </c>
      <c r="E378" t="s">
        <v>225</v>
      </c>
      <c r="F378" t="s">
        <v>88</v>
      </c>
      <c r="G378" t="s">
        <v>89</v>
      </c>
      <c r="H378" t="s">
        <v>51</v>
      </c>
      <c r="I378" s="2">
        <v>1</v>
      </c>
      <c r="J378" s="3">
        <v>180</v>
      </c>
      <c r="K378" s="4">
        <v>0.08</v>
      </c>
      <c r="L378" s="3">
        <v>165.6</v>
      </c>
      <c r="M378" t="b">
        <v>1</v>
      </c>
      <c r="N378" s="2">
        <f>YEAR(B378)</f>
        <v>2026</v>
      </c>
      <c r="O378" t="str">
        <f>INDEX(Agences!$C:$C,MATCH(F378,Agences!$A:$A,0))</f>
        <v>Sud-Ouest</v>
      </c>
      <c r="P378" t="str">
        <f>INDEX(Produits!$C:$C,MATCH(H378,Produits!$A:$A,0))</f>
        <v>Maintenance</v>
      </c>
      <c r="Q378" s="3">
        <f>I378*INDEX(Produits!$E:$E,MATCH(H378,Produits!$A:$A,0))</f>
        <v>82.8</v>
      </c>
      <c r="R378" s="3">
        <f>L378-Q378</f>
        <v>82.8</v>
      </c>
      <c r="S378" s="2">
        <f>NETWORKDAYS(B378,C378)-1</f>
        <v>2</v>
      </c>
      <c r="T378" s="1">
        <f>WORKDAY(B378,5)</f>
        <v>46239</v>
      </c>
      <c r="U378" t="b">
        <f>C378&gt;T378</f>
        <v>0</v>
      </c>
    </row>
    <row r="379" spans="1:21" x14ac:dyDescent="0.25">
      <c r="A379" t="s">
        <v>443</v>
      </c>
      <c r="B379" s="1">
        <v>46232</v>
      </c>
      <c r="C379" s="1">
        <v>46234</v>
      </c>
      <c r="D379" t="s">
        <v>444</v>
      </c>
      <c r="E379" t="s">
        <v>225</v>
      </c>
      <c r="F379" t="s">
        <v>88</v>
      </c>
      <c r="G379" t="s">
        <v>89</v>
      </c>
      <c r="H379" t="s">
        <v>83</v>
      </c>
      <c r="I379" s="2">
        <v>1</v>
      </c>
      <c r="J379" s="3">
        <v>49</v>
      </c>
      <c r="K379" s="4">
        <v>0</v>
      </c>
      <c r="L379" s="3">
        <v>49</v>
      </c>
      <c r="M379" t="b">
        <v>1</v>
      </c>
      <c r="N379" s="2">
        <f>YEAR(B379)</f>
        <v>2026</v>
      </c>
      <c r="O379" t="str">
        <f>INDEX(Agences!$C:$C,MATCH(F379,Agences!$A:$A,0))</f>
        <v>Sud-Ouest</v>
      </c>
      <c r="P379" t="str">
        <f>INDEX(Produits!$C:$C,MATCH(H379,Produits!$A:$A,0))</f>
        <v>Mobilier</v>
      </c>
      <c r="Q379" s="3">
        <f>I379*INDEX(Produits!$E:$E,MATCH(H379,Produits!$A:$A,0))</f>
        <v>28.42</v>
      </c>
      <c r="R379" s="3">
        <f>L379-Q379</f>
        <v>20.58</v>
      </c>
      <c r="S379" s="2">
        <f>NETWORKDAYS(B379,C379)-1</f>
        <v>2</v>
      </c>
      <c r="T379" s="1">
        <f>WORKDAY(B379,5)</f>
        <v>46239</v>
      </c>
      <c r="U379" t="b">
        <f>C379&gt;T379</f>
        <v>0</v>
      </c>
    </row>
    <row r="380" spans="1:21" x14ac:dyDescent="0.25">
      <c r="A380" t="s">
        <v>445</v>
      </c>
      <c r="B380" s="1">
        <v>46232</v>
      </c>
      <c r="C380" s="1">
        <v>46239</v>
      </c>
      <c r="D380" t="s">
        <v>446</v>
      </c>
      <c r="E380" t="s">
        <v>191</v>
      </c>
      <c r="F380" t="s">
        <v>62</v>
      </c>
      <c r="G380" t="s">
        <v>63</v>
      </c>
      <c r="H380" t="s">
        <v>33</v>
      </c>
      <c r="I380" s="2">
        <v>2</v>
      </c>
      <c r="J380" s="3">
        <v>219</v>
      </c>
      <c r="K380" s="4">
        <v>0</v>
      </c>
      <c r="L380" s="3">
        <v>438</v>
      </c>
      <c r="M380" t="b">
        <v>1</v>
      </c>
      <c r="N380" s="2">
        <f>YEAR(B380)</f>
        <v>2026</v>
      </c>
      <c r="O380" t="str">
        <f>INDEX(Agences!$C:$C,MATCH(F380,Agences!$A:$A,0))</f>
        <v>Méditerranée</v>
      </c>
      <c r="P380" t="str">
        <f>INDEX(Produits!$C:$C,MATCH(H380,Produits!$A:$A,0))</f>
        <v>Informatique</v>
      </c>
      <c r="Q380" s="3">
        <f>I380*INDEX(Produits!$E:$E,MATCH(H380,Produits!$A:$A,0))</f>
        <v>359.16</v>
      </c>
      <c r="R380" s="3">
        <f>L380-Q380</f>
        <v>78.83999999999997</v>
      </c>
      <c r="S380" s="2">
        <f>NETWORKDAYS(B380,C380)-1</f>
        <v>5</v>
      </c>
      <c r="T380" s="1">
        <f>WORKDAY(B380,5)</f>
        <v>46239</v>
      </c>
      <c r="U380" t="b">
        <f>C380&gt;T380</f>
        <v>0</v>
      </c>
    </row>
    <row r="381" spans="1:21" x14ac:dyDescent="0.25">
      <c r="A381" t="s">
        <v>447</v>
      </c>
      <c r="B381" s="1">
        <v>46232</v>
      </c>
      <c r="C381" s="1">
        <v>46234</v>
      </c>
      <c r="D381" t="s">
        <v>448</v>
      </c>
      <c r="E381" t="s">
        <v>449</v>
      </c>
      <c r="F381" t="s">
        <v>94</v>
      </c>
      <c r="G381" t="s">
        <v>95</v>
      </c>
      <c r="H381" t="s">
        <v>35</v>
      </c>
      <c r="I381" s="2">
        <v>3</v>
      </c>
      <c r="J381" s="3">
        <v>79</v>
      </c>
      <c r="K381" s="4">
        <v>0</v>
      </c>
      <c r="L381" s="3">
        <v>237</v>
      </c>
      <c r="M381" t="b">
        <v>1</v>
      </c>
      <c r="N381" s="2">
        <f>YEAR(B381)</f>
        <v>2026</v>
      </c>
      <c r="O381" t="str">
        <f>INDEX(Agences!$C:$C,MATCH(F381,Agences!$A:$A,0))</f>
        <v>Méditerranée</v>
      </c>
      <c r="P381" t="str">
        <f>INDEX(Produits!$C:$C,MATCH(H381,Produits!$A:$A,0))</f>
        <v>Mobilier</v>
      </c>
      <c r="Q381" s="3">
        <f>I381*INDEX(Produits!$E:$E,MATCH(H381,Produits!$A:$A,0))</f>
        <v>139.82999999999998</v>
      </c>
      <c r="R381" s="3">
        <f>L381-Q381</f>
        <v>97.17000000000002</v>
      </c>
      <c r="S381" s="2">
        <f>NETWORKDAYS(B381,C381)-1</f>
        <v>2</v>
      </c>
      <c r="T381" s="1">
        <f>WORKDAY(B381,5)</f>
        <v>46239</v>
      </c>
      <c r="U381" t="b">
        <f>C381&gt;T381</f>
        <v>0</v>
      </c>
    </row>
    <row r="382" spans="1:21" x14ac:dyDescent="0.25">
      <c r="A382" t="s">
        <v>447</v>
      </c>
      <c r="B382" s="1">
        <v>46232</v>
      </c>
      <c r="C382" s="1">
        <v>46234</v>
      </c>
      <c r="D382" t="s">
        <v>448</v>
      </c>
      <c r="E382" t="s">
        <v>449</v>
      </c>
      <c r="F382" t="s">
        <v>94</v>
      </c>
      <c r="G382" t="s">
        <v>95</v>
      </c>
      <c r="H382" t="s">
        <v>83</v>
      </c>
      <c r="I382" s="2">
        <v>3</v>
      </c>
      <c r="J382" s="3">
        <v>49</v>
      </c>
      <c r="K382" s="4">
        <v>0</v>
      </c>
      <c r="L382" s="3">
        <v>147</v>
      </c>
      <c r="M382" t="b">
        <v>1</v>
      </c>
      <c r="N382" s="2">
        <f>YEAR(B382)</f>
        <v>2026</v>
      </c>
      <c r="O382" t="str">
        <f>INDEX(Agences!$C:$C,MATCH(F382,Agences!$A:$A,0))</f>
        <v>Méditerranée</v>
      </c>
      <c r="P382" t="str">
        <f>INDEX(Produits!$C:$C,MATCH(H382,Produits!$A:$A,0))</f>
        <v>Mobilier</v>
      </c>
      <c r="Q382" s="3">
        <f>I382*INDEX(Produits!$E:$E,MATCH(H382,Produits!$A:$A,0))</f>
        <v>85.26</v>
      </c>
      <c r="R382" s="3">
        <f>L382-Q382</f>
        <v>61.739999999999995</v>
      </c>
      <c r="S382" s="2">
        <f>NETWORKDAYS(B382,C382)-1</f>
        <v>2</v>
      </c>
      <c r="T382" s="1">
        <f>WORKDAY(B382,5)</f>
        <v>46239</v>
      </c>
      <c r="U382" t="b">
        <f>C382&gt;T382</f>
        <v>0</v>
      </c>
    </row>
    <row r="383" spans="1:21" x14ac:dyDescent="0.25">
      <c r="A383" t="s">
        <v>450</v>
      </c>
      <c r="B383" s="1">
        <v>46231</v>
      </c>
      <c r="C383" s="1">
        <v>46233</v>
      </c>
      <c r="D383" t="s">
        <v>451</v>
      </c>
      <c r="E383" t="s">
        <v>30</v>
      </c>
      <c r="F383" t="s">
        <v>31</v>
      </c>
      <c r="G383" t="s">
        <v>375</v>
      </c>
      <c r="H383" t="s">
        <v>107</v>
      </c>
      <c r="I383" s="2">
        <v>1</v>
      </c>
      <c r="J383" s="3">
        <v>99</v>
      </c>
      <c r="K383" s="4">
        <v>0</v>
      </c>
      <c r="L383" s="3">
        <v>99</v>
      </c>
      <c r="M383" t="b">
        <v>1</v>
      </c>
      <c r="N383" s="2">
        <f>YEAR(B383)</f>
        <v>2026</v>
      </c>
      <c r="O383" t="str">
        <f>INDEX(Agences!$C:$C,MATCH(F383,Agences!$A:$A,0))</f>
        <v>Ouest</v>
      </c>
      <c r="P383" t="str">
        <f>INDEX(Produits!$C:$C,MATCH(H383,Produits!$A:$A,0))</f>
        <v>Informatique</v>
      </c>
      <c r="Q383" s="3">
        <f>I383*INDEX(Produits!$E:$E,MATCH(H383,Produits!$A:$A,0))</f>
        <v>75.24</v>
      </c>
      <c r="R383" s="3">
        <f>L383-Q383</f>
        <v>23.760000000000005</v>
      </c>
      <c r="S383" s="2">
        <f>NETWORKDAYS(B383,C383)-1</f>
        <v>2</v>
      </c>
      <c r="T383" s="1">
        <f>WORKDAY(B383,5)</f>
        <v>46238</v>
      </c>
      <c r="U383" t="b">
        <f>C383&gt;T383</f>
        <v>0</v>
      </c>
    </row>
    <row r="384" spans="1:21" x14ac:dyDescent="0.25">
      <c r="A384" t="s">
        <v>450</v>
      </c>
      <c r="B384" s="1">
        <v>46231</v>
      </c>
      <c r="C384" s="1">
        <v>46233</v>
      </c>
      <c r="D384" t="s">
        <v>451</v>
      </c>
      <c r="E384" t="s">
        <v>30</v>
      </c>
      <c r="F384" t="s">
        <v>31</v>
      </c>
      <c r="G384" t="s">
        <v>375</v>
      </c>
      <c r="H384" t="s">
        <v>233</v>
      </c>
      <c r="I384" s="2">
        <v>10</v>
      </c>
      <c r="J384" s="3">
        <v>27.5</v>
      </c>
      <c r="K384" s="4">
        <v>0</v>
      </c>
      <c r="L384" s="3">
        <v>275</v>
      </c>
      <c r="M384" t="b">
        <v>1</v>
      </c>
      <c r="N384" s="2">
        <f>YEAR(B384)</f>
        <v>2026</v>
      </c>
      <c r="O384" t="str">
        <f>INDEX(Agences!$C:$C,MATCH(F384,Agences!$A:$A,0))</f>
        <v>Ouest</v>
      </c>
      <c r="P384" t="str">
        <f>INDEX(Produits!$C:$C,MATCH(H384,Produits!$A:$A,0))</f>
        <v>Fournitures</v>
      </c>
      <c r="Q384" s="3">
        <f>I384*INDEX(Produits!$E:$E,MATCH(H384,Produits!$A:$A,0))</f>
        <v>154</v>
      </c>
      <c r="R384" s="3">
        <f>L384-Q384</f>
        <v>121</v>
      </c>
      <c r="S384" s="2">
        <f>NETWORKDAYS(B384,C384)-1</f>
        <v>2</v>
      </c>
      <c r="T384" s="1">
        <f>WORKDAY(B384,5)</f>
        <v>46238</v>
      </c>
      <c r="U384" t="b">
        <f>C384&gt;T384</f>
        <v>0</v>
      </c>
    </row>
    <row r="385" spans="1:21" x14ac:dyDescent="0.25">
      <c r="A385" t="s">
        <v>450</v>
      </c>
      <c r="B385" s="1">
        <v>46231</v>
      </c>
      <c r="C385" s="1">
        <v>46233</v>
      </c>
      <c r="D385" t="s">
        <v>451</v>
      </c>
      <c r="E385" t="s">
        <v>30</v>
      </c>
      <c r="F385" t="s">
        <v>31</v>
      </c>
      <c r="G385" t="s">
        <v>375</v>
      </c>
      <c r="H385" t="s">
        <v>112</v>
      </c>
      <c r="I385" s="2">
        <v>4</v>
      </c>
      <c r="J385" s="3">
        <v>129</v>
      </c>
      <c r="K385" s="4">
        <v>0.05</v>
      </c>
      <c r="L385" s="3">
        <v>490.2</v>
      </c>
      <c r="M385" t="b">
        <v>1</v>
      </c>
      <c r="N385" s="2">
        <f>YEAR(B385)</f>
        <v>2026</v>
      </c>
      <c r="O385" t="str">
        <f>INDEX(Agences!$C:$C,MATCH(F385,Agences!$A:$A,0))</f>
        <v>Ouest</v>
      </c>
      <c r="P385" t="str">
        <f>INDEX(Produits!$C:$C,MATCH(H385,Produits!$A:$A,0))</f>
        <v>Mobilier</v>
      </c>
      <c r="Q385" s="3">
        <f>I385*INDEX(Produits!$E:$E,MATCH(H385,Produits!$A:$A,0))</f>
        <v>345.72</v>
      </c>
      <c r="R385" s="3">
        <f>L385-Q385</f>
        <v>144.47999999999996</v>
      </c>
      <c r="S385" s="2">
        <f>NETWORKDAYS(B385,C385)-1</f>
        <v>2</v>
      </c>
      <c r="T385" s="1">
        <f>WORKDAY(B385,5)</f>
        <v>46238</v>
      </c>
      <c r="U385" t="b">
        <f>C385&gt;T385</f>
        <v>0</v>
      </c>
    </row>
    <row r="386" spans="1:21" x14ac:dyDescent="0.25">
      <c r="A386" t="s">
        <v>452</v>
      </c>
      <c r="B386" s="1">
        <v>46231</v>
      </c>
      <c r="C386" s="1">
        <v>46234</v>
      </c>
      <c r="D386" t="s">
        <v>453</v>
      </c>
      <c r="E386" t="s">
        <v>130</v>
      </c>
      <c r="F386" t="s">
        <v>39</v>
      </c>
      <c r="G386" t="s">
        <v>131</v>
      </c>
      <c r="H386" t="s">
        <v>35</v>
      </c>
      <c r="I386" s="2">
        <v>4</v>
      </c>
      <c r="J386" s="3">
        <v>79</v>
      </c>
      <c r="K386" s="4">
        <v>0</v>
      </c>
      <c r="L386" s="3">
        <v>316</v>
      </c>
      <c r="M386" t="b">
        <v>1</v>
      </c>
      <c r="N386" s="2">
        <f>YEAR(B386)</f>
        <v>2026</v>
      </c>
      <c r="O386" t="str">
        <f>INDEX(Agences!$C:$C,MATCH(F386,Agences!$A:$A,0))</f>
        <v>Sud-Ouest</v>
      </c>
      <c r="P386" t="str">
        <f>INDEX(Produits!$C:$C,MATCH(H386,Produits!$A:$A,0))</f>
        <v>Mobilier</v>
      </c>
      <c r="Q386" s="3">
        <f>I386*INDEX(Produits!$E:$E,MATCH(H386,Produits!$A:$A,0))</f>
        <v>186.44</v>
      </c>
      <c r="R386" s="3">
        <f>L386-Q386</f>
        <v>129.56</v>
      </c>
      <c r="S386" s="2">
        <f>NETWORKDAYS(B386,C386)-1</f>
        <v>3</v>
      </c>
      <c r="T386" s="1">
        <f>WORKDAY(B386,5)</f>
        <v>46238</v>
      </c>
      <c r="U386" t="b">
        <f>C386&gt;T386</f>
        <v>0</v>
      </c>
    </row>
    <row r="387" spans="1:21" x14ac:dyDescent="0.25">
      <c r="A387" t="s">
        <v>452</v>
      </c>
      <c r="B387" s="1">
        <v>46231</v>
      </c>
      <c r="C387" s="1">
        <v>46234</v>
      </c>
      <c r="D387" t="s">
        <v>453</v>
      </c>
      <c r="E387" t="s">
        <v>130</v>
      </c>
      <c r="F387" t="s">
        <v>39</v>
      </c>
      <c r="G387" t="s">
        <v>131</v>
      </c>
      <c r="H387" t="s">
        <v>58</v>
      </c>
      <c r="I387" s="2">
        <v>1</v>
      </c>
      <c r="J387" s="3">
        <v>649</v>
      </c>
      <c r="K387" s="4">
        <v>0.05</v>
      </c>
      <c r="L387" s="3">
        <v>616.55</v>
      </c>
      <c r="M387" t="b">
        <v>1</v>
      </c>
      <c r="N387" s="2">
        <f>YEAR(B387)</f>
        <v>2026</v>
      </c>
      <c r="O387" t="str">
        <f>INDEX(Agences!$C:$C,MATCH(F387,Agences!$A:$A,0))</f>
        <v>Sud-Ouest</v>
      </c>
      <c r="P387" t="str">
        <f>INDEX(Produits!$C:$C,MATCH(H387,Produits!$A:$A,0))</f>
        <v>Mobilier</v>
      </c>
      <c r="Q387" s="3">
        <f>I387*INDEX(Produits!$E:$E,MATCH(H387,Produits!$A:$A,0))</f>
        <v>408.87</v>
      </c>
      <c r="R387" s="3">
        <f>L387-Q387</f>
        <v>207.67999999999995</v>
      </c>
      <c r="S387" s="2">
        <f>NETWORKDAYS(B387,C387)-1</f>
        <v>3</v>
      </c>
      <c r="T387" s="1">
        <f>WORKDAY(B387,5)</f>
        <v>46238</v>
      </c>
      <c r="U387" t="b">
        <f>C387&gt;T387</f>
        <v>0</v>
      </c>
    </row>
    <row r="388" spans="1:21" x14ac:dyDescent="0.25">
      <c r="A388" t="s">
        <v>454</v>
      </c>
      <c r="B388" s="1">
        <v>46231</v>
      </c>
      <c r="C388" s="1">
        <v>46232</v>
      </c>
      <c r="D388" t="s">
        <v>455</v>
      </c>
      <c r="E388" t="s">
        <v>256</v>
      </c>
      <c r="F388" t="s">
        <v>88</v>
      </c>
      <c r="G388" t="s">
        <v>89</v>
      </c>
      <c r="H388" t="s">
        <v>83</v>
      </c>
      <c r="I388" s="2">
        <v>6</v>
      </c>
      <c r="J388" s="3">
        <v>49</v>
      </c>
      <c r="K388" s="4">
        <v>0</v>
      </c>
      <c r="L388" s="3">
        <v>294</v>
      </c>
      <c r="M388" t="b">
        <v>1</v>
      </c>
      <c r="N388" s="2">
        <f>YEAR(B388)</f>
        <v>2026</v>
      </c>
      <c r="O388" t="str">
        <f>INDEX(Agences!$C:$C,MATCH(F388,Agences!$A:$A,0))</f>
        <v>Sud-Ouest</v>
      </c>
      <c r="P388" t="str">
        <f>INDEX(Produits!$C:$C,MATCH(H388,Produits!$A:$A,0))</f>
        <v>Mobilier</v>
      </c>
      <c r="Q388" s="3">
        <f>I388*INDEX(Produits!$E:$E,MATCH(H388,Produits!$A:$A,0))</f>
        <v>170.52</v>
      </c>
      <c r="R388" s="3">
        <f>L388-Q388</f>
        <v>123.47999999999999</v>
      </c>
      <c r="S388" s="2">
        <f>NETWORKDAYS(B388,C388)-1</f>
        <v>1</v>
      </c>
      <c r="T388" s="1">
        <f>WORKDAY(B388,5)</f>
        <v>46238</v>
      </c>
      <c r="U388" t="b">
        <f>C388&gt;T388</f>
        <v>0</v>
      </c>
    </row>
    <row r="389" spans="1:21" x14ac:dyDescent="0.25">
      <c r="A389" t="s">
        <v>454</v>
      </c>
      <c r="B389" s="1">
        <v>46231</v>
      </c>
      <c r="C389" s="1">
        <v>46232</v>
      </c>
      <c r="D389" t="s">
        <v>455</v>
      </c>
      <c r="E389" t="s">
        <v>256</v>
      </c>
      <c r="F389" t="s">
        <v>88</v>
      </c>
      <c r="G389" t="s">
        <v>89</v>
      </c>
      <c r="H389" t="s">
        <v>150</v>
      </c>
      <c r="I389" s="2">
        <v>2</v>
      </c>
      <c r="J389" s="3">
        <v>790</v>
      </c>
      <c r="K389" s="4">
        <v>0</v>
      </c>
      <c r="L389" s="3">
        <v>1580</v>
      </c>
      <c r="M389" t="b">
        <v>1</v>
      </c>
      <c r="N389" s="2">
        <f>YEAR(B389)</f>
        <v>2026</v>
      </c>
      <c r="O389" t="str">
        <f>INDEX(Agences!$C:$C,MATCH(F389,Agences!$A:$A,0))</f>
        <v>Sud-Ouest</v>
      </c>
      <c r="P389" t="str">
        <f>INDEX(Produits!$C:$C,MATCH(H389,Produits!$A:$A,0))</f>
        <v>Informatique</v>
      </c>
      <c r="Q389" s="3">
        <f>I389*INDEX(Produits!$E:$E,MATCH(H389,Produits!$A:$A,0))</f>
        <v>1169.2</v>
      </c>
      <c r="R389" s="3">
        <f>L389-Q389</f>
        <v>410.79999999999995</v>
      </c>
      <c r="S389" s="2">
        <f>NETWORKDAYS(B389,C389)-1</f>
        <v>1</v>
      </c>
      <c r="T389" s="1">
        <f>WORKDAY(B389,5)</f>
        <v>46238</v>
      </c>
      <c r="U389" t="b">
        <f>C389&gt;T389</f>
        <v>0</v>
      </c>
    </row>
    <row r="390" spans="1:21" x14ac:dyDescent="0.25">
      <c r="A390" t="s">
        <v>456</v>
      </c>
      <c r="B390" s="1">
        <v>46230</v>
      </c>
      <c r="C390" s="1">
        <v>46232</v>
      </c>
      <c r="D390" t="s">
        <v>37</v>
      </c>
      <c r="E390" t="s">
        <v>38</v>
      </c>
      <c r="F390" t="s">
        <v>39</v>
      </c>
      <c r="G390" t="s">
        <v>322</v>
      </c>
      <c r="H390" t="s">
        <v>108</v>
      </c>
      <c r="I390" s="2">
        <v>5</v>
      </c>
      <c r="J390" s="3">
        <v>24.5</v>
      </c>
      <c r="K390" s="4">
        <v>0.05</v>
      </c>
      <c r="L390" s="3">
        <v>116.38</v>
      </c>
      <c r="M390" t="b">
        <v>1</v>
      </c>
      <c r="N390" s="2">
        <f>YEAR(B390)</f>
        <v>2026</v>
      </c>
      <c r="O390" t="str">
        <f>INDEX(Agences!$C:$C,MATCH(F390,Agences!$A:$A,0))</f>
        <v>Sud-Ouest</v>
      </c>
      <c r="P390" t="str">
        <f>INDEX(Produits!$C:$C,MATCH(H390,Produits!$A:$A,0))</f>
        <v>Fournitures</v>
      </c>
      <c r="Q390" s="3">
        <f>I390*INDEX(Produits!$E:$E,MATCH(H390,Produits!$A:$A,0))</f>
        <v>73.5</v>
      </c>
      <c r="R390" s="3">
        <f>L390-Q390</f>
        <v>42.879999999999995</v>
      </c>
      <c r="S390" s="2">
        <f>NETWORKDAYS(B390,C390)-1</f>
        <v>2</v>
      </c>
      <c r="T390" s="1">
        <f>WORKDAY(B390,5)</f>
        <v>46237</v>
      </c>
      <c r="U390" t="b">
        <f>C390&gt;T390</f>
        <v>0</v>
      </c>
    </row>
    <row r="391" spans="1:21" x14ac:dyDescent="0.25">
      <c r="A391" t="s">
        <v>457</v>
      </c>
      <c r="B391" s="1">
        <v>46230</v>
      </c>
      <c r="C391" s="1">
        <v>46233</v>
      </c>
      <c r="D391" t="s">
        <v>458</v>
      </c>
      <c r="E391" t="s">
        <v>419</v>
      </c>
      <c r="F391" t="s">
        <v>62</v>
      </c>
      <c r="G391" t="s">
        <v>106</v>
      </c>
      <c r="H391" t="s">
        <v>319</v>
      </c>
      <c r="I391" s="2">
        <v>4</v>
      </c>
      <c r="J391" s="3">
        <v>289</v>
      </c>
      <c r="K391" s="4">
        <v>0.22</v>
      </c>
      <c r="L391" s="3">
        <v>901.68</v>
      </c>
      <c r="M391" t="b">
        <v>1</v>
      </c>
      <c r="N391" s="2">
        <f>YEAR(B391)</f>
        <v>2026</v>
      </c>
      <c r="O391" t="str">
        <f>INDEX(Agences!$C:$C,MATCH(F391,Agences!$A:$A,0))</f>
        <v>Méditerranée</v>
      </c>
      <c r="P391" t="str">
        <f>INDEX(Produits!$C:$C,MATCH(H391,Produits!$A:$A,0))</f>
        <v>Informatique</v>
      </c>
      <c r="Q391" s="3">
        <f>I391*INDEX(Produits!$E:$E,MATCH(H391,Produits!$A:$A,0))</f>
        <v>855.44</v>
      </c>
      <c r="R391" s="3">
        <f>L391-Q391</f>
        <v>46.239999999999895</v>
      </c>
      <c r="S391" s="2">
        <f>NETWORKDAYS(B391,C391)-1</f>
        <v>3</v>
      </c>
      <c r="T391" s="1">
        <f>WORKDAY(B391,5)</f>
        <v>46237</v>
      </c>
      <c r="U391" t="b">
        <f>C391&gt;T391</f>
        <v>0</v>
      </c>
    </row>
    <row r="392" spans="1:21" x14ac:dyDescent="0.25">
      <c r="A392" t="s">
        <v>457</v>
      </c>
      <c r="B392" s="1">
        <v>46230</v>
      </c>
      <c r="C392" s="1">
        <v>46233</v>
      </c>
      <c r="D392" t="s">
        <v>458</v>
      </c>
      <c r="E392" t="s">
        <v>419</v>
      </c>
      <c r="F392" t="s">
        <v>62</v>
      </c>
      <c r="G392" t="s">
        <v>106</v>
      </c>
      <c r="H392" t="s">
        <v>83</v>
      </c>
      <c r="I392" s="2">
        <v>2</v>
      </c>
      <c r="J392" s="3">
        <v>49</v>
      </c>
      <c r="K392" s="4">
        <v>0.25</v>
      </c>
      <c r="L392" s="3">
        <v>73.5</v>
      </c>
      <c r="M392" t="b">
        <v>1</v>
      </c>
      <c r="N392" s="2">
        <f>YEAR(B392)</f>
        <v>2026</v>
      </c>
      <c r="O392" t="str">
        <f>INDEX(Agences!$C:$C,MATCH(F392,Agences!$A:$A,0))</f>
        <v>Méditerranée</v>
      </c>
      <c r="P392" t="str">
        <f>INDEX(Produits!$C:$C,MATCH(H392,Produits!$A:$A,0))</f>
        <v>Mobilier</v>
      </c>
      <c r="Q392" s="3">
        <f>I392*INDEX(Produits!$E:$E,MATCH(H392,Produits!$A:$A,0))</f>
        <v>56.84</v>
      </c>
      <c r="R392" s="3">
        <f>L392-Q392</f>
        <v>16.659999999999997</v>
      </c>
      <c r="S392" s="2">
        <f>NETWORKDAYS(B392,C392)-1</f>
        <v>3</v>
      </c>
      <c r="T392" s="1">
        <f>WORKDAY(B392,5)</f>
        <v>46237</v>
      </c>
      <c r="U392" t="b">
        <f>C392&gt;T392</f>
        <v>0</v>
      </c>
    </row>
    <row r="393" spans="1:21" x14ac:dyDescent="0.25">
      <c r="A393" t="s">
        <v>457</v>
      </c>
      <c r="B393" s="1">
        <v>46230</v>
      </c>
      <c r="C393" s="1">
        <v>46233</v>
      </c>
      <c r="D393" t="s">
        <v>458</v>
      </c>
      <c r="E393" t="s">
        <v>419</v>
      </c>
      <c r="F393" t="s">
        <v>62</v>
      </c>
      <c r="G393" t="s">
        <v>106</v>
      </c>
      <c r="H393" t="s">
        <v>112</v>
      </c>
      <c r="I393" s="2">
        <v>5</v>
      </c>
      <c r="J393" s="3">
        <v>129</v>
      </c>
      <c r="K393" s="4">
        <v>0.18</v>
      </c>
      <c r="L393" s="3">
        <v>528.9</v>
      </c>
      <c r="M393" t="b">
        <v>1</v>
      </c>
      <c r="N393" s="2">
        <f>YEAR(B393)</f>
        <v>2026</v>
      </c>
      <c r="O393" t="str">
        <f>INDEX(Agences!$C:$C,MATCH(F393,Agences!$A:$A,0))</f>
        <v>Méditerranée</v>
      </c>
      <c r="P393" t="str">
        <f>INDEX(Produits!$C:$C,MATCH(H393,Produits!$A:$A,0))</f>
        <v>Mobilier</v>
      </c>
      <c r="Q393" s="3">
        <f>I393*INDEX(Produits!$E:$E,MATCH(H393,Produits!$A:$A,0))</f>
        <v>432.15000000000003</v>
      </c>
      <c r="R393" s="3">
        <f>L393-Q393</f>
        <v>96.74999999999994</v>
      </c>
      <c r="S393" s="2">
        <f>NETWORKDAYS(B393,C393)-1</f>
        <v>3</v>
      </c>
      <c r="T393" s="1">
        <f>WORKDAY(B393,5)</f>
        <v>46237</v>
      </c>
      <c r="U393" t="b">
        <f>C393&gt;T393</f>
        <v>0</v>
      </c>
    </row>
    <row r="394" spans="1:21" x14ac:dyDescent="0.25">
      <c r="A394" t="s">
        <v>457</v>
      </c>
      <c r="B394" s="1">
        <v>46230</v>
      </c>
      <c r="C394" s="1">
        <v>46233</v>
      </c>
      <c r="D394" t="s">
        <v>458</v>
      </c>
      <c r="E394" t="s">
        <v>419</v>
      </c>
      <c r="F394" t="s">
        <v>62</v>
      </c>
      <c r="G394" t="s">
        <v>106</v>
      </c>
      <c r="H394" t="s">
        <v>27</v>
      </c>
      <c r="I394" s="2">
        <v>1</v>
      </c>
      <c r="J394" s="3">
        <v>310</v>
      </c>
      <c r="K394" s="4">
        <v>0.22</v>
      </c>
      <c r="L394" s="3">
        <v>241.8</v>
      </c>
      <c r="M394" t="b">
        <v>1</v>
      </c>
      <c r="N394" s="2">
        <f>YEAR(B394)</f>
        <v>2026</v>
      </c>
      <c r="O394" t="str">
        <f>INDEX(Agences!$C:$C,MATCH(F394,Agences!$A:$A,0))</f>
        <v>Méditerranée</v>
      </c>
      <c r="P394" t="str">
        <f>INDEX(Produits!$C:$C,MATCH(H394,Produits!$A:$A,0))</f>
        <v>Mobilier</v>
      </c>
      <c r="Q394" s="3">
        <f>I394*INDEX(Produits!$E:$E,MATCH(H394,Produits!$A:$A,0))</f>
        <v>186</v>
      </c>
      <c r="R394" s="3">
        <f>L394-Q394</f>
        <v>55.80000000000001</v>
      </c>
      <c r="S394" s="2">
        <f>NETWORKDAYS(B394,C394)-1</f>
        <v>3</v>
      </c>
      <c r="T394" s="1">
        <f>WORKDAY(B394,5)</f>
        <v>46237</v>
      </c>
      <c r="U394" t="b">
        <f>C394&gt;T394</f>
        <v>0</v>
      </c>
    </row>
    <row r="395" spans="1:21" x14ac:dyDescent="0.25">
      <c r="A395" t="s">
        <v>459</v>
      </c>
      <c r="B395" s="1">
        <v>46227</v>
      </c>
      <c r="C395" s="1">
        <v>46230</v>
      </c>
      <c r="D395" t="s">
        <v>353</v>
      </c>
      <c r="E395" t="s">
        <v>149</v>
      </c>
      <c r="F395" t="s">
        <v>88</v>
      </c>
      <c r="G395" t="s">
        <v>89</v>
      </c>
      <c r="H395" t="s">
        <v>42</v>
      </c>
      <c r="I395" s="2">
        <v>1</v>
      </c>
      <c r="J395" s="3">
        <v>55</v>
      </c>
      <c r="K395" s="4">
        <v>0.05</v>
      </c>
      <c r="L395" s="3">
        <v>52.25</v>
      </c>
      <c r="M395" t="b">
        <v>1</v>
      </c>
      <c r="N395" s="2">
        <f>YEAR(B395)</f>
        <v>2026</v>
      </c>
      <c r="O395" t="str">
        <f>INDEX(Agences!$C:$C,MATCH(F395,Agences!$A:$A,0))</f>
        <v>Sud-Ouest</v>
      </c>
      <c r="P395" t="str">
        <f>INDEX(Produits!$C:$C,MATCH(H395,Produits!$A:$A,0))</f>
        <v>Maintenance</v>
      </c>
      <c r="Q395" s="3">
        <f>I395*INDEX(Produits!$E:$E,MATCH(H395,Produits!$A:$A,0))</f>
        <v>24.75</v>
      </c>
      <c r="R395" s="3">
        <f>L395-Q395</f>
        <v>27.5</v>
      </c>
      <c r="S395" s="2">
        <f>NETWORKDAYS(B395,C395)-1</f>
        <v>1</v>
      </c>
      <c r="T395" s="1">
        <f>WORKDAY(B395,5)</f>
        <v>46234</v>
      </c>
      <c r="U395" t="b">
        <f>C395&gt;T395</f>
        <v>0</v>
      </c>
    </row>
    <row r="396" spans="1:21" x14ac:dyDescent="0.25">
      <c r="A396" t="s">
        <v>459</v>
      </c>
      <c r="B396" s="1">
        <v>46227</v>
      </c>
      <c r="C396" s="1">
        <v>46230</v>
      </c>
      <c r="D396" t="s">
        <v>353</v>
      </c>
      <c r="E396" t="s">
        <v>149</v>
      </c>
      <c r="F396" t="s">
        <v>88</v>
      </c>
      <c r="G396" t="s">
        <v>89</v>
      </c>
      <c r="H396" t="s">
        <v>83</v>
      </c>
      <c r="I396" s="2">
        <v>1</v>
      </c>
      <c r="J396" s="3">
        <v>49</v>
      </c>
      <c r="K396" s="4">
        <v>0.02</v>
      </c>
      <c r="L396" s="3">
        <v>48.02</v>
      </c>
      <c r="M396" t="b">
        <v>1</v>
      </c>
      <c r="N396" s="2">
        <f>YEAR(B396)</f>
        <v>2026</v>
      </c>
      <c r="O396" t="str">
        <f>INDEX(Agences!$C:$C,MATCH(F396,Agences!$A:$A,0))</f>
        <v>Sud-Ouest</v>
      </c>
      <c r="P396" t="str">
        <f>INDEX(Produits!$C:$C,MATCH(H396,Produits!$A:$A,0))</f>
        <v>Mobilier</v>
      </c>
      <c r="Q396" s="3">
        <f>I396*INDEX(Produits!$E:$E,MATCH(H396,Produits!$A:$A,0))</f>
        <v>28.42</v>
      </c>
      <c r="R396" s="3">
        <f>L396-Q396</f>
        <v>19.6</v>
      </c>
      <c r="S396" s="2">
        <f>NETWORKDAYS(B396,C396)-1</f>
        <v>1</v>
      </c>
      <c r="T396" s="1">
        <f>WORKDAY(B396,5)</f>
        <v>46234</v>
      </c>
      <c r="U396" t="b">
        <f>C396&gt;T396</f>
        <v>0</v>
      </c>
    </row>
    <row r="397" spans="1:21" x14ac:dyDescent="0.25">
      <c r="A397" t="s">
        <v>460</v>
      </c>
      <c r="B397" s="1">
        <v>46227</v>
      </c>
      <c r="C397" s="1">
        <v>46233</v>
      </c>
      <c r="D397" t="s">
        <v>461</v>
      </c>
      <c r="E397" t="s">
        <v>61</v>
      </c>
      <c r="F397" t="s">
        <v>62</v>
      </c>
      <c r="G397" t="s">
        <v>106</v>
      </c>
      <c r="H397" t="s">
        <v>51</v>
      </c>
      <c r="I397" s="2">
        <v>2</v>
      </c>
      <c r="J397" s="3">
        <v>180</v>
      </c>
      <c r="K397" s="4">
        <v>0.28</v>
      </c>
      <c r="L397" s="3">
        <v>259.2</v>
      </c>
      <c r="M397" t="b">
        <v>1</v>
      </c>
      <c r="N397" s="2">
        <f>YEAR(B397)</f>
        <v>2026</v>
      </c>
      <c r="O397" t="str">
        <f>INDEX(Agences!$C:$C,MATCH(F397,Agences!$A:$A,0))</f>
        <v>Méditerranée</v>
      </c>
      <c r="P397" t="str">
        <f>INDEX(Produits!$C:$C,MATCH(H397,Produits!$A:$A,0))</f>
        <v>Maintenance</v>
      </c>
      <c r="Q397" s="3">
        <f>I397*INDEX(Produits!$E:$E,MATCH(H397,Produits!$A:$A,0))</f>
        <v>165.6</v>
      </c>
      <c r="R397" s="3">
        <f>L397-Q397</f>
        <v>93.6</v>
      </c>
      <c r="S397" s="2">
        <f>NETWORKDAYS(B397,C397)-1</f>
        <v>4</v>
      </c>
      <c r="T397" s="1">
        <f>WORKDAY(B397,5)</f>
        <v>46234</v>
      </c>
      <c r="U397" t="b">
        <f>C397&gt;T397</f>
        <v>0</v>
      </c>
    </row>
    <row r="398" spans="1:21" x14ac:dyDescent="0.25">
      <c r="A398" t="s">
        <v>460</v>
      </c>
      <c r="B398" s="1">
        <v>46227</v>
      </c>
      <c r="C398" s="1">
        <v>46233</v>
      </c>
      <c r="D398" t="s">
        <v>461</v>
      </c>
      <c r="E398" t="s">
        <v>61</v>
      </c>
      <c r="F398" t="s">
        <v>62</v>
      </c>
      <c r="G398" t="s">
        <v>106</v>
      </c>
      <c r="H398" t="s">
        <v>83</v>
      </c>
      <c r="I398" s="2">
        <v>2</v>
      </c>
      <c r="J398" s="3">
        <v>49</v>
      </c>
      <c r="K398" s="4">
        <v>0.2</v>
      </c>
      <c r="L398" s="3">
        <v>78.4</v>
      </c>
      <c r="M398" t="b">
        <v>1</v>
      </c>
      <c r="N398" s="2">
        <f>YEAR(B398)</f>
        <v>2026</v>
      </c>
      <c r="O398" t="str">
        <f>INDEX(Agences!$C:$C,MATCH(F398,Agences!$A:$A,0))</f>
        <v>Méditerranée</v>
      </c>
      <c r="P398" t="str">
        <f>INDEX(Produits!$C:$C,MATCH(H398,Produits!$A:$A,0))</f>
        <v>Mobilier</v>
      </c>
      <c r="Q398" s="3">
        <f>I398*INDEX(Produits!$E:$E,MATCH(H398,Produits!$A:$A,0))</f>
        <v>56.84</v>
      </c>
      <c r="R398" s="3">
        <f>L398-Q398</f>
        <v>21.560000000000002</v>
      </c>
      <c r="S398" s="2">
        <f>NETWORKDAYS(B398,C398)-1</f>
        <v>4</v>
      </c>
      <c r="T398" s="1">
        <f>WORKDAY(B398,5)</f>
        <v>46234</v>
      </c>
      <c r="U398" t="b">
        <f>C398&gt;T398</f>
        <v>0</v>
      </c>
    </row>
    <row r="399" spans="1:21" x14ac:dyDescent="0.25">
      <c r="A399" t="s">
        <v>460</v>
      </c>
      <c r="B399" s="1">
        <v>46227</v>
      </c>
      <c r="C399" s="1">
        <v>46233</v>
      </c>
      <c r="D399" t="s">
        <v>461</v>
      </c>
      <c r="E399" t="s">
        <v>61</v>
      </c>
      <c r="F399" t="s">
        <v>62</v>
      </c>
      <c r="G399" t="s">
        <v>106</v>
      </c>
      <c r="H399" t="s">
        <v>35</v>
      </c>
      <c r="I399" s="2">
        <v>2</v>
      </c>
      <c r="J399" s="3">
        <v>79</v>
      </c>
      <c r="K399" s="4">
        <v>0.3</v>
      </c>
      <c r="L399" s="3">
        <v>110.6</v>
      </c>
      <c r="M399" t="b">
        <v>1</v>
      </c>
      <c r="N399" s="2">
        <f>YEAR(B399)</f>
        <v>2026</v>
      </c>
      <c r="O399" t="str">
        <f>INDEX(Agences!$C:$C,MATCH(F399,Agences!$A:$A,0))</f>
        <v>Méditerranée</v>
      </c>
      <c r="P399" t="str">
        <f>INDEX(Produits!$C:$C,MATCH(H399,Produits!$A:$A,0))</f>
        <v>Mobilier</v>
      </c>
      <c r="Q399" s="3">
        <f>I399*INDEX(Produits!$E:$E,MATCH(H399,Produits!$A:$A,0))</f>
        <v>93.22</v>
      </c>
      <c r="R399" s="3">
        <f>L399-Q399</f>
        <v>17.379999999999995</v>
      </c>
      <c r="S399" s="2">
        <f>NETWORKDAYS(B399,C399)-1</f>
        <v>4</v>
      </c>
      <c r="T399" s="1">
        <f>WORKDAY(B399,5)</f>
        <v>46234</v>
      </c>
      <c r="U399" t="b">
        <f>C399&gt;T399</f>
        <v>0</v>
      </c>
    </row>
    <row r="400" spans="1:21" x14ac:dyDescent="0.25">
      <c r="A400" t="s">
        <v>462</v>
      </c>
      <c r="B400" s="1">
        <v>46226</v>
      </c>
      <c r="C400" s="1">
        <v>46227</v>
      </c>
      <c r="D400" t="s">
        <v>463</v>
      </c>
      <c r="E400" t="s">
        <v>115</v>
      </c>
      <c r="F400" t="s">
        <v>24</v>
      </c>
      <c r="G400" t="s">
        <v>199</v>
      </c>
      <c r="H400" t="s">
        <v>57</v>
      </c>
      <c r="I400" s="2">
        <v>1</v>
      </c>
      <c r="J400" s="3">
        <v>149</v>
      </c>
      <c r="K400" s="4">
        <v>0.05</v>
      </c>
      <c r="L400" s="3">
        <v>141.55</v>
      </c>
      <c r="M400" t="b">
        <v>1</v>
      </c>
      <c r="N400" s="2">
        <f>YEAR(B400)</f>
        <v>2026</v>
      </c>
      <c r="O400" t="str">
        <f>INDEX(Agences!$C:$C,MATCH(F400,Agences!$A:$A,0))</f>
        <v>Nord</v>
      </c>
      <c r="P400" t="str">
        <f>INDEX(Produits!$C:$C,MATCH(H400,Produits!$A:$A,0))</f>
        <v>Informatique</v>
      </c>
      <c r="Q400" s="3">
        <f>I400*INDEX(Produits!$E:$E,MATCH(H400,Produits!$A:$A,0))</f>
        <v>114.73</v>
      </c>
      <c r="R400" s="3">
        <f>L400-Q400</f>
        <v>26.820000000000007</v>
      </c>
      <c r="S400" s="2">
        <f>NETWORKDAYS(B400,C400)-1</f>
        <v>1</v>
      </c>
      <c r="T400" s="1">
        <f>WORKDAY(B400,5)</f>
        <v>46233</v>
      </c>
      <c r="U400" t="b">
        <f>C400&gt;T400</f>
        <v>0</v>
      </c>
    </row>
    <row r="401" spans="1:21" x14ac:dyDescent="0.25">
      <c r="A401" t="s">
        <v>464</v>
      </c>
      <c r="B401" s="1">
        <v>46226</v>
      </c>
      <c r="C401" s="1">
        <v>46230</v>
      </c>
      <c r="D401" t="s">
        <v>465</v>
      </c>
      <c r="E401" t="s">
        <v>157</v>
      </c>
      <c r="F401" t="s">
        <v>46</v>
      </c>
      <c r="G401" t="s">
        <v>111</v>
      </c>
      <c r="H401" t="s">
        <v>72</v>
      </c>
      <c r="I401" s="2">
        <v>2</v>
      </c>
      <c r="J401" s="3">
        <v>179</v>
      </c>
      <c r="K401" s="4">
        <v>0.08</v>
      </c>
      <c r="L401" s="3">
        <v>329.36</v>
      </c>
      <c r="M401" t="b">
        <v>1</v>
      </c>
      <c r="N401" s="2">
        <f>YEAR(B401)</f>
        <v>2026</v>
      </c>
      <c r="O401" t="str">
        <f>INDEX(Agences!$C:$C,MATCH(F401,Agences!$A:$A,0))</f>
        <v>Est</v>
      </c>
      <c r="P401" t="str">
        <f>INDEX(Produits!$C:$C,MATCH(H401,Produits!$A:$A,0))</f>
        <v>Informatique</v>
      </c>
      <c r="Q401" s="3">
        <f>I401*INDEX(Produits!$E:$E,MATCH(H401,Produits!$A:$A,0))</f>
        <v>293.56</v>
      </c>
      <c r="R401" s="3">
        <f>L401-Q401</f>
        <v>35.80000000000001</v>
      </c>
      <c r="S401" s="2">
        <f>NETWORKDAYS(B401,C401)-1</f>
        <v>2</v>
      </c>
      <c r="T401" s="1">
        <f>WORKDAY(B401,5)</f>
        <v>46233</v>
      </c>
      <c r="U401" t="b">
        <f>C401&gt;T401</f>
        <v>0</v>
      </c>
    </row>
    <row r="402" spans="1:21" x14ac:dyDescent="0.25">
      <c r="A402" t="s">
        <v>466</v>
      </c>
      <c r="B402" s="1">
        <v>46226</v>
      </c>
      <c r="C402" s="1">
        <v>46230</v>
      </c>
      <c r="D402" t="s">
        <v>467</v>
      </c>
      <c r="E402" t="s">
        <v>157</v>
      </c>
      <c r="F402" t="s">
        <v>46</v>
      </c>
      <c r="G402" t="s">
        <v>47</v>
      </c>
      <c r="H402" t="s">
        <v>48</v>
      </c>
      <c r="I402" s="2">
        <v>1</v>
      </c>
      <c r="J402" s="3">
        <v>165</v>
      </c>
      <c r="K402" s="4">
        <v>0</v>
      </c>
      <c r="L402" s="3">
        <v>165</v>
      </c>
      <c r="M402" t="b">
        <v>1</v>
      </c>
      <c r="N402" s="2">
        <f>YEAR(B402)</f>
        <v>2026</v>
      </c>
      <c r="O402" t="str">
        <f>INDEX(Agences!$C:$C,MATCH(F402,Agences!$A:$A,0))</f>
        <v>Est</v>
      </c>
      <c r="P402" t="str">
        <f>INDEX(Produits!$C:$C,MATCH(H402,Produits!$A:$A,0))</f>
        <v>Mobilier</v>
      </c>
      <c r="Q402" s="3">
        <f>I402*INDEX(Produits!$E:$E,MATCH(H402,Produits!$A:$A,0))</f>
        <v>107.25</v>
      </c>
      <c r="R402" s="3">
        <f>L402-Q402</f>
        <v>57.75</v>
      </c>
      <c r="S402" s="2">
        <f>NETWORKDAYS(B402,C402)-1</f>
        <v>2</v>
      </c>
      <c r="T402" s="1">
        <f>WORKDAY(B402,5)</f>
        <v>46233</v>
      </c>
      <c r="U402" t="b">
        <f>C402&gt;T402</f>
        <v>0</v>
      </c>
    </row>
    <row r="403" spans="1:21" x14ac:dyDescent="0.25">
      <c r="A403" t="s">
        <v>466</v>
      </c>
      <c r="B403" s="1">
        <v>46226</v>
      </c>
      <c r="C403" s="1">
        <v>46230</v>
      </c>
      <c r="D403" t="s">
        <v>467</v>
      </c>
      <c r="E403" t="s">
        <v>157</v>
      </c>
      <c r="F403" t="s">
        <v>46</v>
      </c>
      <c r="G403" t="s">
        <v>47</v>
      </c>
      <c r="H403" t="s">
        <v>42</v>
      </c>
      <c r="I403" s="2">
        <v>1</v>
      </c>
      <c r="J403" s="3">
        <v>55</v>
      </c>
      <c r="K403" s="4">
        <v>0.02</v>
      </c>
      <c r="L403" s="3">
        <v>53.9</v>
      </c>
      <c r="M403" t="b">
        <v>1</v>
      </c>
      <c r="N403" s="2">
        <f>YEAR(B403)</f>
        <v>2026</v>
      </c>
      <c r="O403" t="str">
        <f>INDEX(Agences!$C:$C,MATCH(F403,Agences!$A:$A,0))</f>
        <v>Est</v>
      </c>
      <c r="P403" t="str">
        <f>INDEX(Produits!$C:$C,MATCH(H403,Produits!$A:$A,0))</f>
        <v>Maintenance</v>
      </c>
      <c r="Q403" s="3">
        <f>I403*INDEX(Produits!$E:$E,MATCH(H403,Produits!$A:$A,0))</f>
        <v>24.75</v>
      </c>
      <c r="R403" s="3">
        <f>L403-Q403</f>
        <v>29.15</v>
      </c>
      <c r="S403" s="2">
        <f>NETWORKDAYS(B403,C403)-1</f>
        <v>2</v>
      </c>
      <c r="T403" s="1">
        <f>WORKDAY(B403,5)</f>
        <v>46233</v>
      </c>
      <c r="U403" t="b">
        <f>C403&gt;T403</f>
        <v>0</v>
      </c>
    </row>
    <row r="404" spans="1:21" x14ac:dyDescent="0.25">
      <c r="A404" t="s">
        <v>466</v>
      </c>
      <c r="B404" s="1">
        <v>46226</v>
      </c>
      <c r="C404" s="1">
        <v>46230</v>
      </c>
      <c r="D404" t="s">
        <v>467</v>
      </c>
      <c r="E404" t="s">
        <v>157</v>
      </c>
      <c r="F404" t="s">
        <v>46</v>
      </c>
      <c r="G404" t="s">
        <v>47</v>
      </c>
      <c r="H404" t="s">
        <v>205</v>
      </c>
      <c r="I404" s="2">
        <v>1</v>
      </c>
      <c r="J404" s="3">
        <v>359</v>
      </c>
      <c r="K404" s="4">
        <v>0</v>
      </c>
      <c r="L404" s="3">
        <v>359</v>
      </c>
      <c r="M404" t="b">
        <v>1</v>
      </c>
      <c r="N404" s="2">
        <f>YEAR(B404)</f>
        <v>2026</v>
      </c>
      <c r="O404" t="str">
        <f>INDEX(Agences!$C:$C,MATCH(F404,Agences!$A:$A,0))</f>
        <v>Est</v>
      </c>
      <c r="P404" t="str">
        <f>INDEX(Produits!$C:$C,MATCH(H404,Produits!$A:$A,0))</f>
        <v>Mobilier</v>
      </c>
      <c r="Q404" s="3">
        <f>I404*INDEX(Produits!$E:$E,MATCH(H404,Produits!$A:$A,0))</f>
        <v>204.63</v>
      </c>
      <c r="R404" s="3">
        <f>L404-Q404</f>
        <v>154.37</v>
      </c>
      <c r="S404" s="2">
        <f>NETWORKDAYS(B404,C404)-1</f>
        <v>2</v>
      </c>
      <c r="T404" s="1">
        <f>WORKDAY(B404,5)</f>
        <v>46233</v>
      </c>
      <c r="U404" t="b">
        <f>C404&gt;T404</f>
        <v>0</v>
      </c>
    </row>
    <row r="405" spans="1:21" x14ac:dyDescent="0.25">
      <c r="A405" t="s">
        <v>468</v>
      </c>
      <c r="B405" s="1">
        <v>46225</v>
      </c>
      <c r="C405" s="1">
        <v>46227</v>
      </c>
      <c r="D405" t="s">
        <v>469</v>
      </c>
      <c r="E405" t="s">
        <v>122</v>
      </c>
      <c r="F405" t="s">
        <v>24</v>
      </c>
      <c r="G405" t="s">
        <v>199</v>
      </c>
      <c r="H405" t="s">
        <v>103</v>
      </c>
      <c r="I405" s="2">
        <v>3</v>
      </c>
      <c r="J405" s="3">
        <v>245</v>
      </c>
      <c r="K405" s="4">
        <v>0</v>
      </c>
      <c r="L405" s="3">
        <v>735</v>
      </c>
      <c r="M405" t="b">
        <v>1</v>
      </c>
      <c r="N405" s="2">
        <f>YEAR(B405)</f>
        <v>2026</v>
      </c>
      <c r="O405" t="str">
        <f>INDEX(Agences!$C:$C,MATCH(F405,Agences!$A:$A,0))</f>
        <v>Nord</v>
      </c>
      <c r="P405" t="str">
        <f>INDEX(Produits!$C:$C,MATCH(H405,Produits!$A:$A,0))</f>
        <v>Mobilier</v>
      </c>
      <c r="Q405" s="3">
        <f>I405*INDEX(Produits!$E:$E,MATCH(H405,Produits!$A:$A,0))</f>
        <v>492.45000000000005</v>
      </c>
      <c r="R405" s="3">
        <f>L405-Q405</f>
        <v>242.54999999999995</v>
      </c>
      <c r="S405" s="2">
        <f>NETWORKDAYS(B405,C405)-1</f>
        <v>2</v>
      </c>
      <c r="T405" s="1">
        <f>WORKDAY(B405,5)</f>
        <v>46232</v>
      </c>
      <c r="U405" t="b">
        <f>C405&gt;T405</f>
        <v>0</v>
      </c>
    </row>
    <row r="406" spans="1:21" x14ac:dyDescent="0.25">
      <c r="A406" t="s">
        <v>470</v>
      </c>
      <c r="B406" s="1">
        <v>46225</v>
      </c>
      <c r="C406" s="1">
        <v>46232</v>
      </c>
      <c r="D406" t="s">
        <v>471</v>
      </c>
      <c r="E406" t="s">
        <v>185</v>
      </c>
      <c r="F406" t="s">
        <v>31</v>
      </c>
      <c r="G406" t="s">
        <v>32</v>
      </c>
      <c r="H406" t="s">
        <v>107</v>
      </c>
      <c r="I406" s="2">
        <v>3</v>
      </c>
      <c r="J406" s="3">
        <v>99</v>
      </c>
      <c r="K406" s="4">
        <v>0.08</v>
      </c>
      <c r="L406" s="3">
        <v>273.24</v>
      </c>
      <c r="M406" t="b">
        <v>1</v>
      </c>
      <c r="N406" s="2">
        <f>YEAR(B406)</f>
        <v>2026</v>
      </c>
      <c r="O406" t="str">
        <f>INDEX(Agences!$C:$C,MATCH(F406,Agences!$A:$A,0))</f>
        <v>Ouest</v>
      </c>
      <c r="P406" t="str">
        <f>INDEX(Produits!$C:$C,MATCH(H406,Produits!$A:$A,0))</f>
        <v>Informatique</v>
      </c>
      <c r="Q406" s="3">
        <f>I406*INDEX(Produits!$E:$E,MATCH(H406,Produits!$A:$A,0))</f>
        <v>225.71999999999997</v>
      </c>
      <c r="R406" s="3">
        <f>L406-Q406</f>
        <v>47.52000000000004</v>
      </c>
      <c r="S406" s="2">
        <f>NETWORKDAYS(B406,C406)-1</f>
        <v>5</v>
      </c>
      <c r="T406" s="1">
        <f>WORKDAY(B406,5)</f>
        <v>46232</v>
      </c>
      <c r="U406" t="b">
        <f>C406&gt;T406</f>
        <v>0</v>
      </c>
    </row>
    <row r="407" spans="1:21" x14ac:dyDescent="0.25">
      <c r="A407" t="s">
        <v>470</v>
      </c>
      <c r="B407" s="1">
        <v>46225</v>
      </c>
      <c r="C407" s="1">
        <v>46232</v>
      </c>
      <c r="D407" t="s">
        <v>471</v>
      </c>
      <c r="E407" t="s">
        <v>185</v>
      </c>
      <c r="F407" t="s">
        <v>31</v>
      </c>
      <c r="G407" t="s">
        <v>32</v>
      </c>
      <c r="H407" t="s">
        <v>35</v>
      </c>
      <c r="I407" s="2">
        <v>2</v>
      </c>
      <c r="J407" s="3">
        <v>79</v>
      </c>
      <c r="K407" s="4">
        <v>0.02</v>
      </c>
      <c r="L407" s="3">
        <v>154.84</v>
      </c>
      <c r="M407" t="b">
        <v>1</v>
      </c>
      <c r="N407" s="2">
        <f>YEAR(B407)</f>
        <v>2026</v>
      </c>
      <c r="O407" t="str">
        <f>INDEX(Agences!$C:$C,MATCH(F407,Agences!$A:$A,0))</f>
        <v>Ouest</v>
      </c>
      <c r="P407" t="str">
        <f>INDEX(Produits!$C:$C,MATCH(H407,Produits!$A:$A,0))</f>
        <v>Mobilier</v>
      </c>
      <c r="Q407" s="3">
        <f>I407*INDEX(Produits!$E:$E,MATCH(H407,Produits!$A:$A,0))</f>
        <v>93.22</v>
      </c>
      <c r="R407" s="3">
        <f>L407-Q407</f>
        <v>61.620000000000005</v>
      </c>
      <c r="S407" s="2">
        <f>NETWORKDAYS(B407,C407)-1</f>
        <v>5</v>
      </c>
      <c r="T407" s="1">
        <f>WORKDAY(B407,5)</f>
        <v>46232</v>
      </c>
      <c r="U407" t="b">
        <f>C407&gt;T407</f>
        <v>0</v>
      </c>
    </row>
    <row r="408" spans="1:21" x14ac:dyDescent="0.25">
      <c r="A408" t="s">
        <v>470</v>
      </c>
      <c r="B408" s="1">
        <v>46225</v>
      </c>
      <c r="C408" s="1">
        <v>46232</v>
      </c>
      <c r="D408" t="s">
        <v>471</v>
      </c>
      <c r="E408" t="s">
        <v>185</v>
      </c>
      <c r="F408" t="s">
        <v>31</v>
      </c>
      <c r="G408" t="s">
        <v>32</v>
      </c>
      <c r="H408" t="s">
        <v>42</v>
      </c>
      <c r="I408" s="2">
        <v>1</v>
      </c>
      <c r="J408" s="3">
        <v>55</v>
      </c>
      <c r="K408" s="4">
        <v>0</v>
      </c>
      <c r="L408" s="3">
        <v>55</v>
      </c>
      <c r="M408" t="b">
        <v>1</v>
      </c>
      <c r="N408" s="2">
        <f>YEAR(B408)</f>
        <v>2026</v>
      </c>
      <c r="O408" t="str">
        <f>INDEX(Agences!$C:$C,MATCH(F408,Agences!$A:$A,0))</f>
        <v>Ouest</v>
      </c>
      <c r="P408" t="str">
        <f>INDEX(Produits!$C:$C,MATCH(H408,Produits!$A:$A,0))</f>
        <v>Maintenance</v>
      </c>
      <c r="Q408" s="3">
        <f>I408*INDEX(Produits!$E:$E,MATCH(H408,Produits!$A:$A,0))</f>
        <v>24.75</v>
      </c>
      <c r="R408" s="3">
        <f>L408-Q408</f>
        <v>30.25</v>
      </c>
      <c r="S408" s="2">
        <f>NETWORKDAYS(B408,C408)-1</f>
        <v>5</v>
      </c>
      <c r="T408" s="1">
        <f>WORKDAY(B408,5)</f>
        <v>46232</v>
      </c>
      <c r="U408" t="b">
        <f>C408&gt;T408</f>
        <v>0</v>
      </c>
    </row>
    <row r="409" spans="1:21" x14ac:dyDescent="0.25">
      <c r="A409" t="s">
        <v>472</v>
      </c>
      <c r="B409" s="1">
        <v>46225</v>
      </c>
      <c r="C409" s="1">
        <v>46230</v>
      </c>
      <c r="D409" t="s">
        <v>473</v>
      </c>
      <c r="E409" t="s">
        <v>82</v>
      </c>
      <c r="F409" t="s">
        <v>39</v>
      </c>
      <c r="G409" t="s">
        <v>40</v>
      </c>
      <c r="H409" t="s">
        <v>42</v>
      </c>
      <c r="I409" s="2">
        <v>3</v>
      </c>
      <c r="J409" s="3">
        <v>55</v>
      </c>
      <c r="K409" s="4">
        <v>0</v>
      </c>
      <c r="L409" s="3">
        <v>165</v>
      </c>
      <c r="M409" t="b">
        <v>1</v>
      </c>
      <c r="N409" s="2">
        <f>YEAR(B409)</f>
        <v>2026</v>
      </c>
      <c r="O409" t="str">
        <f>INDEX(Agences!$C:$C,MATCH(F409,Agences!$A:$A,0))</f>
        <v>Sud-Ouest</v>
      </c>
      <c r="P409" t="str">
        <f>INDEX(Produits!$C:$C,MATCH(H409,Produits!$A:$A,0))</f>
        <v>Maintenance</v>
      </c>
      <c r="Q409" s="3">
        <f>I409*INDEX(Produits!$E:$E,MATCH(H409,Produits!$A:$A,0))</f>
        <v>74.25</v>
      </c>
      <c r="R409" s="3">
        <f>L409-Q409</f>
        <v>90.75</v>
      </c>
      <c r="S409" s="2">
        <f>NETWORKDAYS(B409,C409)-1</f>
        <v>3</v>
      </c>
      <c r="T409" s="1">
        <f>WORKDAY(B409,5)</f>
        <v>46232</v>
      </c>
      <c r="U409" t="b">
        <f>C409&gt;T409</f>
        <v>0</v>
      </c>
    </row>
    <row r="410" spans="1:21" x14ac:dyDescent="0.25">
      <c r="A410" t="s">
        <v>472</v>
      </c>
      <c r="B410" s="1">
        <v>46225</v>
      </c>
      <c r="C410" s="1">
        <v>46230</v>
      </c>
      <c r="D410" t="s">
        <v>473</v>
      </c>
      <c r="E410" t="s">
        <v>82</v>
      </c>
      <c r="F410" t="s">
        <v>39</v>
      </c>
      <c r="G410" t="s">
        <v>40</v>
      </c>
      <c r="H410" t="s">
        <v>35</v>
      </c>
      <c r="I410" s="2">
        <v>3</v>
      </c>
      <c r="J410" s="3">
        <v>79</v>
      </c>
      <c r="K410" s="4">
        <v>0</v>
      </c>
      <c r="L410" s="3">
        <v>237</v>
      </c>
      <c r="M410" t="b">
        <v>1</v>
      </c>
      <c r="N410" s="2">
        <f>YEAR(B410)</f>
        <v>2026</v>
      </c>
      <c r="O410" t="str">
        <f>INDEX(Agences!$C:$C,MATCH(F410,Agences!$A:$A,0))</f>
        <v>Sud-Ouest</v>
      </c>
      <c r="P410" t="str">
        <f>INDEX(Produits!$C:$C,MATCH(H410,Produits!$A:$A,0))</f>
        <v>Mobilier</v>
      </c>
      <c r="Q410" s="3">
        <f>I410*INDEX(Produits!$E:$E,MATCH(H410,Produits!$A:$A,0))</f>
        <v>139.82999999999998</v>
      </c>
      <c r="R410" s="3">
        <f>L410-Q410</f>
        <v>97.17000000000002</v>
      </c>
      <c r="S410" s="2">
        <f>NETWORKDAYS(B410,C410)-1</f>
        <v>3</v>
      </c>
      <c r="T410" s="1">
        <f>WORKDAY(B410,5)</f>
        <v>46232</v>
      </c>
      <c r="U410" t="b">
        <f>C410&gt;T410</f>
        <v>0</v>
      </c>
    </row>
    <row r="411" spans="1:21" x14ac:dyDescent="0.25">
      <c r="A411" t="s">
        <v>472</v>
      </c>
      <c r="B411" s="1">
        <v>46225</v>
      </c>
      <c r="C411" s="1">
        <v>46230</v>
      </c>
      <c r="D411" t="s">
        <v>473</v>
      </c>
      <c r="E411" t="s">
        <v>82</v>
      </c>
      <c r="F411" t="s">
        <v>39</v>
      </c>
      <c r="G411" t="s">
        <v>40</v>
      </c>
      <c r="H411" t="s">
        <v>26</v>
      </c>
      <c r="I411" s="2">
        <v>1</v>
      </c>
      <c r="J411" s="3">
        <v>290</v>
      </c>
      <c r="K411" s="4">
        <v>0.08</v>
      </c>
      <c r="L411" s="3">
        <v>266.8</v>
      </c>
      <c r="M411" t="b">
        <v>1</v>
      </c>
      <c r="N411" s="2">
        <f>YEAR(B411)</f>
        <v>2026</v>
      </c>
      <c r="O411" t="str">
        <f>INDEX(Agences!$C:$C,MATCH(F411,Agences!$A:$A,0))</f>
        <v>Sud-Ouest</v>
      </c>
      <c r="P411" t="str">
        <f>INDEX(Produits!$C:$C,MATCH(H411,Produits!$A:$A,0))</f>
        <v>Maintenance</v>
      </c>
      <c r="Q411" s="3">
        <f>I411*INDEX(Produits!$E:$E,MATCH(H411,Produits!$A:$A,0))</f>
        <v>139.2</v>
      </c>
      <c r="R411" s="3">
        <f>L411-Q411</f>
        <v>127.60000000000002</v>
      </c>
      <c r="S411" s="2">
        <f>NETWORKDAYS(B411,C411)-1</f>
        <v>3</v>
      </c>
      <c r="T411" s="1">
        <f>WORKDAY(B411,5)</f>
        <v>46232</v>
      </c>
      <c r="U411" t="b">
        <f>C411&gt;T411</f>
        <v>0</v>
      </c>
    </row>
    <row r="412" spans="1:21" x14ac:dyDescent="0.25">
      <c r="A412" t="s">
        <v>472</v>
      </c>
      <c r="B412" s="1">
        <v>46225</v>
      </c>
      <c r="C412" s="1">
        <v>46230</v>
      </c>
      <c r="D412" t="s">
        <v>473</v>
      </c>
      <c r="E412" t="s">
        <v>82</v>
      </c>
      <c r="F412" t="s">
        <v>39</v>
      </c>
      <c r="G412" t="s">
        <v>40</v>
      </c>
      <c r="H412" t="s">
        <v>127</v>
      </c>
      <c r="I412" s="2">
        <v>1</v>
      </c>
      <c r="J412" s="3">
        <v>649</v>
      </c>
      <c r="K412" s="4">
        <v>0</v>
      </c>
      <c r="L412" s="3">
        <v>649</v>
      </c>
      <c r="M412" t="b">
        <v>1</v>
      </c>
      <c r="N412" s="2">
        <f>YEAR(B412)</f>
        <v>2026</v>
      </c>
      <c r="O412" t="str">
        <f>INDEX(Agences!$C:$C,MATCH(F412,Agences!$A:$A,0))</f>
        <v>Sud-Ouest</v>
      </c>
      <c r="P412" t="str">
        <f>INDEX(Produits!$C:$C,MATCH(H412,Produits!$A:$A,0))</f>
        <v>Informatique</v>
      </c>
      <c r="Q412" s="3">
        <f>I412*INDEX(Produits!$E:$E,MATCH(H412,Produits!$A:$A,0))</f>
        <v>480.26</v>
      </c>
      <c r="R412" s="3">
        <f>L412-Q412</f>
        <v>168.74</v>
      </c>
      <c r="S412" s="2">
        <f>NETWORKDAYS(B412,C412)-1</f>
        <v>3</v>
      </c>
      <c r="T412" s="1">
        <f>WORKDAY(B412,5)</f>
        <v>46232</v>
      </c>
      <c r="U412" t="b">
        <f>C412&gt;T412</f>
        <v>0</v>
      </c>
    </row>
    <row r="413" spans="1:21" x14ac:dyDescent="0.25">
      <c r="A413" t="s">
        <v>474</v>
      </c>
      <c r="B413" s="1">
        <v>46224</v>
      </c>
      <c r="C413" s="1">
        <v>46230</v>
      </c>
      <c r="D413" t="s">
        <v>475</v>
      </c>
      <c r="E413" t="s">
        <v>122</v>
      </c>
      <c r="F413" t="s">
        <v>24</v>
      </c>
      <c r="G413" t="s">
        <v>116</v>
      </c>
      <c r="H413" t="s">
        <v>108</v>
      </c>
      <c r="I413" s="2">
        <v>10</v>
      </c>
      <c r="J413" s="3">
        <v>24.5</v>
      </c>
      <c r="K413" s="4">
        <v>0</v>
      </c>
      <c r="L413" s="3">
        <v>245</v>
      </c>
      <c r="M413" t="b">
        <v>1</v>
      </c>
      <c r="N413" s="2">
        <f>YEAR(B413)</f>
        <v>2026</v>
      </c>
      <c r="O413" t="str">
        <f>INDEX(Agences!$C:$C,MATCH(F413,Agences!$A:$A,0))</f>
        <v>Nord</v>
      </c>
      <c r="P413" t="str">
        <f>INDEX(Produits!$C:$C,MATCH(H413,Produits!$A:$A,0))</f>
        <v>Fournitures</v>
      </c>
      <c r="Q413" s="3">
        <f>I413*INDEX(Produits!$E:$E,MATCH(H413,Produits!$A:$A,0))</f>
        <v>147</v>
      </c>
      <c r="R413" s="3">
        <f>L413-Q413</f>
        <v>98</v>
      </c>
      <c r="S413" s="2">
        <f>NETWORKDAYS(B413,C413)-1</f>
        <v>4</v>
      </c>
      <c r="T413" s="1">
        <f>WORKDAY(B413,5)</f>
        <v>46231</v>
      </c>
      <c r="U413" t="b">
        <f>C413&gt;T413</f>
        <v>0</v>
      </c>
    </row>
    <row r="414" spans="1:21" x14ac:dyDescent="0.25">
      <c r="A414" t="s">
        <v>474</v>
      </c>
      <c r="B414" s="1">
        <v>46224</v>
      </c>
      <c r="C414" s="1">
        <v>46230</v>
      </c>
      <c r="D414" t="s">
        <v>475</v>
      </c>
      <c r="E414" t="s">
        <v>122</v>
      </c>
      <c r="F414" t="s">
        <v>24</v>
      </c>
      <c r="G414" t="s">
        <v>116</v>
      </c>
      <c r="H414" t="s">
        <v>196</v>
      </c>
      <c r="I414" s="2">
        <v>10</v>
      </c>
      <c r="J414" s="3">
        <v>18.5</v>
      </c>
      <c r="K414" s="4">
        <v>0.05</v>
      </c>
      <c r="L414" s="3">
        <v>175.75</v>
      </c>
      <c r="M414" t="b">
        <v>1</v>
      </c>
      <c r="N414" s="2">
        <f>YEAR(B414)</f>
        <v>2026</v>
      </c>
      <c r="O414" t="str">
        <f>INDEX(Agences!$C:$C,MATCH(F414,Agences!$A:$A,0))</f>
        <v>Nord</v>
      </c>
      <c r="P414" t="str">
        <f>INDEX(Produits!$C:$C,MATCH(H414,Produits!$A:$A,0))</f>
        <v>Fournitures</v>
      </c>
      <c r="Q414" s="3">
        <f>I414*INDEX(Produits!$E:$E,MATCH(H414,Produits!$A:$A,0))</f>
        <v>94.39999999999999</v>
      </c>
      <c r="R414" s="3">
        <f>L414-Q414</f>
        <v>81.35000000000001</v>
      </c>
      <c r="S414" s="2">
        <f>NETWORKDAYS(B414,C414)-1</f>
        <v>4</v>
      </c>
      <c r="T414" s="1">
        <f>WORKDAY(B414,5)</f>
        <v>46231</v>
      </c>
      <c r="U414" t="b">
        <f>C414&gt;T414</f>
        <v>0</v>
      </c>
    </row>
    <row r="415" spans="1:21" x14ac:dyDescent="0.25">
      <c r="A415" t="s">
        <v>476</v>
      </c>
      <c r="B415" s="1">
        <v>46224</v>
      </c>
      <c r="C415" s="1">
        <v>46226</v>
      </c>
      <c r="D415" t="s">
        <v>477</v>
      </c>
      <c r="E415" t="s">
        <v>122</v>
      </c>
      <c r="F415" t="s">
        <v>24</v>
      </c>
      <c r="G415" t="s">
        <v>116</v>
      </c>
      <c r="H415" t="s">
        <v>51</v>
      </c>
      <c r="I415" s="2">
        <v>1</v>
      </c>
      <c r="J415" s="3">
        <v>180</v>
      </c>
      <c r="K415" s="4">
        <v>0.02</v>
      </c>
      <c r="L415" s="3">
        <v>176.4</v>
      </c>
      <c r="M415" t="b">
        <v>1</v>
      </c>
      <c r="N415" s="2">
        <f>YEAR(B415)</f>
        <v>2026</v>
      </c>
      <c r="O415" t="str">
        <f>INDEX(Agences!$C:$C,MATCH(F415,Agences!$A:$A,0))</f>
        <v>Nord</v>
      </c>
      <c r="P415" t="str">
        <f>INDEX(Produits!$C:$C,MATCH(H415,Produits!$A:$A,0))</f>
        <v>Maintenance</v>
      </c>
      <c r="Q415" s="3">
        <f>I415*INDEX(Produits!$E:$E,MATCH(H415,Produits!$A:$A,0))</f>
        <v>82.8</v>
      </c>
      <c r="R415" s="3">
        <f>L415-Q415</f>
        <v>93.60000000000001</v>
      </c>
      <c r="S415" s="2">
        <f>NETWORKDAYS(B415,C415)-1</f>
        <v>2</v>
      </c>
      <c r="T415" s="1">
        <f>WORKDAY(B415,5)</f>
        <v>46231</v>
      </c>
      <c r="U415" t="b">
        <f>C415&gt;T415</f>
        <v>0</v>
      </c>
    </row>
    <row r="416" spans="1:21" x14ac:dyDescent="0.25">
      <c r="A416" t="s">
        <v>476</v>
      </c>
      <c r="B416" s="1">
        <v>46224</v>
      </c>
      <c r="C416" s="1">
        <v>46226</v>
      </c>
      <c r="D416" t="s">
        <v>477</v>
      </c>
      <c r="E416" t="s">
        <v>122</v>
      </c>
      <c r="F416" t="s">
        <v>24</v>
      </c>
      <c r="G416" t="s">
        <v>116</v>
      </c>
      <c r="H416" t="s">
        <v>84</v>
      </c>
      <c r="I416" s="2">
        <v>2</v>
      </c>
      <c r="J416" s="3">
        <v>420</v>
      </c>
      <c r="K416" s="4">
        <v>0</v>
      </c>
      <c r="L416" s="3">
        <v>840</v>
      </c>
      <c r="M416" t="b">
        <v>1</v>
      </c>
      <c r="N416" s="2">
        <f>YEAR(B416)</f>
        <v>2026</v>
      </c>
      <c r="O416" t="str">
        <f>INDEX(Agences!$C:$C,MATCH(F416,Agences!$A:$A,0))</f>
        <v>Nord</v>
      </c>
      <c r="P416" t="str">
        <f>INDEX(Produits!$C:$C,MATCH(H416,Produits!$A:$A,0))</f>
        <v>Mobilier</v>
      </c>
      <c r="Q416" s="3">
        <f>I416*INDEX(Produits!$E:$E,MATCH(H416,Produits!$A:$A,0))</f>
        <v>487.2</v>
      </c>
      <c r="R416" s="3">
        <f>L416-Q416</f>
        <v>352.8</v>
      </c>
      <c r="S416" s="2">
        <f>NETWORKDAYS(B416,C416)-1</f>
        <v>2</v>
      </c>
      <c r="T416" s="1">
        <f>WORKDAY(B416,5)</f>
        <v>46231</v>
      </c>
      <c r="U416" t="b">
        <f>C416&gt;T416</f>
        <v>0</v>
      </c>
    </row>
    <row r="417" spans="1:21" x14ac:dyDescent="0.25">
      <c r="A417" t="s">
        <v>476</v>
      </c>
      <c r="B417" s="1">
        <v>46224</v>
      </c>
      <c r="C417" s="1">
        <v>46226</v>
      </c>
      <c r="D417" t="s">
        <v>477</v>
      </c>
      <c r="E417" t="s">
        <v>122</v>
      </c>
      <c r="F417" t="s">
        <v>24</v>
      </c>
      <c r="G417" t="s">
        <v>116</v>
      </c>
      <c r="H417" t="s">
        <v>42</v>
      </c>
      <c r="I417" s="2">
        <v>1</v>
      </c>
      <c r="J417" s="3">
        <v>55</v>
      </c>
      <c r="K417" s="4">
        <v>0.05</v>
      </c>
      <c r="L417" s="3">
        <v>52.25</v>
      </c>
      <c r="M417" t="b">
        <v>1</v>
      </c>
      <c r="N417" s="2">
        <f>YEAR(B417)</f>
        <v>2026</v>
      </c>
      <c r="O417" t="str">
        <f>INDEX(Agences!$C:$C,MATCH(F417,Agences!$A:$A,0))</f>
        <v>Nord</v>
      </c>
      <c r="P417" t="str">
        <f>INDEX(Produits!$C:$C,MATCH(H417,Produits!$A:$A,0))</f>
        <v>Maintenance</v>
      </c>
      <c r="Q417" s="3">
        <f>I417*INDEX(Produits!$E:$E,MATCH(H417,Produits!$A:$A,0))</f>
        <v>24.75</v>
      </c>
      <c r="R417" s="3">
        <f>L417-Q417</f>
        <v>27.5</v>
      </c>
      <c r="S417" s="2">
        <f>NETWORKDAYS(B417,C417)-1</f>
        <v>2</v>
      </c>
      <c r="T417" s="1">
        <f>WORKDAY(B417,5)</f>
        <v>46231</v>
      </c>
      <c r="U417" t="b">
        <f>C417&gt;T417</f>
        <v>0</v>
      </c>
    </row>
    <row r="418" spans="1:21" x14ac:dyDescent="0.25">
      <c r="A418" t="s">
        <v>478</v>
      </c>
      <c r="B418" s="1">
        <v>46224</v>
      </c>
      <c r="C418" s="1">
        <v>46226</v>
      </c>
      <c r="D418" t="s">
        <v>438</v>
      </c>
      <c r="E418" t="s">
        <v>175</v>
      </c>
      <c r="F418" t="s">
        <v>76</v>
      </c>
      <c r="G418" t="s">
        <v>176</v>
      </c>
      <c r="H418" t="s">
        <v>112</v>
      </c>
      <c r="I418" s="2">
        <v>2</v>
      </c>
      <c r="J418" s="3">
        <v>129</v>
      </c>
      <c r="K418" s="4">
        <v>0.02</v>
      </c>
      <c r="L418" s="3">
        <v>252.84</v>
      </c>
      <c r="M418" t="b">
        <v>1</v>
      </c>
      <c r="N418" s="2">
        <f>YEAR(B418)</f>
        <v>2026</v>
      </c>
      <c r="O418" t="str">
        <f>INDEX(Agences!$C:$C,MATCH(F418,Agences!$A:$A,0))</f>
        <v>Île-de-France</v>
      </c>
      <c r="P418" t="str">
        <f>INDEX(Produits!$C:$C,MATCH(H418,Produits!$A:$A,0))</f>
        <v>Mobilier</v>
      </c>
      <c r="Q418" s="3">
        <f>I418*INDEX(Produits!$E:$E,MATCH(H418,Produits!$A:$A,0))</f>
        <v>172.86</v>
      </c>
      <c r="R418" s="3">
        <f>L418-Q418</f>
        <v>79.97999999999999</v>
      </c>
      <c r="S418" s="2">
        <f>NETWORKDAYS(B418,C418)-1</f>
        <v>2</v>
      </c>
      <c r="T418" s="1">
        <f>WORKDAY(B418,5)</f>
        <v>46231</v>
      </c>
      <c r="U418" t="b">
        <f>C418&gt;T418</f>
        <v>0</v>
      </c>
    </row>
    <row r="419" spans="1:21" x14ac:dyDescent="0.25">
      <c r="A419" t="s">
        <v>478</v>
      </c>
      <c r="B419" s="1">
        <v>46224</v>
      </c>
      <c r="C419" s="1">
        <v>46226</v>
      </c>
      <c r="D419" t="s">
        <v>438</v>
      </c>
      <c r="E419" t="s">
        <v>175</v>
      </c>
      <c r="F419" t="s">
        <v>76</v>
      </c>
      <c r="G419" t="s">
        <v>176</v>
      </c>
      <c r="H419" t="s">
        <v>319</v>
      </c>
      <c r="I419" s="2">
        <v>1</v>
      </c>
      <c r="J419" s="3">
        <v>289</v>
      </c>
      <c r="K419" s="4">
        <v>0</v>
      </c>
      <c r="L419" s="3">
        <v>289</v>
      </c>
      <c r="M419" t="b">
        <v>1</v>
      </c>
      <c r="N419" s="2">
        <f>YEAR(B419)</f>
        <v>2026</v>
      </c>
      <c r="O419" t="str">
        <f>INDEX(Agences!$C:$C,MATCH(F419,Agences!$A:$A,0))</f>
        <v>Île-de-France</v>
      </c>
      <c r="P419" t="str">
        <f>INDEX(Produits!$C:$C,MATCH(H419,Produits!$A:$A,0))</f>
        <v>Informatique</v>
      </c>
      <c r="Q419" s="3">
        <f>I419*INDEX(Produits!$E:$E,MATCH(H419,Produits!$A:$A,0))</f>
        <v>213.86</v>
      </c>
      <c r="R419" s="3">
        <f>L419-Q419</f>
        <v>75.13999999999999</v>
      </c>
      <c r="S419" s="2">
        <f>NETWORKDAYS(B419,C419)-1</f>
        <v>2</v>
      </c>
      <c r="T419" s="1">
        <f>WORKDAY(B419,5)</f>
        <v>46231</v>
      </c>
      <c r="U419" t="b">
        <f>C419&gt;T419</f>
        <v>0</v>
      </c>
    </row>
    <row r="420" spans="1:21" x14ac:dyDescent="0.25">
      <c r="A420" t="s">
        <v>478</v>
      </c>
      <c r="B420" s="1">
        <v>46224</v>
      </c>
      <c r="C420" s="1">
        <v>46226</v>
      </c>
      <c r="D420" t="s">
        <v>438</v>
      </c>
      <c r="E420" t="s">
        <v>175</v>
      </c>
      <c r="F420" t="s">
        <v>76</v>
      </c>
      <c r="G420" t="s">
        <v>176</v>
      </c>
      <c r="H420" t="s">
        <v>41</v>
      </c>
      <c r="I420" s="2">
        <v>2</v>
      </c>
      <c r="J420" s="3">
        <v>790</v>
      </c>
      <c r="K420" s="4">
        <v>0.08</v>
      </c>
      <c r="L420" s="3">
        <v>1453.6</v>
      </c>
      <c r="M420" t="b">
        <v>1</v>
      </c>
      <c r="N420" s="2">
        <f>YEAR(B420)</f>
        <v>2026</v>
      </c>
      <c r="O420" t="str">
        <f>INDEX(Agences!$C:$C,MATCH(F420,Agences!$A:$A,0))</f>
        <v>Île-de-France</v>
      </c>
      <c r="P420" t="str">
        <f>INDEX(Produits!$C:$C,MATCH(H420,Produits!$A:$A,0))</f>
        <v>Informatique</v>
      </c>
      <c r="Q420" s="3">
        <f>I420*INDEX(Produits!$E:$E,MATCH(H420,Produits!$A:$A,0))</f>
        <v>1153.4</v>
      </c>
      <c r="R420" s="3">
        <f>L420-Q420</f>
        <v>300.1999999999998</v>
      </c>
      <c r="S420" s="2">
        <f>NETWORKDAYS(B420,C420)-1</f>
        <v>2</v>
      </c>
      <c r="T420" s="1">
        <f>WORKDAY(B420,5)</f>
        <v>46231</v>
      </c>
      <c r="U420" t="b">
        <f>C420&gt;T420</f>
        <v>0</v>
      </c>
    </row>
    <row r="421" spans="1:21" x14ac:dyDescent="0.25">
      <c r="A421" t="s">
        <v>478</v>
      </c>
      <c r="B421" s="1">
        <v>46224</v>
      </c>
      <c r="C421" s="1">
        <v>46226</v>
      </c>
      <c r="D421" t="s">
        <v>438</v>
      </c>
      <c r="E421" t="s">
        <v>175</v>
      </c>
      <c r="F421" t="s">
        <v>76</v>
      </c>
      <c r="G421" t="s">
        <v>176</v>
      </c>
      <c r="H421" t="s">
        <v>57</v>
      </c>
      <c r="I421" s="2">
        <v>4</v>
      </c>
      <c r="J421" s="3">
        <v>149</v>
      </c>
      <c r="K421" s="4">
        <v>0.05</v>
      </c>
      <c r="L421" s="3">
        <v>566.2</v>
      </c>
      <c r="M421" t="b">
        <v>1</v>
      </c>
      <c r="N421" s="2">
        <f>YEAR(B421)</f>
        <v>2026</v>
      </c>
      <c r="O421" t="str">
        <f>INDEX(Agences!$C:$C,MATCH(F421,Agences!$A:$A,0))</f>
        <v>Île-de-France</v>
      </c>
      <c r="P421" t="str">
        <f>INDEX(Produits!$C:$C,MATCH(H421,Produits!$A:$A,0))</f>
        <v>Informatique</v>
      </c>
      <c r="Q421" s="3">
        <f>I421*INDEX(Produits!$E:$E,MATCH(H421,Produits!$A:$A,0))</f>
        <v>458.92</v>
      </c>
      <c r="R421" s="3">
        <f>L421-Q421</f>
        <v>107.28000000000003</v>
      </c>
      <c r="S421" s="2">
        <f>NETWORKDAYS(B421,C421)-1</f>
        <v>2</v>
      </c>
      <c r="T421" s="1">
        <f>WORKDAY(B421,5)</f>
        <v>46231</v>
      </c>
      <c r="U421" t="b">
        <f>C421&gt;T421</f>
        <v>0</v>
      </c>
    </row>
    <row r="422" spans="1:21" x14ac:dyDescent="0.25">
      <c r="A422" t="s">
        <v>479</v>
      </c>
      <c r="B422" s="1">
        <v>46224</v>
      </c>
      <c r="C422" s="1">
        <v>46231</v>
      </c>
      <c r="D422" t="s">
        <v>480</v>
      </c>
      <c r="E422" t="s">
        <v>399</v>
      </c>
      <c r="F422" t="s">
        <v>166</v>
      </c>
      <c r="G422" t="s">
        <v>179</v>
      </c>
      <c r="H422" t="s">
        <v>64</v>
      </c>
      <c r="I422" s="2">
        <v>10</v>
      </c>
      <c r="J422" s="3">
        <v>16.8</v>
      </c>
      <c r="K422" s="4">
        <v>0.02</v>
      </c>
      <c r="L422" s="3">
        <v>164.64</v>
      </c>
      <c r="M422" t="b">
        <v>1</v>
      </c>
      <c r="N422" s="2">
        <f>YEAR(B422)</f>
        <v>2026</v>
      </c>
      <c r="O422" t="str">
        <f>INDEX(Agences!$C:$C,MATCH(F422,Agences!$A:$A,0))</f>
        <v>Ouest</v>
      </c>
      <c r="P422" t="str">
        <f>INDEX(Produits!$C:$C,MATCH(H422,Produits!$A:$A,0))</f>
        <v>Fournitures</v>
      </c>
      <c r="Q422" s="3">
        <f>I422*INDEX(Produits!$E:$E,MATCH(H422,Produits!$A:$A,0))</f>
        <v>87.4</v>
      </c>
      <c r="R422" s="3">
        <f>L422-Q422</f>
        <v>77.23999999999998</v>
      </c>
      <c r="S422" s="2">
        <f>NETWORKDAYS(B422,C422)-1</f>
        <v>5</v>
      </c>
      <c r="T422" s="1">
        <f>WORKDAY(B422,5)</f>
        <v>46231</v>
      </c>
      <c r="U422" t="b">
        <f>C422&gt;T422</f>
        <v>0</v>
      </c>
    </row>
    <row r="423" spans="1:21" x14ac:dyDescent="0.25">
      <c r="A423" t="s">
        <v>479</v>
      </c>
      <c r="B423" s="1">
        <v>46224</v>
      </c>
      <c r="C423" s="1">
        <v>46231</v>
      </c>
      <c r="D423" t="s">
        <v>480</v>
      </c>
      <c r="E423" t="s">
        <v>399</v>
      </c>
      <c r="F423" t="s">
        <v>166</v>
      </c>
      <c r="G423" t="s">
        <v>179</v>
      </c>
      <c r="H423" t="s">
        <v>205</v>
      </c>
      <c r="I423" s="2">
        <v>1</v>
      </c>
      <c r="J423" s="3">
        <v>359</v>
      </c>
      <c r="K423" s="4">
        <v>0</v>
      </c>
      <c r="L423" s="3">
        <v>359</v>
      </c>
      <c r="M423" t="b">
        <v>1</v>
      </c>
      <c r="N423" s="2">
        <f>YEAR(B423)</f>
        <v>2026</v>
      </c>
      <c r="O423" t="str">
        <f>INDEX(Agences!$C:$C,MATCH(F423,Agences!$A:$A,0))</f>
        <v>Ouest</v>
      </c>
      <c r="P423" t="str">
        <f>INDEX(Produits!$C:$C,MATCH(H423,Produits!$A:$A,0))</f>
        <v>Mobilier</v>
      </c>
      <c r="Q423" s="3">
        <f>I423*INDEX(Produits!$E:$E,MATCH(H423,Produits!$A:$A,0))</f>
        <v>204.63</v>
      </c>
      <c r="R423" s="3">
        <f>L423-Q423</f>
        <v>154.37</v>
      </c>
      <c r="S423" s="2">
        <f>NETWORKDAYS(B423,C423)-1</f>
        <v>5</v>
      </c>
      <c r="T423" s="1">
        <f>WORKDAY(B423,5)</f>
        <v>46231</v>
      </c>
      <c r="U423" t="b">
        <f>C423&gt;T423</f>
        <v>0</v>
      </c>
    </row>
    <row r="424" spans="1:21" x14ac:dyDescent="0.25">
      <c r="A424" t="s">
        <v>481</v>
      </c>
      <c r="B424" s="1">
        <v>46224</v>
      </c>
      <c r="C424" s="1">
        <v>46225</v>
      </c>
      <c r="D424" t="s">
        <v>482</v>
      </c>
      <c r="E424" t="s">
        <v>185</v>
      </c>
      <c r="F424" t="s">
        <v>31</v>
      </c>
      <c r="G424" t="s">
        <v>32</v>
      </c>
      <c r="H424" t="s">
        <v>42</v>
      </c>
      <c r="I424" s="2">
        <v>2</v>
      </c>
      <c r="J424" s="3">
        <v>55</v>
      </c>
      <c r="K424" s="4">
        <v>0.1</v>
      </c>
      <c r="L424" s="3">
        <v>99</v>
      </c>
      <c r="M424" t="b">
        <v>1</v>
      </c>
      <c r="N424" s="2">
        <f>YEAR(B424)</f>
        <v>2026</v>
      </c>
      <c r="O424" t="str">
        <f>INDEX(Agences!$C:$C,MATCH(F424,Agences!$A:$A,0))</f>
        <v>Ouest</v>
      </c>
      <c r="P424" t="str">
        <f>INDEX(Produits!$C:$C,MATCH(H424,Produits!$A:$A,0))</f>
        <v>Maintenance</v>
      </c>
      <c r="Q424" s="3">
        <f>I424*INDEX(Produits!$E:$E,MATCH(H424,Produits!$A:$A,0))</f>
        <v>49.5</v>
      </c>
      <c r="R424" s="3">
        <f>L424-Q424</f>
        <v>49.5</v>
      </c>
      <c r="S424" s="2">
        <f>NETWORKDAYS(B424,C424)-1</f>
        <v>1</v>
      </c>
      <c r="T424" s="1">
        <f>WORKDAY(B424,5)</f>
        <v>46231</v>
      </c>
      <c r="U424" t="b">
        <f>C424&gt;T424</f>
        <v>0</v>
      </c>
    </row>
    <row r="425" spans="1:21" x14ac:dyDescent="0.25">
      <c r="A425" t="s">
        <v>481</v>
      </c>
      <c r="B425" s="1">
        <v>46224</v>
      </c>
      <c r="C425" s="1">
        <v>46225</v>
      </c>
      <c r="D425" t="s">
        <v>482</v>
      </c>
      <c r="E425" t="s">
        <v>185</v>
      </c>
      <c r="F425" t="s">
        <v>31</v>
      </c>
      <c r="G425" t="s">
        <v>32</v>
      </c>
      <c r="H425" t="s">
        <v>48</v>
      </c>
      <c r="I425" s="2">
        <v>2</v>
      </c>
      <c r="J425" s="3">
        <v>165</v>
      </c>
      <c r="K425" s="4">
        <v>0</v>
      </c>
      <c r="L425" s="3">
        <v>330</v>
      </c>
      <c r="M425" t="b">
        <v>1</v>
      </c>
      <c r="N425" s="2">
        <f>YEAR(B425)</f>
        <v>2026</v>
      </c>
      <c r="O425" t="str">
        <f>INDEX(Agences!$C:$C,MATCH(F425,Agences!$A:$A,0))</f>
        <v>Ouest</v>
      </c>
      <c r="P425" t="str">
        <f>INDEX(Produits!$C:$C,MATCH(H425,Produits!$A:$A,0))</f>
        <v>Mobilier</v>
      </c>
      <c r="Q425" s="3">
        <f>I425*INDEX(Produits!$E:$E,MATCH(H425,Produits!$A:$A,0))</f>
        <v>214.5</v>
      </c>
      <c r="R425" s="3">
        <f>L425-Q425</f>
        <v>115.5</v>
      </c>
      <c r="S425" s="2">
        <f>NETWORKDAYS(B425,C425)-1</f>
        <v>1</v>
      </c>
      <c r="T425" s="1">
        <f>WORKDAY(B425,5)</f>
        <v>46231</v>
      </c>
      <c r="U425" t="b">
        <f>C425&gt;T425</f>
        <v>0</v>
      </c>
    </row>
    <row r="426" spans="1:21" x14ac:dyDescent="0.25">
      <c r="A426" t="s">
        <v>481</v>
      </c>
      <c r="B426" s="1">
        <v>46224</v>
      </c>
      <c r="C426" s="1">
        <v>46225</v>
      </c>
      <c r="D426" t="s">
        <v>482</v>
      </c>
      <c r="E426" t="s">
        <v>185</v>
      </c>
      <c r="F426" t="s">
        <v>31</v>
      </c>
      <c r="G426" t="s">
        <v>32</v>
      </c>
      <c r="H426" t="s">
        <v>205</v>
      </c>
      <c r="I426" s="2">
        <v>1</v>
      </c>
      <c r="J426" s="3">
        <v>359</v>
      </c>
      <c r="K426" s="4">
        <v>0.02</v>
      </c>
      <c r="L426" s="3">
        <v>351.82</v>
      </c>
      <c r="M426" t="b">
        <v>1</v>
      </c>
      <c r="N426" s="2">
        <f>YEAR(B426)</f>
        <v>2026</v>
      </c>
      <c r="O426" t="str">
        <f>INDEX(Agences!$C:$C,MATCH(F426,Agences!$A:$A,0))</f>
        <v>Ouest</v>
      </c>
      <c r="P426" t="str">
        <f>INDEX(Produits!$C:$C,MATCH(H426,Produits!$A:$A,0))</f>
        <v>Mobilier</v>
      </c>
      <c r="Q426" s="3">
        <f>I426*INDEX(Produits!$E:$E,MATCH(H426,Produits!$A:$A,0))</f>
        <v>204.63</v>
      </c>
      <c r="R426" s="3">
        <f>L426-Q426</f>
        <v>147.19</v>
      </c>
      <c r="S426" s="2">
        <f>NETWORKDAYS(B426,C426)-1</f>
        <v>1</v>
      </c>
      <c r="T426" s="1">
        <f>WORKDAY(B426,5)</f>
        <v>46231</v>
      </c>
      <c r="U426" t="b">
        <f>C426&gt;T426</f>
        <v>0</v>
      </c>
    </row>
    <row r="427" spans="1:21" x14ac:dyDescent="0.25">
      <c r="A427" t="s">
        <v>481</v>
      </c>
      <c r="B427" s="1">
        <v>46224</v>
      </c>
      <c r="C427" s="1">
        <v>46225</v>
      </c>
      <c r="D427" t="s">
        <v>482</v>
      </c>
      <c r="E427" t="s">
        <v>185</v>
      </c>
      <c r="F427" t="s">
        <v>31</v>
      </c>
      <c r="G427" t="s">
        <v>32</v>
      </c>
      <c r="H427" t="s">
        <v>107</v>
      </c>
      <c r="I427" s="2">
        <v>2</v>
      </c>
      <c r="J427" s="3">
        <v>99</v>
      </c>
      <c r="K427" s="4">
        <v>0</v>
      </c>
      <c r="L427" s="3">
        <v>198</v>
      </c>
      <c r="M427" t="b">
        <v>1</v>
      </c>
      <c r="N427" s="2">
        <f>YEAR(B427)</f>
        <v>2026</v>
      </c>
      <c r="O427" t="str">
        <f>INDEX(Agences!$C:$C,MATCH(F427,Agences!$A:$A,0))</f>
        <v>Ouest</v>
      </c>
      <c r="P427" t="str">
        <f>INDEX(Produits!$C:$C,MATCH(H427,Produits!$A:$A,0))</f>
        <v>Informatique</v>
      </c>
      <c r="Q427" s="3">
        <f>I427*INDEX(Produits!$E:$E,MATCH(H427,Produits!$A:$A,0))</f>
        <v>150.48</v>
      </c>
      <c r="R427" s="3">
        <f>L427-Q427</f>
        <v>47.52000000000001</v>
      </c>
      <c r="S427" s="2">
        <f>NETWORKDAYS(B427,C427)-1</f>
        <v>1</v>
      </c>
      <c r="T427" s="1">
        <f>WORKDAY(B427,5)</f>
        <v>46231</v>
      </c>
      <c r="U427" t="b">
        <f>C427&gt;T427</f>
        <v>0</v>
      </c>
    </row>
    <row r="428" spans="1:21" x14ac:dyDescent="0.25">
      <c r="A428" t="s">
        <v>483</v>
      </c>
      <c r="B428" s="1">
        <v>46224</v>
      </c>
      <c r="C428" s="1">
        <v>46226</v>
      </c>
      <c r="D428" t="s">
        <v>484</v>
      </c>
      <c r="E428" t="s">
        <v>236</v>
      </c>
      <c r="F428" t="s">
        <v>39</v>
      </c>
      <c r="G428" t="s">
        <v>40</v>
      </c>
      <c r="H428" t="s">
        <v>83</v>
      </c>
      <c r="I428" s="2">
        <v>1</v>
      </c>
      <c r="J428" s="3">
        <v>49</v>
      </c>
      <c r="K428" s="4">
        <v>0.05</v>
      </c>
      <c r="L428" s="3">
        <v>46.55</v>
      </c>
      <c r="M428" t="b">
        <v>1</v>
      </c>
      <c r="N428" s="2">
        <f>YEAR(B428)</f>
        <v>2026</v>
      </c>
      <c r="O428" t="str">
        <f>INDEX(Agences!$C:$C,MATCH(F428,Agences!$A:$A,0))</f>
        <v>Sud-Ouest</v>
      </c>
      <c r="P428" t="str">
        <f>INDEX(Produits!$C:$C,MATCH(H428,Produits!$A:$A,0))</f>
        <v>Mobilier</v>
      </c>
      <c r="Q428" s="3">
        <f>I428*INDEX(Produits!$E:$E,MATCH(H428,Produits!$A:$A,0))</f>
        <v>28.42</v>
      </c>
      <c r="R428" s="3">
        <f>L428-Q428</f>
        <v>18.129999999999995</v>
      </c>
      <c r="S428" s="2">
        <f>NETWORKDAYS(B428,C428)-1</f>
        <v>2</v>
      </c>
      <c r="T428" s="1">
        <f>WORKDAY(B428,5)</f>
        <v>46231</v>
      </c>
      <c r="U428" t="b">
        <f>C428&gt;T428</f>
        <v>0</v>
      </c>
    </row>
    <row r="429" spans="1:21" x14ac:dyDescent="0.25">
      <c r="A429" t="s">
        <v>485</v>
      </c>
      <c r="B429" s="1">
        <v>46224</v>
      </c>
      <c r="C429" s="1">
        <v>46227</v>
      </c>
      <c r="D429" t="s">
        <v>486</v>
      </c>
      <c r="E429" t="s">
        <v>149</v>
      </c>
      <c r="F429" t="s">
        <v>88</v>
      </c>
      <c r="G429" t="s">
        <v>89</v>
      </c>
      <c r="H429" t="s">
        <v>107</v>
      </c>
      <c r="I429" s="2">
        <v>1</v>
      </c>
      <c r="J429" s="3">
        <v>99</v>
      </c>
      <c r="K429" s="4">
        <v>0</v>
      </c>
      <c r="L429" s="3">
        <v>99</v>
      </c>
      <c r="M429" t="b">
        <v>1</v>
      </c>
      <c r="N429" s="2">
        <f>YEAR(B429)</f>
        <v>2026</v>
      </c>
      <c r="O429" t="str">
        <f>INDEX(Agences!$C:$C,MATCH(F429,Agences!$A:$A,0))</f>
        <v>Sud-Ouest</v>
      </c>
      <c r="P429" t="str">
        <f>INDEX(Produits!$C:$C,MATCH(H429,Produits!$A:$A,0))</f>
        <v>Informatique</v>
      </c>
      <c r="Q429" s="3">
        <f>I429*INDEX(Produits!$E:$E,MATCH(H429,Produits!$A:$A,0))</f>
        <v>75.24</v>
      </c>
      <c r="R429" s="3">
        <f>L429-Q429</f>
        <v>23.760000000000005</v>
      </c>
      <c r="S429" s="2">
        <f>NETWORKDAYS(B429,C429)-1</f>
        <v>3</v>
      </c>
      <c r="T429" s="1">
        <f>WORKDAY(B429,5)</f>
        <v>46231</v>
      </c>
      <c r="U429" t="b">
        <f>C429&gt;T429</f>
        <v>0</v>
      </c>
    </row>
    <row r="430" spans="1:21" x14ac:dyDescent="0.25">
      <c r="A430" t="s">
        <v>485</v>
      </c>
      <c r="B430" s="1">
        <v>46224</v>
      </c>
      <c r="C430" s="1">
        <v>46227</v>
      </c>
      <c r="D430" t="s">
        <v>486</v>
      </c>
      <c r="E430" t="s">
        <v>149</v>
      </c>
      <c r="F430" t="s">
        <v>88</v>
      </c>
      <c r="G430" t="s">
        <v>89</v>
      </c>
      <c r="H430" t="s">
        <v>33</v>
      </c>
      <c r="I430" s="2">
        <v>1</v>
      </c>
      <c r="J430" s="3">
        <v>219</v>
      </c>
      <c r="K430" s="4">
        <v>0</v>
      </c>
      <c r="L430" s="3">
        <v>219</v>
      </c>
      <c r="M430" t="b">
        <v>1</v>
      </c>
      <c r="N430" s="2">
        <f>YEAR(B430)</f>
        <v>2026</v>
      </c>
      <c r="O430" t="str">
        <f>INDEX(Agences!$C:$C,MATCH(F430,Agences!$A:$A,0))</f>
        <v>Sud-Ouest</v>
      </c>
      <c r="P430" t="str">
        <f>INDEX(Produits!$C:$C,MATCH(H430,Produits!$A:$A,0))</f>
        <v>Informatique</v>
      </c>
      <c r="Q430" s="3">
        <f>I430*INDEX(Produits!$E:$E,MATCH(H430,Produits!$A:$A,0))</f>
        <v>179.58</v>
      </c>
      <c r="R430" s="3">
        <f>L430-Q430</f>
        <v>39.41999999999999</v>
      </c>
      <c r="S430" s="2">
        <f>NETWORKDAYS(B430,C430)-1</f>
        <v>3</v>
      </c>
      <c r="T430" s="1">
        <f>WORKDAY(B430,5)</f>
        <v>46231</v>
      </c>
      <c r="U430" t="b">
        <f>C430&gt;T430</f>
        <v>0</v>
      </c>
    </row>
    <row r="431" spans="1:21" x14ac:dyDescent="0.25">
      <c r="A431" t="s">
        <v>485</v>
      </c>
      <c r="B431" s="1">
        <v>46224</v>
      </c>
      <c r="C431" s="1">
        <v>46227</v>
      </c>
      <c r="D431" t="s">
        <v>486</v>
      </c>
      <c r="E431" t="s">
        <v>149</v>
      </c>
      <c r="F431" t="s">
        <v>88</v>
      </c>
      <c r="G431" t="s">
        <v>89</v>
      </c>
      <c r="H431" t="s">
        <v>48</v>
      </c>
      <c r="I431" s="2">
        <v>1</v>
      </c>
      <c r="J431" s="3">
        <v>165</v>
      </c>
      <c r="K431" s="4">
        <v>0</v>
      </c>
      <c r="L431" s="3">
        <v>165</v>
      </c>
      <c r="M431" t="b">
        <v>1</v>
      </c>
      <c r="N431" s="2">
        <f>YEAR(B431)</f>
        <v>2026</v>
      </c>
      <c r="O431" t="str">
        <f>INDEX(Agences!$C:$C,MATCH(F431,Agences!$A:$A,0))</f>
        <v>Sud-Ouest</v>
      </c>
      <c r="P431" t="str">
        <f>INDEX(Produits!$C:$C,MATCH(H431,Produits!$A:$A,0))</f>
        <v>Mobilier</v>
      </c>
      <c r="Q431" s="3">
        <f>I431*INDEX(Produits!$E:$E,MATCH(H431,Produits!$A:$A,0))</f>
        <v>107.25</v>
      </c>
      <c r="R431" s="3">
        <f>L431-Q431</f>
        <v>57.75</v>
      </c>
      <c r="S431" s="2">
        <f>NETWORKDAYS(B431,C431)-1</f>
        <v>3</v>
      </c>
      <c r="T431" s="1">
        <f>WORKDAY(B431,5)</f>
        <v>46231</v>
      </c>
      <c r="U431" t="b">
        <f>C431&gt;T431</f>
        <v>0</v>
      </c>
    </row>
    <row r="432" spans="1:21" x14ac:dyDescent="0.25">
      <c r="A432" t="s">
        <v>487</v>
      </c>
      <c r="B432" s="1">
        <v>46223</v>
      </c>
      <c r="C432" s="1">
        <v>46227</v>
      </c>
      <c r="D432" t="s">
        <v>488</v>
      </c>
      <c r="E432" t="s">
        <v>333</v>
      </c>
      <c r="F432" t="s">
        <v>138</v>
      </c>
      <c r="G432" t="s">
        <v>214</v>
      </c>
      <c r="H432" t="s">
        <v>48</v>
      </c>
      <c r="I432" s="2">
        <v>1</v>
      </c>
      <c r="J432" s="3">
        <v>165</v>
      </c>
      <c r="K432" s="4">
        <v>0.02</v>
      </c>
      <c r="L432" s="3">
        <v>161.7</v>
      </c>
      <c r="M432" t="b">
        <v>1</v>
      </c>
      <c r="N432" s="2">
        <f>YEAR(B432)</f>
        <v>2026</v>
      </c>
      <c r="O432" t="str">
        <f>INDEX(Agences!$C:$C,MATCH(F432,Agences!$A:$A,0))</f>
        <v>Île-de-France</v>
      </c>
      <c r="P432" t="str">
        <f>INDEX(Produits!$C:$C,MATCH(H432,Produits!$A:$A,0))</f>
        <v>Mobilier</v>
      </c>
      <c r="Q432" s="3">
        <f>I432*INDEX(Produits!$E:$E,MATCH(H432,Produits!$A:$A,0))</f>
        <v>107.25</v>
      </c>
      <c r="R432" s="3">
        <f>L432-Q432</f>
        <v>54.44999999999999</v>
      </c>
      <c r="S432" s="2">
        <f>NETWORKDAYS(B432,C432)-1</f>
        <v>4</v>
      </c>
      <c r="T432" s="1">
        <f>WORKDAY(B432,5)</f>
        <v>46230</v>
      </c>
      <c r="U432" t="b">
        <f>C432&gt;T432</f>
        <v>0</v>
      </c>
    </row>
    <row r="433" spans="1:21" x14ac:dyDescent="0.25">
      <c r="A433" t="s">
        <v>489</v>
      </c>
      <c r="B433" s="1">
        <v>46220</v>
      </c>
      <c r="C433" s="1">
        <v>46223</v>
      </c>
      <c r="D433" t="s">
        <v>414</v>
      </c>
      <c r="E433" t="s">
        <v>172</v>
      </c>
      <c r="F433" t="s">
        <v>99</v>
      </c>
      <c r="G433" t="s">
        <v>100</v>
      </c>
      <c r="H433" t="s">
        <v>112</v>
      </c>
      <c r="I433" s="2">
        <v>1</v>
      </c>
      <c r="J433" s="3">
        <v>129</v>
      </c>
      <c r="K433" s="4">
        <v>0.08</v>
      </c>
      <c r="L433" s="3">
        <v>118.68</v>
      </c>
      <c r="M433" t="b">
        <v>1</v>
      </c>
      <c r="N433" s="2">
        <f>YEAR(B433)</f>
        <v>2026</v>
      </c>
      <c r="O433" t="str">
        <f>INDEX(Agences!$C:$C,MATCH(F433,Agences!$A:$A,0))</f>
        <v>Nord</v>
      </c>
      <c r="P433" t="str">
        <f>INDEX(Produits!$C:$C,MATCH(H433,Produits!$A:$A,0))</f>
        <v>Mobilier</v>
      </c>
      <c r="Q433" s="3">
        <f>I433*INDEX(Produits!$E:$E,MATCH(H433,Produits!$A:$A,0))</f>
        <v>86.43</v>
      </c>
      <c r="R433" s="3">
        <f>L433-Q433</f>
        <v>32.25</v>
      </c>
      <c r="S433" s="2">
        <f>NETWORKDAYS(B433,C433)-1</f>
        <v>1</v>
      </c>
      <c r="T433" s="1">
        <f>WORKDAY(B433,5)</f>
        <v>46227</v>
      </c>
      <c r="U433" t="b">
        <f>C433&gt;T433</f>
        <v>0</v>
      </c>
    </row>
    <row r="434" spans="1:21" x14ac:dyDescent="0.25">
      <c r="A434" t="s">
        <v>489</v>
      </c>
      <c r="B434" s="1">
        <v>46220</v>
      </c>
      <c r="C434" s="1">
        <v>46223</v>
      </c>
      <c r="D434" t="s">
        <v>414</v>
      </c>
      <c r="E434" t="s">
        <v>172</v>
      </c>
      <c r="F434" t="s">
        <v>99</v>
      </c>
      <c r="G434" t="s">
        <v>100</v>
      </c>
      <c r="H434" t="s">
        <v>34</v>
      </c>
      <c r="I434" s="2">
        <v>1</v>
      </c>
      <c r="J434" s="3">
        <v>340</v>
      </c>
      <c r="K434" s="4">
        <v>0</v>
      </c>
      <c r="L434" s="3">
        <v>340</v>
      </c>
      <c r="M434" t="b">
        <v>1</v>
      </c>
      <c r="N434" s="2">
        <f>YEAR(B434)</f>
        <v>2026</v>
      </c>
      <c r="O434" t="str">
        <f>INDEX(Agences!$C:$C,MATCH(F434,Agences!$A:$A,0))</f>
        <v>Nord</v>
      </c>
      <c r="P434" t="str">
        <f>INDEX(Produits!$C:$C,MATCH(H434,Produits!$A:$A,0))</f>
        <v>Informatique</v>
      </c>
      <c r="Q434" s="3">
        <f>I434*INDEX(Produits!$E:$E,MATCH(H434,Produits!$A:$A,0))</f>
        <v>275.4</v>
      </c>
      <c r="R434" s="3">
        <f>L434-Q434</f>
        <v>64.60000000000002</v>
      </c>
      <c r="S434" s="2">
        <f>NETWORKDAYS(B434,C434)-1</f>
        <v>1</v>
      </c>
      <c r="T434" s="1">
        <f>WORKDAY(B434,5)</f>
        <v>46227</v>
      </c>
      <c r="U434" t="b">
        <f>C434&gt;T434</f>
        <v>0</v>
      </c>
    </row>
    <row r="435" spans="1:21" x14ac:dyDescent="0.25">
      <c r="A435" t="s">
        <v>490</v>
      </c>
      <c r="B435" s="1">
        <v>46220</v>
      </c>
      <c r="C435" s="1">
        <v>46225</v>
      </c>
      <c r="D435" t="s">
        <v>491</v>
      </c>
      <c r="E435" t="s">
        <v>172</v>
      </c>
      <c r="F435" t="s">
        <v>99</v>
      </c>
      <c r="G435" t="s">
        <v>100</v>
      </c>
      <c r="H435" t="s">
        <v>112</v>
      </c>
      <c r="I435" s="2">
        <v>1</v>
      </c>
      <c r="J435" s="3">
        <v>129</v>
      </c>
      <c r="K435" s="4">
        <v>0</v>
      </c>
      <c r="L435" s="3">
        <v>129</v>
      </c>
      <c r="M435" t="b">
        <v>1</v>
      </c>
      <c r="N435" s="2">
        <f>YEAR(B435)</f>
        <v>2026</v>
      </c>
      <c r="O435" t="str">
        <f>INDEX(Agences!$C:$C,MATCH(F435,Agences!$A:$A,0))</f>
        <v>Nord</v>
      </c>
      <c r="P435" t="str">
        <f>INDEX(Produits!$C:$C,MATCH(H435,Produits!$A:$A,0))</f>
        <v>Mobilier</v>
      </c>
      <c r="Q435" s="3">
        <f>I435*INDEX(Produits!$E:$E,MATCH(H435,Produits!$A:$A,0))</f>
        <v>86.43</v>
      </c>
      <c r="R435" s="3">
        <f>L435-Q435</f>
        <v>42.56999999999999</v>
      </c>
      <c r="S435" s="2">
        <f>NETWORKDAYS(B435,C435)-1</f>
        <v>3</v>
      </c>
      <c r="T435" s="1">
        <f>WORKDAY(B435,5)</f>
        <v>46227</v>
      </c>
      <c r="U435" t="b">
        <f>C435&gt;T435</f>
        <v>0</v>
      </c>
    </row>
    <row r="436" spans="1:21" x14ac:dyDescent="0.25">
      <c r="A436" t="s">
        <v>492</v>
      </c>
      <c r="B436" s="1">
        <v>46220</v>
      </c>
      <c r="C436" s="1">
        <v>46225</v>
      </c>
      <c r="D436" t="s">
        <v>359</v>
      </c>
      <c r="E436" t="s">
        <v>137</v>
      </c>
      <c r="F436" t="s">
        <v>138</v>
      </c>
      <c r="G436" t="s">
        <v>214</v>
      </c>
      <c r="H436" t="s">
        <v>83</v>
      </c>
      <c r="I436" s="2">
        <v>1</v>
      </c>
      <c r="J436" s="3">
        <v>49</v>
      </c>
      <c r="K436" s="4">
        <v>0.05</v>
      </c>
      <c r="L436" s="3">
        <v>46.55</v>
      </c>
      <c r="M436" t="b">
        <v>1</v>
      </c>
      <c r="N436" s="2">
        <f>YEAR(B436)</f>
        <v>2026</v>
      </c>
      <c r="O436" t="str">
        <f>INDEX(Agences!$C:$C,MATCH(F436,Agences!$A:$A,0))</f>
        <v>Île-de-France</v>
      </c>
      <c r="P436" t="str">
        <f>INDEX(Produits!$C:$C,MATCH(H436,Produits!$A:$A,0))</f>
        <v>Mobilier</v>
      </c>
      <c r="Q436" s="3">
        <f>I436*INDEX(Produits!$E:$E,MATCH(H436,Produits!$A:$A,0))</f>
        <v>28.42</v>
      </c>
      <c r="R436" s="3">
        <f>L436-Q436</f>
        <v>18.129999999999995</v>
      </c>
      <c r="S436" s="2">
        <f>NETWORKDAYS(B436,C436)-1</f>
        <v>3</v>
      </c>
      <c r="T436" s="1">
        <f>WORKDAY(B436,5)</f>
        <v>46227</v>
      </c>
      <c r="U436" t="b">
        <f>C436&gt;T436</f>
        <v>0</v>
      </c>
    </row>
    <row r="437" spans="1:21" x14ac:dyDescent="0.25">
      <c r="A437" t="s">
        <v>492</v>
      </c>
      <c r="B437" s="1">
        <v>46220</v>
      </c>
      <c r="C437" s="1">
        <v>46225</v>
      </c>
      <c r="D437" t="s">
        <v>359</v>
      </c>
      <c r="E437" t="s">
        <v>137</v>
      </c>
      <c r="F437" t="s">
        <v>138</v>
      </c>
      <c r="G437" t="s">
        <v>214</v>
      </c>
      <c r="H437" t="s">
        <v>42</v>
      </c>
      <c r="I437" s="2">
        <v>2</v>
      </c>
      <c r="J437" s="3">
        <v>55</v>
      </c>
      <c r="K437" s="4">
        <v>0.05</v>
      </c>
      <c r="L437" s="3">
        <v>104.5</v>
      </c>
      <c r="M437" t="b">
        <v>1</v>
      </c>
      <c r="N437" s="2">
        <f>YEAR(B437)</f>
        <v>2026</v>
      </c>
      <c r="O437" t="str">
        <f>INDEX(Agences!$C:$C,MATCH(F437,Agences!$A:$A,0))</f>
        <v>Île-de-France</v>
      </c>
      <c r="P437" t="str">
        <f>INDEX(Produits!$C:$C,MATCH(H437,Produits!$A:$A,0))</f>
        <v>Maintenance</v>
      </c>
      <c r="Q437" s="3">
        <f>I437*INDEX(Produits!$E:$E,MATCH(H437,Produits!$A:$A,0))</f>
        <v>49.5</v>
      </c>
      <c r="R437" s="3">
        <f>L437-Q437</f>
        <v>55</v>
      </c>
      <c r="S437" s="2">
        <f>NETWORKDAYS(B437,C437)-1</f>
        <v>3</v>
      </c>
      <c r="T437" s="1">
        <f>WORKDAY(B437,5)</f>
        <v>46227</v>
      </c>
      <c r="U437" t="b">
        <f>C437&gt;T437</f>
        <v>0</v>
      </c>
    </row>
    <row r="438" spans="1:21" x14ac:dyDescent="0.25">
      <c r="A438" t="s">
        <v>492</v>
      </c>
      <c r="B438" s="1">
        <v>46220</v>
      </c>
      <c r="C438" s="1">
        <v>46225</v>
      </c>
      <c r="D438" t="s">
        <v>359</v>
      </c>
      <c r="E438" t="s">
        <v>137</v>
      </c>
      <c r="F438" t="s">
        <v>138</v>
      </c>
      <c r="G438" t="s">
        <v>214</v>
      </c>
      <c r="H438" t="s">
        <v>107</v>
      </c>
      <c r="I438" s="2">
        <v>1</v>
      </c>
      <c r="J438" s="3">
        <v>99</v>
      </c>
      <c r="K438" s="4">
        <v>0</v>
      </c>
      <c r="L438" s="3">
        <v>99</v>
      </c>
      <c r="M438" t="b">
        <v>1</v>
      </c>
      <c r="N438" s="2">
        <f>YEAR(B438)</f>
        <v>2026</v>
      </c>
      <c r="O438" t="str">
        <f>INDEX(Agences!$C:$C,MATCH(F438,Agences!$A:$A,0))</f>
        <v>Île-de-France</v>
      </c>
      <c r="P438" t="str">
        <f>INDEX(Produits!$C:$C,MATCH(H438,Produits!$A:$A,0))</f>
        <v>Informatique</v>
      </c>
      <c r="Q438" s="3">
        <f>I438*INDEX(Produits!$E:$E,MATCH(H438,Produits!$A:$A,0))</f>
        <v>75.24</v>
      </c>
      <c r="R438" s="3">
        <f>L438-Q438</f>
        <v>23.760000000000005</v>
      </c>
      <c r="S438" s="2">
        <f>NETWORKDAYS(B438,C438)-1</f>
        <v>3</v>
      </c>
      <c r="T438" s="1">
        <f>WORKDAY(B438,5)</f>
        <v>46227</v>
      </c>
      <c r="U438" t="b">
        <f>C438&gt;T438</f>
        <v>0</v>
      </c>
    </row>
    <row r="439" spans="1:21" x14ac:dyDescent="0.25">
      <c r="A439" t="s">
        <v>493</v>
      </c>
      <c r="B439" s="1">
        <v>46220</v>
      </c>
      <c r="C439" s="1">
        <v>46225</v>
      </c>
      <c r="D439" t="s">
        <v>494</v>
      </c>
      <c r="E439" t="s">
        <v>270</v>
      </c>
      <c r="F439" t="s">
        <v>76</v>
      </c>
      <c r="G439" t="s">
        <v>232</v>
      </c>
      <c r="H439" t="s">
        <v>162</v>
      </c>
      <c r="I439" s="2">
        <v>2</v>
      </c>
      <c r="J439" s="3">
        <v>289</v>
      </c>
      <c r="K439" s="4">
        <v>0.1</v>
      </c>
      <c r="L439" s="3">
        <v>520.2</v>
      </c>
      <c r="M439" t="b">
        <v>1</v>
      </c>
      <c r="N439" s="2">
        <f>YEAR(B439)</f>
        <v>2026</v>
      </c>
      <c r="O439" t="str">
        <f>INDEX(Agences!$C:$C,MATCH(F439,Agences!$A:$A,0))</f>
        <v>Île-de-France</v>
      </c>
      <c r="P439" t="str">
        <f>INDEX(Produits!$C:$C,MATCH(H439,Produits!$A:$A,0))</f>
        <v>Mobilier</v>
      </c>
      <c r="Q439" s="3">
        <f>I439*INDEX(Produits!$E:$E,MATCH(H439,Produits!$A:$A,0))</f>
        <v>387.26</v>
      </c>
      <c r="R439" s="3">
        <f>L439-Q439</f>
        <v>132.94000000000005</v>
      </c>
      <c r="S439" s="2">
        <f>NETWORKDAYS(B439,C439)-1</f>
        <v>3</v>
      </c>
      <c r="T439" s="1">
        <f>WORKDAY(B439,5)</f>
        <v>46227</v>
      </c>
      <c r="U439" t="b">
        <f>C439&gt;T439</f>
        <v>0</v>
      </c>
    </row>
    <row r="440" spans="1:21" x14ac:dyDescent="0.25">
      <c r="A440" t="s">
        <v>493</v>
      </c>
      <c r="B440" s="1">
        <v>46220</v>
      </c>
      <c r="C440" s="1">
        <v>46225</v>
      </c>
      <c r="D440" t="s">
        <v>494</v>
      </c>
      <c r="E440" t="s">
        <v>270</v>
      </c>
      <c r="F440" t="s">
        <v>76</v>
      </c>
      <c r="G440" t="s">
        <v>232</v>
      </c>
      <c r="H440" t="s">
        <v>237</v>
      </c>
      <c r="I440" s="2">
        <v>2</v>
      </c>
      <c r="J440" s="3">
        <v>890</v>
      </c>
      <c r="K440" s="4">
        <v>0</v>
      </c>
      <c r="L440" s="3">
        <v>1780</v>
      </c>
      <c r="M440" t="b">
        <v>1</v>
      </c>
      <c r="N440" s="2">
        <f>YEAR(B440)</f>
        <v>2026</v>
      </c>
      <c r="O440" t="str">
        <f>INDEX(Agences!$C:$C,MATCH(F440,Agences!$A:$A,0))</f>
        <v>Île-de-France</v>
      </c>
      <c r="P440" t="str">
        <f>INDEX(Produits!$C:$C,MATCH(H440,Produits!$A:$A,0))</f>
        <v>Mobilier</v>
      </c>
      <c r="Q440" s="3">
        <f>I440*INDEX(Produits!$E:$E,MATCH(H440,Produits!$A:$A,0))</f>
        <v>1192.6</v>
      </c>
      <c r="R440" s="3">
        <f>L440-Q440</f>
        <v>587.4000000000001</v>
      </c>
      <c r="S440" s="2">
        <f>NETWORKDAYS(B440,C440)-1</f>
        <v>3</v>
      </c>
      <c r="T440" s="1">
        <f>WORKDAY(B440,5)</f>
        <v>46227</v>
      </c>
      <c r="U440" t="b">
        <f>C440&gt;T440</f>
        <v>0</v>
      </c>
    </row>
    <row r="441" spans="1:21" x14ac:dyDescent="0.25">
      <c r="A441" t="s">
        <v>493</v>
      </c>
      <c r="B441" s="1">
        <v>46220</v>
      </c>
      <c r="C441" s="1">
        <v>46225</v>
      </c>
      <c r="D441" t="s">
        <v>494</v>
      </c>
      <c r="E441" t="s">
        <v>270</v>
      </c>
      <c r="F441" t="s">
        <v>76</v>
      </c>
      <c r="G441" t="s">
        <v>232</v>
      </c>
      <c r="H441" t="s">
        <v>132</v>
      </c>
      <c r="I441" s="2">
        <v>1</v>
      </c>
      <c r="J441" s="3">
        <v>650</v>
      </c>
      <c r="K441" s="4">
        <v>0</v>
      </c>
      <c r="L441" s="3">
        <v>650</v>
      </c>
      <c r="M441" t="b">
        <v>1</v>
      </c>
      <c r="N441" s="2">
        <f>YEAR(B441)</f>
        <v>2026</v>
      </c>
      <c r="O441" t="str">
        <f>INDEX(Agences!$C:$C,MATCH(F441,Agences!$A:$A,0))</f>
        <v>Île-de-France</v>
      </c>
      <c r="P441" t="str">
        <f>INDEX(Produits!$C:$C,MATCH(H441,Produits!$A:$A,0))</f>
        <v>Maintenance</v>
      </c>
      <c r="Q441" s="3">
        <f>I441*INDEX(Produits!$E:$E,MATCH(H441,Produits!$A:$A,0))</f>
        <v>273</v>
      </c>
      <c r="R441" s="3">
        <f>L441-Q441</f>
        <v>377</v>
      </c>
      <c r="S441" s="2">
        <f>NETWORKDAYS(B441,C441)-1</f>
        <v>3</v>
      </c>
      <c r="T441" s="1">
        <f>WORKDAY(B441,5)</f>
        <v>46227</v>
      </c>
      <c r="U441" t="b">
        <f>C441&gt;T441</f>
        <v>0</v>
      </c>
    </row>
    <row r="442" spans="1:21" x14ac:dyDescent="0.25">
      <c r="A442" t="s">
        <v>495</v>
      </c>
      <c r="B442" s="1">
        <v>46220</v>
      </c>
      <c r="C442" s="1">
        <v>46225</v>
      </c>
      <c r="D442" t="s">
        <v>294</v>
      </c>
      <c r="E442" t="s">
        <v>82</v>
      </c>
      <c r="F442" t="s">
        <v>39</v>
      </c>
      <c r="G442" t="s">
        <v>322</v>
      </c>
      <c r="H442" t="s">
        <v>34</v>
      </c>
      <c r="I442" s="2">
        <v>1</v>
      </c>
      <c r="J442" s="3">
        <v>340</v>
      </c>
      <c r="K442" s="4">
        <v>0</v>
      </c>
      <c r="L442" s="3">
        <v>340</v>
      </c>
      <c r="M442" t="b">
        <v>1</v>
      </c>
      <c r="N442" s="2">
        <f>YEAR(B442)</f>
        <v>2026</v>
      </c>
      <c r="O442" t="str">
        <f>INDEX(Agences!$C:$C,MATCH(F442,Agences!$A:$A,0))</f>
        <v>Sud-Ouest</v>
      </c>
      <c r="P442" t="str">
        <f>INDEX(Produits!$C:$C,MATCH(H442,Produits!$A:$A,0))</f>
        <v>Informatique</v>
      </c>
      <c r="Q442" s="3">
        <f>I442*INDEX(Produits!$E:$E,MATCH(H442,Produits!$A:$A,0))</f>
        <v>275.4</v>
      </c>
      <c r="R442" s="3">
        <f>L442-Q442</f>
        <v>64.60000000000002</v>
      </c>
      <c r="S442" s="2">
        <f>NETWORKDAYS(B442,C442)-1</f>
        <v>3</v>
      </c>
      <c r="T442" s="1">
        <f>WORKDAY(B442,5)</f>
        <v>46227</v>
      </c>
      <c r="U442" t="b">
        <f>C442&gt;T442</f>
        <v>0</v>
      </c>
    </row>
    <row r="443" spans="1:21" x14ac:dyDescent="0.25">
      <c r="A443" t="s">
        <v>496</v>
      </c>
      <c r="B443" s="1">
        <v>46220</v>
      </c>
      <c r="C443" s="1">
        <v>46224</v>
      </c>
      <c r="D443" t="s">
        <v>355</v>
      </c>
      <c r="E443" t="s">
        <v>256</v>
      </c>
      <c r="F443" t="s">
        <v>88</v>
      </c>
      <c r="G443" t="s">
        <v>142</v>
      </c>
      <c r="H443" t="s">
        <v>161</v>
      </c>
      <c r="I443" s="2">
        <v>5</v>
      </c>
      <c r="J443" s="3">
        <v>32</v>
      </c>
      <c r="K443" s="4">
        <v>0.1</v>
      </c>
      <c r="L443" s="3">
        <v>144</v>
      </c>
      <c r="M443" t="b">
        <v>1</v>
      </c>
      <c r="N443" s="2">
        <f>YEAR(B443)</f>
        <v>2026</v>
      </c>
      <c r="O443" t="str">
        <f>INDEX(Agences!$C:$C,MATCH(F443,Agences!$A:$A,0))</f>
        <v>Sud-Ouest</v>
      </c>
      <c r="P443" t="str">
        <f>INDEX(Produits!$C:$C,MATCH(H443,Produits!$A:$A,0))</f>
        <v>Fournitures</v>
      </c>
      <c r="Q443" s="3">
        <f>I443*INDEX(Produits!$E:$E,MATCH(H443,Produits!$A:$A,0))</f>
        <v>88</v>
      </c>
      <c r="R443" s="3">
        <f>L443-Q443</f>
        <v>56</v>
      </c>
      <c r="S443" s="2">
        <f>NETWORKDAYS(B443,C443)-1</f>
        <v>2</v>
      </c>
      <c r="T443" s="1">
        <f>WORKDAY(B443,5)</f>
        <v>46227</v>
      </c>
      <c r="U443" t="b">
        <f>C443&gt;T443</f>
        <v>0</v>
      </c>
    </row>
    <row r="444" spans="1:21" x14ac:dyDescent="0.25">
      <c r="A444" t="s">
        <v>497</v>
      </c>
      <c r="B444" s="1">
        <v>46220</v>
      </c>
      <c r="C444" s="1">
        <v>46226</v>
      </c>
      <c r="D444" t="s">
        <v>498</v>
      </c>
      <c r="E444" t="s">
        <v>419</v>
      </c>
      <c r="F444" t="s">
        <v>62</v>
      </c>
      <c r="G444" t="s">
        <v>68</v>
      </c>
      <c r="H444" t="s">
        <v>42</v>
      </c>
      <c r="I444" s="2">
        <v>1</v>
      </c>
      <c r="J444" s="3">
        <v>55</v>
      </c>
      <c r="K444" s="4">
        <v>0</v>
      </c>
      <c r="L444" s="3">
        <v>55</v>
      </c>
      <c r="M444" t="b">
        <v>1</v>
      </c>
      <c r="N444" s="2">
        <f>YEAR(B444)</f>
        <v>2026</v>
      </c>
      <c r="O444" t="str">
        <f>INDEX(Agences!$C:$C,MATCH(F444,Agences!$A:$A,0))</f>
        <v>Méditerranée</v>
      </c>
      <c r="P444" t="str">
        <f>INDEX(Produits!$C:$C,MATCH(H444,Produits!$A:$A,0))</f>
        <v>Maintenance</v>
      </c>
      <c r="Q444" s="3">
        <f>I444*INDEX(Produits!$E:$E,MATCH(H444,Produits!$A:$A,0))</f>
        <v>24.75</v>
      </c>
      <c r="R444" s="3">
        <f>L444-Q444</f>
        <v>30.25</v>
      </c>
      <c r="S444" s="2">
        <f>NETWORKDAYS(B444,C444)-1</f>
        <v>4</v>
      </c>
      <c r="T444" s="1">
        <f>WORKDAY(B444,5)</f>
        <v>46227</v>
      </c>
      <c r="U444" t="b">
        <f>C444&gt;T444</f>
        <v>0</v>
      </c>
    </row>
    <row r="445" spans="1:21" x14ac:dyDescent="0.25">
      <c r="A445" t="s">
        <v>497</v>
      </c>
      <c r="B445" s="1">
        <v>46220</v>
      </c>
      <c r="C445" s="1">
        <v>46226</v>
      </c>
      <c r="D445" t="s">
        <v>498</v>
      </c>
      <c r="E445" t="s">
        <v>419</v>
      </c>
      <c r="F445" t="s">
        <v>62</v>
      </c>
      <c r="G445" t="s">
        <v>68</v>
      </c>
      <c r="H445" t="s">
        <v>57</v>
      </c>
      <c r="I445" s="2">
        <v>1</v>
      </c>
      <c r="J445" s="3">
        <v>149</v>
      </c>
      <c r="K445" s="4">
        <v>0</v>
      </c>
      <c r="L445" s="3">
        <v>149</v>
      </c>
      <c r="M445" t="b">
        <v>1</v>
      </c>
      <c r="N445" s="2">
        <f>YEAR(B445)</f>
        <v>2026</v>
      </c>
      <c r="O445" t="str">
        <f>INDEX(Agences!$C:$C,MATCH(F445,Agences!$A:$A,0))</f>
        <v>Méditerranée</v>
      </c>
      <c r="P445" t="str">
        <f>INDEX(Produits!$C:$C,MATCH(H445,Produits!$A:$A,0))</f>
        <v>Informatique</v>
      </c>
      <c r="Q445" s="3">
        <f>I445*INDEX(Produits!$E:$E,MATCH(H445,Produits!$A:$A,0))</f>
        <v>114.73</v>
      </c>
      <c r="R445" s="3">
        <f>L445-Q445</f>
        <v>34.269999999999996</v>
      </c>
      <c r="S445" s="2">
        <f>NETWORKDAYS(B445,C445)-1</f>
        <v>4</v>
      </c>
      <c r="T445" s="1">
        <f>WORKDAY(B445,5)</f>
        <v>46227</v>
      </c>
      <c r="U445" t="b">
        <f>C445&gt;T445</f>
        <v>0</v>
      </c>
    </row>
    <row r="446" spans="1:21" x14ac:dyDescent="0.25">
      <c r="A446" t="s">
        <v>497</v>
      </c>
      <c r="B446" s="1">
        <v>46220</v>
      </c>
      <c r="C446" s="1">
        <v>46226</v>
      </c>
      <c r="D446" t="s">
        <v>498</v>
      </c>
      <c r="E446" t="s">
        <v>419</v>
      </c>
      <c r="F446" t="s">
        <v>62</v>
      </c>
      <c r="G446" t="s">
        <v>68</v>
      </c>
      <c r="H446" t="s">
        <v>83</v>
      </c>
      <c r="I446" s="2">
        <v>2</v>
      </c>
      <c r="J446" s="3">
        <v>49</v>
      </c>
      <c r="K446" s="4">
        <v>0</v>
      </c>
      <c r="L446" s="3">
        <v>98</v>
      </c>
      <c r="M446" t="b">
        <v>1</v>
      </c>
      <c r="N446" s="2">
        <f>YEAR(B446)</f>
        <v>2026</v>
      </c>
      <c r="O446" t="str">
        <f>INDEX(Agences!$C:$C,MATCH(F446,Agences!$A:$A,0))</f>
        <v>Méditerranée</v>
      </c>
      <c r="P446" t="str">
        <f>INDEX(Produits!$C:$C,MATCH(H446,Produits!$A:$A,0))</f>
        <v>Mobilier</v>
      </c>
      <c r="Q446" s="3">
        <f>I446*INDEX(Produits!$E:$E,MATCH(H446,Produits!$A:$A,0))</f>
        <v>56.84</v>
      </c>
      <c r="R446" s="3">
        <f>L446-Q446</f>
        <v>41.16</v>
      </c>
      <c r="S446" s="2">
        <f>NETWORKDAYS(B446,C446)-1</f>
        <v>4</v>
      </c>
      <c r="T446" s="1">
        <f>WORKDAY(B446,5)</f>
        <v>46227</v>
      </c>
      <c r="U446" t="b">
        <f>C446&gt;T446</f>
        <v>0</v>
      </c>
    </row>
    <row r="447" spans="1:21" x14ac:dyDescent="0.25">
      <c r="A447" t="s">
        <v>497</v>
      </c>
      <c r="B447" s="1">
        <v>46220</v>
      </c>
      <c r="C447" s="1">
        <v>46226</v>
      </c>
      <c r="D447" t="s">
        <v>498</v>
      </c>
      <c r="E447" t="s">
        <v>419</v>
      </c>
      <c r="F447" t="s">
        <v>62</v>
      </c>
      <c r="G447" t="s">
        <v>68</v>
      </c>
      <c r="H447" t="s">
        <v>51</v>
      </c>
      <c r="I447" s="2">
        <v>1</v>
      </c>
      <c r="J447" s="3">
        <v>180</v>
      </c>
      <c r="K447" s="4">
        <v>0</v>
      </c>
      <c r="L447" s="3">
        <v>180</v>
      </c>
      <c r="M447" t="b">
        <v>1</v>
      </c>
      <c r="N447" s="2">
        <f>YEAR(B447)</f>
        <v>2026</v>
      </c>
      <c r="O447" t="str">
        <f>INDEX(Agences!$C:$C,MATCH(F447,Agences!$A:$A,0))</f>
        <v>Méditerranée</v>
      </c>
      <c r="P447" t="str">
        <f>INDEX(Produits!$C:$C,MATCH(H447,Produits!$A:$A,0))</f>
        <v>Maintenance</v>
      </c>
      <c r="Q447" s="3">
        <f>I447*INDEX(Produits!$E:$E,MATCH(H447,Produits!$A:$A,0))</f>
        <v>82.8</v>
      </c>
      <c r="R447" s="3">
        <f>L447-Q447</f>
        <v>97.2</v>
      </c>
      <c r="S447" s="2">
        <f>NETWORKDAYS(B447,C447)-1</f>
        <v>4</v>
      </c>
      <c r="T447" s="1">
        <f>WORKDAY(B447,5)</f>
        <v>46227</v>
      </c>
      <c r="U447" t="b">
        <f>C447&gt;T447</f>
        <v>0</v>
      </c>
    </row>
    <row r="448" spans="1:21" x14ac:dyDescent="0.25">
      <c r="A448" t="s">
        <v>497</v>
      </c>
      <c r="B448" s="1">
        <v>46220</v>
      </c>
      <c r="C448" s="1">
        <v>46226</v>
      </c>
      <c r="D448" t="s">
        <v>498</v>
      </c>
      <c r="E448" t="s">
        <v>419</v>
      </c>
      <c r="F448" t="s">
        <v>62</v>
      </c>
      <c r="G448" t="s">
        <v>68</v>
      </c>
      <c r="H448" t="s">
        <v>27</v>
      </c>
      <c r="I448" s="2">
        <v>3</v>
      </c>
      <c r="J448" s="3">
        <v>310</v>
      </c>
      <c r="K448" s="4">
        <v>0</v>
      </c>
      <c r="L448" s="3">
        <v>930</v>
      </c>
      <c r="M448" t="b">
        <v>1</v>
      </c>
      <c r="N448" s="2">
        <f>YEAR(B448)</f>
        <v>2026</v>
      </c>
      <c r="O448" t="str">
        <f>INDEX(Agences!$C:$C,MATCH(F448,Agences!$A:$A,0))</f>
        <v>Méditerranée</v>
      </c>
      <c r="P448" t="str">
        <f>INDEX(Produits!$C:$C,MATCH(H448,Produits!$A:$A,0))</f>
        <v>Mobilier</v>
      </c>
      <c r="Q448" s="3">
        <f>I448*INDEX(Produits!$E:$E,MATCH(H448,Produits!$A:$A,0))</f>
        <v>558</v>
      </c>
      <c r="R448" s="3">
        <f>L448-Q448</f>
        <v>372</v>
      </c>
      <c r="S448" s="2">
        <f>NETWORKDAYS(B448,C448)-1</f>
        <v>4</v>
      </c>
      <c r="T448" s="1">
        <f>WORKDAY(B448,5)</f>
        <v>46227</v>
      </c>
      <c r="U448" t="b">
        <f>C448&gt;T448</f>
        <v>0</v>
      </c>
    </row>
    <row r="449" spans="1:21" x14ac:dyDescent="0.25">
      <c r="A449" t="s">
        <v>499</v>
      </c>
      <c r="B449" s="1">
        <v>46220</v>
      </c>
      <c r="C449" s="1">
        <v>46224</v>
      </c>
      <c r="D449" t="s">
        <v>416</v>
      </c>
      <c r="E449" t="s">
        <v>61</v>
      </c>
      <c r="F449" t="s">
        <v>62</v>
      </c>
      <c r="G449" t="s">
        <v>106</v>
      </c>
      <c r="H449" t="s">
        <v>123</v>
      </c>
      <c r="I449" s="2">
        <v>15</v>
      </c>
      <c r="J449" s="3">
        <v>39.9</v>
      </c>
      <c r="K449" s="4">
        <v>0.22</v>
      </c>
      <c r="L449" s="3">
        <v>466.83</v>
      </c>
      <c r="M449" t="b">
        <v>1</v>
      </c>
      <c r="N449" s="2">
        <f>YEAR(B449)</f>
        <v>2026</v>
      </c>
      <c r="O449" t="str">
        <f>INDEX(Agences!$C:$C,MATCH(F449,Agences!$A:$A,0))</f>
        <v>Méditerranée</v>
      </c>
      <c r="P449" t="str">
        <f>INDEX(Produits!$C:$C,MATCH(H449,Produits!$A:$A,0))</f>
        <v>Fournitures</v>
      </c>
      <c r="Q449" s="3">
        <f>I449*INDEX(Produits!$E:$E,MATCH(H449,Produits!$A:$A,0))</f>
        <v>335.1</v>
      </c>
      <c r="R449" s="3">
        <f>L449-Q449</f>
        <v>131.72999999999996</v>
      </c>
      <c r="S449" s="2">
        <f>NETWORKDAYS(B449,C449)-1</f>
        <v>2</v>
      </c>
      <c r="T449" s="1">
        <f>WORKDAY(B449,5)</f>
        <v>46227</v>
      </c>
      <c r="U449" t="b">
        <f>C449&gt;T449</f>
        <v>0</v>
      </c>
    </row>
    <row r="450" spans="1:21" x14ac:dyDescent="0.25">
      <c r="A450" t="s">
        <v>500</v>
      </c>
      <c r="B450" s="1">
        <v>46219</v>
      </c>
      <c r="C450" s="1">
        <v>46220</v>
      </c>
      <c r="D450" t="s">
        <v>148</v>
      </c>
      <c r="E450" t="s">
        <v>149</v>
      </c>
      <c r="F450" t="s">
        <v>88</v>
      </c>
      <c r="G450" t="s">
        <v>89</v>
      </c>
      <c r="H450" t="s">
        <v>83</v>
      </c>
      <c r="I450" s="2">
        <v>8</v>
      </c>
      <c r="J450" s="3">
        <v>49</v>
      </c>
      <c r="K450" s="4">
        <v>0</v>
      </c>
      <c r="L450" s="3">
        <v>392</v>
      </c>
      <c r="M450" t="b">
        <v>1</v>
      </c>
      <c r="N450" s="2">
        <f>YEAR(B450)</f>
        <v>2026</v>
      </c>
      <c r="O450" t="str">
        <f>INDEX(Agences!$C:$C,MATCH(F450,Agences!$A:$A,0))</f>
        <v>Sud-Ouest</v>
      </c>
      <c r="P450" t="str">
        <f>INDEX(Produits!$C:$C,MATCH(H450,Produits!$A:$A,0))</f>
        <v>Mobilier</v>
      </c>
      <c r="Q450" s="3">
        <f>I450*INDEX(Produits!$E:$E,MATCH(H450,Produits!$A:$A,0))</f>
        <v>227.36</v>
      </c>
      <c r="R450" s="3">
        <f>L450-Q450</f>
        <v>164.64</v>
      </c>
      <c r="S450" s="2">
        <f>NETWORKDAYS(B450,C450)-1</f>
        <v>1</v>
      </c>
      <c r="T450" s="1">
        <f>WORKDAY(B450,5)</f>
        <v>46226</v>
      </c>
      <c r="U450" t="b">
        <f>C450&gt;T450</f>
        <v>0</v>
      </c>
    </row>
    <row r="451" spans="1:21" x14ac:dyDescent="0.25">
      <c r="A451" t="s">
        <v>500</v>
      </c>
      <c r="B451" s="1">
        <v>46219</v>
      </c>
      <c r="C451" s="1">
        <v>46220</v>
      </c>
      <c r="D451" t="s">
        <v>148</v>
      </c>
      <c r="E451" t="s">
        <v>149</v>
      </c>
      <c r="F451" t="s">
        <v>88</v>
      </c>
      <c r="G451" t="s">
        <v>89</v>
      </c>
      <c r="H451" t="s">
        <v>205</v>
      </c>
      <c r="I451" s="2">
        <v>1</v>
      </c>
      <c r="J451" s="3">
        <v>359</v>
      </c>
      <c r="K451" s="4">
        <v>0.05</v>
      </c>
      <c r="L451" s="3">
        <v>341.05</v>
      </c>
      <c r="M451" t="b">
        <v>1</v>
      </c>
      <c r="N451" s="2">
        <f>YEAR(B451)</f>
        <v>2026</v>
      </c>
      <c r="O451" t="str">
        <f>INDEX(Agences!$C:$C,MATCH(F451,Agences!$A:$A,0))</f>
        <v>Sud-Ouest</v>
      </c>
      <c r="P451" t="str">
        <f>INDEX(Produits!$C:$C,MATCH(H451,Produits!$A:$A,0))</f>
        <v>Mobilier</v>
      </c>
      <c r="Q451" s="3">
        <f>I451*INDEX(Produits!$E:$E,MATCH(H451,Produits!$A:$A,0))</f>
        <v>204.63</v>
      </c>
      <c r="R451" s="3">
        <f>L451-Q451</f>
        <v>136.42000000000002</v>
      </c>
      <c r="S451" s="2">
        <f>NETWORKDAYS(B451,C451)-1</f>
        <v>1</v>
      </c>
      <c r="T451" s="1">
        <f>WORKDAY(B451,5)</f>
        <v>46226</v>
      </c>
      <c r="U451" t="b">
        <f>C451&gt;T451</f>
        <v>0</v>
      </c>
    </row>
    <row r="452" spans="1:21" x14ac:dyDescent="0.25">
      <c r="A452" t="s">
        <v>500</v>
      </c>
      <c r="B452" s="1">
        <v>46219</v>
      </c>
      <c r="C452" s="1">
        <v>46220</v>
      </c>
      <c r="D452" t="s">
        <v>148</v>
      </c>
      <c r="E452" t="s">
        <v>149</v>
      </c>
      <c r="F452" t="s">
        <v>88</v>
      </c>
      <c r="G452" t="s">
        <v>89</v>
      </c>
      <c r="H452" t="s">
        <v>103</v>
      </c>
      <c r="I452" s="2">
        <v>2</v>
      </c>
      <c r="J452" s="3">
        <v>245</v>
      </c>
      <c r="K452" s="4">
        <v>0.1</v>
      </c>
      <c r="L452" s="3">
        <v>441</v>
      </c>
      <c r="M452" t="b">
        <v>1</v>
      </c>
      <c r="N452" s="2">
        <f>YEAR(B452)</f>
        <v>2026</v>
      </c>
      <c r="O452" t="str">
        <f>INDEX(Agences!$C:$C,MATCH(F452,Agences!$A:$A,0))</f>
        <v>Sud-Ouest</v>
      </c>
      <c r="P452" t="str">
        <f>INDEX(Produits!$C:$C,MATCH(H452,Produits!$A:$A,0))</f>
        <v>Mobilier</v>
      </c>
      <c r="Q452" s="3">
        <f>I452*INDEX(Produits!$E:$E,MATCH(H452,Produits!$A:$A,0))</f>
        <v>328.3</v>
      </c>
      <c r="R452" s="3">
        <f>L452-Q452</f>
        <v>112.69999999999999</v>
      </c>
      <c r="S452" s="2">
        <f>NETWORKDAYS(B452,C452)-1</f>
        <v>1</v>
      </c>
      <c r="T452" s="1">
        <f>WORKDAY(B452,5)</f>
        <v>46226</v>
      </c>
      <c r="U452" t="b">
        <f>C452&gt;T452</f>
        <v>0</v>
      </c>
    </row>
    <row r="453" spans="1:21" x14ac:dyDescent="0.25">
      <c r="A453" t="s">
        <v>501</v>
      </c>
      <c r="B453" s="1">
        <v>46218</v>
      </c>
      <c r="C453" s="1">
        <v>46227</v>
      </c>
      <c r="D453" t="s">
        <v>502</v>
      </c>
      <c r="E453" t="s">
        <v>229</v>
      </c>
      <c r="F453" t="s">
        <v>55</v>
      </c>
      <c r="G453" t="s">
        <v>71</v>
      </c>
      <c r="H453" t="s">
        <v>162</v>
      </c>
      <c r="I453" s="2">
        <v>1</v>
      </c>
      <c r="J453" s="3">
        <v>289</v>
      </c>
      <c r="K453" s="4">
        <v>0</v>
      </c>
      <c r="L453" s="3">
        <v>289</v>
      </c>
      <c r="M453" t="b">
        <v>1</v>
      </c>
      <c r="N453" s="2">
        <f>YEAR(B453)</f>
        <v>2026</v>
      </c>
      <c r="O453" t="str">
        <f>INDEX(Agences!$C:$C,MATCH(F453,Agences!$A:$A,0))</f>
        <v>Est</v>
      </c>
      <c r="P453" t="str">
        <f>INDEX(Produits!$C:$C,MATCH(H453,Produits!$A:$A,0))</f>
        <v>Mobilier</v>
      </c>
      <c r="Q453" s="3">
        <f>I453*INDEX(Produits!$E:$E,MATCH(H453,Produits!$A:$A,0))</f>
        <v>193.63</v>
      </c>
      <c r="R453" s="3">
        <f>L453-Q453</f>
        <v>95.37</v>
      </c>
      <c r="S453" s="2">
        <f>NETWORKDAYS(B453,C453)-1</f>
        <v>7</v>
      </c>
      <c r="T453" s="1">
        <f>WORKDAY(B453,5)</f>
        <v>46225</v>
      </c>
      <c r="U453" t="b">
        <f>C453&gt;T453</f>
        <v>1</v>
      </c>
    </row>
    <row r="454" spans="1:21" x14ac:dyDescent="0.25">
      <c r="A454" t="s">
        <v>501</v>
      </c>
      <c r="B454" s="1">
        <v>46218</v>
      </c>
      <c r="C454" s="1">
        <v>46227</v>
      </c>
      <c r="D454" t="s">
        <v>502</v>
      </c>
      <c r="E454" t="s">
        <v>229</v>
      </c>
      <c r="F454" t="s">
        <v>55</v>
      </c>
      <c r="G454" t="s">
        <v>71</v>
      </c>
      <c r="H454" t="s">
        <v>196</v>
      </c>
      <c r="I454" s="2">
        <v>5</v>
      </c>
      <c r="J454" s="3">
        <v>18.5</v>
      </c>
      <c r="K454" s="4">
        <v>0.08</v>
      </c>
      <c r="L454" s="3">
        <v>85.1</v>
      </c>
      <c r="M454" t="b">
        <v>1</v>
      </c>
      <c r="N454" s="2">
        <f>YEAR(B454)</f>
        <v>2026</v>
      </c>
      <c r="O454" t="str">
        <f>INDEX(Agences!$C:$C,MATCH(F454,Agences!$A:$A,0))</f>
        <v>Est</v>
      </c>
      <c r="P454" t="str">
        <f>INDEX(Produits!$C:$C,MATCH(H454,Produits!$A:$A,0))</f>
        <v>Fournitures</v>
      </c>
      <c r="Q454" s="3">
        <f>I454*INDEX(Produits!$E:$E,MATCH(H454,Produits!$A:$A,0))</f>
        <v>47.199999999999996</v>
      </c>
      <c r="R454" s="3">
        <f>L454-Q454</f>
        <v>37.9</v>
      </c>
      <c r="S454" s="2">
        <f>NETWORKDAYS(B454,C454)-1</f>
        <v>7</v>
      </c>
      <c r="T454" s="1">
        <f>WORKDAY(B454,5)</f>
        <v>46225</v>
      </c>
      <c r="U454" t="b">
        <f>C454&gt;T454</f>
        <v>1</v>
      </c>
    </row>
    <row r="455" spans="1:21" x14ac:dyDescent="0.25">
      <c r="A455" t="s">
        <v>501</v>
      </c>
      <c r="B455" s="1">
        <v>46218</v>
      </c>
      <c r="C455" s="1">
        <v>46227</v>
      </c>
      <c r="D455" t="s">
        <v>502</v>
      </c>
      <c r="E455" t="s">
        <v>229</v>
      </c>
      <c r="F455" t="s">
        <v>55</v>
      </c>
      <c r="G455" t="s">
        <v>71</v>
      </c>
      <c r="H455" t="s">
        <v>107</v>
      </c>
      <c r="I455" s="2">
        <v>1</v>
      </c>
      <c r="J455" s="3">
        <v>99</v>
      </c>
      <c r="K455" s="4">
        <v>0.05</v>
      </c>
      <c r="L455" s="3">
        <v>94.05</v>
      </c>
      <c r="M455" t="b">
        <v>1</v>
      </c>
      <c r="N455" s="2">
        <f>YEAR(B455)</f>
        <v>2026</v>
      </c>
      <c r="O455" t="str">
        <f>INDEX(Agences!$C:$C,MATCH(F455,Agences!$A:$A,0))</f>
        <v>Est</v>
      </c>
      <c r="P455" t="str">
        <f>INDEX(Produits!$C:$C,MATCH(H455,Produits!$A:$A,0))</f>
        <v>Informatique</v>
      </c>
      <c r="Q455" s="3">
        <f>I455*INDEX(Produits!$E:$E,MATCH(H455,Produits!$A:$A,0))</f>
        <v>75.24</v>
      </c>
      <c r="R455" s="3">
        <f>L455-Q455</f>
        <v>18.810000000000002</v>
      </c>
      <c r="S455" s="2">
        <f>NETWORKDAYS(B455,C455)-1</f>
        <v>7</v>
      </c>
      <c r="T455" s="1">
        <f>WORKDAY(B455,5)</f>
        <v>46225</v>
      </c>
      <c r="U455" t="b">
        <f>C455&gt;T455</f>
        <v>1</v>
      </c>
    </row>
    <row r="456" spans="1:21" x14ac:dyDescent="0.25">
      <c r="A456" t="s">
        <v>503</v>
      </c>
      <c r="B456" s="1">
        <v>46217</v>
      </c>
      <c r="C456" s="1">
        <v>46219</v>
      </c>
      <c r="D456" t="s">
        <v>504</v>
      </c>
      <c r="E456" t="s">
        <v>115</v>
      </c>
      <c r="F456" t="s">
        <v>24</v>
      </c>
      <c r="G456" t="s">
        <v>116</v>
      </c>
      <c r="H456" t="s">
        <v>42</v>
      </c>
      <c r="I456" s="2">
        <v>1</v>
      </c>
      <c r="J456" s="3">
        <v>55</v>
      </c>
      <c r="K456" s="4">
        <v>0.08</v>
      </c>
      <c r="L456" s="3">
        <v>50.6</v>
      </c>
      <c r="M456" t="b">
        <v>1</v>
      </c>
      <c r="N456" s="2">
        <f>YEAR(B456)</f>
        <v>2026</v>
      </c>
      <c r="O456" t="str">
        <f>INDEX(Agences!$C:$C,MATCH(F456,Agences!$A:$A,0))</f>
        <v>Nord</v>
      </c>
      <c r="P456" t="str">
        <f>INDEX(Produits!$C:$C,MATCH(H456,Produits!$A:$A,0))</f>
        <v>Maintenance</v>
      </c>
      <c r="Q456" s="3">
        <f>I456*INDEX(Produits!$E:$E,MATCH(H456,Produits!$A:$A,0))</f>
        <v>24.75</v>
      </c>
      <c r="R456" s="3">
        <f>L456-Q456</f>
        <v>25.85</v>
      </c>
      <c r="S456" s="2">
        <f>NETWORKDAYS(B456,C456)-1</f>
        <v>2</v>
      </c>
      <c r="T456" s="1">
        <f>WORKDAY(B456,5)</f>
        <v>46224</v>
      </c>
      <c r="U456" t="b">
        <f>C456&gt;T456</f>
        <v>0</v>
      </c>
    </row>
    <row r="457" spans="1:21" x14ac:dyDescent="0.25">
      <c r="A457" t="s">
        <v>503</v>
      </c>
      <c r="B457" s="1">
        <v>46217</v>
      </c>
      <c r="C457" s="1">
        <v>46219</v>
      </c>
      <c r="D457" t="s">
        <v>504</v>
      </c>
      <c r="E457" t="s">
        <v>115</v>
      </c>
      <c r="F457" t="s">
        <v>24</v>
      </c>
      <c r="G457" t="s">
        <v>116</v>
      </c>
      <c r="H457" t="s">
        <v>217</v>
      </c>
      <c r="I457" s="2">
        <v>2</v>
      </c>
      <c r="J457" s="3">
        <v>1090</v>
      </c>
      <c r="K457" s="4">
        <v>0.05</v>
      </c>
      <c r="L457" s="3">
        <v>2071</v>
      </c>
      <c r="M457" t="b">
        <v>1</v>
      </c>
      <c r="N457" s="2">
        <f>YEAR(B457)</f>
        <v>2026</v>
      </c>
      <c r="O457" t="str">
        <f>INDEX(Agences!$C:$C,MATCH(F457,Agences!$A:$A,0))</f>
        <v>Nord</v>
      </c>
      <c r="P457" t="str">
        <f>INDEX(Produits!$C:$C,MATCH(H457,Produits!$A:$A,0))</f>
        <v>Informatique</v>
      </c>
      <c r="Q457" s="3">
        <f>I457*INDEX(Produits!$E:$E,MATCH(H457,Produits!$A:$A,0))</f>
        <v>1635</v>
      </c>
      <c r="R457" s="3">
        <f>L457-Q457</f>
        <v>436</v>
      </c>
      <c r="S457" s="2">
        <f>NETWORKDAYS(B457,C457)-1</f>
        <v>2</v>
      </c>
      <c r="T457" s="1">
        <f>WORKDAY(B457,5)</f>
        <v>46224</v>
      </c>
      <c r="U457" t="b">
        <f>C457&gt;T457</f>
        <v>0</v>
      </c>
    </row>
    <row r="458" spans="1:21" x14ac:dyDescent="0.25">
      <c r="A458" t="s">
        <v>505</v>
      </c>
      <c r="B458" s="1">
        <v>46217</v>
      </c>
      <c r="C458" s="1">
        <v>46220</v>
      </c>
      <c r="D458" t="s">
        <v>442</v>
      </c>
      <c r="E458" t="s">
        <v>251</v>
      </c>
      <c r="F458" t="s">
        <v>166</v>
      </c>
      <c r="G458" t="s">
        <v>167</v>
      </c>
      <c r="H458" t="s">
        <v>42</v>
      </c>
      <c r="I458" s="2">
        <v>2</v>
      </c>
      <c r="J458" s="3">
        <v>55</v>
      </c>
      <c r="K458" s="4">
        <v>0.05</v>
      </c>
      <c r="L458" s="3">
        <v>104.5</v>
      </c>
      <c r="M458" t="b">
        <v>1</v>
      </c>
      <c r="N458" s="2">
        <f>YEAR(B458)</f>
        <v>2026</v>
      </c>
      <c r="O458" t="str">
        <f>INDEX(Agences!$C:$C,MATCH(F458,Agences!$A:$A,0))</f>
        <v>Ouest</v>
      </c>
      <c r="P458" t="str">
        <f>INDEX(Produits!$C:$C,MATCH(H458,Produits!$A:$A,0))</f>
        <v>Maintenance</v>
      </c>
      <c r="Q458" s="3">
        <f>I458*INDEX(Produits!$E:$E,MATCH(H458,Produits!$A:$A,0))</f>
        <v>49.5</v>
      </c>
      <c r="R458" s="3">
        <f>L458-Q458</f>
        <v>55</v>
      </c>
      <c r="S458" s="2">
        <f>NETWORKDAYS(B458,C458)-1</f>
        <v>3</v>
      </c>
      <c r="T458" s="1">
        <f>WORKDAY(B458,5)</f>
        <v>46224</v>
      </c>
      <c r="U458" t="b">
        <f>C458&gt;T458</f>
        <v>0</v>
      </c>
    </row>
    <row r="459" spans="1:21" x14ac:dyDescent="0.25">
      <c r="A459" t="s">
        <v>505</v>
      </c>
      <c r="B459" s="1">
        <v>46217</v>
      </c>
      <c r="C459" s="1">
        <v>46220</v>
      </c>
      <c r="D459" t="s">
        <v>442</v>
      </c>
      <c r="E459" t="s">
        <v>251</v>
      </c>
      <c r="F459" t="s">
        <v>166</v>
      </c>
      <c r="G459" t="s">
        <v>167</v>
      </c>
      <c r="H459" t="s">
        <v>57</v>
      </c>
      <c r="I459" s="2">
        <v>1</v>
      </c>
      <c r="J459" s="3">
        <v>149</v>
      </c>
      <c r="K459" s="4">
        <v>0.05</v>
      </c>
      <c r="L459" s="3">
        <v>141.55</v>
      </c>
      <c r="M459" t="b">
        <v>1</v>
      </c>
      <c r="N459" s="2">
        <f>YEAR(B459)</f>
        <v>2026</v>
      </c>
      <c r="O459" t="str">
        <f>INDEX(Agences!$C:$C,MATCH(F459,Agences!$A:$A,0))</f>
        <v>Ouest</v>
      </c>
      <c r="P459" t="str">
        <f>INDEX(Produits!$C:$C,MATCH(H459,Produits!$A:$A,0))</f>
        <v>Informatique</v>
      </c>
      <c r="Q459" s="3">
        <f>I459*INDEX(Produits!$E:$E,MATCH(H459,Produits!$A:$A,0))</f>
        <v>114.73</v>
      </c>
      <c r="R459" s="3">
        <f>L459-Q459</f>
        <v>26.820000000000007</v>
      </c>
      <c r="S459" s="2">
        <f>NETWORKDAYS(B459,C459)-1</f>
        <v>3</v>
      </c>
      <c r="T459" s="1">
        <f>WORKDAY(B459,5)</f>
        <v>46224</v>
      </c>
      <c r="U459" t="b">
        <f>C459&gt;T459</f>
        <v>0</v>
      </c>
    </row>
    <row r="460" spans="1:21" x14ac:dyDescent="0.25">
      <c r="A460" t="s">
        <v>505</v>
      </c>
      <c r="B460" s="1">
        <v>46217</v>
      </c>
      <c r="C460" s="1">
        <v>46220</v>
      </c>
      <c r="D460" t="s">
        <v>442</v>
      </c>
      <c r="E460" t="s">
        <v>251</v>
      </c>
      <c r="F460" t="s">
        <v>166</v>
      </c>
      <c r="G460" t="s">
        <v>167</v>
      </c>
      <c r="H460" t="s">
        <v>233</v>
      </c>
      <c r="I460" s="2">
        <v>5</v>
      </c>
      <c r="J460" s="3">
        <v>27.5</v>
      </c>
      <c r="K460" s="4">
        <v>0</v>
      </c>
      <c r="L460" s="3">
        <v>137.5</v>
      </c>
      <c r="M460" t="b">
        <v>1</v>
      </c>
      <c r="N460" s="2">
        <f>YEAR(B460)</f>
        <v>2026</v>
      </c>
      <c r="O460" t="str">
        <f>INDEX(Agences!$C:$C,MATCH(F460,Agences!$A:$A,0))</f>
        <v>Ouest</v>
      </c>
      <c r="P460" t="str">
        <f>INDEX(Produits!$C:$C,MATCH(H460,Produits!$A:$A,0))</f>
        <v>Fournitures</v>
      </c>
      <c r="Q460" s="3">
        <f>I460*INDEX(Produits!$E:$E,MATCH(H460,Produits!$A:$A,0))</f>
        <v>77</v>
      </c>
      <c r="R460" s="3">
        <f>L460-Q460</f>
        <v>60.5</v>
      </c>
      <c r="S460" s="2">
        <f>NETWORKDAYS(B460,C460)-1</f>
        <v>3</v>
      </c>
      <c r="T460" s="1">
        <f>WORKDAY(B460,5)</f>
        <v>46224</v>
      </c>
      <c r="U460" t="b">
        <f>C460&gt;T460</f>
        <v>0</v>
      </c>
    </row>
    <row r="461" spans="1:21" x14ac:dyDescent="0.25">
      <c r="A461" t="s">
        <v>505</v>
      </c>
      <c r="B461" s="1">
        <v>46217</v>
      </c>
      <c r="C461" s="1">
        <v>46220</v>
      </c>
      <c r="D461" t="s">
        <v>442</v>
      </c>
      <c r="E461" t="s">
        <v>251</v>
      </c>
      <c r="F461" t="s">
        <v>166</v>
      </c>
      <c r="G461" t="s">
        <v>167</v>
      </c>
      <c r="H461" t="s">
        <v>58</v>
      </c>
      <c r="I461" s="2">
        <v>2</v>
      </c>
      <c r="J461" s="3">
        <v>649</v>
      </c>
      <c r="K461" s="4">
        <v>0.02</v>
      </c>
      <c r="L461" s="3">
        <v>1272.04</v>
      </c>
      <c r="M461" t="b">
        <v>1</v>
      </c>
      <c r="N461" s="2">
        <f>YEAR(B461)</f>
        <v>2026</v>
      </c>
      <c r="O461" t="str">
        <f>INDEX(Agences!$C:$C,MATCH(F461,Agences!$A:$A,0))</f>
        <v>Ouest</v>
      </c>
      <c r="P461" t="str">
        <f>INDEX(Produits!$C:$C,MATCH(H461,Produits!$A:$A,0))</f>
        <v>Mobilier</v>
      </c>
      <c r="Q461" s="3">
        <f>I461*INDEX(Produits!$E:$E,MATCH(H461,Produits!$A:$A,0))</f>
        <v>817.74</v>
      </c>
      <c r="R461" s="3">
        <f>L461-Q461</f>
        <v>454.29999999999995</v>
      </c>
      <c r="S461" s="2">
        <f>NETWORKDAYS(B461,C461)-1</f>
        <v>3</v>
      </c>
      <c r="T461" s="1">
        <f>WORKDAY(B461,5)</f>
        <v>46224</v>
      </c>
      <c r="U461" t="b">
        <f>C461&gt;T461</f>
        <v>0</v>
      </c>
    </row>
    <row r="462" spans="1:21" x14ac:dyDescent="0.25">
      <c r="A462" t="s">
        <v>505</v>
      </c>
      <c r="B462" s="1">
        <v>46217</v>
      </c>
      <c r="C462" s="1">
        <v>46220</v>
      </c>
      <c r="D462" t="s">
        <v>442</v>
      </c>
      <c r="E462" t="s">
        <v>251</v>
      </c>
      <c r="F462" t="s">
        <v>166</v>
      </c>
      <c r="G462" t="s">
        <v>167</v>
      </c>
      <c r="H462" t="s">
        <v>34</v>
      </c>
      <c r="I462" s="2">
        <v>1</v>
      </c>
      <c r="J462" s="3">
        <v>340</v>
      </c>
      <c r="K462" s="4">
        <v>0</v>
      </c>
      <c r="L462" s="3">
        <v>340</v>
      </c>
      <c r="M462" t="b">
        <v>1</v>
      </c>
      <c r="N462" s="2">
        <f>YEAR(B462)</f>
        <v>2026</v>
      </c>
      <c r="O462" t="str">
        <f>INDEX(Agences!$C:$C,MATCH(F462,Agences!$A:$A,0))</f>
        <v>Ouest</v>
      </c>
      <c r="P462" t="str">
        <f>INDEX(Produits!$C:$C,MATCH(H462,Produits!$A:$A,0))</f>
        <v>Informatique</v>
      </c>
      <c r="Q462" s="3">
        <f>I462*INDEX(Produits!$E:$E,MATCH(H462,Produits!$A:$A,0))</f>
        <v>275.4</v>
      </c>
      <c r="R462" s="3">
        <f>L462-Q462</f>
        <v>64.60000000000002</v>
      </c>
      <c r="S462" s="2">
        <f>NETWORKDAYS(B462,C462)-1</f>
        <v>3</v>
      </c>
      <c r="T462" s="1">
        <f>WORKDAY(B462,5)</f>
        <v>46224</v>
      </c>
      <c r="U462" t="b">
        <f>C462&gt;T462</f>
        <v>0</v>
      </c>
    </row>
    <row r="463" spans="1:21" x14ac:dyDescent="0.25">
      <c r="A463" t="s">
        <v>506</v>
      </c>
      <c r="B463" s="1">
        <v>46217</v>
      </c>
      <c r="C463" s="1">
        <v>46218</v>
      </c>
      <c r="D463" t="s">
        <v>507</v>
      </c>
      <c r="E463" t="s">
        <v>157</v>
      </c>
      <c r="F463" t="s">
        <v>46</v>
      </c>
      <c r="G463" t="s">
        <v>47</v>
      </c>
      <c r="H463" t="s">
        <v>49</v>
      </c>
      <c r="I463" s="2">
        <v>1</v>
      </c>
      <c r="J463" s="3">
        <v>120</v>
      </c>
      <c r="K463" s="4">
        <v>0.08</v>
      </c>
      <c r="L463" s="3">
        <v>110.4</v>
      </c>
      <c r="M463" t="b">
        <v>1</v>
      </c>
      <c r="N463" s="2">
        <f>YEAR(B463)</f>
        <v>2026</v>
      </c>
      <c r="O463" t="str">
        <f>INDEX(Agences!$C:$C,MATCH(F463,Agences!$A:$A,0))</f>
        <v>Est</v>
      </c>
      <c r="P463" t="str">
        <f>INDEX(Produits!$C:$C,MATCH(H463,Produits!$A:$A,0))</f>
        <v>Maintenance</v>
      </c>
      <c r="Q463" s="3">
        <f>I463*INDEX(Produits!$E:$E,MATCH(H463,Produits!$A:$A,0))</f>
        <v>55.2</v>
      </c>
      <c r="R463" s="3">
        <f>L463-Q463</f>
        <v>55.2</v>
      </c>
      <c r="S463" s="2">
        <f>NETWORKDAYS(B463,C463)-1</f>
        <v>1</v>
      </c>
      <c r="T463" s="1">
        <f>WORKDAY(B463,5)</f>
        <v>46224</v>
      </c>
      <c r="U463" t="b">
        <f>C463&gt;T463</f>
        <v>0</v>
      </c>
    </row>
    <row r="464" spans="1:21" x14ac:dyDescent="0.25">
      <c r="A464" t="s">
        <v>506</v>
      </c>
      <c r="B464" s="1">
        <v>46217</v>
      </c>
      <c r="C464" s="1">
        <v>46218</v>
      </c>
      <c r="D464" t="s">
        <v>507</v>
      </c>
      <c r="E464" t="s">
        <v>157</v>
      </c>
      <c r="F464" t="s">
        <v>46</v>
      </c>
      <c r="G464" t="s">
        <v>47</v>
      </c>
      <c r="H464" t="s">
        <v>83</v>
      </c>
      <c r="I464" s="2">
        <v>1</v>
      </c>
      <c r="J464" s="3">
        <v>49</v>
      </c>
      <c r="K464" s="4">
        <v>0</v>
      </c>
      <c r="L464" s="3">
        <v>49</v>
      </c>
      <c r="M464" t="b">
        <v>1</v>
      </c>
      <c r="N464" s="2">
        <f>YEAR(B464)</f>
        <v>2026</v>
      </c>
      <c r="O464" t="str">
        <f>INDEX(Agences!$C:$C,MATCH(F464,Agences!$A:$A,0))</f>
        <v>Est</v>
      </c>
      <c r="P464" t="str">
        <f>INDEX(Produits!$C:$C,MATCH(H464,Produits!$A:$A,0))</f>
        <v>Mobilier</v>
      </c>
      <c r="Q464" s="3">
        <f>I464*INDEX(Produits!$E:$E,MATCH(H464,Produits!$A:$A,0))</f>
        <v>28.42</v>
      </c>
      <c r="R464" s="3">
        <f>L464-Q464</f>
        <v>20.58</v>
      </c>
      <c r="S464" s="2">
        <f>NETWORKDAYS(B464,C464)-1</f>
        <v>1</v>
      </c>
      <c r="T464" s="1">
        <f>WORKDAY(B464,5)</f>
        <v>46224</v>
      </c>
      <c r="U464" t="b">
        <f>C464&gt;T464</f>
        <v>0</v>
      </c>
    </row>
    <row r="465" spans="1:21" x14ac:dyDescent="0.25">
      <c r="A465" t="s">
        <v>508</v>
      </c>
      <c r="B465" s="1">
        <v>46216</v>
      </c>
      <c r="C465" s="1">
        <v>46217</v>
      </c>
      <c r="D465" t="s">
        <v>509</v>
      </c>
      <c r="E465" t="s">
        <v>333</v>
      </c>
      <c r="F465" t="s">
        <v>138</v>
      </c>
      <c r="G465" t="s">
        <v>139</v>
      </c>
      <c r="H465" t="s">
        <v>51</v>
      </c>
      <c r="I465" s="2">
        <v>1</v>
      </c>
      <c r="J465" s="3">
        <v>180</v>
      </c>
      <c r="K465" s="4">
        <v>0</v>
      </c>
      <c r="L465" s="3">
        <v>180</v>
      </c>
      <c r="M465" t="b">
        <v>1</v>
      </c>
      <c r="N465" s="2">
        <f>YEAR(B465)</f>
        <v>2026</v>
      </c>
      <c r="O465" t="str">
        <f>INDEX(Agences!$C:$C,MATCH(F465,Agences!$A:$A,0))</f>
        <v>Île-de-France</v>
      </c>
      <c r="P465" t="str">
        <f>INDEX(Produits!$C:$C,MATCH(H465,Produits!$A:$A,0))</f>
        <v>Maintenance</v>
      </c>
      <c r="Q465" s="3">
        <f>I465*INDEX(Produits!$E:$E,MATCH(H465,Produits!$A:$A,0))</f>
        <v>82.8</v>
      </c>
      <c r="R465" s="3">
        <f>L465-Q465</f>
        <v>97.2</v>
      </c>
      <c r="S465" s="2">
        <f>NETWORKDAYS(B465,C465)-1</f>
        <v>1</v>
      </c>
      <c r="T465" s="1">
        <f>WORKDAY(B465,5)</f>
        <v>46223</v>
      </c>
      <c r="U465" t="b">
        <f>C465&gt;T465</f>
        <v>0</v>
      </c>
    </row>
    <row r="466" spans="1:21" x14ac:dyDescent="0.25">
      <c r="A466" t="s">
        <v>508</v>
      </c>
      <c r="B466" s="1">
        <v>46216</v>
      </c>
      <c r="C466" s="1">
        <v>46217</v>
      </c>
      <c r="D466" t="s">
        <v>509</v>
      </c>
      <c r="E466" t="s">
        <v>333</v>
      </c>
      <c r="F466" t="s">
        <v>138</v>
      </c>
      <c r="G466" t="s">
        <v>139</v>
      </c>
      <c r="H466" t="s">
        <v>49</v>
      </c>
      <c r="I466" s="2">
        <v>2</v>
      </c>
      <c r="J466" s="3">
        <v>120</v>
      </c>
      <c r="K466" s="4">
        <v>0</v>
      </c>
      <c r="L466" s="3">
        <v>240</v>
      </c>
      <c r="M466" t="b">
        <v>1</v>
      </c>
      <c r="N466" s="2">
        <f>YEAR(B466)</f>
        <v>2026</v>
      </c>
      <c r="O466" t="str">
        <f>INDEX(Agences!$C:$C,MATCH(F466,Agences!$A:$A,0))</f>
        <v>Île-de-France</v>
      </c>
      <c r="P466" t="str">
        <f>INDEX(Produits!$C:$C,MATCH(H466,Produits!$A:$A,0))</f>
        <v>Maintenance</v>
      </c>
      <c r="Q466" s="3">
        <f>I466*INDEX(Produits!$E:$E,MATCH(H466,Produits!$A:$A,0))</f>
        <v>110.4</v>
      </c>
      <c r="R466" s="3">
        <f>L466-Q466</f>
        <v>129.6</v>
      </c>
      <c r="S466" s="2">
        <f>NETWORKDAYS(B466,C466)-1</f>
        <v>1</v>
      </c>
      <c r="T466" s="1">
        <f>WORKDAY(B466,5)</f>
        <v>46223</v>
      </c>
      <c r="U466" t="b">
        <f>C466&gt;T466</f>
        <v>0</v>
      </c>
    </row>
    <row r="467" spans="1:21" x14ac:dyDescent="0.25">
      <c r="A467" t="s">
        <v>508</v>
      </c>
      <c r="B467" s="1">
        <v>46216</v>
      </c>
      <c r="C467" s="1">
        <v>46217</v>
      </c>
      <c r="D467" t="s">
        <v>509</v>
      </c>
      <c r="E467" t="s">
        <v>333</v>
      </c>
      <c r="F467" t="s">
        <v>138</v>
      </c>
      <c r="G467" t="s">
        <v>139</v>
      </c>
      <c r="H467" t="s">
        <v>233</v>
      </c>
      <c r="I467" s="2">
        <v>15</v>
      </c>
      <c r="J467" s="3">
        <v>27.5</v>
      </c>
      <c r="K467" s="4">
        <v>0</v>
      </c>
      <c r="L467" s="3">
        <v>412.5</v>
      </c>
      <c r="M467" t="b">
        <v>1</v>
      </c>
      <c r="N467" s="2">
        <f>YEAR(B467)</f>
        <v>2026</v>
      </c>
      <c r="O467" t="str">
        <f>INDEX(Agences!$C:$C,MATCH(F467,Agences!$A:$A,0))</f>
        <v>Île-de-France</v>
      </c>
      <c r="P467" t="str">
        <f>INDEX(Produits!$C:$C,MATCH(H467,Produits!$A:$A,0))</f>
        <v>Fournitures</v>
      </c>
      <c r="Q467" s="3">
        <f>I467*INDEX(Produits!$E:$E,MATCH(H467,Produits!$A:$A,0))</f>
        <v>231</v>
      </c>
      <c r="R467" s="3">
        <f>L467-Q467</f>
        <v>181.5</v>
      </c>
      <c r="S467" s="2">
        <f>NETWORKDAYS(B467,C467)-1</f>
        <v>1</v>
      </c>
      <c r="T467" s="1">
        <f>WORKDAY(B467,5)</f>
        <v>46223</v>
      </c>
      <c r="U467" t="b">
        <f>C467&gt;T467</f>
        <v>0</v>
      </c>
    </row>
    <row r="468" spans="1:21" x14ac:dyDescent="0.25">
      <c r="A468" t="s">
        <v>508</v>
      </c>
      <c r="B468" s="1">
        <v>46216</v>
      </c>
      <c r="C468" s="1">
        <v>46217</v>
      </c>
      <c r="D468" t="s">
        <v>509</v>
      </c>
      <c r="E468" t="s">
        <v>333</v>
      </c>
      <c r="F468" t="s">
        <v>138</v>
      </c>
      <c r="G468" t="s">
        <v>139</v>
      </c>
      <c r="H468" t="s">
        <v>50</v>
      </c>
      <c r="I468" s="2">
        <v>1</v>
      </c>
      <c r="J468" s="3">
        <v>69</v>
      </c>
      <c r="K468" s="4">
        <v>0</v>
      </c>
      <c r="L468" s="3">
        <v>69</v>
      </c>
      <c r="M468" t="b">
        <v>1</v>
      </c>
      <c r="N468" s="2">
        <f>YEAR(B468)</f>
        <v>2026</v>
      </c>
      <c r="O468" t="str">
        <f>INDEX(Agences!$C:$C,MATCH(F468,Agences!$A:$A,0))</f>
        <v>Île-de-France</v>
      </c>
      <c r="P468" t="str">
        <f>INDEX(Produits!$C:$C,MATCH(H468,Produits!$A:$A,0))</f>
        <v>Informatique</v>
      </c>
      <c r="Q468" s="3">
        <f>I468*INDEX(Produits!$E:$E,MATCH(H468,Produits!$A:$A,0))</f>
        <v>54.51</v>
      </c>
      <c r="R468" s="3">
        <f>L468-Q468</f>
        <v>14.490000000000002</v>
      </c>
      <c r="S468" s="2">
        <f>NETWORKDAYS(B468,C468)-1</f>
        <v>1</v>
      </c>
      <c r="T468" s="1">
        <f>WORKDAY(B468,5)</f>
        <v>46223</v>
      </c>
      <c r="U468" t="b">
        <f>C468&gt;T468</f>
        <v>0</v>
      </c>
    </row>
    <row r="469" spans="1:21" x14ac:dyDescent="0.25">
      <c r="A469" t="s">
        <v>508</v>
      </c>
      <c r="B469" s="1">
        <v>46216</v>
      </c>
      <c r="C469" s="1">
        <v>46217</v>
      </c>
      <c r="D469" t="s">
        <v>509</v>
      </c>
      <c r="E469" t="s">
        <v>333</v>
      </c>
      <c r="F469" t="s">
        <v>138</v>
      </c>
      <c r="G469" t="s">
        <v>139</v>
      </c>
      <c r="H469" t="s">
        <v>72</v>
      </c>
      <c r="I469" s="2">
        <v>1</v>
      </c>
      <c r="J469" s="3">
        <v>179</v>
      </c>
      <c r="K469" s="4">
        <v>0.05</v>
      </c>
      <c r="L469" s="3">
        <v>170.05</v>
      </c>
      <c r="M469" t="b">
        <v>1</v>
      </c>
      <c r="N469" s="2">
        <f>YEAR(B469)</f>
        <v>2026</v>
      </c>
      <c r="O469" t="str">
        <f>INDEX(Agences!$C:$C,MATCH(F469,Agences!$A:$A,0))</f>
        <v>Île-de-France</v>
      </c>
      <c r="P469" t="str">
        <f>INDEX(Produits!$C:$C,MATCH(H469,Produits!$A:$A,0))</f>
        <v>Informatique</v>
      </c>
      <c r="Q469" s="3">
        <f>I469*INDEX(Produits!$E:$E,MATCH(H469,Produits!$A:$A,0))</f>
        <v>146.78</v>
      </c>
      <c r="R469" s="3">
        <f>L469-Q469</f>
        <v>23.27000000000001</v>
      </c>
      <c r="S469" s="2">
        <f>NETWORKDAYS(B469,C469)-1</f>
        <v>1</v>
      </c>
      <c r="T469" s="1">
        <f>WORKDAY(B469,5)</f>
        <v>46223</v>
      </c>
      <c r="U469" t="b">
        <f>C469&gt;T469</f>
        <v>0</v>
      </c>
    </row>
    <row r="470" spans="1:21" x14ac:dyDescent="0.25">
      <c r="A470" t="s">
        <v>510</v>
      </c>
      <c r="B470" s="1">
        <v>46216</v>
      </c>
      <c r="C470" s="1">
        <v>46223</v>
      </c>
      <c r="D470" t="s">
        <v>511</v>
      </c>
      <c r="E470" t="s">
        <v>242</v>
      </c>
      <c r="F470" t="s">
        <v>94</v>
      </c>
      <c r="G470" t="s">
        <v>95</v>
      </c>
      <c r="H470" t="s">
        <v>35</v>
      </c>
      <c r="I470" s="2">
        <v>6</v>
      </c>
      <c r="J470" s="3">
        <v>79</v>
      </c>
      <c r="K470" s="4">
        <v>0</v>
      </c>
      <c r="L470" s="3">
        <v>474</v>
      </c>
      <c r="M470" t="b">
        <v>1</v>
      </c>
      <c r="N470" s="2">
        <f>YEAR(B470)</f>
        <v>2026</v>
      </c>
      <c r="O470" t="str">
        <f>INDEX(Agences!$C:$C,MATCH(F470,Agences!$A:$A,0))</f>
        <v>Méditerranée</v>
      </c>
      <c r="P470" t="str">
        <f>INDEX(Produits!$C:$C,MATCH(H470,Produits!$A:$A,0))</f>
        <v>Mobilier</v>
      </c>
      <c r="Q470" s="3">
        <f>I470*INDEX(Produits!$E:$E,MATCH(H470,Produits!$A:$A,0))</f>
        <v>279.65999999999997</v>
      </c>
      <c r="R470" s="3">
        <f>L470-Q470</f>
        <v>194.34000000000003</v>
      </c>
      <c r="S470" s="2">
        <f>NETWORKDAYS(B470,C470)-1</f>
        <v>5</v>
      </c>
      <c r="T470" s="1">
        <f>WORKDAY(B470,5)</f>
        <v>46223</v>
      </c>
      <c r="U470" t="b">
        <f>C470&gt;T470</f>
        <v>0</v>
      </c>
    </row>
    <row r="471" spans="1:21" x14ac:dyDescent="0.25">
      <c r="A471" t="s">
        <v>510</v>
      </c>
      <c r="B471" s="1">
        <v>46216</v>
      </c>
      <c r="C471" s="1">
        <v>46223</v>
      </c>
      <c r="D471" t="s">
        <v>511</v>
      </c>
      <c r="E471" t="s">
        <v>242</v>
      </c>
      <c r="F471" t="s">
        <v>94</v>
      </c>
      <c r="G471" t="s">
        <v>95</v>
      </c>
      <c r="H471" t="s">
        <v>57</v>
      </c>
      <c r="I471" s="2">
        <v>1</v>
      </c>
      <c r="J471" s="3">
        <v>149</v>
      </c>
      <c r="K471" s="4">
        <v>0</v>
      </c>
      <c r="L471" s="3">
        <v>149</v>
      </c>
      <c r="M471" t="b">
        <v>1</v>
      </c>
      <c r="N471" s="2">
        <f>YEAR(B471)</f>
        <v>2026</v>
      </c>
      <c r="O471" t="str">
        <f>INDEX(Agences!$C:$C,MATCH(F471,Agences!$A:$A,0))</f>
        <v>Méditerranée</v>
      </c>
      <c r="P471" t="str">
        <f>INDEX(Produits!$C:$C,MATCH(H471,Produits!$A:$A,0))</f>
        <v>Informatique</v>
      </c>
      <c r="Q471" s="3">
        <f>I471*INDEX(Produits!$E:$E,MATCH(H471,Produits!$A:$A,0))</f>
        <v>114.73</v>
      </c>
      <c r="R471" s="3">
        <f>L471-Q471</f>
        <v>34.269999999999996</v>
      </c>
      <c r="S471" s="2">
        <f>NETWORKDAYS(B471,C471)-1</f>
        <v>5</v>
      </c>
      <c r="T471" s="1">
        <f>WORKDAY(B471,5)</f>
        <v>46223</v>
      </c>
      <c r="U471" t="b">
        <f>C471&gt;T471</f>
        <v>0</v>
      </c>
    </row>
    <row r="472" spans="1:21" x14ac:dyDescent="0.25">
      <c r="A472" t="s">
        <v>510</v>
      </c>
      <c r="B472" s="1">
        <v>46216</v>
      </c>
      <c r="C472" s="1">
        <v>46223</v>
      </c>
      <c r="D472" t="s">
        <v>511</v>
      </c>
      <c r="E472" t="s">
        <v>242</v>
      </c>
      <c r="F472" t="s">
        <v>94</v>
      </c>
      <c r="G472" t="s">
        <v>95</v>
      </c>
      <c r="H472" t="s">
        <v>42</v>
      </c>
      <c r="I472" s="2">
        <v>1</v>
      </c>
      <c r="J472" s="3">
        <v>55</v>
      </c>
      <c r="K472" s="4">
        <v>0.02</v>
      </c>
      <c r="L472" s="3">
        <v>53.9</v>
      </c>
      <c r="M472" t="b">
        <v>1</v>
      </c>
      <c r="N472" s="2">
        <f>YEAR(B472)</f>
        <v>2026</v>
      </c>
      <c r="O472" t="str">
        <f>INDEX(Agences!$C:$C,MATCH(F472,Agences!$A:$A,0))</f>
        <v>Méditerranée</v>
      </c>
      <c r="P472" t="str">
        <f>INDEX(Produits!$C:$C,MATCH(H472,Produits!$A:$A,0))</f>
        <v>Maintenance</v>
      </c>
      <c r="Q472" s="3">
        <f>I472*INDEX(Produits!$E:$E,MATCH(H472,Produits!$A:$A,0))</f>
        <v>24.75</v>
      </c>
      <c r="R472" s="3">
        <f>L472-Q472</f>
        <v>29.15</v>
      </c>
      <c r="S472" s="2">
        <f>NETWORKDAYS(B472,C472)-1</f>
        <v>5</v>
      </c>
      <c r="T472" s="1">
        <f>WORKDAY(B472,5)</f>
        <v>46223</v>
      </c>
      <c r="U472" t="b">
        <f>C472&gt;T472</f>
        <v>0</v>
      </c>
    </row>
    <row r="473" spans="1:21" x14ac:dyDescent="0.25">
      <c r="A473" t="s">
        <v>512</v>
      </c>
      <c r="B473" s="1">
        <v>46216</v>
      </c>
      <c r="C473" s="1">
        <v>46224</v>
      </c>
      <c r="D473" t="s">
        <v>513</v>
      </c>
      <c r="E473" t="s">
        <v>54</v>
      </c>
      <c r="F473" t="s">
        <v>55</v>
      </c>
      <c r="G473" t="s">
        <v>195</v>
      </c>
      <c r="H473" t="s">
        <v>162</v>
      </c>
      <c r="I473" s="2">
        <v>1</v>
      </c>
      <c r="J473" s="3">
        <v>289</v>
      </c>
      <c r="K473" s="4">
        <v>0.1</v>
      </c>
      <c r="L473" s="3">
        <v>260.1</v>
      </c>
      <c r="M473" t="b">
        <v>1</v>
      </c>
      <c r="N473" s="2">
        <f>YEAR(B473)</f>
        <v>2026</v>
      </c>
      <c r="O473" t="str">
        <f>INDEX(Agences!$C:$C,MATCH(F473,Agences!$A:$A,0))</f>
        <v>Est</v>
      </c>
      <c r="P473" t="str">
        <f>INDEX(Produits!$C:$C,MATCH(H473,Produits!$A:$A,0))</f>
        <v>Mobilier</v>
      </c>
      <c r="Q473" s="3">
        <f>I473*INDEX(Produits!$E:$E,MATCH(H473,Produits!$A:$A,0))</f>
        <v>193.63</v>
      </c>
      <c r="R473" s="3">
        <f>L473-Q473</f>
        <v>66.47000000000003</v>
      </c>
      <c r="S473" s="2">
        <f>NETWORKDAYS(B473,C473)-1</f>
        <v>6</v>
      </c>
      <c r="T473" s="1">
        <f>WORKDAY(B473,5)</f>
        <v>46223</v>
      </c>
      <c r="U473" t="b">
        <f>C473&gt;T473</f>
        <v>1</v>
      </c>
    </row>
    <row r="474" spans="1:21" x14ac:dyDescent="0.25">
      <c r="A474" t="s">
        <v>512</v>
      </c>
      <c r="B474" s="1">
        <v>46216</v>
      </c>
      <c r="C474" s="1">
        <v>46224</v>
      </c>
      <c r="D474" t="s">
        <v>513</v>
      </c>
      <c r="E474" t="s">
        <v>54</v>
      </c>
      <c r="F474" t="s">
        <v>55</v>
      </c>
      <c r="G474" t="s">
        <v>195</v>
      </c>
      <c r="H474" t="s">
        <v>107</v>
      </c>
      <c r="I474" s="2">
        <v>1</v>
      </c>
      <c r="J474" s="3">
        <v>99</v>
      </c>
      <c r="K474" s="4">
        <v>0</v>
      </c>
      <c r="L474" s="3">
        <v>99</v>
      </c>
      <c r="M474" t="b">
        <v>1</v>
      </c>
      <c r="N474" s="2">
        <f>YEAR(B474)</f>
        <v>2026</v>
      </c>
      <c r="O474" t="str">
        <f>INDEX(Agences!$C:$C,MATCH(F474,Agences!$A:$A,0))</f>
        <v>Est</v>
      </c>
      <c r="P474" t="str">
        <f>INDEX(Produits!$C:$C,MATCH(H474,Produits!$A:$A,0))</f>
        <v>Informatique</v>
      </c>
      <c r="Q474" s="3">
        <f>I474*INDEX(Produits!$E:$E,MATCH(H474,Produits!$A:$A,0))</f>
        <v>75.24</v>
      </c>
      <c r="R474" s="3">
        <f>L474-Q474</f>
        <v>23.760000000000005</v>
      </c>
      <c r="S474" s="2">
        <f>NETWORKDAYS(B474,C474)-1</f>
        <v>6</v>
      </c>
      <c r="T474" s="1">
        <f>WORKDAY(B474,5)</f>
        <v>46223</v>
      </c>
      <c r="U474" t="b">
        <f>C474&gt;T474</f>
        <v>1</v>
      </c>
    </row>
    <row r="475" spans="1:21" x14ac:dyDescent="0.25">
      <c r="A475" t="s">
        <v>512</v>
      </c>
      <c r="B475" s="1">
        <v>46216</v>
      </c>
      <c r="C475" s="1">
        <v>46224</v>
      </c>
      <c r="D475" t="s">
        <v>513</v>
      </c>
      <c r="E475" t="s">
        <v>54</v>
      </c>
      <c r="F475" t="s">
        <v>55</v>
      </c>
      <c r="G475" t="s">
        <v>195</v>
      </c>
      <c r="H475" t="s">
        <v>103</v>
      </c>
      <c r="I475" s="2">
        <v>1</v>
      </c>
      <c r="J475" s="3">
        <v>245</v>
      </c>
      <c r="K475" s="4">
        <v>0.05</v>
      </c>
      <c r="L475" s="3">
        <v>232.75</v>
      </c>
      <c r="M475" t="b">
        <v>1</v>
      </c>
      <c r="N475" s="2">
        <f>YEAR(B475)</f>
        <v>2026</v>
      </c>
      <c r="O475" t="str">
        <f>INDEX(Agences!$C:$C,MATCH(F475,Agences!$A:$A,0))</f>
        <v>Est</v>
      </c>
      <c r="P475" t="str">
        <f>INDEX(Produits!$C:$C,MATCH(H475,Produits!$A:$A,0))</f>
        <v>Mobilier</v>
      </c>
      <c r="Q475" s="3">
        <f>I475*INDEX(Produits!$E:$E,MATCH(H475,Produits!$A:$A,0))</f>
        <v>164.15</v>
      </c>
      <c r="R475" s="3">
        <f>L475-Q475</f>
        <v>68.6</v>
      </c>
      <c r="S475" s="2">
        <f>NETWORKDAYS(B475,C475)-1</f>
        <v>6</v>
      </c>
      <c r="T475" s="1">
        <f>WORKDAY(B475,5)</f>
        <v>46223</v>
      </c>
      <c r="U475" t="b">
        <f>C475&gt;T475</f>
        <v>1</v>
      </c>
    </row>
    <row r="476" spans="1:21" x14ac:dyDescent="0.25">
      <c r="A476" t="s">
        <v>512</v>
      </c>
      <c r="B476" s="1">
        <v>46216</v>
      </c>
      <c r="C476" s="1">
        <v>46224</v>
      </c>
      <c r="D476" t="s">
        <v>513</v>
      </c>
      <c r="E476" t="s">
        <v>54</v>
      </c>
      <c r="F476" t="s">
        <v>55</v>
      </c>
      <c r="G476" t="s">
        <v>195</v>
      </c>
      <c r="H476" t="s">
        <v>108</v>
      </c>
      <c r="I476" s="2">
        <v>5</v>
      </c>
      <c r="J476" s="3">
        <v>24.5</v>
      </c>
      <c r="K476" s="4">
        <v>0.05</v>
      </c>
      <c r="L476" s="3">
        <v>116.38</v>
      </c>
      <c r="M476" t="b">
        <v>1</v>
      </c>
      <c r="N476" s="2">
        <f>YEAR(B476)</f>
        <v>2026</v>
      </c>
      <c r="O476" t="str">
        <f>INDEX(Agences!$C:$C,MATCH(F476,Agences!$A:$A,0))</f>
        <v>Est</v>
      </c>
      <c r="P476" t="str">
        <f>INDEX(Produits!$C:$C,MATCH(H476,Produits!$A:$A,0))</f>
        <v>Fournitures</v>
      </c>
      <c r="Q476" s="3">
        <f>I476*INDEX(Produits!$E:$E,MATCH(H476,Produits!$A:$A,0))</f>
        <v>73.5</v>
      </c>
      <c r="R476" s="3">
        <f>L476-Q476</f>
        <v>42.879999999999995</v>
      </c>
      <c r="S476" s="2">
        <f>NETWORKDAYS(B476,C476)-1</f>
        <v>6</v>
      </c>
      <c r="T476" s="1">
        <f>WORKDAY(B476,5)</f>
        <v>46223</v>
      </c>
      <c r="U476" t="b">
        <f>C476&gt;T476</f>
        <v>1</v>
      </c>
    </row>
    <row r="477" spans="1:21" x14ac:dyDescent="0.25">
      <c r="A477" t="s">
        <v>512</v>
      </c>
      <c r="B477" s="1">
        <v>46216</v>
      </c>
      <c r="C477" s="1">
        <v>46224</v>
      </c>
      <c r="D477" t="s">
        <v>513</v>
      </c>
      <c r="E477" t="s">
        <v>54</v>
      </c>
      <c r="F477" t="s">
        <v>55</v>
      </c>
      <c r="G477" t="s">
        <v>195</v>
      </c>
      <c r="H477" t="s">
        <v>90</v>
      </c>
      <c r="I477" s="2">
        <v>5</v>
      </c>
      <c r="J477" s="3">
        <v>22.9</v>
      </c>
      <c r="K477" s="4">
        <v>0</v>
      </c>
      <c r="L477" s="3">
        <v>114.5</v>
      </c>
      <c r="M477" t="b">
        <v>1</v>
      </c>
      <c r="N477" s="2">
        <f>YEAR(B477)</f>
        <v>2026</v>
      </c>
      <c r="O477" t="str">
        <f>INDEX(Agences!$C:$C,MATCH(F477,Agences!$A:$A,0))</f>
        <v>Est</v>
      </c>
      <c r="P477" t="str">
        <f>INDEX(Produits!$C:$C,MATCH(H477,Produits!$A:$A,0))</f>
        <v>Fournitures</v>
      </c>
      <c r="Q477" s="3">
        <f>I477*INDEX(Produits!$E:$E,MATCH(H477,Produits!$A:$A,0))</f>
        <v>64.1</v>
      </c>
      <c r="R477" s="3">
        <f>L477-Q477</f>
        <v>50.400000000000006</v>
      </c>
      <c r="S477" s="2">
        <f>NETWORKDAYS(B477,C477)-1</f>
        <v>6</v>
      </c>
      <c r="T477" s="1">
        <f>WORKDAY(B477,5)</f>
        <v>46223</v>
      </c>
      <c r="U477" t="b">
        <f>C477&gt;T477</f>
        <v>1</v>
      </c>
    </row>
    <row r="478" spans="1:21" x14ac:dyDescent="0.25">
      <c r="A478" t="s">
        <v>514</v>
      </c>
      <c r="B478" s="1">
        <v>46213</v>
      </c>
      <c r="C478" s="1">
        <v>46219</v>
      </c>
      <c r="D478" t="s">
        <v>515</v>
      </c>
      <c r="E478" t="s">
        <v>165</v>
      </c>
      <c r="F478" t="s">
        <v>166</v>
      </c>
      <c r="G478" t="s">
        <v>167</v>
      </c>
      <c r="H478" t="s">
        <v>50</v>
      </c>
      <c r="I478" s="2">
        <v>3</v>
      </c>
      <c r="J478" s="3">
        <v>69</v>
      </c>
      <c r="K478" s="4">
        <v>0.05</v>
      </c>
      <c r="L478" s="3">
        <v>196.65</v>
      </c>
      <c r="M478" t="b">
        <v>1</v>
      </c>
      <c r="N478" s="2">
        <f>YEAR(B478)</f>
        <v>2026</v>
      </c>
      <c r="O478" t="str">
        <f>INDEX(Agences!$C:$C,MATCH(F478,Agences!$A:$A,0))</f>
        <v>Ouest</v>
      </c>
      <c r="P478" t="str">
        <f>INDEX(Produits!$C:$C,MATCH(H478,Produits!$A:$A,0))</f>
        <v>Informatique</v>
      </c>
      <c r="Q478" s="3">
        <f>I478*INDEX(Produits!$E:$E,MATCH(H478,Produits!$A:$A,0))</f>
        <v>163.53</v>
      </c>
      <c r="R478" s="3">
        <f>L478-Q478</f>
        <v>33.120000000000005</v>
      </c>
      <c r="S478" s="2">
        <f>NETWORKDAYS(B478,C478)-1</f>
        <v>4</v>
      </c>
      <c r="T478" s="1">
        <f>WORKDAY(B478,5)</f>
        <v>46220</v>
      </c>
      <c r="U478" t="b">
        <f>C478&gt;T478</f>
        <v>0</v>
      </c>
    </row>
    <row r="479" spans="1:21" x14ac:dyDescent="0.25">
      <c r="A479" t="s">
        <v>514</v>
      </c>
      <c r="B479" s="1">
        <v>46213</v>
      </c>
      <c r="C479" s="1">
        <v>46219</v>
      </c>
      <c r="D479" t="s">
        <v>515</v>
      </c>
      <c r="E479" t="s">
        <v>165</v>
      </c>
      <c r="F479" t="s">
        <v>166</v>
      </c>
      <c r="G479" t="s">
        <v>167</v>
      </c>
      <c r="H479" t="s">
        <v>42</v>
      </c>
      <c r="I479" s="2">
        <v>3</v>
      </c>
      <c r="J479" s="3">
        <v>55</v>
      </c>
      <c r="K479" s="4">
        <v>0</v>
      </c>
      <c r="L479" s="3">
        <v>165</v>
      </c>
      <c r="M479" t="b">
        <v>1</v>
      </c>
      <c r="N479" s="2">
        <f>YEAR(B479)</f>
        <v>2026</v>
      </c>
      <c r="O479" t="str">
        <f>INDEX(Agences!$C:$C,MATCH(F479,Agences!$A:$A,0))</f>
        <v>Ouest</v>
      </c>
      <c r="P479" t="str">
        <f>INDEX(Produits!$C:$C,MATCH(H479,Produits!$A:$A,0))</f>
        <v>Maintenance</v>
      </c>
      <c r="Q479" s="3">
        <f>I479*INDEX(Produits!$E:$E,MATCH(H479,Produits!$A:$A,0))</f>
        <v>74.25</v>
      </c>
      <c r="R479" s="3">
        <f>L479-Q479</f>
        <v>90.75</v>
      </c>
      <c r="S479" s="2">
        <f>NETWORKDAYS(B479,C479)-1</f>
        <v>4</v>
      </c>
      <c r="T479" s="1">
        <f>WORKDAY(B479,5)</f>
        <v>46220</v>
      </c>
      <c r="U479" t="b">
        <f>C479&gt;T479</f>
        <v>0</v>
      </c>
    </row>
    <row r="480" spans="1:21" x14ac:dyDescent="0.25">
      <c r="A480" t="s">
        <v>516</v>
      </c>
      <c r="B480" s="1">
        <v>46213</v>
      </c>
      <c r="C480" s="1">
        <v>46220</v>
      </c>
      <c r="D480" t="s">
        <v>391</v>
      </c>
      <c r="E480" t="s">
        <v>61</v>
      </c>
      <c r="F480" t="s">
        <v>62</v>
      </c>
      <c r="G480" t="s">
        <v>106</v>
      </c>
      <c r="H480" t="s">
        <v>57</v>
      </c>
      <c r="I480" s="2">
        <v>3</v>
      </c>
      <c r="J480" s="3">
        <v>149</v>
      </c>
      <c r="K480" s="4">
        <v>0.18</v>
      </c>
      <c r="L480" s="3">
        <v>366.54</v>
      </c>
      <c r="M480" t="b">
        <v>1</v>
      </c>
      <c r="N480" s="2">
        <f>YEAR(B480)</f>
        <v>2026</v>
      </c>
      <c r="O480" t="str">
        <f>INDEX(Agences!$C:$C,MATCH(F480,Agences!$A:$A,0))</f>
        <v>Méditerranée</v>
      </c>
      <c r="P480" t="str">
        <f>INDEX(Produits!$C:$C,MATCH(H480,Produits!$A:$A,0))</f>
        <v>Informatique</v>
      </c>
      <c r="Q480" s="3">
        <f>I480*INDEX(Produits!$E:$E,MATCH(H480,Produits!$A:$A,0))</f>
        <v>344.19</v>
      </c>
      <c r="R480" s="3">
        <f>L480-Q480</f>
        <v>22.350000000000023</v>
      </c>
      <c r="S480" s="2">
        <f>NETWORKDAYS(B480,C480)-1</f>
        <v>5</v>
      </c>
      <c r="T480" s="1">
        <f>WORKDAY(B480,5)</f>
        <v>46220</v>
      </c>
      <c r="U480" t="b">
        <f>C480&gt;T480</f>
        <v>0</v>
      </c>
    </row>
    <row r="481" spans="1:21" x14ac:dyDescent="0.25">
      <c r="A481" t="s">
        <v>517</v>
      </c>
      <c r="B481" s="1">
        <v>46213</v>
      </c>
      <c r="C481" s="1">
        <v>46226</v>
      </c>
      <c r="D481" t="s">
        <v>423</v>
      </c>
      <c r="E481" t="s">
        <v>229</v>
      </c>
      <c r="F481" t="s">
        <v>55</v>
      </c>
      <c r="G481" t="s">
        <v>195</v>
      </c>
      <c r="H481" t="s">
        <v>127</v>
      </c>
      <c r="I481" s="2">
        <v>1</v>
      </c>
      <c r="J481" s="3">
        <v>649</v>
      </c>
      <c r="K481" s="4">
        <v>0</v>
      </c>
      <c r="L481" s="3">
        <v>649</v>
      </c>
      <c r="M481" t="b">
        <v>1</v>
      </c>
      <c r="N481" s="2">
        <f>YEAR(B481)</f>
        <v>2026</v>
      </c>
      <c r="O481" t="str">
        <f>INDEX(Agences!$C:$C,MATCH(F481,Agences!$A:$A,0))</f>
        <v>Est</v>
      </c>
      <c r="P481" t="str">
        <f>INDEX(Produits!$C:$C,MATCH(H481,Produits!$A:$A,0))</f>
        <v>Informatique</v>
      </c>
      <c r="Q481" s="3">
        <f>I481*INDEX(Produits!$E:$E,MATCH(H481,Produits!$A:$A,0))</f>
        <v>480.26</v>
      </c>
      <c r="R481" s="3">
        <f>L481-Q481</f>
        <v>168.74</v>
      </c>
      <c r="S481" s="2">
        <f>NETWORKDAYS(B481,C481)-1</f>
        <v>9</v>
      </c>
      <c r="T481" s="1">
        <f>WORKDAY(B481,5)</f>
        <v>46220</v>
      </c>
      <c r="U481" t="b">
        <f>C481&gt;T481</f>
        <v>1</v>
      </c>
    </row>
    <row r="482" spans="1:21" x14ac:dyDescent="0.25">
      <c r="A482" t="s">
        <v>517</v>
      </c>
      <c r="B482" s="1">
        <v>46213</v>
      </c>
      <c r="C482" s="1">
        <v>46226</v>
      </c>
      <c r="D482" t="s">
        <v>423</v>
      </c>
      <c r="E482" t="s">
        <v>229</v>
      </c>
      <c r="F482" t="s">
        <v>55</v>
      </c>
      <c r="G482" t="s">
        <v>195</v>
      </c>
      <c r="H482" t="s">
        <v>33</v>
      </c>
      <c r="I482" s="2">
        <v>3</v>
      </c>
      <c r="J482" s="3">
        <v>219</v>
      </c>
      <c r="K482" s="4">
        <v>0.05</v>
      </c>
      <c r="L482" s="3">
        <v>624.15</v>
      </c>
      <c r="M482" t="b">
        <v>1</v>
      </c>
      <c r="N482" s="2">
        <f>YEAR(B482)</f>
        <v>2026</v>
      </c>
      <c r="O482" t="str">
        <f>INDEX(Agences!$C:$C,MATCH(F482,Agences!$A:$A,0))</f>
        <v>Est</v>
      </c>
      <c r="P482" t="str">
        <f>INDEX(Produits!$C:$C,MATCH(H482,Produits!$A:$A,0))</f>
        <v>Informatique</v>
      </c>
      <c r="Q482" s="3">
        <f>I482*INDEX(Produits!$E:$E,MATCH(H482,Produits!$A:$A,0))</f>
        <v>538.74</v>
      </c>
      <c r="R482" s="3">
        <f>L482-Q482</f>
        <v>85.40999999999997</v>
      </c>
      <c r="S482" s="2">
        <f>NETWORKDAYS(B482,C482)-1</f>
        <v>9</v>
      </c>
      <c r="T482" s="1">
        <f>WORKDAY(B482,5)</f>
        <v>46220</v>
      </c>
      <c r="U482" t="b">
        <f>C482&gt;T482</f>
        <v>1</v>
      </c>
    </row>
    <row r="483" spans="1:21" x14ac:dyDescent="0.25">
      <c r="A483" t="s">
        <v>517</v>
      </c>
      <c r="B483" s="1">
        <v>46213</v>
      </c>
      <c r="C483" s="1">
        <v>46226</v>
      </c>
      <c r="D483" t="s">
        <v>423</v>
      </c>
      <c r="E483" t="s">
        <v>229</v>
      </c>
      <c r="F483" t="s">
        <v>55</v>
      </c>
      <c r="G483" t="s">
        <v>195</v>
      </c>
      <c r="H483" t="s">
        <v>196</v>
      </c>
      <c r="I483" s="2">
        <v>5</v>
      </c>
      <c r="J483" s="3">
        <v>18.5</v>
      </c>
      <c r="K483" s="4">
        <v>0.08</v>
      </c>
      <c r="L483" s="3">
        <v>85.1</v>
      </c>
      <c r="M483" t="b">
        <v>1</v>
      </c>
      <c r="N483" s="2">
        <f>YEAR(B483)</f>
        <v>2026</v>
      </c>
      <c r="O483" t="str">
        <f>INDEX(Agences!$C:$C,MATCH(F483,Agences!$A:$A,0))</f>
        <v>Est</v>
      </c>
      <c r="P483" t="str">
        <f>INDEX(Produits!$C:$C,MATCH(H483,Produits!$A:$A,0))</f>
        <v>Fournitures</v>
      </c>
      <c r="Q483" s="3">
        <f>I483*INDEX(Produits!$E:$E,MATCH(H483,Produits!$A:$A,0))</f>
        <v>47.199999999999996</v>
      </c>
      <c r="R483" s="3">
        <f>L483-Q483</f>
        <v>37.9</v>
      </c>
      <c r="S483" s="2">
        <f>NETWORKDAYS(B483,C483)-1</f>
        <v>9</v>
      </c>
      <c r="T483" s="1">
        <f>WORKDAY(B483,5)</f>
        <v>46220</v>
      </c>
      <c r="U483" t="b">
        <f>C483&gt;T483</f>
        <v>1</v>
      </c>
    </row>
    <row r="484" spans="1:21" x14ac:dyDescent="0.25">
      <c r="A484" t="s">
        <v>518</v>
      </c>
      <c r="B484" s="1">
        <v>46212</v>
      </c>
      <c r="C484" s="1">
        <v>46216</v>
      </c>
      <c r="D484" t="s">
        <v>519</v>
      </c>
      <c r="E484" t="s">
        <v>122</v>
      </c>
      <c r="F484" t="s">
        <v>24</v>
      </c>
      <c r="G484" t="s">
        <v>25</v>
      </c>
      <c r="H484" t="s">
        <v>162</v>
      </c>
      <c r="I484" s="2">
        <v>2</v>
      </c>
      <c r="J484" s="3">
        <v>289</v>
      </c>
      <c r="K484" s="4">
        <v>0</v>
      </c>
      <c r="L484" s="3">
        <v>578</v>
      </c>
      <c r="M484" t="b">
        <v>1</v>
      </c>
      <c r="N484" s="2">
        <f>YEAR(B484)</f>
        <v>2026</v>
      </c>
      <c r="O484" t="str">
        <f>INDEX(Agences!$C:$C,MATCH(F484,Agences!$A:$A,0))</f>
        <v>Nord</v>
      </c>
      <c r="P484" t="str">
        <f>INDEX(Produits!$C:$C,MATCH(H484,Produits!$A:$A,0))</f>
        <v>Mobilier</v>
      </c>
      <c r="Q484" s="3">
        <f>I484*INDEX(Produits!$E:$E,MATCH(H484,Produits!$A:$A,0))</f>
        <v>387.26</v>
      </c>
      <c r="R484" s="3">
        <f>L484-Q484</f>
        <v>190.74</v>
      </c>
      <c r="S484" s="2">
        <f>NETWORKDAYS(B484,C484)-1</f>
        <v>2</v>
      </c>
      <c r="T484" s="1">
        <f>WORKDAY(B484,5)</f>
        <v>46219</v>
      </c>
      <c r="U484" t="b">
        <f>C484&gt;T484</f>
        <v>0</v>
      </c>
    </row>
    <row r="485" spans="1:21" x14ac:dyDescent="0.25">
      <c r="A485" t="s">
        <v>520</v>
      </c>
      <c r="B485" s="1">
        <v>46212</v>
      </c>
      <c r="C485" s="1">
        <v>46216</v>
      </c>
      <c r="D485" t="s">
        <v>521</v>
      </c>
      <c r="E485" t="s">
        <v>75</v>
      </c>
      <c r="F485" t="s">
        <v>76</v>
      </c>
      <c r="G485" t="s">
        <v>77</v>
      </c>
      <c r="H485" t="s">
        <v>233</v>
      </c>
      <c r="I485" s="2">
        <v>10</v>
      </c>
      <c r="J485" s="3">
        <v>27.5</v>
      </c>
      <c r="K485" s="4">
        <v>0.08</v>
      </c>
      <c r="L485" s="3">
        <v>253</v>
      </c>
      <c r="M485" t="b">
        <v>1</v>
      </c>
      <c r="N485" s="2">
        <f>YEAR(B485)</f>
        <v>2026</v>
      </c>
      <c r="O485" t="str">
        <f>INDEX(Agences!$C:$C,MATCH(F485,Agences!$A:$A,0))</f>
        <v>Île-de-France</v>
      </c>
      <c r="P485" t="str">
        <f>INDEX(Produits!$C:$C,MATCH(H485,Produits!$A:$A,0))</f>
        <v>Fournitures</v>
      </c>
      <c r="Q485" s="3">
        <f>I485*INDEX(Produits!$E:$E,MATCH(H485,Produits!$A:$A,0))</f>
        <v>154</v>
      </c>
      <c r="R485" s="3">
        <f>L485-Q485</f>
        <v>99</v>
      </c>
      <c r="S485" s="2">
        <f>NETWORKDAYS(B485,C485)-1</f>
        <v>2</v>
      </c>
      <c r="T485" s="1">
        <f>WORKDAY(B485,5)</f>
        <v>46219</v>
      </c>
      <c r="U485" t="b">
        <f>C485&gt;T485</f>
        <v>0</v>
      </c>
    </row>
    <row r="486" spans="1:21" x14ac:dyDescent="0.25">
      <c r="A486" t="s">
        <v>522</v>
      </c>
      <c r="B486" s="1">
        <v>46212</v>
      </c>
      <c r="C486" s="1">
        <v>46217</v>
      </c>
      <c r="D486" t="s">
        <v>523</v>
      </c>
      <c r="E486" t="s">
        <v>185</v>
      </c>
      <c r="F486" t="s">
        <v>31</v>
      </c>
      <c r="G486" t="s">
        <v>375</v>
      </c>
      <c r="H486" t="s">
        <v>72</v>
      </c>
      <c r="I486" s="2">
        <v>1</v>
      </c>
      <c r="J486" s="3">
        <v>179</v>
      </c>
      <c r="K486" s="4">
        <v>0</v>
      </c>
      <c r="L486" s="3">
        <v>179</v>
      </c>
      <c r="M486" t="b">
        <v>1</v>
      </c>
      <c r="N486" s="2">
        <f>YEAR(B486)</f>
        <v>2026</v>
      </c>
      <c r="O486" t="str">
        <f>INDEX(Agences!$C:$C,MATCH(F486,Agences!$A:$A,0))</f>
        <v>Ouest</v>
      </c>
      <c r="P486" t="str">
        <f>INDEX(Produits!$C:$C,MATCH(H486,Produits!$A:$A,0))</f>
        <v>Informatique</v>
      </c>
      <c r="Q486" s="3">
        <f>I486*INDEX(Produits!$E:$E,MATCH(H486,Produits!$A:$A,0))</f>
        <v>146.78</v>
      </c>
      <c r="R486" s="3">
        <f>L486-Q486</f>
        <v>32.22</v>
      </c>
      <c r="S486" s="2">
        <f>NETWORKDAYS(B486,C486)-1</f>
        <v>3</v>
      </c>
      <c r="T486" s="1">
        <f>WORKDAY(B486,5)</f>
        <v>46219</v>
      </c>
      <c r="U486" t="b">
        <f>C486&gt;T486</f>
        <v>0</v>
      </c>
    </row>
    <row r="487" spans="1:21" x14ac:dyDescent="0.25">
      <c r="A487" t="s">
        <v>522</v>
      </c>
      <c r="B487" s="1">
        <v>46212</v>
      </c>
      <c r="C487" s="1">
        <v>46217</v>
      </c>
      <c r="D487" t="s">
        <v>523</v>
      </c>
      <c r="E487" t="s">
        <v>185</v>
      </c>
      <c r="F487" t="s">
        <v>31</v>
      </c>
      <c r="G487" t="s">
        <v>375</v>
      </c>
      <c r="H487" t="s">
        <v>79</v>
      </c>
      <c r="I487" s="2">
        <v>10</v>
      </c>
      <c r="J487" s="3">
        <v>14.9</v>
      </c>
      <c r="K487" s="4">
        <v>0.05</v>
      </c>
      <c r="L487" s="3">
        <v>141.55</v>
      </c>
      <c r="M487" t="b">
        <v>1</v>
      </c>
      <c r="N487" s="2">
        <f>YEAR(B487)</f>
        <v>2026</v>
      </c>
      <c r="O487" t="str">
        <f>INDEX(Agences!$C:$C,MATCH(F487,Agences!$A:$A,0))</f>
        <v>Ouest</v>
      </c>
      <c r="P487" t="str">
        <f>INDEX(Produits!$C:$C,MATCH(H487,Produits!$A:$A,0))</f>
        <v>Fournitures</v>
      </c>
      <c r="Q487" s="3">
        <f>I487*INDEX(Produits!$E:$E,MATCH(H487,Produits!$A:$A,0))</f>
        <v>80.5</v>
      </c>
      <c r="R487" s="3">
        <f>L487-Q487</f>
        <v>61.05000000000001</v>
      </c>
      <c r="S487" s="2">
        <f>NETWORKDAYS(B487,C487)-1</f>
        <v>3</v>
      </c>
      <c r="T487" s="1">
        <f>WORKDAY(B487,5)</f>
        <v>46219</v>
      </c>
      <c r="U487" t="b">
        <f>C487&gt;T487</f>
        <v>0</v>
      </c>
    </row>
    <row r="488" spans="1:21" x14ac:dyDescent="0.25">
      <c r="A488" t="s">
        <v>524</v>
      </c>
      <c r="B488" s="1">
        <v>46212</v>
      </c>
      <c r="C488" s="1">
        <v>46213</v>
      </c>
      <c r="D488" t="s">
        <v>525</v>
      </c>
      <c r="E488" t="s">
        <v>130</v>
      </c>
      <c r="F488" t="s">
        <v>39</v>
      </c>
      <c r="G488" t="s">
        <v>322</v>
      </c>
      <c r="H488" t="s">
        <v>42</v>
      </c>
      <c r="I488" s="2">
        <v>2</v>
      </c>
      <c r="J488" s="3">
        <v>55</v>
      </c>
      <c r="K488" s="4">
        <v>0.08</v>
      </c>
      <c r="L488" s="3">
        <v>101.2</v>
      </c>
      <c r="M488" t="b">
        <v>1</v>
      </c>
      <c r="N488" s="2">
        <f>YEAR(B488)</f>
        <v>2026</v>
      </c>
      <c r="O488" t="str">
        <f>INDEX(Agences!$C:$C,MATCH(F488,Agences!$A:$A,0))</f>
        <v>Sud-Ouest</v>
      </c>
      <c r="P488" t="str">
        <f>INDEX(Produits!$C:$C,MATCH(H488,Produits!$A:$A,0))</f>
        <v>Maintenance</v>
      </c>
      <c r="Q488" s="3">
        <f>I488*INDEX(Produits!$E:$E,MATCH(H488,Produits!$A:$A,0))</f>
        <v>49.5</v>
      </c>
      <c r="R488" s="3">
        <f>L488-Q488</f>
        <v>51.7</v>
      </c>
      <c r="S488" s="2">
        <f>NETWORKDAYS(B488,C488)-1</f>
        <v>1</v>
      </c>
      <c r="T488" s="1">
        <f>WORKDAY(B488,5)</f>
        <v>46219</v>
      </c>
      <c r="U488" t="b">
        <f>C488&gt;T488</f>
        <v>0</v>
      </c>
    </row>
    <row r="489" spans="1:21" x14ac:dyDescent="0.25">
      <c r="A489" t="s">
        <v>524</v>
      </c>
      <c r="B489" s="1">
        <v>46212</v>
      </c>
      <c r="C489" s="1">
        <v>46213</v>
      </c>
      <c r="D489" t="s">
        <v>525</v>
      </c>
      <c r="E489" t="s">
        <v>130</v>
      </c>
      <c r="F489" t="s">
        <v>39</v>
      </c>
      <c r="G489" t="s">
        <v>322</v>
      </c>
      <c r="H489" t="s">
        <v>196</v>
      </c>
      <c r="I489" s="2">
        <v>5</v>
      </c>
      <c r="J489" s="3">
        <v>18.5</v>
      </c>
      <c r="K489" s="4">
        <v>0.05</v>
      </c>
      <c r="L489" s="3">
        <v>87.88</v>
      </c>
      <c r="M489" t="b">
        <v>1</v>
      </c>
      <c r="N489" s="2">
        <f>YEAR(B489)</f>
        <v>2026</v>
      </c>
      <c r="O489" t="str">
        <f>INDEX(Agences!$C:$C,MATCH(F489,Agences!$A:$A,0))</f>
        <v>Sud-Ouest</v>
      </c>
      <c r="P489" t="str">
        <f>INDEX(Produits!$C:$C,MATCH(H489,Produits!$A:$A,0))</f>
        <v>Fournitures</v>
      </c>
      <c r="Q489" s="3">
        <f>I489*INDEX(Produits!$E:$E,MATCH(H489,Produits!$A:$A,0))</f>
        <v>47.199999999999996</v>
      </c>
      <c r="R489" s="3">
        <f>L489-Q489</f>
        <v>40.68</v>
      </c>
      <c r="S489" s="2">
        <f>NETWORKDAYS(B489,C489)-1</f>
        <v>1</v>
      </c>
      <c r="T489" s="1">
        <f>WORKDAY(B489,5)</f>
        <v>46219</v>
      </c>
      <c r="U489" t="b">
        <f>C489&gt;T489</f>
        <v>0</v>
      </c>
    </row>
    <row r="490" spans="1:21" x14ac:dyDescent="0.25">
      <c r="A490" t="s">
        <v>524</v>
      </c>
      <c r="B490" s="1">
        <v>46212</v>
      </c>
      <c r="C490" s="1">
        <v>46213</v>
      </c>
      <c r="D490" t="s">
        <v>525</v>
      </c>
      <c r="E490" t="s">
        <v>130</v>
      </c>
      <c r="F490" t="s">
        <v>39</v>
      </c>
      <c r="G490" t="s">
        <v>322</v>
      </c>
      <c r="H490" t="s">
        <v>50</v>
      </c>
      <c r="I490" s="2">
        <v>3</v>
      </c>
      <c r="J490" s="3">
        <v>69</v>
      </c>
      <c r="K490" s="4">
        <v>0.1</v>
      </c>
      <c r="L490" s="3">
        <v>186.3</v>
      </c>
      <c r="M490" t="b">
        <v>1</v>
      </c>
      <c r="N490" s="2">
        <f>YEAR(B490)</f>
        <v>2026</v>
      </c>
      <c r="O490" t="str">
        <f>INDEX(Agences!$C:$C,MATCH(F490,Agences!$A:$A,0))</f>
        <v>Sud-Ouest</v>
      </c>
      <c r="P490" t="str">
        <f>INDEX(Produits!$C:$C,MATCH(H490,Produits!$A:$A,0))</f>
        <v>Informatique</v>
      </c>
      <c r="Q490" s="3">
        <f>I490*INDEX(Produits!$E:$E,MATCH(H490,Produits!$A:$A,0))</f>
        <v>163.53</v>
      </c>
      <c r="R490" s="3">
        <f>L490-Q490</f>
        <v>22.77000000000001</v>
      </c>
      <c r="S490" s="2">
        <f>NETWORKDAYS(B490,C490)-1</f>
        <v>1</v>
      </c>
      <c r="T490" s="1">
        <f>WORKDAY(B490,5)</f>
        <v>46219</v>
      </c>
      <c r="U490" t="b">
        <f>C490&gt;T490</f>
        <v>0</v>
      </c>
    </row>
    <row r="491" spans="1:21" x14ac:dyDescent="0.25">
      <c r="A491" t="s">
        <v>526</v>
      </c>
      <c r="B491" s="1">
        <v>46212</v>
      </c>
      <c r="C491" s="1">
        <v>46216</v>
      </c>
      <c r="D491" t="s">
        <v>527</v>
      </c>
      <c r="E491" t="s">
        <v>149</v>
      </c>
      <c r="F491" t="s">
        <v>88</v>
      </c>
      <c r="G491" t="s">
        <v>89</v>
      </c>
      <c r="H491" t="s">
        <v>42</v>
      </c>
      <c r="I491" s="2">
        <v>1</v>
      </c>
      <c r="J491" s="3">
        <v>55</v>
      </c>
      <c r="K491" s="4">
        <v>0.02</v>
      </c>
      <c r="L491" s="3">
        <v>53.9</v>
      </c>
      <c r="M491" t="b">
        <v>1</v>
      </c>
      <c r="N491" s="2">
        <f>YEAR(B491)</f>
        <v>2026</v>
      </c>
      <c r="O491" t="str">
        <f>INDEX(Agences!$C:$C,MATCH(F491,Agences!$A:$A,0))</f>
        <v>Sud-Ouest</v>
      </c>
      <c r="P491" t="str">
        <f>INDEX(Produits!$C:$C,MATCH(H491,Produits!$A:$A,0))</f>
        <v>Maintenance</v>
      </c>
      <c r="Q491" s="3">
        <f>I491*INDEX(Produits!$E:$E,MATCH(H491,Produits!$A:$A,0))</f>
        <v>24.75</v>
      </c>
      <c r="R491" s="3">
        <f>L491-Q491</f>
        <v>29.15</v>
      </c>
      <c r="S491" s="2">
        <f>NETWORKDAYS(B491,C491)-1</f>
        <v>2</v>
      </c>
      <c r="T491" s="1">
        <f>WORKDAY(B491,5)</f>
        <v>46219</v>
      </c>
      <c r="U491" t="b">
        <f>C491&gt;T491</f>
        <v>0</v>
      </c>
    </row>
    <row r="492" spans="1:21" x14ac:dyDescent="0.25">
      <c r="A492" t="s">
        <v>526</v>
      </c>
      <c r="B492" s="1">
        <v>46212</v>
      </c>
      <c r="C492" s="1">
        <v>46216</v>
      </c>
      <c r="D492" t="s">
        <v>527</v>
      </c>
      <c r="E492" t="s">
        <v>149</v>
      </c>
      <c r="F492" t="s">
        <v>88</v>
      </c>
      <c r="G492" t="s">
        <v>89</v>
      </c>
      <c r="H492" t="s">
        <v>49</v>
      </c>
      <c r="I492" s="2">
        <v>2</v>
      </c>
      <c r="J492" s="3">
        <v>120</v>
      </c>
      <c r="K492" s="4">
        <v>0</v>
      </c>
      <c r="L492" s="3">
        <v>240</v>
      </c>
      <c r="M492" t="b">
        <v>1</v>
      </c>
      <c r="N492" s="2">
        <f>YEAR(B492)</f>
        <v>2026</v>
      </c>
      <c r="O492" t="str">
        <f>INDEX(Agences!$C:$C,MATCH(F492,Agences!$A:$A,0))</f>
        <v>Sud-Ouest</v>
      </c>
      <c r="P492" t="str">
        <f>INDEX(Produits!$C:$C,MATCH(H492,Produits!$A:$A,0))</f>
        <v>Maintenance</v>
      </c>
      <c r="Q492" s="3">
        <f>I492*INDEX(Produits!$E:$E,MATCH(H492,Produits!$A:$A,0))</f>
        <v>110.4</v>
      </c>
      <c r="R492" s="3">
        <f>L492-Q492</f>
        <v>129.6</v>
      </c>
      <c r="S492" s="2">
        <f>NETWORKDAYS(B492,C492)-1</f>
        <v>2</v>
      </c>
      <c r="T492" s="1">
        <f>WORKDAY(B492,5)</f>
        <v>46219</v>
      </c>
      <c r="U492" t="b">
        <f>C492&gt;T492</f>
        <v>0</v>
      </c>
    </row>
    <row r="493" spans="1:21" x14ac:dyDescent="0.25">
      <c r="A493" t="s">
        <v>528</v>
      </c>
      <c r="B493" s="1">
        <v>46212</v>
      </c>
      <c r="C493" s="1">
        <v>46216</v>
      </c>
      <c r="D493" t="s">
        <v>498</v>
      </c>
      <c r="E493" t="s">
        <v>419</v>
      </c>
      <c r="F493" t="s">
        <v>62</v>
      </c>
      <c r="G493" t="s">
        <v>63</v>
      </c>
      <c r="H493" t="s">
        <v>42</v>
      </c>
      <c r="I493" s="2">
        <v>1</v>
      </c>
      <c r="J493" s="3">
        <v>55</v>
      </c>
      <c r="K493" s="4">
        <v>0</v>
      </c>
      <c r="L493" s="3">
        <v>55</v>
      </c>
      <c r="M493" t="b">
        <v>1</v>
      </c>
      <c r="N493" s="2">
        <f>YEAR(B493)</f>
        <v>2026</v>
      </c>
      <c r="O493" t="str">
        <f>INDEX(Agences!$C:$C,MATCH(F493,Agences!$A:$A,0))</f>
        <v>Méditerranée</v>
      </c>
      <c r="P493" t="str">
        <f>INDEX(Produits!$C:$C,MATCH(H493,Produits!$A:$A,0))</f>
        <v>Maintenance</v>
      </c>
      <c r="Q493" s="3">
        <f>I493*INDEX(Produits!$E:$E,MATCH(H493,Produits!$A:$A,0))</f>
        <v>24.75</v>
      </c>
      <c r="R493" s="3">
        <f>L493-Q493</f>
        <v>30.25</v>
      </c>
      <c r="S493" s="2">
        <f>NETWORKDAYS(B493,C493)-1</f>
        <v>2</v>
      </c>
      <c r="T493" s="1">
        <f>WORKDAY(B493,5)</f>
        <v>46219</v>
      </c>
      <c r="U493" t="b">
        <f>C493&gt;T493</f>
        <v>0</v>
      </c>
    </row>
    <row r="494" spans="1:21" x14ac:dyDescent="0.25">
      <c r="A494" t="s">
        <v>529</v>
      </c>
      <c r="B494" s="1">
        <v>46212</v>
      </c>
      <c r="C494" s="1">
        <v>46217</v>
      </c>
      <c r="D494" t="s">
        <v>530</v>
      </c>
      <c r="E494" t="s">
        <v>242</v>
      </c>
      <c r="F494" t="s">
        <v>94</v>
      </c>
      <c r="G494" t="s">
        <v>95</v>
      </c>
      <c r="H494" t="s">
        <v>72</v>
      </c>
      <c r="I494" s="2">
        <v>3</v>
      </c>
      <c r="J494" s="3">
        <v>179</v>
      </c>
      <c r="K494" s="4">
        <v>0</v>
      </c>
      <c r="L494" s="3">
        <v>537</v>
      </c>
      <c r="M494" t="b">
        <v>1</v>
      </c>
      <c r="N494" s="2">
        <f>YEAR(B494)</f>
        <v>2026</v>
      </c>
      <c r="O494" t="str">
        <f>INDEX(Agences!$C:$C,MATCH(F494,Agences!$A:$A,0))</f>
        <v>Méditerranée</v>
      </c>
      <c r="P494" t="str">
        <f>INDEX(Produits!$C:$C,MATCH(H494,Produits!$A:$A,0))</f>
        <v>Informatique</v>
      </c>
      <c r="Q494" s="3">
        <f>I494*INDEX(Produits!$E:$E,MATCH(H494,Produits!$A:$A,0))</f>
        <v>440.34000000000003</v>
      </c>
      <c r="R494" s="3">
        <f>L494-Q494</f>
        <v>96.65999999999997</v>
      </c>
      <c r="S494" s="2">
        <f>NETWORKDAYS(B494,C494)-1</f>
        <v>3</v>
      </c>
      <c r="T494" s="1">
        <f>WORKDAY(B494,5)</f>
        <v>46219</v>
      </c>
      <c r="U494" t="b">
        <f>C494&gt;T494</f>
        <v>0</v>
      </c>
    </row>
    <row r="495" spans="1:21" x14ac:dyDescent="0.25">
      <c r="A495" t="s">
        <v>531</v>
      </c>
      <c r="B495" s="1">
        <v>46211</v>
      </c>
      <c r="C495" s="1">
        <v>46213</v>
      </c>
      <c r="D495" t="s">
        <v>532</v>
      </c>
      <c r="E495" t="s">
        <v>165</v>
      </c>
      <c r="F495" t="s">
        <v>166</v>
      </c>
      <c r="G495" t="s">
        <v>248</v>
      </c>
      <c r="H495" t="s">
        <v>123</v>
      </c>
      <c r="I495" s="2">
        <v>5</v>
      </c>
      <c r="J495" s="3">
        <v>39.9</v>
      </c>
      <c r="K495" s="4">
        <v>0.05</v>
      </c>
      <c r="L495" s="3">
        <v>189.53</v>
      </c>
      <c r="M495" t="b">
        <v>1</v>
      </c>
      <c r="N495" s="2">
        <f>YEAR(B495)</f>
        <v>2026</v>
      </c>
      <c r="O495" t="str">
        <f>INDEX(Agences!$C:$C,MATCH(F495,Agences!$A:$A,0))</f>
        <v>Ouest</v>
      </c>
      <c r="P495" t="str">
        <f>INDEX(Produits!$C:$C,MATCH(H495,Produits!$A:$A,0))</f>
        <v>Fournitures</v>
      </c>
      <c r="Q495" s="3">
        <f>I495*INDEX(Produits!$E:$E,MATCH(H495,Produits!$A:$A,0))</f>
        <v>111.7</v>
      </c>
      <c r="R495" s="3">
        <f>L495-Q495</f>
        <v>77.83</v>
      </c>
      <c r="S495" s="2">
        <f>NETWORKDAYS(B495,C495)-1</f>
        <v>2</v>
      </c>
      <c r="T495" s="1">
        <f>WORKDAY(B495,5)</f>
        <v>46218</v>
      </c>
      <c r="U495" t="b">
        <f>C495&gt;T495</f>
        <v>0</v>
      </c>
    </row>
    <row r="496" spans="1:21" x14ac:dyDescent="0.25">
      <c r="A496" t="s">
        <v>531</v>
      </c>
      <c r="B496" s="1">
        <v>46211</v>
      </c>
      <c r="C496" s="1">
        <v>46213</v>
      </c>
      <c r="D496" t="s">
        <v>532</v>
      </c>
      <c r="E496" t="s">
        <v>165</v>
      </c>
      <c r="F496" t="s">
        <v>166</v>
      </c>
      <c r="G496" t="s">
        <v>248</v>
      </c>
      <c r="H496" t="s">
        <v>26</v>
      </c>
      <c r="I496" s="2">
        <v>1</v>
      </c>
      <c r="J496" s="3">
        <v>290</v>
      </c>
      <c r="K496" s="4">
        <v>0.08</v>
      </c>
      <c r="L496" s="3">
        <v>266.8</v>
      </c>
      <c r="M496" t="b">
        <v>1</v>
      </c>
      <c r="N496" s="2">
        <f>YEAR(B496)</f>
        <v>2026</v>
      </c>
      <c r="O496" t="str">
        <f>INDEX(Agences!$C:$C,MATCH(F496,Agences!$A:$A,0))</f>
        <v>Ouest</v>
      </c>
      <c r="P496" t="str">
        <f>INDEX(Produits!$C:$C,MATCH(H496,Produits!$A:$A,0))</f>
        <v>Maintenance</v>
      </c>
      <c r="Q496" s="3">
        <f>I496*INDEX(Produits!$E:$E,MATCH(H496,Produits!$A:$A,0))</f>
        <v>139.2</v>
      </c>
      <c r="R496" s="3">
        <f>L496-Q496</f>
        <v>127.60000000000002</v>
      </c>
      <c r="S496" s="2">
        <f>NETWORKDAYS(B496,C496)-1</f>
        <v>2</v>
      </c>
      <c r="T496" s="1">
        <f>WORKDAY(B496,5)</f>
        <v>46218</v>
      </c>
      <c r="U496" t="b">
        <f>C496&gt;T496</f>
        <v>0</v>
      </c>
    </row>
    <row r="497" spans="1:21" x14ac:dyDescent="0.25">
      <c r="A497" t="s">
        <v>531</v>
      </c>
      <c r="B497" s="1">
        <v>46211</v>
      </c>
      <c r="C497" s="1">
        <v>46213</v>
      </c>
      <c r="D497" t="s">
        <v>532</v>
      </c>
      <c r="E497" t="s">
        <v>165</v>
      </c>
      <c r="F497" t="s">
        <v>166</v>
      </c>
      <c r="G497" t="s">
        <v>248</v>
      </c>
      <c r="H497" t="s">
        <v>34</v>
      </c>
      <c r="I497" s="2">
        <v>3</v>
      </c>
      <c r="J497" s="3">
        <v>340</v>
      </c>
      <c r="K497" s="4">
        <v>0</v>
      </c>
      <c r="L497" s="3">
        <v>1020</v>
      </c>
      <c r="M497" t="b">
        <v>1</v>
      </c>
      <c r="N497" s="2">
        <f>YEAR(B497)</f>
        <v>2026</v>
      </c>
      <c r="O497" t="str">
        <f>INDEX(Agences!$C:$C,MATCH(F497,Agences!$A:$A,0))</f>
        <v>Ouest</v>
      </c>
      <c r="P497" t="str">
        <f>INDEX(Produits!$C:$C,MATCH(H497,Produits!$A:$A,0))</f>
        <v>Informatique</v>
      </c>
      <c r="Q497" s="3">
        <f>I497*INDEX(Produits!$E:$E,MATCH(H497,Produits!$A:$A,0))</f>
        <v>826.1999999999999</v>
      </c>
      <c r="R497" s="3">
        <f>L497-Q497</f>
        <v>193.80000000000007</v>
      </c>
      <c r="S497" s="2">
        <f>NETWORKDAYS(B497,C497)-1</f>
        <v>2</v>
      </c>
      <c r="T497" s="1">
        <f>WORKDAY(B497,5)</f>
        <v>46218</v>
      </c>
      <c r="U497" t="b">
        <f>C497&gt;T497</f>
        <v>0</v>
      </c>
    </row>
    <row r="498" spans="1:21" x14ac:dyDescent="0.25">
      <c r="A498" t="s">
        <v>531</v>
      </c>
      <c r="B498" s="1">
        <v>46211</v>
      </c>
      <c r="C498" s="1">
        <v>46213</v>
      </c>
      <c r="D498" t="s">
        <v>532</v>
      </c>
      <c r="E498" t="s">
        <v>165</v>
      </c>
      <c r="F498" t="s">
        <v>166</v>
      </c>
      <c r="G498" t="s">
        <v>248</v>
      </c>
      <c r="H498" t="s">
        <v>83</v>
      </c>
      <c r="I498" s="2">
        <v>2</v>
      </c>
      <c r="J498" s="3">
        <v>49</v>
      </c>
      <c r="K498" s="4">
        <v>0</v>
      </c>
      <c r="L498" s="3">
        <v>98</v>
      </c>
      <c r="M498" t="b">
        <v>1</v>
      </c>
      <c r="N498" s="2">
        <f>YEAR(B498)</f>
        <v>2026</v>
      </c>
      <c r="O498" t="str">
        <f>INDEX(Agences!$C:$C,MATCH(F498,Agences!$A:$A,0))</f>
        <v>Ouest</v>
      </c>
      <c r="P498" t="str">
        <f>INDEX(Produits!$C:$C,MATCH(H498,Produits!$A:$A,0))</f>
        <v>Mobilier</v>
      </c>
      <c r="Q498" s="3">
        <f>I498*INDEX(Produits!$E:$E,MATCH(H498,Produits!$A:$A,0))</f>
        <v>56.84</v>
      </c>
      <c r="R498" s="3">
        <f>L498-Q498</f>
        <v>41.16</v>
      </c>
      <c r="S498" s="2">
        <f>NETWORKDAYS(B498,C498)-1</f>
        <v>2</v>
      </c>
      <c r="T498" s="1">
        <f>WORKDAY(B498,5)</f>
        <v>46218</v>
      </c>
      <c r="U498" t="b">
        <f>C498&gt;T498</f>
        <v>0</v>
      </c>
    </row>
    <row r="499" spans="1:21" x14ac:dyDescent="0.25">
      <c r="A499" t="s">
        <v>533</v>
      </c>
      <c r="B499" s="1">
        <v>46211</v>
      </c>
      <c r="C499" s="1">
        <v>46212</v>
      </c>
      <c r="D499" t="s">
        <v>321</v>
      </c>
      <c r="E499" t="s">
        <v>38</v>
      </c>
      <c r="F499" t="s">
        <v>39</v>
      </c>
      <c r="G499" t="s">
        <v>40</v>
      </c>
      <c r="H499" t="s">
        <v>48</v>
      </c>
      <c r="I499" s="2">
        <v>3</v>
      </c>
      <c r="J499" s="3">
        <v>165</v>
      </c>
      <c r="K499" s="4">
        <v>0</v>
      </c>
      <c r="L499" s="3">
        <v>495</v>
      </c>
      <c r="M499" t="b">
        <v>1</v>
      </c>
      <c r="N499" s="2">
        <f>YEAR(B499)</f>
        <v>2026</v>
      </c>
      <c r="O499" t="str">
        <f>INDEX(Agences!$C:$C,MATCH(F499,Agences!$A:$A,0))</f>
        <v>Sud-Ouest</v>
      </c>
      <c r="P499" t="str">
        <f>INDEX(Produits!$C:$C,MATCH(H499,Produits!$A:$A,0))</f>
        <v>Mobilier</v>
      </c>
      <c r="Q499" s="3">
        <f>I499*INDEX(Produits!$E:$E,MATCH(H499,Produits!$A:$A,0))</f>
        <v>321.75</v>
      </c>
      <c r="R499" s="3">
        <f>L499-Q499</f>
        <v>173.25</v>
      </c>
      <c r="S499" s="2">
        <f>NETWORKDAYS(B499,C499)-1</f>
        <v>1</v>
      </c>
      <c r="T499" s="1">
        <f>WORKDAY(B499,5)</f>
        <v>46218</v>
      </c>
      <c r="U499" t="b">
        <f>C499&gt;T499</f>
        <v>0</v>
      </c>
    </row>
    <row r="500" spans="1:21" x14ac:dyDescent="0.25">
      <c r="A500" t="s">
        <v>533</v>
      </c>
      <c r="B500" s="1">
        <v>46211</v>
      </c>
      <c r="C500" s="1">
        <v>46212</v>
      </c>
      <c r="D500" t="s">
        <v>321</v>
      </c>
      <c r="E500" t="s">
        <v>38</v>
      </c>
      <c r="F500" t="s">
        <v>39</v>
      </c>
      <c r="G500" t="s">
        <v>40</v>
      </c>
      <c r="H500" t="s">
        <v>108</v>
      </c>
      <c r="I500" s="2">
        <v>15</v>
      </c>
      <c r="J500" s="3">
        <v>24.5</v>
      </c>
      <c r="K500" s="4">
        <v>0</v>
      </c>
      <c r="L500" s="3">
        <v>367.5</v>
      </c>
      <c r="M500" t="b">
        <v>1</v>
      </c>
      <c r="N500" s="2">
        <f>YEAR(B500)</f>
        <v>2026</v>
      </c>
      <c r="O500" t="str">
        <f>INDEX(Agences!$C:$C,MATCH(F500,Agences!$A:$A,0))</f>
        <v>Sud-Ouest</v>
      </c>
      <c r="P500" t="str">
        <f>INDEX(Produits!$C:$C,MATCH(H500,Produits!$A:$A,0))</f>
        <v>Fournitures</v>
      </c>
      <c r="Q500" s="3">
        <f>I500*INDEX(Produits!$E:$E,MATCH(H500,Produits!$A:$A,0))</f>
        <v>220.5</v>
      </c>
      <c r="R500" s="3">
        <f>L500-Q500</f>
        <v>147</v>
      </c>
      <c r="S500" s="2">
        <f>NETWORKDAYS(B500,C500)-1</f>
        <v>1</v>
      </c>
      <c r="T500" s="1">
        <f>WORKDAY(B500,5)</f>
        <v>46218</v>
      </c>
      <c r="U500" t="b">
        <f>C500&gt;T500</f>
        <v>0</v>
      </c>
    </row>
    <row r="501" spans="1:21" x14ac:dyDescent="0.25">
      <c r="A501" t="s">
        <v>534</v>
      </c>
      <c r="B501" s="1">
        <v>46210</v>
      </c>
      <c r="C501" s="1">
        <v>46213</v>
      </c>
      <c r="D501" t="s">
        <v>535</v>
      </c>
      <c r="E501" t="s">
        <v>236</v>
      </c>
      <c r="F501" t="s">
        <v>39</v>
      </c>
      <c r="G501" t="s">
        <v>131</v>
      </c>
      <c r="H501" t="s">
        <v>83</v>
      </c>
      <c r="I501" s="2">
        <v>8</v>
      </c>
      <c r="J501" s="3">
        <v>49</v>
      </c>
      <c r="K501" s="4">
        <v>0</v>
      </c>
      <c r="L501" s="3">
        <v>392</v>
      </c>
      <c r="M501" t="b">
        <v>1</v>
      </c>
      <c r="N501" s="2">
        <f>YEAR(B501)</f>
        <v>2026</v>
      </c>
      <c r="O501" t="str">
        <f>INDEX(Agences!$C:$C,MATCH(F501,Agences!$A:$A,0))</f>
        <v>Sud-Ouest</v>
      </c>
      <c r="P501" t="str">
        <f>INDEX(Produits!$C:$C,MATCH(H501,Produits!$A:$A,0))</f>
        <v>Mobilier</v>
      </c>
      <c r="Q501" s="3">
        <f>I501*INDEX(Produits!$E:$E,MATCH(H501,Produits!$A:$A,0))</f>
        <v>227.36</v>
      </c>
      <c r="R501" s="3">
        <f>L501-Q501</f>
        <v>164.64</v>
      </c>
      <c r="S501" s="2">
        <f>NETWORKDAYS(B501,C501)-1</f>
        <v>3</v>
      </c>
      <c r="T501" s="1">
        <f>WORKDAY(B501,5)</f>
        <v>46217</v>
      </c>
      <c r="U501" t="b">
        <f>C501&gt;T501</f>
        <v>0</v>
      </c>
    </row>
    <row r="502" spans="1:21" x14ac:dyDescent="0.25">
      <c r="A502" t="s">
        <v>534</v>
      </c>
      <c r="B502" s="1">
        <v>46210</v>
      </c>
      <c r="C502" s="1">
        <v>46213</v>
      </c>
      <c r="D502" t="s">
        <v>535</v>
      </c>
      <c r="E502" t="s">
        <v>236</v>
      </c>
      <c r="F502" t="s">
        <v>39</v>
      </c>
      <c r="G502" t="s">
        <v>131</v>
      </c>
      <c r="H502" t="s">
        <v>57</v>
      </c>
      <c r="I502" s="2">
        <v>4</v>
      </c>
      <c r="J502" s="3">
        <v>149</v>
      </c>
      <c r="K502" s="4">
        <v>0</v>
      </c>
      <c r="L502" s="3">
        <v>596</v>
      </c>
      <c r="M502" t="b">
        <v>1</v>
      </c>
      <c r="N502" s="2">
        <f>YEAR(B502)</f>
        <v>2026</v>
      </c>
      <c r="O502" t="str">
        <f>INDEX(Agences!$C:$C,MATCH(F502,Agences!$A:$A,0))</f>
        <v>Sud-Ouest</v>
      </c>
      <c r="P502" t="str">
        <f>INDEX(Produits!$C:$C,MATCH(H502,Produits!$A:$A,0))</f>
        <v>Informatique</v>
      </c>
      <c r="Q502" s="3">
        <f>I502*INDEX(Produits!$E:$E,MATCH(H502,Produits!$A:$A,0))</f>
        <v>458.92</v>
      </c>
      <c r="R502" s="3">
        <f>L502-Q502</f>
        <v>137.07999999999998</v>
      </c>
      <c r="S502" s="2">
        <f>NETWORKDAYS(B502,C502)-1</f>
        <v>3</v>
      </c>
      <c r="T502" s="1">
        <f>WORKDAY(B502,5)</f>
        <v>46217</v>
      </c>
      <c r="U502" t="b">
        <f>C502&gt;T502</f>
        <v>0</v>
      </c>
    </row>
    <row r="503" spans="1:21" x14ac:dyDescent="0.25">
      <c r="A503" t="s">
        <v>536</v>
      </c>
      <c r="B503" s="1">
        <v>46210</v>
      </c>
      <c r="C503" s="1">
        <v>46217</v>
      </c>
      <c r="D503" t="s">
        <v>239</v>
      </c>
      <c r="E503" t="s">
        <v>87</v>
      </c>
      <c r="F503" t="s">
        <v>88</v>
      </c>
      <c r="G503" t="s">
        <v>226</v>
      </c>
      <c r="H503" t="s">
        <v>103</v>
      </c>
      <c r="I503" s="2">
        <v>1</v>
      </c>
      <c r="J503" s="3">
        <v>245</v>
      </c>
      <c r="K503" s="4">
        <v>0</v>
      </c>
      <c r="L503" s="3">
        <v>245</v>
      </c>
      <c r="M503" t="b">
        <v>1</v>
      </c>
      <c r="N503" s="2">
        <f>YEAR(B503)</f>
        <v>2026</v>
      </c>
      <c r="O503" t="str">
        <f>INDEX(Agences!$C:$C,MATCH(F503,Agences!$A:$A,0))</f>
        <v>Sud-Ouest</v>
      </c>
      <c r="P503" t="str">
        <f>INDEX(Produits!$C:$C,MATCH(H503,Produits!$A:$A,0))</f>
        <v>Mobilier</v>
      </c>
      <c r="Q503" s="3">
        <f>I503*INDEX(Produits!$E:$E,MATCH(H503,Produits!$A:$A,0))</f>
        <v>164.15</v>
      </c>
      <c r="R503" s="3">
        <f>L503-Q503</f>
        <v>80.85</v>
      </c>
      <c r="S503" s="2">
        <f>NETWORKDAYS(B503,C503)-1</f>
        <v>5</v>
      </c>
      <c r="T503" s="1">
        <f>WORKDAY(B503,5)</f>
        <v>46217</v>
      </c>
      <c r="U503" t="b">
        <f>C503&gt;T503</f>
        <v>0</v>
      </c>
    </row>
    <row r="504" spans="1:21" x14ac:dyDescent="0.25">
      <c r="A504" t="s">
        <v>537</v>
      </c>
      <c r="B504" s="1">
        <v>46210</v>
      </c>
      <c r="C504" s="1">
        <v>46213</v>
      </c>
      <c r="D504" t="s">
        <v>538</v>
      </c>
      <c r="E504" t="s">
        <v>157</v>
      </c>
      <c r="F504" t="s">
        <v>46</v>
      </c>
      <c r="G504" t="s">
        <v>47</v>
      </c>
      <c r="H504" t="s">
        <v>50</v>
      </c>
      <c r="I504" s="2">
        <v>1</v>
      </c>
      <c r="J504" s="3">
        <v>69</v>
      </c>
      <c r="K504" s="4">
        <v>0</v>
      </c>
      <c r="L504" s="3">
        <v>69</v>
      </c>
      <c r="M504" t="b">
        <v>1</v>
      </c>
      <c r="N504" s="2">
        <f>YEAR(B504)</f>
        <v>2026</v>
      </c>
      <c r="O504" t="str">
        <f>INDEX(Agences!$C:$C,MATCH(F504,Agences!$A:$A,0))</f>
        <v>Est</v>
      </c>
      <c r="P504" t="str">
        <f>INDEX(Produits!$C:$C,MATCH(H504,Produits!$A:$A,0))</f>
        <v>Informatique</v>
      </c>
      <c r="Q504" s="3">
        <f>I504*INDEX(Produits!$E:$E,MATCH(H504,Produits!$A:$A,0))</f>
        <v>54.51</v>
      </c>
      <c r="R504" s="3">
        <f>L504-Q504</f>
        <v>14.490000000000002</v>
      </c>
      <c r="S504" s="2">
        <f>NETWORKDAYS(B504,C504)-1</f>
        <v>3</v>
      </c>
      <c r="T504" s="1">
        <f>WORKDAY(B504,5)</f>
        <v>46217</v>
      </c>
      <c r="U504" t="b">
        <f>C504&gt;T504</f>
        <v>0</v>
      </c>
    </row>
    <row r="505" spans="1:21" x14ac:dyDescent="0.25">
      <c r="A505" t="s">
        <v>539</v>
      </c>
      <c r="B505" s="1">
        <v>46210</v>
      </c>
      <c r="C505" s="1">
        <v>46212</v>
      </c>
      <c r="D505" t="s">
        <v>315</v>
      </c>
      <c r="E505" t="s">
        <v>316</v>
      </c>
      <c r="F505" t="s">
        <v>46</v>
      </c>
      <c r="G505" t="s">
        <v>158</v>
      </c>
      <c r="H505" t="s">
        <v>162</v>
      </c>
      <c r="I505" s="2">
        <v>2</v>
      </c>
      <c r="J505" s="3">
        <v>289</v>
      </c>
      <c r="K505" s="4">
        <v>0</v>
      </c>
      <c r="L505" s="3">
        <v>578</v>
      </c>
      <c r="M505" t="b">
        <v>1</v>
      </c>
      <c r="N505" s="2">
        <f>YEAR(B505)</f>
        <v>2026</v>
      </c>
      <c r="O505" t="str">
        <f>INDEX(Agences!$C:$C,MATCH(F505,Agences!$A:$A,0))</f>
        <v>Est</v>
      </c>
      <c r="P505" t="str">
        <f>INDEX(Produits!$C:$C,MATCH(H505,Produits!$A:$A,0))</f>
        <v>Mobilier</v>
      </c>
      <c r="Q505" s="3">
        <f>I505*INDEX(Produits!$E:$E,MATCH(H505,Produits!$A:$A,0))</f>
        <v>387.26</v>
      </c>
      <c r="R505" s="3">
        <f>L505-Q505</f>
        <v>190.74</v>
      </c>
      <c r="S505" s="2">
        <f>NETWORKDAYS(B505,C505)-1</f>
        <v>2</v>
      </c>
      <c r="T505" s="1">
        <f>WORKDAY(B505,5)</f>
        <v>46217</v>
      </c>
      <c r="U505" t="b">
        <f>C505&gt;T505</f>
        <v>0</v>
      </c>
    </row>
    <row r="506" spans="1:21" x14ac:dyDescent="0.25">
      <c r="A506" t="s">
        <v>539</v>
      </c>
      <c r="B506" s="1">
        <v>46210</v>
      </c>
      <c r="C506" s="1">
        <v>46212</v>
      </c>
      <c r="D506" t="s">
        <v>315</v>
      </c>
      <c r="E506" t="s">
        <v>316</v>
      </c>
      <c r="F506" t="s">
        <v>46</v>
      </c>
      <c r="G506" t="s">
        <v>158</v>
      </c>
      <c r="H506" t="s">
        <v>127</v>
      </c>
      <c r="I506" s="2">
        <v>1</v>
      </c>
      <c r="J506" s="3">
        <v>649</v>
      </c>
      <c r="K506" s="4">
        <v>0.02</v>
      </c>
      <c r="L506" s="3">
        <v>636.02</v>
      </c>
      <c r="M506" t="b">
        <v>1</v>
      </c>
      <c r="N506" s="2">
        <f>YEAR(B506)</f>
        <v>2026</v>
      </c>
      <c r="O506" t="str">
        <f>INDEX(Agences!$C:$C,MATCH(F506,Agences!$A:$A,0))</f>
        <v>Est</v>
      </c>
      <c r="P506" t="str">
        <f>INDEX(Produits!$C:$C,MATCH(H506,Produits!$A:$A,0))</f>
        <v>Informatique</v>
      </c>
      <c r="Q506" s="3">
        <f>I506*INDEX(Produits!$E:$E,MATCH(H506,Produits!$A:$A,0))</f>
        <v>480.26</v>
      </c>
      <c r="R506" s="3">
        <f>L506-Q506</f>
        <v>155.76</v>
      </c>
      <c r="S506" s="2">
        <f>NETWORKDAYS(B506,C506)-1</f>
        <v>2</v>
      </c>
      <c r="T506" s="1">
        <f>WORKDAY(B506,5)</f>
        <v>46217</v>
      </c>
      <c r="U506" t="b">
        <f>C506&gt;T506</f>
        <v>0</v>
      </c>
    </row>
    <row r="507" spans="1:21" x14ac:dyDescent="0.25">
      <c r="A507" t="s">
        <v>540</v>
      </c>
      <c r="B507" s="1">
        <v>46209</v>
      </c>
      <c r="C507" s="1">
        <v>46213</v>
      </c>
      <c r="D507" t="s">
        <v>541</v>
      </c>
      <c r="E507" t="s">
        <v>339</v>
      </c>
      <c r="F507" t="s">
        <v>31</v>
      </c>
      <c r="G507" t="s">
        <v>186</v>
      </c>
      <c r="H507" t="s">
        <v>107</v>
      </c>
      <c r="I507" s="2">
        <v>1</v>
      </c>
      <c r="J507" s="3">
        <v>99</v>
      </c>
      <c r="K507" s="4">
        <v>0.08</v>
      </c>
      <c r="L507" s="3">
        <v>91.08</v>
      </c>
      <c r="M507" t="b">
        <v>1</v>
      </c>
      <c r="N507" s="2">
        <f>YEAR(B507)</f>
        <v>2026</v>
      </c>
      <c r="O507" t="str">
        <f>INDEX(Agences!$C:$C,MATCH(F507,Agences!$A:$A,0))</f>
        <v>Ouest</v>
      </c>
      <c r="P507" t="str">
        <f>INDEX(Produits!$C:$C,MATCH(H507,Produits!$A:$A,0))</f>
        <v>Informatique</v>
      </c>
      <c r="Q507" s="3">
        <f>I507*INDEX(Produits!$E:$E,MATCH(H507,Produits!$A:$A,0))</f>
        <v>75.24</v>
      </c>
      <c r="R507" s="3">
        <f>L507-Q507</f>
        <v>15.840000000000003</v>
      </c>
      <c r="S507" s="2">
        <f>NETWORKDAYS(B507,C507)-1</f>
        <v>4</v>
      </c>
      <c r="T507" s="1">
        <f>WORKDAY(B507,5)</f>
        <v>46216</v>
      </c>
      <c r="U507" t="b">
        <f>C507&gt;T507</f>
        <v>0</v>
      </c>
    </row>
    <row r="508" spans="1:21" x14ac:dyDescent="0.25">
      <c r="A508" t="s">
        <v>542</v>
      </c>
      <c r="B508" s="1">
        <v>46209</v>
      </c>
      <c r="C508" s="1">
        <v>46212</v>
      </c>
      <c r="D508" t="s">
        <v>543</v>
      </c>
      <c r="E508" t="s">
        <v>130</v>
      </c>
      <c r="F508" t="s">
        <v>39</v>
      </c>
      <c r="G508" t="s">
        <v>322</v>
      </c>
      <c r="H508" t="s">
        <v>107</v>
      </c>
      <c r="I508" s="2">
        <v>3</v>
      </c>
      <c r="J508" s="3">
        <v>99</v>
      </c>
      <c r="K508" s="4">
        <v>0</v>
      </c>
      <c r="L508" s="3">
        <v>297</v>
      </c>
      <c r="M508" t="b">
        <v>1</v>
      </c>
      <c r="N508" s="2">
        <f>YEAR(B508)</f>
        <v>2026</v>
      </c>
      <c r="O508" t="str">
        <f>INDEX(Agences!$C:$C,MATCH(F508,Agences!$A:$A,0))</f>
        <v>Sud-Ouest</v>
      </c>
      <c r="P508" t="str">
        <f>INDEX(Produits!$C:$C,MATCH(H508,Produits!$A:$A,0))</f>
        <v>Informatique</v>
      </c>
      <c r="Q508" s="3">
        <f>I508*INDEX(Produits!$E:$E,MATCH(H508,Produits!$A:$A,0))</f>
        <v>225.71999999999997</v>
      </c>
      <c r="R508" s="3">
        <f>L508-Q508</f>
        <v>71.28000000000003</v>
      </c>
      <c r="S508" s="2">
        <f>NETWORKDAYS(B508,C508)-1</f>
        <v>3</v>
      </c>
      <c r="T508" s="1">
        <f>WORKDAY(B508,5)</f>
        <v>46216</v>
      </c>
      <c r="U508" t="b">
        <f>C508&gt;T508</f>
        <v>0</v>
      </c>
    </row>
    <row r="509" spans="1:21" x14ac:dyDescent="0.25">
      <c r="A509" t="s">
        <v>544</v>
      </c>
      <c r="B509" s="1">
        <v>46209</v>
      </c>
      <c r="C509" s="1">
        <v>46212</v>
      </c>
      <c r="D509" t="s">
        <v>545</v>
      </c>
      <c r="E509" t="s">
        <v>449</v>
      </c>
      <c r="F509" t="s">
        <v>94</v>
      </c>
      <c r="G509" t="s">
        <v>154</v>
      </c>
      <c r="H509" t="s">
        <v>50</v>
      </c>
      <c r="I509" s="2">
        <v>2</v>
      </c>
      <c r="J509" s="3">
        <v>69</v>
      </c>
      <c r="K509" s="4">
        <v>0.08</v>
      </c>
      <c r="L509" s="3">
        <v>126.96</v>
      </c>
      <c r="M509" t="b">
        <v>1</v>
      </c>
      <c r="N509" s="2">
        <f>YEAR(B509)</f>
        <v>2026</v>
      </c>
      <c r="O509" t="str">
        <f>INDEX(Agences!$C:$C,MATCH(F509,Agences!$A:$A,0))</f>
        <v>Méditerranée</v>
      </c>
      <c r="P509" t="str">
        <f>INDEX(Produits!$C:$C,MATCH(H509,Produits!$A:$A,0))</f>
        <v>Informatique</v>
      </c>
      <c r="Q509" s="3">
        <f>I509*INDEX(Produits!$E:$E,MATCH(H509,Produits!$A:$A,0))</f>
        <v>109.02</v>
      </c>
      <c r="R509" s="3">
        <f>L509-Q509</f>
        <v>17.939999999999998</v>
      </c>
      <c r="S509" s="2">
        <f>NETWORKDAYS(B509,C509)-1</f>
        <v>3</v>
      </c>
      <c r="T509" s="1">
        <f>WORKDAY(B509,5)</f>
        <v>46216</v>
      </c>
      <c r="U509" t="b">
        <f>C509&gt;T509</f>
        <v>0</v>
      </c>
    </row>
    <row r="510" spans="1:21" x14ac:dyDescent="0.25">
      <c r="A510" t="s">
        <v>546</v>
      </c>
      <c r="B510" s="1">
        <v>46209</v>
      </c>
      <c r="C510" s="1">
        <v>46216</v>
      </c>
      <c r="D510" t="s">
        <v>530</v>
      </c>
      <c r="E510" t="s">
        <v>242</v>
      </c>
      <c r="F510" t="s">
        <v>94</v>
      </c>
      <c r="G510" t="s">
        <v>95</v>
      </c>
      <c r="H510" t="s">
        <v>64</v>
      </c>
      <c r="I510" s="2">
        <v>15</v>
      </c>
      <c r="J510" s="3">
        <v>16.8</v>
      </c>
      <c r="K510" s="4">
        <v>0</v>
      </c>
      <c r="L510" s="3">
        <v>252</v>
      </c>
      <c r="M510" t="b">
        <v>1</v>
      </c>
      <c r="N510" s="2">
        <f>YEAR(B510)</f>
        <v>2026</v>
      </c>
      <c r="O510" t="str">
        <f>INDEX(Agences!$C:$C,MATCH(F510,Agences!$A:$A,0))</f>
        <v>Méditerranée</v>
      </c>
      <c r="P510" t="str">
        <f>INDEX(Produits!$C:$C,MATCH(H510,Produits!$A:$A,0))</f>
        <v>Fournitures</v>
      </c>
      <c r="Q510" s="3">
        <f>I510*INDEX(Produits!$E:$E,MATCH(H510,Produits!$A:$A,0))</f>
        <v>131.1</v>
      </c>
      <c r="R510" s="3">
        <f>L510-Q510</f>
        <v>120.9</v>
      </c>
      <c r="S510" s="2">
        <f>NETWORKDAYS(B510,C510)-1</f>
        <v>5</v>
      </c>
      <c r="T510" s="1">
        <f>WORKDAY(B510,5)</f>
        <v>46216</v>
      </c>
      <c r="U510" t="b">
        <f>C510&gt;T510</f>
        <v>0</v>
      </c>
    </row>
    <row r="511" spans="1:21" x14ac:dyDescent="0.25">
      <c r="A511" t="s">
        <v>546</v>
      </c>
      <c r="B511" s="1">
        <v>46209</v>
      </c>
      <c r="C511" s="1">
        <v>46216</v>
      </c>
      <c r="D511" t="s">
        <v>530</v>
      </c>
      <c r="E511" t="s">
        <v>242</v>
      </c>
      <c r="F511" t="s">
        <v>94</v>
      </c>
      <c r="G511" t="s">
        <v>95</v>
      </c>
      <c r="H511" t="s">
        <v>51</v>
      </c>
      <c r="I511" s="2">
        <v>2</v>
      </c>
      <c r="J511" s="3">
        <v>180</v>
      </c>
      <c r="K511" s="4">
        <v>0.02</v>
      </c>
      <c r="L511" s="3">
        <v>352.8</v>
      </c>
      <c r="M511" t="b">
        <v>1</v>
      </c>
      <c r="N511" s="2">
        <f>YEAR(B511)</f>
        <v>2026</v>
      </c>
      <c r="O511" t="str">
        <f>INDEX(Agences!$C:$C,MATCH(F511,Agences!$A:$A,0))</f>
        <v>Méditerranée</v>
      </c>
      <c r="P511" t="str">
        <f>INDEX(Produits!$C:$C,MATCH(H511,Produits!$A:$A,0))</f>
        <v>Maintenance</v>
      </c>
      <c r="Q511" s="3">
        <f>I511*INDEX(Produits!$E:$E,MATCH(H511,Produits!$A:$A,0))</f>
        <v>165.6</v>
      </c>
      <c r="R511" s="3">
        <f>L511-Q511</f>
        <v>187.20000000000002</v>
      </c>
      <c r="S511" s="2">
        <f>NETWORKDAYS(B511,C511)-1</f>
        <v>5</v>
      </c>
      <c r="T511" s="1">
        <f>WORKDAY(B511,5)</f>
        <v>46216</v>
      </c>
      <c r="U511" t="b">
        <f>C511&gt;T511</f>
        <v>0</v>
      </c>
    </row>
    <row r="512" spans="1:21" x14ac:dyDescent="0.25">
      <c r="A512" t="s">
        <v>547</v>
      </c>
      <c r="B512" s="1">
        <v>46209</v>
      </c>
      <c r="C512" s="1">
        <v>46210</v>
      </c>
      <c r="D512" t="s">
        <v>548</v>
      </c>
      <c r="E512" t="s">
        <v>45</v>
      </c>
      <c r="F512" t="s">
        <v>46</v>
      </c>
      <c r="G512" t="s">
        <v>111</v>
      </c>
      <c r="H512" t="s">
        <v>48</v>
      </c>
      <c r="I512" s="2">
        <v>3</v>
      </c>
      <c r="J512" s="3">
        <v>165</v>
      </c>
      <c r="K512" s="4">
        <v>0.05</v>
      </c>
      <c r="L512" s="3">
        <v>470.25</v>
      </c>
      <c r="M512" t="b">
        <v>1</v>
      </c>
      <c r="N512" s="2">
        <f>YEAR(B512)</f>
        <v>2026</v>
      </c>
      <c r="O512" t="str">
        <f>INDEX(Agences!$C:$C,MATCH(F512,Agences!$A:$A,0))</f>
        <v>Est</v>
      </c>
      <c r="P512" t="str">
        <f>INDEX(Produits!$C:$C,MATCH(H512,Produits!$A:$A,0))</f>
        <v>Mobilier</v>
      </c>
      <c r="Q512" s="3">
        <f>I512*INDEX(Produits!$E:$E,MATCH(H512,Produits!$A:$A,0))</f>
        <v>321.75</v>
      </c>
      <c r="R512" s="3">
        <f>L512-Q512</f>
        <v>148.5</v>
      </c>
      <c r="S512" s="2">
        <f>NETWORKDAYS(B512,C512)-1</f>
        <v>1</v>
      </c>
      <c r="T512" s="1">
        <f>WORKDAY(B512,5)</f>
        <v>46216</v>
      </c>
      <c r="U512" t="b">
        <f>C512&gt;T512</f>
        <v>0</v>
      </c>
    </row>
    <row r="513" spans="1:21" x14ac:dyDescent="0.25">
      <c r="A513" t="s">
        <v>547</v>
      </c>
      <c r="B513" s="1">
        <v>46209</v>
      </c>
      <c r="C513" s="1">
        <v>46210</v>
      </c>
      <c r="D513" t="s">
        <v>548</v>
      </c>
      <c r="E513" t="s">
        <v>45</v>
      </c>
      <c r="F513" t="s">
        <v>46</v>
      </c>
      <c r="G513" t="s">
        <v>111</v>
      </c>
      <c r="H513" t="s">
        <v>49</v>
      </c>
      <c r="I513" s="2">
        <v>2</v>
      </c>
      <c r="J513" s="3">
        <v>120</v>
      </c>
      <c r="K513" s="4">
        <v>0.05</v>
      </c>
      <c r="L513" s="3">
        <v>228</v>
      </c>
      <c r="M513" t="b">
        <v>1</v>
      </c>
      <c r="N513" s="2">
        <f>YEAR(B513)</f>
        <v>2026</v>
      </c>
      <c r="O513" t="str">
        <f>INDEX(Agences!$C:$C,MATCH(F513,Agences!$A:$A,0))</f>
        <v>Est</v>
      </c>
      <c r="P513" t="str">
        <f>INDEX(Produits!$C:$C,MATCH(H513,Produits!$A:$A,0))</f>
        <v>Maintenance</v>
      </c>
      <c r="Q513" s="3">
        <f>I513*INDEX(Produits!$E:$E,MATCH(H513,Produits!$A:$A,0))</f>
        <v>110.4</v>
      </c>
      <c r="R513" s="3">
        <f>L513-Q513</f>
        <v>117.6</v>
      </c>
      <c r="S513" s="2">
        <f>NETWORKDAYS(B513,C513)-1</f>
        <v>1</v>
      </c>
      <c r="T513" s="1">
        <f>WORKDAY(B513,5)</f>
        <v>46216</v>
      </c>
      <c r="U513" t="b">
        <f>C513&gt;T513</f>
        <v>0</v>
      </c>
    </row>
    <row r="514" spans="1:21" x14ac:dyDescent="0.25">
      <c r="A514" t="s">
        <v>547</v>
      </c>
      <c r="B514" s="1">
        <v>46209</v>
      </c>
      <c r="C514" s="1">
        <v>46210</v>
      </c>
      <c r="D514" t="s">
        <v>548</v>
      </c>
      <c r="E514" t="s">
        <v>45</v>
      </c>
      <c r="F514" t="s">
        <v>46</v>
      </c>
      <c r="G514" t="s">
        <v>111</v>
      </c>
      <c r="H514" t="s">
        <v>83</v>
      </c>
      <c r="I514" s="2">
        <v>1</v>
      </c>
      <c r="J514" s="3">
        <v>49</v>
      </c>
      <c r="K514" s="4">
        <v>0.08</v>
      </c>
      <c r="L514" s="3">
        <v>45.08</v>
      </c>
      <c r="M514" t="b">
        <v>1</v>
      </c>
      <c r="N514" s="2">
        <f>YEAR(B514)</f>
        <v>2026</v>
      </c>
      <c r="O514" t="str">
        <f>INDEX(Agences!$C:$C,MATCH(F514,Agences!$A:$A,0))</f>
        <v>Est</v>
      </c>
      <c r="P514" t="str">
        <f>INDEX(Produits!$C:$C,MATCH(H514,Produits!$A:$A,0))</f>
        <v>Mobilier</v>
      </c>
      <c r="Q514" s="3">
        <f>I514*INDEX(Produits!$E:$E,MATCH(H514,Produits!$A:$A,0))</f>
        <v>28.42</v>
      </c>
      <c r="R514" s="3">
        <f>L514-Q514</f>
        <v>16.659999999999997</v>
      </c>
      <c r="S514" s="2">
        <f>NETWORKDAYS(B514,C514)-1</f>
        <v>1</v>
      </c>
      <c r="T514" s="1">
        <f>WORKDAY(B514,5)</f>
        <v>46216</v>
      </c>
      <c r="U514" t="b">
        <f>C514&gt;T514</f>
        <v>0</v>
      </c>
    </row>
    <row r="515" spans="1:21" x14ac:dyDescent="0.25">
      <c r="A515" t="s">
        <v>547</v>
      </c>
      <c r="B515" s="1">
        <v>46209</v>
      </c>
      <c r="C515" s="1">
        <v>46210</v>
      </c>
      <c r="D515" t="s">
        <v>548</v>
      </c>
      <c r="E515" t="s">
        <v>45</v>
      </c>
      <c r="F515" t="s">
        <v>46</v>
      </c>
      <c r="G515" t="s">
        <v>111</v>
      </c>
      <c r="H515" t="s">
        <v>26</v>
      </c>
      <c r="I515" s="2">
        <v>1</v>
      </c>
      <c r="J515" s="3">
        <v>290</v>
      </c>
      <c r="K515" s="4">
        <v>0</v>
      </c>
      <c r="L515" s="3">
        <v>290</v>
      </c>
      <c r="M515" t="b">
        <v>1</v>
      </c>
      <c r="N515" s="2">
        <f>YEAR(B515)</f>
        <v>2026</v>
      </c>
      <c r="O515" t="str">
        <f>INDEX(Agences!$C:$C,MATCH(F515,Agences!$A:$A,0))</f>
        <v>Est</v>
      </c>
      <c r="P515" t="str">
        <f>INDEX(Produits!$C:$C,MATCH(H515,Produits!$A:$A,0))</f>
        <v>Maintenance</v>
      </c>
      <c r="Q515" s="3">
        <f>I515*INDEX(Produits!$E:$E,MATCH(H515,Produits!$A:$A,0))</f>
        <v>139.2</v>
      </c>
      <c r="R515" s="3">
        <f>L515-Q515</f>
        <v>150.8</v>
      </c>
      <c r="S515" s="2">
        <f>NETWORKDAYS(B515,C515)-1</f>
        <v>1</v>
      </c>
      <c r="T515" s="1">
        <f>WORKDAY(B515,5)</f>
        <v>46216</v>
      </c>
      <c r="U515" t="b">
        <f>C515&gt;T515</f>
        <v>0</v>
      </c>
    </row>
    <row r="516" spans="1:21" x14ac:dyDescent="0.25">
      <c r="A516" t="s">
        <v>549</v>
      </c>
      <c r="B516" s="1">
        <v>46206</v>
      </c>
      <c r="C516" s="1">
        <v>46209</v>
      </c>
      <c r="D516" t="s">
        <v>550</v>
      </c>
      <c r="E516" t="s">
        <v>209</v>
      </c>
      <c r="F516" t="s">
        <v>99</v>
      </c>
      <c r="G516" t="s">
        <v>210</v>
      </c>
      <c r="H516" t="s">
        <v>107</v>
      </c>
      <c r="I516" s="2">
        <v>1</v>
      </c>
      <c r="J516" s="3">
        <v>99</v>
      </c>
      <c r="K516" s="4">
        <v>0</v>
      </c>
      <c r="L516" s="3">
        <v>99</v>
      </c>
      <c r="M516" t="b">
        <v>1</v>
      </c>
      <c r="N516" s="2">
        <f>YEAR(B516)</f>
        <v>2026</v>
      </c>
      <c r="O516" t="str">
        <f>INDEX(Agences!$C:$C,MATCH(F516,Agences!$A:$A,0))</f>
        <v>Nord</v>
      </c>
      <c r="P516" t="str">
        <f>INDEX(Produits!$C:$C,MATCH(H516,Produits!$A:$A,0))</f>
        <v>Informatique</v>
      </c>
      <c r="Q516" s="3">
        <f>I516*INDEX(Produits!$E:$E,MATCH(H516,Produits!$A:$A,0))</f>
        <v>75.24</v>
      </c>
      <c r="R516" s="3">
        <f>L516-Q516</f>
        <v>23.760000000000005</v>
      </c>
      <c r="S516" s="2">
        <f>NETWORKDAYS(B516,C516)-1</f>
        <v>1</v>
      </c>
      <c r="T516" s="1">
        <f>WORKDAY(B516,5)</f>
        <v>46213</v>
      </c>
      <c r="U516" t="b">
        <f>C516&gt;T516</f>
        <v>0</v>
      </c>
    </row>
    <row r="517" spans="1:21" x14ac:dyDescent="0.25">
      <c r="A517" t="s">
        <v>549</v>
      </c>
      <c r="B517" s="1">
        <v>46206</v>
      </c>
      <c r="C517" s="1">
        <v>46209</v>
      </c>
      <c r="D517" t="s">
        <v>550</v>
      </c>
      <c r="E517" t="s">
        <v>209</v>
      </c>
      <c r="F517" t="s">
        <v>99</v>
      </c>
      <c r="G517" t="s">
        <v>210</v>
      </c>
      <c r="H517" t="s">
        <v>108</v>
      </c>
      <c r="I517" s="2">
        <v>15</v>
      </c>
      <c r="J517" s="3">
        <v>24.5</v>
      </c>
      <c r="K517" s="4">
        <v>0</v>
      </c>
      <c r="L517" s="3">
        <v>367.5</v>
      </c>
      <c r="M517" t="b">
        <v>1</v>
      </c>
      <c r="N517" s="2">
        <f>YEAR(B517)</f>
        <v>2026</v>
      </c>
      <c r="O517" t="str">
        <f>INDEX(Agences!$C:$C,MATCH(F517,Agences!$A:$A,0))</f>
        <v>Nord</v>
      </c>
      <c r="P517" t="str">
        <f>INDEX(Produits!$C:$C,MATCH(H517,Produits!$A:$A,0))</f>
        <v>Fournitures</v>
      </c>
      <c r="Q517" s="3">
        <f>I517*INDEX(Produits!$E:$E,MATCH(H517,Produits!$A:$A,0))</f>
        <v>220.5</v>
      </c>
      <c r="R517" s="3">
        <f>L517-Q517</f>
        <v>147</v>
      </c>
      <c r="S517" s="2">
        <f>NETWORKDAYS(B517,C517)-1</f>
        <v>1</v>
      </c>
      <c r="T517" s="1">
        <f>WORKDAY(B517,5)</f>
        <v>46213</v>
      </c>
      <c r="U517" t="b">
        <f>C517&gt;T517</f>
        <v>0</v>
      </c>
    </row>
    <row r="518" spans="1:21" x14ac:dyDescent="0.25">
      <c r="A518" t="s">
        <v>549</v>
      </c>
      <c r="B518" s="1">
        <v>46206</v>
      </c>
      <c r="C518" s="1">
        <v>46209</v>
      </c>
      <c r="D518" t="s">
        <v>550</v>
      </c>
      <c r="E518" t="s">
        <v>209</v>
      </c>
      <c r="F518" t="s">
        <v>99</v>
      </c>
      <c r="G518" t="s">
        <v>210</v>
      </c>
      <c r="H518" t="s">
        <v>50</v>
      </c>
      <c r="I518" s="2">
        <v>1</v>
      </c>
      <c r="J518" s="3">
        <v>69</v>
      </c>
      <c r="K518" s="4">
        <v>0.02</v>
      </c>
      <c r="L518" s="3">
        <v>67.62</v>
      </c>
      <c r="M518" t="b">
        <v>1</v>
      </c>
      <c r="N518" s="2">
        <f>YEAR(B518)</f>
        <v>2026</v>
      </c>
      <c r="O518" t="str">
        <f>INDEX(Agences!$C:$C,MATCH(F518,Agences!$A:$A,0))</f>
        <v>Nord</v>
      </c>
      <c r="P518" t="str">
        <f>INDEX(Produits!$C:$C,MATCH(H518,Produits!$A:$A,0))</f>
        <v>Informatique</v>
      </c>
      <c r="Q518" s="3">
        <f>I518*INDEX(Produits!$E:$E,MATCH(H518,Produits!$A:$A,0))</f>
        <v>54.51</v>
      </c>
      <c r="R518" s="3">
        <f>L518-Q518</f>
        <v>13.110000000000007</v>
      </c>
      <c r="S518" s="2">
        <f>NETWORKDAYS(B518,C518)-1</f>
        <v>1</v>
      </c>
      <c r="T518" s="1">
        <f>WORKDAY(B518,5)</f>
        <v>46213</v>
      </c>
      <c r="U518" t="b">
        <f>C518&gt;T518</f>
        <v>0</v>
      </c>
    </row>
    <row r="519" spans="1:21" x14ac:dyDescent="0.25">
      <c r="A519" t="s">
        <v>551</v>
      </c>
      <c r="B519" s="1">
        <v>46206</v>
      </c>
      <c r="C519" s="1">
        <v>46213</v>
      </c>
      <c r="D519" t="s">
        <v>552</v>
      </c>
      <c r="E519" t="s">
        <v>137</v>
      </c>
      <c r="F519" t="s">
        <v>138</v>
      </c>
      <c r="G519" t="s">
        <v>139</v>
      </c>
      <c r="H519" t="s">
        <v>107</v>
      </c>
      <c r="I519" s="2">
        <v>4</v>
      </c>
      <c r="J519" s="3">
        <v>99</v>
      </c>
      <c r="K519" s="4">
        <v>0</v>
      </c>
      <c r="L519" s="3">
        <v>396</v>
      </c>
      <c r="M519" t="b">
        <v>1</v>
      </c>
      <c r="N519" s="2">
        <f>YEAR(B519)</f>
        <v>2026</v>
      </c>
      <c r="O519" t="str">
        <f>INDEX(Agences!$C:$C,MATCH(F519,Agences!$A:$A,0))</f>
        <v>Île-de-France</v>
      </c>
      <c r="P519" t="str">
        <f>INDEX(Produits!$C:$C,MATCH(H519,Produits!$A:$A,0))</f>
        <v>Informatique</v>
      </c>
      <c r="Q519" s="3">
        <f>I519*INDEX(Produits!$E:$E,MATCH(H519,Produits!$A:$A,0))</f>
        <v>300.96</v>
      </c>
      <c r="R519" s="3">
        <f>L519-Q519</f>
        <v>95.04000000000002</v>
      </c>
      <c r="S519" s="2">
        <f>NETWORKDAYS(B519,C519)-1</f>
        <v>5</v>
      </c>
      <c r="T519" s="1">
        <f>WORKDAY(B519,5)</f>
        <v>46213</v>
      </c>
      <c r="U519" t="b">
        <f>C519&gt;T519</f>
        <v>0</v>
      </c>
    </row>
    <row r="520" spans="1:21" x14ac:dyDescent="0.25">
      <c r="A520" t="s">
        <v>551</v>
      </c>
      <c r="B520" s="1">
        <v>46206</v>
      </c>
      <c r="C520" s="1">
        <v>46213</v>
      </c>
      <c r="D520" t="s">
        <v>552</v>
      </c>
      <c r="E520" t="s">
        <v>137</v>
      </c>
      <c r="F520" t="s">
        <v>138</v>
      </c>
      <c r="G520" t="s">
        <v>139</v>
      </c>
      <c r="H520" t="s">
        <v>79</v>
      </c>
      <c r="I520" s="2">
        <v>15</v>
      </c>
      <c r="J520" s="3">
        <v>14.9</v>
      </c>
      <c r="K520" s="4">
        <v>0</v>
      </c>
      <c r="L520" s="3">
        <v>223.5</v>
      </c>
      <c r="M520" t="b">
        <v>1</v>
      </c>
      <c r="N520" s="2">
        <f>YEAR(B520)</f>
        <v>2026</v>
      </c>
      <c r="O520" t="str">
        <f>INDEX(Agences!$C:$C,MATCH(F520,Agences!$A:$A,0))</f>
        <v>Île-de-France</v>
      </c>
      <c r="P520" t="str">
        <f>INDEX(Produits!$C:$C,MATCH(H520,Produits!$A:$A,0))</f>
        <v>Fournitures</v>
      </c>
      <c r="Q520" s="3">
        <f>I520*INDEX(Produits!$E:$E,MATCH(H520,Produits!$A:$A,0))</f>
        <v>120.75000000000001</v>
      </c>
      <c r="R520" s="3">
        <f>L520-Q520</f>
        <v>102.74999999999999</v>
      </c>
      <c r="S520" s="2">
        <f>NETWORKDAYS(B520,C520)-1</f>
        <v>5</v>
      </c>
      <c r="T520" s="1">
        <f>WORKDAY(B520,5)</f>
        <v>46213</v>
      </c>
      <c r="U520" t="b">
        <f>C520&gt;T520</f>
        <v>0</v>
      </c>
    </row>
    <row r="521" spans="1:21" x14ac:dyDescent="0.25">
      <c r="A521" t="s">
        <v>551</v>
      </c>
      <c r="B521" s="1">
        <v>46206</v>
      </c>
      <c r="C521" s="1">
        <v>46213</v>
      </c>
      <c r="D521" t="s">
        <v>552</v>
      </c>
      <c r="E521" t="s">
        <v>137</v>
      </c>
      <c r="F521" t="s">
        <v>138</v>
      </c>
      <c r="G521" t="s">
        <v>139</v>
      </c>
      <c r="H521" t="s">
        <v>49</v>
      </c>
      <c r="I521" s="2">
        <v>1</v>
      </c>
      <c r="J521" s="3">
        <v>120</v>
      </c>
      <c r="K521" s="4">
        <v>0.02</v>
      </c>
      <c r="L521" s="3">
        <v>117.6</v>
      </c>
      <c r="M521" t="b">
        <v>1</v>
      </c>
      <c r="N521" s="2">
        <f>YEAR(B521)</f>
        <v>2026</v>
      </c>
      <c r="O521" t="str">
        <f>INDEX(Agences!$C:$C,MATCH(F521,Agences!$A:$A,0))</f>
        <v>Île-de-France</v>
      </c>
      <c r="P521" t="str">
        <f>INDEX(Produits!$C:$C,MATCH(H521,Produits!$A:$A,0))</f>
        <v>Maintenance</v>
      </c>
      <c r="Q521" s="3">
        <f>I521*INDEX(Produits!$E:$E,MATCH(H521,Produits!$A:$A,0))</f>
        <v>55.2</v>
      </c>
      <c r="R521" s="3">
        <f>L521-Q521</f>
        <v>62.39999999999999</v>
      </c>
      <c r="S521" s="2">
        <f>NETWORKDAYS(B521,C521)-1</f>
        <v>5</v>
      </c>
      <c r="T521" s="1">
        <f>WORKDAY(B521,5)</f>
        <v>46213</v>
      </c>
      <c r="U521" t="b">
        <f>C521&gt;T521</f>
        <v>0</v>
      </c>
    </row>
    <row r="522" spans="1:21" x14ac:dyDescent="0.25">
      <c r="A522" t="s">
        <v>551</v>
      </c>
      <c r="B522" s="1">
        <v>46206</v>
      </c>
      <c r="C522" s="1">
        <v>46213</v>
      </c>
      <c r="D522" t="s">
        <v>552</v>
      </c>
      <c r="E522" t="s">
        <v>137</v>
      </c>
      <c r="F522" t="s">
        <v>138</v>
      </c>
      <c r="G522" t="s">
        <v>139</v>
      </c>
      <c r="H522" t="s">
        <v>64</v>
      </c>
      <c r="I522" s="2">
        <v>5</v>
      </c>
      <c r="J522" s="3">
        <v>16.8</v>
      </c>
      <c r="K522" s="4">
        <v>0</v>
      </c>
      <c r="L522" s="3">
        <v>84</v>
      </c>
      <c r="M522" t="b">
        <v>1</v>
      </c>
      <c r="N522" s="2">
        <f>YEAR(B522)</f>
        <v>2026</v>
      </c>
      <c r="O522" t="str">
        <f>INDEX(Agences!$C:$C,MATCH(F522,Agences!$A:$A,0))</f>
        <v>Île-de-France</v>
      </c>
      <c r="P522" t="str">
        <f>INDEX(Produits!$C:$C,MATCH(H522,Produits!$A:$A,0))</f>
        <v>Fournitures</v>
      </c>
      <c r="Q522" s="3">
        <f>I522*INDEX(Produits!$E:$E,MATCH(H522,Produits!$A:$A,0))</f>
        <v>43.7</v>
      </c>
      <c r="R522" s="3">
        <f>L522-Q522</f>
        <v>40.3</v>
      </c>
      <c r="S522" s="2">
        <f>NETWORKDAYS(B522,C522)-1</f>
        <v>5</v>
      </c>
      <c r="T522" s="1">
        <f>WORKDAY(B522,5)</f>
        <v>46213</v>
      </c>
      <c r="U522" t="b">
        <f>C522&gt;T522</f>
        <v>0</v>
      </c>
    </row>
    <row r="523" spans="1:21" x14ac:dyDescent="0.25">
      <c r="A523" t="s">
        <v>553</v>
      </c>
      <c r="B523" s="1">
        <v>46206</v>
      </c>
      <c r="C523" s="1">
        <v>46210</v>
      </c>
      <c r="D523" t="s">
        <v>554</v>
      </c>
      <c r="E523" t="s">
        <v>242</v>
      </c>
      <c r="F523" t="s">
        <v>94</v>
      </c>
      <c r="G523" t="s">
        <v>95</v>
      </c>
      <c r="H523" t="s">
        <v>319</v>
      </c>
      <c r="I523" s="2">
        <v>2</v>
      </c>
      <c r="J523" s="3">
        <v>289</v>
      </c>
      <c r="K523" s="4">
        <v>0</v>
      </c>
      <c r="L523" s="3">
        <v>578</v>
      </c>
      <c r="M523" t="b">
        <v>1</v>
      </c>
      <c r="N523" s="2">
        <f>YEAR(B523)</f>
        <v>2026</v>
      </c>
      <c r="O523" t="str">
        <f>INDEX(Agences!$C:$C,MATCH(F523,Agences!$A:$A,0))</f>
        <v>Méditerranée</v>
      </c>
      <c r="P523" t="str">
        <f>INDEX(Produits!$C:$C,MATCH(H523,Produits!$A:$A,0))</f>
        <v>Informatique</v>
      </c>
      <c r="Q523" s="3">
        <f>I523*INDEX(Produits!$E:$E,MATCH(H523,Produits!$A:$A,0))</f>
        <v>427.72</v>
      </c>
      <c r="R523" s="3">
        <f>L523-Q523</f>
        <v>150.27999999999997</v>
      </c>
      <c r="S523" s="2">
        <f>NETWORKDAYS(B523,C523)-1</f>
        <v>2</v>
      </c>
      <c r="T523" s="1">
        <f>WORKDAY(B523,5)</f>
        <v>46213</v>
      </c>
      <c r="U523" t="b">
        <f>C523&gt;T523</f>
        <v>0</v>
      </c>
    </row>
    <row r="524" spans="1:21" x14ac:dyDescent="0.25">
      <c r="A524" t="s">
        <v>553</v>
      </c>
      <c r="B524" s="1">
        <v>46206</v>
      </c>
      <c r="C524" s="1">
        <v>46210</v>
      </c>
      <c r="D524" t="s">
        <v>554</v>
      </c>
      <c r="E524" t="s">
        <v>242</v>
      </c>
      <c r="F524" t="s">
        <v>94</v>
      </c>
      <c r="G524" t="s">
        <v>95</v>
      </c>
      <c r="H524" t="s">
        <v>58</v>
      </c>
      <c r="I524" s="2">
        <v>1</v>
      </c>
      <c r="J524" s="3">
        <v>649</v>
      </c>
      <c r="K524" s="4">
        <v>0.05</v>
      </c>
      <c r="L524" s="3">
        <v>616.55</v>
      </c>
      <c r="M524" t="b">
        <v>1</v>
      </c>
      <c r="N524" s="2">
        <f>YEAR(B524)</f>
        <v>2026</v>
      </c>
      <c r="O524" t="str">
        <f>INDEX(Agences!$C:$C,MATCH(F524,Agences!$A:$A,0))</f>
        <v>Méditerranée</v>
      </c>
      <c r="P524" t="str">
        <f>INDEX(Produits!$C:$C,MATCH(H524,Produits!$A:$A,0))</f>
        <v>Mobilier</v>
      </c>
      <c r="Q524" s="3">
        <f>I524*INDEX(Produits!$E:$E,MATCH(H524,Produits!$A:$A,0))</f>
        <v>408.87</v>
      </c>
      <c r="R524" s="3">
        <f>L524-Q524</f>
        <v>207.67999999999995</v>
      </c>
      <c r="S524" s="2">
        <f>NETWORKDAYS(B524,C524)-1</f>
        <v>2</v>
      </c>
      <c r="T524" s="1">
        <f>WORKDAY(B524,5)</f>
        <v>46213</v>
      </c>
      <c r="U524" t="b">
        <f>C524&gt;T524</f>
        <v>0</v>
      </c>
    </row>
    <row r="525" spans="1:21" x14ac:dyDescent="0.25">
      <c r="A525" t="s">
        <v>555</v>
      </c>
      <c r="B525" s="1">
        <v>46206</v>
      </c>
      <c r="C525" s="1">
        <v>46210</v>
      </c>
      <c r="D525" t="s">
        <v>556</v>
      </c>
      <c r="E525" t="s">
        <v>153</v>
      </c>
      <c r="F525" t="s">
        <v>94</v>
      </c>
      <c r="G525" t="s">
        <v>95</v>
      </c>
      <c r="H525" t="s">
        <v>79</v>
      </c>
      <c r="I525" s="2">
        <v>15</v>
      </c>
      <c r="J525" s="3">
        <v>14.9</v>
      </c>
      <c r="K525" s="4">
        <v>0.05</v>
      </c>
      <c r="L525" s="3">
        <v>212.33</v>
      </c>
      <c r="M525" t="b">
        <v>1</v>
      </c>
      <c r="N525" s="2">
        <f>YEAR(B525)</f>
        <v>2026</v>
      </c>
      <c r="O525" t="str">
        <f>INDEX(Agences!$C:$C,MATCH(F525,Agences!$A:$A,0))</f>
        <v>Méditerranée</v>
      </c>
      <c r="P525" t="str">
        <f>INDEX(Produits!$C:$C,MATCH(H525,Produits!$A:$A,0))</f>
        <v>Fournitures</v>
      </c>
      <c r="Q525" s="3">
        <f>I525*INDEX(Produits!$E:$E,MATCH(H525,Produits!$A:$A,0))</f>
        <v>120.75000000000001</v>
      </c>
      <c r="R525" s="3">
        <f>L525-Q525</f>
        <v>91.58</v>
      </c>
      <c r="S525" s="2">
        <f>NETWORKDAYS(B525,C525)-1</f>
        <v>2</v>
      </c>
      <c r="T525" s="1">
        <f>WORKDAY(B525,5)</f>
        <v>46213</v>
      </c>
      <c r="U525" t="b">
        <f>C525&gt;T525</f>
        <v>0</v>
      </c>
    </row>
    <row r="526" spans="1:21" x14ac:dyDescent="0.25">
      <c r="A526" t="s">
        <v>557</v>
      </c>
      <c r="B526" s="1">
        <v>46206</v>
      </c>
      <c r="C526" s="1">
        <v>46211</v>
      </c>
      <c r="D526" t="s">
        <v>558</v>
      </c>
      <c r="E526" t="s">
        <v>316</v>
      </c>
      <c r="F526" t="s">
        <v>46</v>
      </c>
      <c r="G526" t="s">
        <v>47</v>
      </c>
      <c r="H526" t="s">
        <v>50</v>
      </c>
      <c r="I526" s="2">
        <v>4</v>
      </c>
      <c r="J526" s="3">
        <v>69</v>
      </c>
      <c r="K526" s="4">
        <v>0</v>
      </c>
      <c r="L526" s="3">
        <v>276</v>
      </c>
      <c r="M526" t="b">
        <v>1</v>
      </c>
      <c r="N526" s="2">
        <f>YEAR(B526)</f>
        <v>2026</v>
      </c>
      <c r="O526" t="str">
        <f>INDEX(Agences!$C:$C,MATCH(F526,Agences!$A:$A,0))</f>
        <v>Est</v>
      </c>
      <c r="P526" t="str">
        <f>INDEX(Produits!$C:$C,MATCH(H526,Produits!$A:$A,0))</f>
        <v>Informatique</v>
      </c>
      <c r="Q526" s="3">
        <f>I526*INDEX(Produits!$E:$E,MATCH(H526,Produits!$A:$A,0))</f>
        <v>218.04</v>
      </c>
      <c r="R526" s="3">
        <f>L526-Q526</f>
        <v>57.96000000000001</v>
      </c>
      <c r="S526" s="2">
        <f>NETWORKDAYS(B526,C526)-1</f>
        <v>3</v>
      </c>
      <c r="T526" s="1">
        <f>WORKDAY(B526,5)</f>
        <v>46213</v>
      </c>
      <c r="U526" t="b">
        <f>C526&gt;T526</f>
        <v>0</v>
      </c>
    </row>
    <row r="527" spans="1:21" x14ac:dyDescent="0.25">
      <c r="A527" t="s">
        <v>557</v>
      </c>
      <c r="B527" s="1">
        <v>46206</v>
      </c>
      <c r="C527" s="1">
        <v>46211</v>
      </c>
      <c r="D527" t="s">
        <v>558</v>
      </c>
      <c r="E527" t="s">
        <v>316</v>
      </c>
      <c r="F527" t="s">
        <v>46</v>
      </c>
      <c r="G527" t="s">
        <v>47</v>
      </c>
      <c r="H527" t="s">
        <v>33</v>
      </c>
      <c r="I527" s="2">
        <v>5</v>
      </c>
      <c r="J527" s="3">
        <v>219</v>
      </c>
      <c r="K527" s="4">
        <v>0</v>
      </c>
      <c r="L527" s="3">
        <v>1095</v>
      </c>
      <c r="M527" t="b">
        <v>1</v>
      </c>
      <c r="N527" s="2">
        <f>YEAR(B527)</f>
        <v>2026</v>
      </c>
      <c r="O527" t="str">
        <f>INDEX(Agences!$C:$C,MATCH(F527,Agences!$A:$A,0))</f>
        <v>Est</v>
      </c>
      <c r="P527" t="str">
        <f>INDEX(Produits!$C:$C,MATCH(H527,Produits!$A:$A,0))</f>
        <v>Informatique</v>
      </c>
      <c r="Q527" s="3">
        <f>I527*INDEX(Produits!$E:$E,MATCH(H527,Produits!$A:$A,0))</f>
        <v>897.9000000000001</v>
      </c>
      <c r="R527" s="3">
        <f>L527-Q527</f>
        <v>197.0999999999999</v>
      </c>
      <c r="S527" s="2">
        <f>NETWORKDAYS(B527,C527)-1</f>
        <v>3</v>
      </c>
      <c r="T527" s="1">
        <f>WORKDAY(B527,5)</f>
        <v>46213</v>
      </c>
      <c r="U527" t="b">
        <f>C527&gt;T527</f>
        <v>0</v>
      </c>
    </row>
    <row r="528" spans="1:21" x14ac:dyDescent="0.25">
      <c r="A528" t="s">
        <v>557</v>
      </c>
      <c r="B528" s="1">
        <v>46206</v>
      </c>
      <c r="C528" s="1">
        <v>46211</v>
      </c>
      <c r="D528" t="s">
        <v>558</v>
      </c>
      <c r="E528" t="s">
        <v>316</v>
      </c>
      <c r="F528" t="s">
        <v>46</v>
      </c>
      <c r="G528" t="s">
        <v>47</v>
      </c>
      <c r="H528" t="s">
        <v>27</v>
      </c>
      <c r="I528" s="2">
        <v>3</v>
      </c>
      <c r="J528" s="3">
        <v>310</v>
      </c>
      <c r="K528" s="4">
        <v>0.02</v>
      </c>
      <c r="L528" s="3">
        <v>911.4</v>
      </c>
      <c r="M528" t="b">
        <v>1</v>
      </c>
      <c r="N528" s="2">
        <f>YEAR(B528)</f>
        <v>2026</v>
      </c>
      <c r="O528" t="str">
        <f>INDEX(Agences!$C:$C,MATCH(F528,Agences!$A:$A,0))</f>
        <v>Est</v>
      </c>
      <c r="P528" t="str">
        <f>INDEX(Produits!$C:$C,MATCH(H528,Produits!$A:$A,0))</f>
        <v>Mobilier</v>
      </c>
      <c r="Q528" s="3">
        <f>I528*INDEX(Produits!$E:$E,MATCH(H528,Produits!$A:$A,0))</f>
        <v>558</v>
      </c>
      <c r="R528" s="3">
        <f>L528-Q528</f>
        <v>353.4</v>
      </c>
      <c r="S528" s="2">
        <f>NETWORKDAYS(B528,C528)-1</f>
        <v>3</v>
      </c>
      <c r="T528" s="1">
        <f>WORKDAY(B528,5)</f>
        <v>46213</v>
      </c>
      <c r="U528" t="b">
        <f>C528&gt;T528</f>
        <v>0</v>
      </c>
    </row>
    <row r="529" spans="1:21" x14ac:dyDescent="0.25">
      <c r="A529" t="s">
        <v>557</v>
      </c>
      <c r="B529" s="1">
        <v>46206</v>
      </c>
      <c r="C529" s="1">
        <v>46211</v>
      </c>
      <c r="D529" t="s">
        <v>558</v>
      </c>
      <c r="E529" t="s">
        <v>316</v>
      </c>
      <c r="F529" t="s">
        <v>46</v>
      </c>
      <c r="G529" t="s">
        <v>47</v>
      </c>
      <c r="H529" t="s">
        <v>161</v>
      </c>
      <c r="I529" s="2">
        <v>10</v>
      </c>
      <c r="J529" s="3">
        <v>32</v>
      </c>
      <c r="K529" s="4">
        <v>0</v>
      </c>
      <c r="L529" s="3">
        <v>320</v>
      </c>
      <c r="M529" t="b">
        <v>1</v>
      </c>
      <c r="N529" s="2">
        <f>YEAR(B529)</f>
        <v>2026</v>
      </c>
      <c r="O529" t="str">
        <f>INDEX(Agences!$C:$C,MATCH(F529,Agences!$A:$A,0))</f>
        <v>Est</v>
      </c>
      <c r="P529" t="str">
        <f>INDEX(Produits!$C:$C,MATCH(H529,Produits!$A:$A,0))</f>
        <v>Fournitures</v>
      </c>
      <c r="Q529" s="3">
        <f>I529*INDEX(Produits!$E:$E,MATCH(H529,Produits!$A:$A,0))</f>
        <v>176</v>
      </c>
      <c r="R529" s="3">
        <f>L529-Q529</f>
        <v>144</v>
      </c>
      <c r="S529" s="2">
        <f>NETWORKDAYS(B529,C529)-1</f>
        <v>3</v>
      </c>
      <c r="T529" s="1">
        <f>WORKDAY(B529,5)</f>
        <v>46213</v>
      </c>
      <c r="U529" t="b">
        <f>C529&gt;T529</f>
        <v>0</v>
      </c>
    </row>
    <row r="530" spans="1:21" x14ac:dyDescent="0.25">
      <c r="A530" t="s">
        <v>557</v>
      </c>
      <c r="B530" s="1">
        <v>46206</v>
      </c>
      <c r="C530" s="1">
        <v>46211</v>
      </c>
      <c r="D530" t="s">
        <v>558</v>
      </c>
      <c r="E530" t="s">
        <v>316</v>
      </c>
      <c r="F530" t="s">
        <v>46</v>
      </c>
      <c r="G530" t="s">
        <v>47</v>
      </c>
      <c r="H530" t="s">
        <v>206</v>
      </c>
      <c r="I530" s="2">
        <v>10</v>
      </c>
      <c r="J530" s="3">
        <v>34</v>
      </c>
      <c r="K530" s="4">
        <v>0</v>
      </c>
      <c r="L530" s="3">
        <v>340</v>
      </c>
      <c r="M530" t="b">
        <v>1</v>
      </c>
      <c r="N530" s="2">
        <f>YEAR(B530)</f>
        <v>2026</v>
      </c>
      <c r="O530" t="str">
        <f>INDEX(Agences!$C:$C,MATCH(F530,Agences!$A:$A,0))</f>
        <v>Est</v>
      </c>
      <c r="P530" t="str">
        <f>INDEX(Produits!$C:$C,MATCH(H530,Produits!$A:$A,0))</f>
        <v>Fournitures</v>
      </c>
      <c r="Q530" s="3">
        <f>I530*INDEX(Produits!$E:$E,MATCH(H530,Produits!$A:$A,0))</f>
        <v>193.79999999999998</v>
      </c>
      <c r="R530" s="3">
        <f>L530-Q530</f>
        <v>146.20000000000002</v>
      </c>
      <c r="S530" s="2">
        <f>NETWORKDAYS(B530,C530)-1</f>
        <v>3</v>
      </c>
      <c r="T530" s="1">
        <f>WORKDAY(B530,5)</f>
        <v>46213</v>
      </c>
      <c r="U530" t="b">
        <f>C530&gt;T530</f>
        <v>0</v>
      </c>
    </row>
    <row r="531" spans="1:21" x14ac:dyDescent="0.25">
      <c r="A531" t="s">
        <v>559</v>
      </c>
      <c r="B531" s="1">
        <v>46205</v>
      </c>
      <c r="C531" s="1">
        <v>46210</v>
      </c>
      <c r="D531" t="s">
        <v>359</v>
      </c>
      <c r="E531" t="s">
        <v>137</v>
      </c>
      <c r="F531" t="s">
        <v>138</v>
      </c>
      <c r="G531" t="s">
        <v>214</v>
      </c>
      <c r="H531" t="s">
        <v>58</v>
      </c>
      <c r="I531" s="2">
        <v>4</v>
      </c>
      <c r="J531" s="3">
        <v>649</v>
      </c>
      <c r="K531" s="4">
        <v>0.02</v>
      </c>
      <c r="L531" s="3">
        <v>2544.08</v>
      </c>
      <c r="M531" t="b">
        <v>1</v>
      </c>
      <c r="N531" s="2">
        <f>YEAR(B531)</f>
        <v>2026</v>
      </c>
      <c r="O531" t="str">
        <f>INDEX(Agences!$C:$C,MATCH(F531,Agences!$A:$A,0))</f>
        <v>Île-de-France</v>
      </c>
      <c r="P531" t="str">
        <f>INDEX(Produits!$C:$C,MATCH(H531,Produits!$A:$A,0))</f>
        <v>Mobilier</v>
      </c>
      <c r="Q531" s="3">
        <f>I531*INDEX(Produits!$E:$E,MATCH(H531,Produits!$A:$A,0))</f>
        <v>1635.48</v>
      </c>
      <c r="R531" s="3">
        <f>L531-Q531</f>
        <v>908.5999999999999</v>
      </c>
      <c r="S531" s="2">
        <f>NETWORKDAYS(B531,C531)-1</f>
        <v>3</v>
      </c>
      <c r="T531" s="1">
        <f>WORKDAY(B531,5)</f>
        <v>46212</v>
      </c>
      <c r="U531" t="b">
        <f>C531&gt;T531</f>
        <v>0</v>
      </c>
    </row>
    <row r="532" spans="1:21" x14ac:dyDescent="0.25">
      <c r="A532" t="s">
        <v>559</v>
      </c>
      <c r="B532" s="1">
        <v>46205</v>
      </c>
      <c r="C532" s="1">
        <v>46210</v>
      </c>
      <c r="D532" t="s">
        <v>359</v>
      </c>
      <c r="E532" t="s">
        <v>137</v>
      </c>
      <c r="F532" t="s">
        <v>138</v>
      </c>
      <c r="G532" t="s">
        <v>214</v>
      </c>
      <c r="H532" t="s">
        <v>127</v>
      </c>
      <c r="I532" s="2">
        <v>3</v>
      </c>
      <c r="J532" s="3">
        <v>649</v>
      </c>
      <c r="K532" s="4">
        <v>0</v>
      </c>
      <c r="L532" s="3">
        <v>1947</v>
      </c>
      <c r="M532" t="b">
        <v>1</v>
      </c>
      <c r="N532" s="2">
        <f>YEAR(B532)</f>
        <v>2026</v>
      </c>
      <c r="O532" t="str">
        <f>INDEX(Agences!$C:$C,MATCH(F532,Agences!$A:$A,0))</f>
        <v>Île-de-France</v>
      </c>
      <c r="P532" t="str">
        <f>INDEX(Produits!$C:$C,MATCH(H532,Produits!$A:$A,0))</f>
        <v>Informatique</v>
      </c>
      <c r="Q532" s="3">
        <f>I532*INDEX(Produits!$E:$E,MATCH(H532,Produits!$A:$A,0))</f>
        <v>1440.78</v>
      </c>
      <c r="R532" s="3">
        <f>L532-Q532</f>
        <v>506.22</v>
      </c>
      <c r="S532" s="2">
        <f>NETWORKDAYS(B532,C532)-1</f>
        <v>3</v>
      </c>
      <c r="T532" s="1">
        <f>WORKDAY(B532,5)</f>
        <v>46212</v>
      </c>
      <c r="U532" t="b">
        <f>C532&gt;T532</f>
        <v>0</v>
      </c>
    </row>
    <row r="533" spans="1:21" x14ac:dyDescent="0.25">
      <c r="A533" t="s">
        <v>560</v>
      </c>
      <c r="B533" s="1">
        <v>46205</v>
      </c>
      <c r="C533" s="1">
        <v>46209</v>
      </c>
      <c r="D533" t="s">
        <v>561</v>
      </c>
      <c r="E533" t="s">
        <v>137</v>
      </c>
      <c r="F533" t="s">
        <v>138</v>
      </c>
      <c r="G533" t="s">
        <v>220</v>
      </c>
      <c r="H533" t="s">
        <v>42</v>
      </c>
      <c r="I533" s="2">
        <v>2</v>
      </c>
      <c r="J533" s="3">
        <v>55</v>
      </c>
      <c r="K533" s="4">
        <v>0</v>
      </c>
      <c r="L533" s="3">
        <v>110</v>
      </c>
      <c r="M533" t="b">
        <v>1</v>
      </c>
      <c r="N533" s="2">
        <f>YEAR(B533)</f>
        <v>2026</v>
      </c>
      <c r="O533" t="str">
        <f>INDEX(Agences!$C:$C,MATCH(F533,Agences!$A:$A,0))</f>
        <v>Île-de-France</v>
      </c>
      <c r="P533" t="str">
        <f>INDEX(Produits!$C:$C,MATCH(H533,Produits!$A:$A,0))</f>
        <v>Maintenance</v>
      </c>
      <c r="Q533" s="3">
        <f>I533*INDEX(Produits!$E:$E,MATCH(H533,Produits!$A:$A,0))</f>
        <v>49.5</v>
      </c>
      <c r="R533" s="3">
        <f>L533-Q533</f>
        <v>60.5</v>
      </c>
      <c r="S533" s="2">
        <f>NETWORKDAYS(B533,C533)-1</f>
        <v>2</v>
      </c>
      <c r="T533" s="1">
        <f>WORKDAY(B533,5)</f>
        <v>46212</v>
      </c>
      <c r="U533" t="b">
        <f>C533&gt;T533</f>
        <v>0</v>
      </c>
    </row>
    <row r="534" spans="1:21" x14ac:dyDescent="0.25">
      <c r="A534" t="s">
        <v>562</v>
      </c>
      <c r="B534" s="1">
        <v>46205</v>
      </c>
      <c r="C534" s="1">
        <v>46210</v>
      </c>
      <c r="D534" t="s">
        <v>184</v>
      </c>
      <c r="E534" t="s">
        <v>185</v>
      </c>
      <c r="F534" t="s">
        <v>31</v>
      </c>
      <c r="G534" t="s">
        <v>375</v>
      </c>
      <c r="H534" t="s">
        <v>42</v>
      </c>
      <c r="I534" s="2">
        <v>1</v>
      </c>
      <c r="J534" s="3">
        <v>55</v>
      </c>
      <c r="K534" s="4">
        <v>0</v>
      </c>
      <c r="L534" s="3">
        <v>55</v>
      </c>
      <c r="M534" t="b">
        <v>1</v>
      </c>
      <c r="N534" s="2">
        <f>YEAR(B534)</f>
        <v>2026</v>
      </c>
      <c r="O534" t="str">
        <f>INDEX(Agences!$C:$C,MATCH(F534,Agences!$A:$A,0))</f>
        <v>Ouest</v>
      </c>
      <c r="P534" t="str">
        <f>INDEX(Produits!$C:$C,MATCH(H534,Produits!$A:$A,0))</f>
        <v>Maintenance</v>
      </c>
      <c r="Q534" s="3">
        <f>I534*INDEX(Produits!$E:$E,MATCH(H534,Produits!$A:$A,0))</f>
        <v>24.75</v>
      </c>
      <c r="R534" s="3">
        <f>L534-Q534</f>
        <v>30.25</v>
      </c>
      <c r="S534" s="2">
        <f>NETWORKDAYS(B534,C534)-1</f>
        <v>3</v>
      </c>
      <c r="T534" s="1">
        <f>WORKDAY(B534,5)</f>
        <v>46212</v>
      </c>
      <c r="U534" t="b">
        <f>C534&gt;T534</f>
        <v>0</v>
      </c>
    </row>
    <row r="535" spans="1:21" x14ac:dyDescent="0.25">
      <c r="A535" t="s">
        <v>562</v>
      </c>
      <c r="B535" s="1">
        <v>46205</v>
      </c>
      <c r="C535" s="1">
        <v>46210</v>
      </c>
      <c r="D535" t="s">
        <v>184</v>
      </c>
      <c r="E535" t="s">
        <v>185</v>
      </c>
      <c r="F535" t="s">
        <v>31</v>
      </c>
      <c r="G535" t="s">
        <v>375</v>
      </c>
      <c r="H535" t="s">
        <v>83</v>
      </c>
      <c r="I535" s="2">
        <v>3</v>
      </c>
      <c r="J535" s="3">
        <v>49</v>
      </c>
      <c r="K535" s="4">
        <v>0.08</v>
      </c>
      <c r="L535" s="3">
        <v>135.24</v>
      </c>
      <c r="M535" t="b">
        <v>1</v>
      </c>
      <c r="N535" s="2">
        <f>YEAR(B535)</f>
        <v>2026</v>
      </c>
      <c r="O535" t="str">
        <f>INDEX(Agences!$C:$C,MATCH(F535,Agences!$A:$A,0))</f>
        <v>Ouest</v>
      </c>
      <c r="P535" t="str">
        <f>INDEX(Produits!$C:$C,MATCH(H535,Produits!$A:$A,0))</f>
        <v>Mobilier</v>
      </c>
      <c r="Q535" s="3">
        <f>I535*INDEX(Produits!$E:$E,MATCH(H535,Produits!$A:$A,0))</f>
        <v>85.26</v>
      </c>
      <c r="R535" s="3">
        <f>L535-Q535</f>
        <v>49.980000000000004</v>
      </c>
      <c r="S535" s="2">
        <f>NETWORKDAYS(B535,C535)-1</f>
        <v>3</v>
      </c>
      <c r="T535" s="1">
        <f>WORKDAY(B535,5)</f>
        <v>46212</v>
      </c>
      <c r="U535" t="b">
        <f>C535&gt;T535</f>
        <v>0</v>
      </c>
    </row>
    <row r="536" spans="1:21" x14ac:dyDescent="0.25">
      <c r="A536" t="s">
        <v>563</v>
      </c>
      <c r="B536" s="1">
        <v>46205</v>
      </c>
      <c r="C536" s="1">
        <v>46216</v>
      </c>
      <c r="D536" t="s">
        <v>423</v>
      </c>
      <c r="E536" t="s">
        <v>229</v>
      </c>
      <c r="F536" t="s">
        <v>55</v>
      </c>
      <c r="G536" t="s">
        <v>195</v>
      </c>
      <c r="H536" t="s">
        <v>49</v>
      </c>
      <c r="I536" s="2">
        <v>1</v>
      </c>
      <c r="J536" s="3">
        <v>120</v>
      </c>
      <c r="K536" s="4">
        <v>0</v>
      </c>
      <c r="L536" s="3">
        <v>120</v>
      </c>
      <c r="M536" t="b">
        <v>1</v>
      </c>
      <c r="N536" s="2">
        <f>YEAR(B536)</f>
        <v>2026</v>
      </c>
      <c r="O536" t="str">
        <f>INDEX(Agences!$C:$C,MATCH(F536,Agences!$A:$A,0))</f>
        <v>Est</v>
      </c>
      <c r="P536" t="str">
        <f>INDEX(Produits!$C:$C,MATCH(H536,Produits!$A:$A,0))</f>
        <v>Maintenance</v>
      </c>
      <c r="Q536" s="3">
        <f>I536*INDEX(Produits!$E:$E,MATCH(H536,Produits!$A:$A,0))</f>
        <v>55.2</v>
      </c>
      <c r="R536" s="3">
        <f>L536-Q536</f>
        <v>64.8</v>
      </c>
      <c r="S536" s="2">
        <f>NETWORKDAYS(B536,C536)-1</f>
        <v>7</v>
      </c>
      <c r="T536" s="1">
        <f>WORKDAY(B536,5)</f>
        <v>46212</v>
      </c>
      <c r="U536" t="b">
        <f>C536&gt;T536</f>
        <v>1</v>
      </c>
    </row>
    <row r="537" spans="1:21" x14ac:dyDescent="0.25">
      <c r="A537" t="s">
        <v>563</v>
      </c>
      <c r="B537" s="1">
        <v>46205</v>
      </c>
      <c r="C537" s="1">
        <v>46216</v>
      </c>
      <c r="D537" t="s">
        <v>423</v>
      </c>
      <c r="E537" t="s">
        <v>229</v>
      </c>
      <c r="F537" t="s">
        <v>55</v>
      </c>
      <c r="G537" t="s">
        <v>195</v>
      </c>
      <c r="H537" t="s">
        <v>26</v>
      </c>
      <c r="I537" s="2">
        <v>1</v>
      </c>
      <c r="J537" s="3">
        <v>290</v>
      </c>
      <c r="K537" s="4">
        <v>0</v>
      </c>
      <c r="L537" s="3">
        <v>290</v>
      </c>
      <c r="M537" t="b">
        <v>1</v>
      </c>
      <c r="N537" s="2">
        <f>YEAR(B537)</f>
        <v>2026</v>
      </c>
      <c r="O537" t="str">
        <f>INDEX(Agences!$C:$C,MATCH(F537,Agences!$A:$A,0))</f>
        <v>Est</v>
      </c>
      <c r="P537" t="str">
        <f>INDEX(Produits!$C:$C,MATCH(H537,Produits!$A:$A,0))</f>
        <v>Maintenance</v>
      </c>
      <c r="Q537" s="3">
        <f>I537*INDEX(Produits!$E:$E,MATCH(H537,Produits!$A:$A,0))</f>
        <v>139.2</v>
      </c>
      <c r="R537" s="3">
        <f>L537-Q537</f>
        <v>150.8</v>
      </c>
      <c r="S537" s="2">
        <f>NETWORKDAYS(B537,C537)-1</f>
        <v>7</v>
      </c>
      <c r="T537" s="1">
        <f>WORKDAY(B537,5)</f>
        <v>46212</v>
      </c>
      <c r="U537" t="b">
        <f>C537&gt;T537</f>
        <v>1</v>
      </c>
    </row>
    <row r="538" spans="1:21" x14ac:dyDescent="0.25">
      <c r="A538" t="s">
        <v>564</v>
      </c>
      <c r="B538" s="1">
        <v>46204</v>
      </c>
      <c r="C538" s="1">
        <v>46210</v>
      </c>
      <c r="D538" t="s">
        <v>565</v>
      </c>
      <c r="E538" t="s">
        <v>122</v>
      </c>
      <c r="F538" t="s">
        <v>24</v>
      </c>
      <c r="G538" t="s">
        <v>25</v>
      </c>
      <c r="H538" t="s">
        <v>162</v>
      </c>
      <c r="I538" s="2">
        <v>1</v>
      </c>
      <c r="J538" s="3">
        <v>289</v>
      </c>
      <c r="K538" s="4">
        <v>0.05</v>
      </c>
      <c r="L538" s="3">
        <v>274.55</v>
      </c>
      <c r="M538" t="b">
        <v>1</v>
      </c>
      <c r="N538" s="2">
        <f>YEAR(B538)</f>
        <v>2026</v>
      </c>
      <c r="O538" t="str">
        <f>INDEX(Agences!$C:$C,MATCH(F538,Agences!$A:$A,0))</f>
        <v>Nord</v>
      </c>
      <c r="P538" t="str">
        <f>INDEX(Produits!$C:$C,MATCH(H538,Produits!$A:$A,0))</f>
        <v>Mobilier</v>
      </c>
      <c r="Q538" s="3">
        <f>I538*INDEX(Produits!$E:$E,MATCH(H538,Produits!$A:$A,0))</f>
        <v>193.63</v>
      </c>
      <c r="R538" s="3">
        <f>L538-Q538</f>
        <v>80.92000000000002</v>
      </c>
      <c r="S538" s="2">
        <f>NETWORKDAYS(B538,C538)-1</f>
        <v>4</v>
      </c>
      <c r="T538" s="1">
        <f>WORKDAY(B538,5)</f>
        <v>46211</v>
      </c>
      <c r="U538" t="b">
        <f>C538&gt;T538</f>
        <v>0</v>
      </c>
    </row>
    <row r="539" spans="1:21" x14ac:dyDescent="0.25">
      <c r="A539" t="s">
        <v>564</v>
      </c>
      <c r="B539" s="1">
        <v>46204</v>
      </c>
      <c r="C539" s="1">
        <v>46210</v>
      </c>
      <c r="D539" t="s">
        <v>565</v>
      </c>
      <c r="E539" t="s">
        <v>122</v>
      </c>
      <c r="F539" t="s">
        <v>24</v>
      </c>
      <c r="G539" t="s">
        <v>25</v>
      </c>
      <c r="H539" t="s">
        <v>64</v>
      </c>
      <c r="I539" s="2">
        <v>10</v>
      </c>
      <c r="J539" s="3">
        <v>16.8</v>
      </c>
      <c r="K539" s="4">
        <v>0.02</v>
      </c>
      <c r="L539" s="3">
        <v>164.64</v>
      </c>
      <c r="M539" t="b">
        <v>1</v>
      </c>
      <c r="N539" s="2">
        <f>YEAR(B539)</f>
        <v>2026</v>
      </c>
      <c r="O539" t="str">
        <f>INDEX(Agences!$C:$C,MATCH(F539,Agences!$A:$A,0))</f>
        <v>Nord</v>
      </c>
      <c r="P539" t="str">
        <f>INDEX(Produits!$C:$C,MATCH(H539,Produits!$A:$A,0))</f>
        <v>Fournitures</v>
      </c>
      <c r="Q539" s="3">
        <f>I539*INDEX(Produits!$E:$E,MATCH(H539,Produits!$A:$A,0))</f>
        <v>87.4</v>
      </c>
      <c r="R539" s="3">
        <f>L539-Q539</f>
        <v>77.23999999999998</v>
      </c>
      <c r="S539" s="2">
        <f>NETWORKDAYS(B539,C539)-1</f>
        <v>4</v>
      </c>
      <c r="T539" s="1">
        <f>WORKDAY(B539,5)</f>
        <v>46211</v>
      </c>
      <c r="U539" t="b">
        <f>C539&gt;T539</f>
        <v>0</v>
      </c>
    </row>
    <row r="540" spans="1:21" x14ac:dyDescent="0.25">
      <c r="A540" t="s">
        <v>564</v>
      </c>
      <c r="B540" s="1">
        <v>46204</v>
      </c>
      <c r="C540" s="1">
        <v>46210</v>
      </c>
      <c r="D540" t="s">
        <v>565</v>
      </c>
      <c r="E540" t="s">
        <v>122</v>
      </c>
      <c r="F540" t="s">
        <v>24</v>
      </c>
      <c r="G540" t="s">
        <v>25</v>
      </c>
      <c r="H540" t="s">
        <v>51</v>
      </c>
      <c r="I540" s="2">
        <v>2</v>
      </c>
      <c r="J540" s="3">
        <v>180</v>
      </c>
      <c r="K540" s="4">
        <v>0</v>
      </c>
      <c r="L540" s="3">
        <v>360</v>
      </c>
      <c r="M540" t="b">
        <v>1</v>
      </c>
      <c r="N540" s="2">
        <f>YEAR(B540)</f>
        <v>2026</v>
      </c>
      <c r="O540" t="str">
        <f>INDEX(Agences!$C:$C,MATCH(F540,Agences!$A:$A,0))</f>
        <v>Nord</v>
      </c>
      <c r="P540" t="str">
        <f>INDEX(Produits!$C:$C,MATCH(H540,Produits!$A:$A,0))</f>
        <v>Maintenance</v>
      </c>
      <c r="Q540" s="3">
        <f>I540*INDEX(Produits!$E:$E,MATCH(H540,Produits!$A:$A,0))</f>
        <v>165.6</v>
      </c>
      <c r="R540" s="3">
        <f>L540-Q540</f>
        <v>194.4</v>
      </c>
      <c r="S540" s="2">
        <f>NETWORKDAYS(B540,C540)-1</f>
        <v>4</v>
      </c>
      <c r="T540" s="1">
        <f>WORKDAY(B540,5)</f>
        <v>46211</v>
      </c>
      <c r="U540" t="b">
        <f>C540&gt;T540</f>
        <v>0</v>
      </c>
    </row>
    <row r="541" spans="1:21" x14ac:dyDescent="0.25">
      <c r="A541" t="s">
        <v>566</v>
      </c>
      <c r="B541" s="1">
        <v>46204</v>
      </c>
      <c r="C541" s="1">
        <v>46205</v>
      </c>
      <c r="D541" t="s">
        <v>567</v>
      </c>
      <c r="E541" t="s">
        <v>374</v>
      </c>
      <c r="F541" t="s">
        <v>31</v>
      </c>
      <c r="G541" t="s">
        <v>186</v>
      </c>
      <c r="H541" t="s">
        <v>51</v>
      </c>
      <c r="I541" s="2">
        <v>1</v>
      </c>
      <c r="J541" s="3">
        <v>180</v>
      </c>
      <c r="K541" s="4">
        <v>0</v>
      </c>
      <c r="L541" s="3">
        <v>180</v>
      </c>
      <c r="M541" t="b">
        <v>1</v>
      </c>
      <c r="N541" s="2">
        <f>YEAR(B541)</f>
        <v>2026</v>
      </c>
      <c r="O541" t="str">
        <f>INDEX(Agences!$C:$C,MATCH(F541,Agences!$A:$A,0))</f>
        <v>Ouest</v>
      </c>
      <c r="P541" t="str">
        <f>INDEX(Produits!$C:$C,MATCH(H541,Produits!$A:$A,0))</f>
        <v>Maintenance</v>
      </c>
      <c r="Q541" s="3">
        <f>I541*INDEX(Produits!$E:$E,MATCH(H541,Produits!$A:$A,0))</f>
        <v>82.8</v>
      </c>
      <c r="R541" s="3">
        <f>L541-Q541</f>
        <v>97.2</v>
      </c>
      <c r="S541" s="2">
        <f>NETWORKDAYS(B541,C541)-1</f>
        <v>1</v>
      </c>
      <c r="T541" s="1">
        <f>WORKDAY(B541,5)</f>
        <v>46211</v>
      </c>
      <c r="U541" t="b">
        <f>C541&gt;T541</f>
        <v>0</v>
      </c>
    </row>
    <row r="542" spans="1:21" x14ac:dyDescent="0.25">
      <c r="A542" t="s">
        <v>568</v>
      </c>
      <c r="B542" s="1">
        <v>46203</v>
      </c>
      <c r="C542" s="1">
        <v>46205</v>
      </c>
      <c r="D542" t="s">
        <v>436</v>
      </c>
      <c r="E542" t="s">
        <v>98</v>
      </c>
      <c r="F542" t="s">
        <v>99</v>
      </c>
      <c r="G542" t="s">
        <v>210</v>
      </c>
      <c r="H542" t="s">
        <v>112</v>
      </c>
      <c r="I542" s="2">
        <v>2</v>
      </c>
      <c r="J542" s="3">
        <v>129</v>
      </c>
      <c r="K542" s="4">
        <v>0.05</v>
      </c>
      <c r="L542" s="3">
        <v>245.1</v>
      </c>
      <c r="M542" t="b">
        <v>1</v>
      </c>
      <c r="N542" s="2">
        <f>YEAR(B542)</f>
        <v>2026</v>
      </c>
      <c r="O542" t="str">
        <f>INDEX(Agences!$C:$C,MATCH(F542,Agences!$A:$A,0))</f>
        <v>Nord</v>
      </c>
      <c r="P542" t="str">
        <f>INDEX(Produits!$C:$C,MATCH(H542,Produits!$A:$A,0))</f>
        <v>Mobilier</v>
      </c>
      <c r="Q542" s="3">
        <f>I542*INDEX(Produits!$E:$E,MATCH(H542,Produits!$A:$A,0))</f>
        <v>172.86</v>
      </c>
      <c r="R542" s="3">
        <f>L542-Q542</f>
        <v>72.23999999999998</v>
      </c>
      <c r="S542" s="2">
        <f>NETWORKDAYS(B542,C542)-1</f>
        <v>2</v>
      </c>
      <c r="T542" s="1">
        <f>WORKDAY(B542,5)</f>
        <v>46210</v>
      </c>
      <c r="U542" t="b">
        <f>C542&gt;T542</f>
        <v>0</v>
      </c>
    </row>
    <row r="543" spans="1:21" x14ac:dyDescent="0.25">
      <c r="A543" t="s">
        <v>568</v>
      </c>
      <c r="B543" s="1">
        <v>46203</v>
      </c>
      <c r="C543" s="1">
        <v>46205</v>
      </c>
      <c r="D543" t="s">
        <v>436</v>
      </c>
      <c r="E543" t="s">
        <v>98</v>
      </c>
      <c r="F543" t="s">
        <v>99</v>
      </c>
      <c r="G543" t="s">
        <v>210</v>
      </c>
      <c r="H543" t="s">
        <v>34</v>
      </c>
      <c r="I543" s="2">
        <v>1</v>
      </c>
      <c r="J543" s="3">
        <v>340</v>
      </c>
      <c r="K543" s="4">
        <v>0</v>
      </c>
      <c r="L543" s="3">
        <v>340</v>
      </c>
      <c r="M543" t="b">
        <v>1</v>
      </c>
      <c r="N543" s="2">
        <f>YEAR(B543)</f>
        <v>2026</v>
      </c>
      <c r="O543" t="str">
        <f>INDEX(Agences!$C:$C,MATCH(F543,Agences!$A:$A,0))</f>
        <v>Nord</v>
      </c>
      <c r="P543" t="str">
        <f>INDEX(Produits!$C:$C,MATCH(H543,Produits!$A:$A,0))</f>
        <v>Informatique</v>
      </c>
      <c r="Q543" s="3">
        <f>I543*INDEX(Produits!$E:$E,MATCH(H543,Produits!$A:$A,0))</f>
        <v>275.4</v>
      </c>
      <c r="R543" s="3">
        <f>L543-Q543</f>
        <v>64.60000000000002</v>
      </c>
      <c r="S543" s="2">
        <f>NETWORKDAYS(B543,C543)-1</f>
        <v>2</v>
      </c>
      <c r="T543" s="1">
        <f>WORKDAY(B543,5)</f>
        <v>46210</v>
      </c>
      <c r="U543" t="b">
        <f>C543&gt;T543</f>
        <v>0</v>
      </c>
    </row>
    <row r="544" spans="1:21" x14ac:dyDescent="0.25">
      <c r="A544" t="s">
        <v>568</v>
      </c>
      <c r="B544" s="1">
        <v>46203</v>
      </c>
      <c r="C544" s="1">
        <v>46205</v>
      </c>
      <c r="D544" t="s">
        <v>436</v>
      </c>
      <c r="E544" t="s">
        <v>98</v>
      </c>
      <c r="F544" t="s">
        <v>99</v>
      </c>
      <c r="G544" t="s">
        <v>210</v>
      </c>
      <c r="H544" t="s">
        <v>33</v>
      </c>
      <c r="I544" s="2">
        <v>4</v>
      </c>
      <c r="J544" s="3">
        <v>219</v>
      </c>
      <c r="K544" s="4">
        <v>0</v>
      </c>
      <c r="L544" s="3">
        <v>876</v>
      </c>
      <c r="M544" t="b">
        <v>1</v>
      </c>
      <c r="N544" s="2">
        <f>YEAR(B544)</f>
        <v>2026</v>
      </c>
      <c r="O544" t="str">
        <f>INDEX(Agences!$C:$C,MATCH(F544,Agences!$A:$A,0))</f>
        <v>Nord</v>
      </c>
      <c r="P544" t="str">
        <f>INDEX(Produits!$C:$C,MATCH(H544,Produits!$A:$A,0))</f>
        <v>Informatique</v>
      </c>
      <c r="Q544" s="3">
        <f>I544*INDEX(Produits!$E:$E,MATCH(H544,Produits!$A:$A,0))</f>
        <v>718.32</v>
      </c>
      <c r="R544" s="3">
        <f>L544-Q544</f>
        <v>157.67999999999995</v>
      </c>
      <c r="S544" s="2">
        <f>NETWORKDAYS(B544,C544)-1</f>
        <v>2</v>
      </c>
      <c r="T544" s="1">
        <f>WORKDAY(B544,5)</f>
        <v>46210</v>
      </c>
      <c r="U544" t="b">
        <f>C544&gt;T544</f>
        <v>0</v>
      </c>
    </row>
    <row r="545" spans="1:21" x14ac:dyDescent="0.25">
      <c r="A545" t="s">
        <v>569</v>
      </c>
      <c r="B545" s="1">
        <v>46203</v>
      </c>
      <c r="C545" s="1">
        <v>46210</v>
      </c>
      <c r="D545" t="s">
        <v>570</v>
      </c>
      <c r="E545" t="s">
        <v>126</v>
      </c>
      <c r="F545" t="s">
        <v>99</v>
      </c>
      <c r="G545" t="s">
        <v>265</v>
      </c>
      <c r="H545" t="s">
        <v>107</v>
      </c>
      <c r="I545" s="2">
        <v>1</v>
      </c>
      <c r="J545" s="3">
        <v>99</v>
      </c>
      <c r="K545" s="4">
        <v>0.05</v>
      </c>
      <c r="L545" s="3">
        <v>94.05</v>
      </c>
      <c r="M545" t="b">
        <v>1</v>
      </c>
      <c r="N545" s="2">
        <f>YEAR(B545)</f>
        <v>2026</v>
      </c>
      <c r="O545" t="str">
        <f>INDEX(Agences!$C:$C,MATCH(F545,Agences!$A:$A,0))</f>
        <v>Nord</v>
      </c>
      <c r="P545" t="str">
        <f>INDEX(Produits!$C:$C,MATCH(H545,Produits!$A:$A,0))</f>
        <v>Informatique</v>
      </c>
      <c r="Q545" s="3">
        <f>I545*INDEX(Produits!$E:$E,MATCH(H545,Produits!$A:$A,0))</f>
        <v>75.24</v>
      </c>
      <c r="R545" s="3">
        <f>L545-Q545</f>
        <v>18.810000000000002</v>
      </c>
      <c r="S545" s="2">
        <f>NETWORKDAYS(B545,C545)-1</f>
        <v>5</v>
      </c>
      <c r="T545" s="1">
        <f>WORKDAY(B545,5)</f>
        <v>46210</v>
      </c>
      <c r="U545" t="b">
        <f>C545&gt;T545</f>
        <v>0</v>
      </c>
    </row>
    <row r="546" spans="1:21" x14ac:dyDescent="0.25">
      <c r="A546" t="s">
        <v>569</v>
      </c>
      <c r="B546" s="1">
        <v>46203</v>
      </c>
      <c r="C546" s="1">
        <v>46210</v>
      </c>
      <c r="D546" t="s">
        <v>570</v>
      </c>
      <c r="E546" t="s">
        <v>126</v>
      </c>
      <c r="F546" t="s">
        <v>99</v>
      </c>
      <c r="G546" t="s">
        <v>265</v>
      </c>
      <c r="H546" t="s">
        <v>79</v>
      </c>
      <c r="I546" s="2">
        <v>10</v>
      </c>
      <c r="J546" s="3">
        <v>14.9</v>
      </c>
      <c r="K546" s="4">
        <v>0.08</v>
      </c>
      <c r="L546" s="3">
        <v>137.08</v>
      </c>
      <c r="M546" t="b">
        <v>1</v>
      </c>
      <c r="N546" s="2">
        <f>YEAR(B546)</f>
        <v>2026</v>
      </c>
      <c r="O546" t="str">
        <f>INDEX(Agences!$C:$C,MATCH(F546,Agences!$A:$A,0))</f>
        <v>Nord</v>
      </c>
      <c r="P546" t="str">
        <f>INDEX(Produits!$C:$C,MATCH(H546,Produits!$A:$A,0))</f>
        <v>Fournitures</v>
      </c>
      <c r="Q546" s="3">
        <f>I546*INDEX(Produits!$E:$E,MATCH(H546,Produits!$A:$A,0))</f>
        <v>80.5</v>
      </c>
      <c r="R546" s="3">
        <f>L546-Q546</f>
        <v>56.58000000000001</v>
      </c>
      <c r="S546" s="2">
        <f>NETWORKDAYS(B546,C546)-1</f>
        <v>5</v>
      </c>
      <c r="T546" s="1">
        <f>WORKDAY(B546,5)</f>
        <v>46210</v>
      </c>
      <c r="U546" t="b">
        <f>C546&gt;T546</f>
        <v>0</v>
      </c>
    </row>
    <row r="547" spans="1:21" x14ac:dyDescent="0.25">
      <c r="A547" t="s">
        <v>569</v>
      </c>
      <c r="B547" s="1">
        <v>46203</v>
      </c>
      <c r="C547" s="1">
        <v>46210</v>
      </c>
      <c r="D547" t="s">
        <v>570</v>
      </c>
      <c r="E547" t="s">
        <v>126</v>
      </c>
      <c r="F547" t="s">
        <v>99</v>
      </c>
      <c r="G547" t="s">
        <v>265</v>
      </c>
      <c r="H547" t="s">
        <v>72</v>
      </c>
      <c r="I547" s="2">
        <v>1</v>
      </c>
      <c r="J547" s="3">
        <v>179</v>
      </c>
      <c r="K547" s="4">
        <v>0.05</v>
      </c>
      <c r="L547" s="3">
        <v>170.05</v>
      </c>
      <c r="M547" t="b">
        <v>1</v>
      </c>
      <c r="N547" s="2">
        <f>YEAR(B547)</f>
        <v>2026</v>
      </c>
      <c r="O547" t="str">
        <f>INDEX(Agences!$C:$C,MATCH(F547,Agences!$A:$A,0))</f>
        <v>Nord</v>
      </c>
      <c r="P547" t="str">
        <f>INDEX(Produits!$C:$C,MATCH(H547,Produits!$A:$A,0))</f>
        <v>Informatique</v>
      </c>
      <c r="Q547" s="3">
        <f>I547*INDEX(Produits!$E:$E,MATCH(H547,Produits!$A:$A,0))</f>
        <v>146.78</v>
      </c>
      <c r="R547" s="3">
        <f>L547-Q547</f>
        <v>23.27000000000001</v>
      </c>
      <c r="S547" s="2">
        <f>NETWORKDAYS(B547,C547)-1</f>
        <v>5</v>
      </c>
      <c r="T547" s="1">
        <f>WORKDAY(B547,5)</f>
        <v>46210</v>
      </c>
      <c r="U547" t="b">
        <f>C547&gt;T547</f>
        <v>0</v>
      </c>
    </row>
    <row r="548" spans="1:21" x14ac:dyDescent="0.25">
      <c r="A548" t="s">
        <v>569</v>
      </c>
      <c r="B548" s="1">
        <v>46203</v>
      </c>
      <c r="C548" s="1">
        <v>46210</v>
      </c>
      <c r="D548" t="s">
        <v>570</v>
      </c>
      <c r="E548" t="s">
        <v>126</v>
      </c>
      <c r="F548" t="s">
        <v>99</v>
      </c>
      <c r="G548" t="s">
        <v>265</v>
      </c>
      <c r="H548" t="s">
        <v>49</v>
      </c>
      <c r="I548" s="2">
        <v>1</v>
      </c>
      <c r="J548" s="3">
        <v>120</v>
      </c>
      <c r="K548" s="4">
        <v>0.05</v>
      </c>
      <c r="L548" s="3">
        <v>114</v>
      </c>
      <c r="M548" t="b">
        <v>1</v>
      </c>
      <c r="N548" s="2">
        <f>YEAR(B548)</f>
        <v>2026</v>
      </c>
      <c r="O548" t="str">
        <f>INDEX(Agences!$C:$C,MATCH(F548,Agences!$A:$A,0))</f>
        <v>Nord</v>
      </c>
      <c r="P548" t="str">
        <f>INDEX(Produits!$C:$C,MATCH(H548,Produits!$A:$A,0))</f>
        <v>Maintenance</v>
      </c>
      <c r="Q548" s="3">
        <f>I548*INDEX(Produits!$E:$E,MATCH(H548,Produits!$A:$A,0))</f>
        <v>55.2</v>
      </c>
      <c r="R548" s="3">
        <f>L548-Q548</f>
        <v>58.8</v>
      </c>
      <c r="S548" s="2">
        <f>NETWORKDAYS(B548,C548)-1</f>
        <v>5</v>
      </c>
      <c r="T548" s="1">
        <f>WORKDAY(B548,5)</f>
        <v>46210</v>
      </c>
      <c r="U548" t="b">
        <f>C548&gt;T548</f>
        <v>0</v>
      </c>
    </row>
    <row r="549" spans="1:21" x14ac:dyDescent="0.25">
      <c r="A549" t="s">
        <v>571</v>
      </c>
      <c r="B549" s="1">
        <v>46203</v>
      </c>
      <c r="C549" s="1">
        <v>46206</v>
      </c>
      <c r="D549" t="s">
        <v>81</v>
      </c>
      <c r="E549" t="s">
        <v>82</v>
      </c>
      <c r="F549" t="s">
        <v>39</v>
      </c>
      <c r="G549" t="s">
        <v>40</v>
      </c>
      <c r="H549" t="s">
        <v>83</v>
      </c>
      <c r="I549" s="2">
        <v>1</v>
      </c>
      <c r="J549" s="3">
        <v>49</v>
      </c>
      <c r="K549" s="4">
        <v>0.08</v>
      </c>
      <c r="L549" s="3">
        <v>45.08</v>
      </c>
      <c r="M549" t="b">
        <v>1</v>
      </c>
      <c r="N549" s="2">
        <f>YEAR(B549)</f>
        <v>2026</v>
      </c>
      <c r="O549" t="str">
        <f>INDEX(Agences!$C:$C,MATCH(F549,Agences!$A:$A,0))</f>
        <v>Sud-Ouest</v>
      </c>
      <c r="P549" t="str">
        <f>INDEX(Produits!$C:$C,MATCH(H549,Produits!$A:$A,0))</f>
        <v>Mobilier</v>
      </c>
      <c r="Q549" s="3">
        <f>I549*INDEX(Produits!$E:$E,MATCH(H549,Produits!$A:$A,0))</f>
        <v>28.42</v>
      </c>
      <c r="R549" s="3">
        <f>L549-Q549</f>
        <v>16.659999999999997</v>
      </c>
      <c r="S549" s="2">
        <f>NETWORKDAYS(B549,C549)-1</f>
        <v>3</v>
      </c>
      <c r="T549" s="1">
        <f>WORKDAY(B549,5)</f>
        <v>46210</v>
      </c>
      <c r="U549" t="b">
        <f>C549&gt;T549</f>
        <v>0</v>
      </c>
    </row>
    <row r="550" spans="1:21" x14ac:dyDescent="0.25">
      <c r="A550" t="s">
        <v>571</v>
      </c>
      <c r="B550" s="1">
        <v>46203</v>
      </c>
      <c r="C550" s="1">
        <v>46206</v>
      </c>
      <c r="D550" t="s">
        <v>81</v>
      </c>
      <c r="E550" t="s">
        <v>82</v>
      </c>
      <c r="F550" t="s">
        <v>39</v>
      </c>
      <c r="G550" t="s">
        <v>40</v>
      </c>
      <c r="H550" t="s">
        <v>35</v>
      </c>
      <c r="I550" s="2">
        <v>4</v>
      </c>
      <c r="J550" s="3">
        <v>79</v>
      </c>
      <c r="K550" s="4">
        <v>0</v>
      </c>
      <c r="L550" s="3">
        <v>316</v>
      </c>
      <c r="M550" t="b">
        <v>1</v>
      </c>
      <c r="N550" s="2">
        <f>YEAR(B550)</f>
        <v>2026</v>
      </c>
      <c r="O550" t="str">
        <f>INDEX(Agences!$C:$C,MATCH(F550,Agences!$A:$A,0))</f>
        <v>Sud-Ouest</v>
      </c>
      <c r="P550" t="str">
        <f>INDEX(Produits!$C:$C,MATCH(H550,Produits!$A:$A,0))</f>
        <v>Mobilier</v>
      </c>
      <c r="Q550" s="3">
        <f>I550*INDEX(Produits!$E:$E,MATCH(H550,Produits!$A:$A,0))</f>
        <v>186.44</v>
      </c>
      <c r="R550" s="3">
        <f>L550-Q550</f>
        <v>129.56</v>
      </c>
      <c r="S550" s="2">
        <f>NETWORKDAYS(B550,C550)-1</f>
        <v>3</v>
      </c>
      <c r="T550" s="1">
        <f>WORKDAY(B550,5)</f>
        <v>46210</v>
      </c>
      <c r="U550" t="b">
        <f>C550&gt;T550</f>
        <v>0</v>
      </c>
    </row>
    <row r="551" spans="1:21" x14ac:dyDescent="0.25">
      <c r="A551" t="s">
        <v>571</v>
      </c>
      <c r="B551" s="1">
        <v>46203</v>
      </c>
      <c r="C551" s="1">
        <v>46206</v>
      </c>
      <c r="D551" t="s">
        <v>81</v>
      </c>
      <c r="E551" t="s">
        <v>82</v>
      </c>
      <c r="F551" t="s">
        <v>39</v>
      </c>
      <c r="G551" t="s">
        <v>40</v>
      </c>
      <c r="H551" t="s">
        <v>79</v>
      </c>
      <c r="I551" s="2">
        <v>5</v>
      </c>
      <c r="J551" s="3">
        <v>14.9</v>
      </c>
      <c r="K551" s="4">
        <v>0</v>
      </c>
      <c r="L551" s="3">
        <v>74.5</v>
      </c>
      <c r="M551" t="b">
        <v>1</v>
      </c>
      <c r="N551" s="2">
        <f>YEAR(B551)</f>
        <v>2026</v>
      </c>
      <c r="O551" t="str">
        <f>INDEX(Agences!$C:$C,MATCH(F551,Agences!$A:$A,0))</f>
        <v>Sud-Ouest</v>
      </c>
      <c r="P551" t="str">
        <f>INDEX(Produits!$C:$C,MATCH(H551,Produits!$A:$A,0))</f>
        <v>Fournitures</v>
      </c>
      <c r="Q551" s="3">
        <f>I551*INDEX(Produits!$E:$E,MATCH(H551,Produits!$A:$A,0))</f>
        <v>40.25</v>
      </c>
      <c r="R551" s="3">
        <f>L551-Q551</f>
        <v>34.25</v>
      </c>
      <c r="S551" s="2">
        <f>NETWORKDAYS(B551,C551)-1</f>
        <v>3</v>
      </c>
      <c r="T551" s="1">
        <f>WORKDAY(B551,5)</f>
        <v>46210</v>
      </c>
      <c r="U551" t="b">
        <f>C551&gt;T551</f>
        <v>0</v>
      </c>
    </row>
    <row r="552" spans="1:21" x14ac:dyDescent="0.25">
      <c r="A552" t="s">
        <v>572</v>
      </c>
      <c r="B552" s="1">
        <v>46202</v>
      </c>
      <c r="C552" s="1">
        <v>46205</v>
      </c>
      <c r="D552" t="s">
        <v>573</v>
      </c>
      <c r="E552" t="s">
        <v>23</v>
      </c>
      <c r="F552" t="s">
        <v>24</v>
      </c>
      <c r="G552" t="s">
        <v>199</v>
      </c>
      <c r="H552" t="s">
        <v>319</v>
      </c>
      <c r="I552" s="2">
        <v>3</v>
      </c>
      <c r="J552" s="3">
        <v>289</v>
      </c>
      <c r="K552" s="4">
        <v>0</v>
      </c>
      <c r="L552" s="3">
        <v>867</v>
      </c>
      <c r="M552" t="b">
        <v>1</v>
      </c>
      <c r="N552" s="2">
        <f>YEAR(B552)</f>
        <v>2026</v>
      </c>
      <c r="O552" t="str">
        <f>INDEX(Agences!$C:$C,MATCH(F552,Agences!$A:$A,0))</f>
        <v>Nord</v>
      </c>
      <c r="P552" t="str">
        <f>INDEX(Produits!$C:$C,MATCH(H552,Produits!$A:$A,0))</f>
        <v>Informatique</v>
      </c>
      <c r="Q552" s="3">
        <f>I552*INDEX(Produits!$E:$E,MATCH(H552,Produits!$A:$A,0))</f>
        <v>641.58</v>
      </c>
      <c r="R552" s="3">
        <f>L552-Q552</f>
        <v>225.41999999999996</v>
      </c>
      <c r="S552" s="2">
        <f>NETWORKDAYS(B552,C552)-1</f>
        <v>3</v>
      </c>
      <c r="T552" s="1">
        <f>WORKDAY(B552,5)</f>
        <v>46209</v>
      </c>
      <c r="U552" t="b">
        <f>C552&gt;T552</f>
        <v>0</v>
      </c>
    </row>
    <row r="553" spans="1:21" x14ac:dyDescent="0.25">
      <c r="A553" t="s">
        <v>572</v>
      </c>
      <c r="B553" s="1">
        <v>46202</v>
      </c>
      <c r="C553" s="1">
        <v>46205</v>
      </c>
      <c r="D553" t="s">
        <v>573</v>
      </c>
      <c r="E553" t="s">
        <v>23</v>
      </c>
      <c r="F553" t="s">
        <v>24</v>
      </c>
      <c r="G553" t="s">
        <v>199</v>
      </c>
      <c r="H553" t="s">
        <v>103</v>
      </c>
      <c r="I553" s="2">
        <v>2</v>
      </c>
      <c r="J553" s="3">
        <v>245</v>
      </c>
      <c r="K553" s="4">
        <v>0.05</v>
      </c>
      <c r="L553" s="3">
        <v>465.5</v>
      </c>
      <c r="M553" t="b">
        <v>1</v>
      </c>
      <c r="N553" s="2">
        <f>YEAR(B553)</f>
        <v>2026</v>
      </c>
      <c r="O553" t="str">
        <f>INDEX(Agences!$C:$C,MATCH(F553,Agences!$A:$A,0))</f>
        <v>Nord</v>
      </c>
      <c r="P553" t="str">
        <f>INDEX(Produits!$C:$C,MATCH(H553,Produits!$A:$A,0))</f>
        <v>Mobilier</v>
      </c>
      <c r="Q553" s="3">
        <f>I553*INDEX(Produits!$E:$E,MATCH(H553,Produits!$A:$A,0))</f>
        <v>328.3</v>
      </c>
      <c r="R553" s="3">
        <f>L553-Q553</f>
        <v>137.2</v>
      </c>
      <c r="S553" s="2">
        <f>NETWORKDAYS(B553,C553)-1</f>
        <v>3</v>
      </c>
      <c r="T553" s="1">
        <f>WORKDAY(B553,5)</f>
        <v>46209</v>
      </c>
      <c r="U553" t="b">
        <f>C553&gt;T553</f>
        <v>0</v>
      </c>
    </row>
    <row r="554" spans="1:21" x14ac:dyDescent="0.25">
      <c r="A554" t="s">
        <v>572</v>
      </c>
      <c r="B554" s="1">
        <v>46202</v>
      </c>
      <c r="C554" s="1">
        <v>46205</v>
      </c>
      <c r="D554" t="s">
        <v>573</v>
      </c>
      <c r="E554" t="s">
        <v>23</v>
      </c>
      <c r="F554" t="s">
        <v>24</v>
      </c>
      <c r="G554" t="s">
        <v>199</v>
      </c>
      <c r="H554" t="s">
        <v>233</v>
      </c>
      <c r="I554" s="2">
        <v>25</v>
      </c>
      <c r="J554" s="3">
        <v>27.5</v>
      </c>
      <c r="K554" s="4">
        <v>0</v>
      </c>
      <c r="L554" s="3">
        <v>687.5</v>
      </c>
      <c r="M554" t="b">
        <v>1</v>
      </c>
      <c r="N554" s="2">
        <f>YEAR(B554)</f>
        <v>2026</v>
      </c>
      <c r="O554" t="str">
        <f>INDEX(Agences!$C:$C,MATCH(F554,Agences!$A:$A,0))</f>
        <v>Nord</v>
      </c>
      <c r="P554" t="str">
        <f>INDEX(Produits!$C:$C,MATCH(H554,Produits!$A:$A,0))</f>
        <v>Fournitures</v>
      </c>
      <c r="Q554" s="3">
        <f>I554*INDEX(Produits!$E:$E,MATCH(H554,Produits!$A:$A,0))</f>
        <v>385</v>
      </c>
      <c r="R554" s="3">
        <f>L554-Q554</f>
        <v>302.5</v>
      </c>
      <c r="S554" s="2">
        <f>NETWORKDAYS(B554,C554)-1</f>
        <v>3</v>
      </c>
      <c r="T554" s="1">
        <f>WORKDAY(B554,5)</f>
        <v>46209</v>
      </c>
      <c r="U554" t="b">
        <f>C554&gt;T554</f>
        <v>0</v>
      </c>
    </row>
    <row r="555" spans="1:21" x14ac:dyDescent="0.25">
      <c r="A555" t="s">
        <v>574</v>
      </c>
      <c r="B555" s="1">
        <v>46202</v>
      </c>
      <c r="C555" s="1">
        <v>46209</v>
      </c>
      <c r="D555" t="s">
        <v>575</v>
      </c>
      <c r="E555" t="s">
        <v>61</v>
      </c>
      <c r="F555" t="s">
        <v>62</v>
      </c>
      <c r="G555" t="s">
        <v>68</v>
      </c>
      <c r="H555" t="s">
        <v>33</v>
      </c>
      <c r="I555" s="2">
        <v>1</v>
      </c>
      <c r="J555" s="3">
        <v>219</v>
      </c>
      <c r="K555" s="4">
        <v>0.05</v>
      </c>
      <c r="L555" s="3">
        <v>208.05</v>
      </c>
      <c r="M555" t="b">
        <v>1</v>
      </c>
      <c r="N555" s="2">
        <f>YEAR(B555)</f>
        <v>2026</v>
      </c>
      <c r="O555" t="str">
        <f>INDEX(Agences!$C:$C,MATCH(F555,Agences!$A:$A,0))</f>
        <v>Méditerranée</v>
      </c>
      <c r="P555" t="str">
        <f>INDEX(Produits!$C:$C,MATCH(H555,Produits!$A:$A,0))</f>
        <v>Informatique</v>
      </c>
      <c r="Q555" s="3">
        <f>I555*INDEX(Produits!$E:$E,MATCH(H555,Produits!$A:$A,0))</f>
        <v>179.58</v>
      </c>
      <c r="R555" s="3">
        <f>L555-Q555</f>
        <v>28.47</v>
      </c>
      <c r="S555" s="2">
        <f>NETWORKDAYS(B555,C555)-1</f>
        <v>5</v>
      </c>
      <c r="T555" s="1">
        <f>WORKDAY(B555,5)</f>
        <v>46209</v>
      </c>
      <c r="U555" t="b">
        <f>C555&gt;T555</f>
        <v>0</v>
      </c>
    </row>
    <row r="556" spans="1:21" x14ac:dyDescent="0.25">
      <c r="A556" t="s">
        <v>576</v>
      </c>
      <c r="B556" s="1">
        <v>46202</v>
      </c>
      <c r="C556" s="1">
        <v>46205</v>
      </c>
      <c r="D556" t="s">
        <v>345</v>
      </c>
      <c r="E556" t="s">
        <v>191</v>
      </c>
      <c r="F556" t="s">
        <v>62</v>
      </c>
      <c r="G556" t="s">
        <v>68</v>
      </c>
      <c r="H556" t="s">
        <v>41</v>
      </c>
      <c r="I556" s="2">
        <v>1</v>
      </c>
      <c r="J556" s="3">
        <v>790</v>
      </c>
      <c r="K556" s="4">
        <v>0</v>
      </c>
      <c r="L556" s="3">
        <v>790</v>
      </c>
      <c r="M556" t="b">
        <v>1</v>
      </c>
      <c r="N556" s="2">
        <f>YEAR(B556)</f>
        <v>2026</v>
      </c>
      <c r="O556" t="str">
        <f>INDEX(Agences!$C:$C,MATCH(F556,Agences!$A:$A,0))</f>
        <v>Méditerranée</v>
      </c>
      <c r="P556" t="str">
        <f>INDEX(Produits!$C:$C,MATCH(H556,Produits!$A:$A,0))</f>
        <v>Informatique</v>
      </c>
      <c r="Q556" s="3">
        <f>I556*INDEX(Produits!$E:$E,MATCH(H556,Produits!$A:$A,0))</f>
        <v>576.7</v>
      </c>
      <c r="R556" s="3">
        <f>L556-Q556</f>
        <v>213.29999999999995</v>
      </c>
      <c r="S556" s="2">
        <f>NETWORKDAYS(B556,C556)-1</f>
        <v>3</v>
      </c>
      <c r="T556" s="1">
        <f>WORKDAY(B556,5)</f>
        <v>46209</v>
      </c>
      <c r="U556" t="b">
        <f>C556&gt;T556</f>
        <v>0</v>
      </c>
    </row>
    <row r="557" spans="1:21" x14ac:dyDescent="0.25">
      <c r="A557" t="s">
        <v>576</v>
      </c>
      <c r="B557" s="1">
        <v>46202</v>
      </c>
      <c r="C557" s="1">
        <v>46205</v>
      </c>
      <c r="D557" t="s">
        <v>345</v>
      </c>
      <c r="E557" t="s">
        <v>191</v>
      </c>
      <c r="F557" t="s">
        <v>62</v>
      </c>
      <c r="G557" t="s">
        <v>68</v>
      </c>
      <c r="H557" t="s">
        <v>57</v>
      </c>
      <c r="I557" s="2">
        <v>1</v>
      </c>
      <c r="J557" s="3">
        <v>149</v>
      </c>
      <c r="K557" s="4">
        <v>0.08</v>
      </c>
      <c r="L557" s="3">
        <v>137.08</v>
      </c>
      <c r="M557" t="b">
        <v>1</v>
      </c>
      <c r="N557" s="2">
        <f>YEAR(B557)</f>
        <v>2026</v>
      </c>
      <c r="O557" t="str">
        <f>INDEX(Agences!$C:$C,MATCH(F557,Agences!$A:$A,0))</f>
        <v>Méditerranée</v>
      </c>
      <c r="P557" t="str">
        <f>INDEX(Produits!$C:$C,MATCH(H557,Produits!$A:$A,0))</f>
        <v>Informatique</v>
      </c>
      <c r="Q557" s="3">
        <f>I557*INDEX(Produits!$E:$E,MATCH(H557,Produits!$A:$A,0))</f>
        <v>114.73</v>
      </c>
      <c r="R557" s="3">
        <f>L557-Q557</f>
        <v>22.35000000000001</v>
      </c>
      <c r="S557" s="2">
        <f>NETWORKDAYS(B557,C557)-1</f>
        <v>3</v>
      </c>
      <c r="T557" s="1">
        <f>WORKDAY(B557,5)</f>
        <v>46209</v>
      </c>
      <c r="U557" t="b">
        <f>C557&gt;T557</f>
        <v>0</v>
      </c>
    </row>
    <row r="558" spans="1:21" x14ac:dyDescent="0.25">
      <c r="A558" t="s">
        <v>576</v>
      </c>
      <c r="B558" s="1">
        <v>46202</v>
      </c>
      <c r="C558" s="1">
        <v>46205</v>
      </c>
      <c r="D558" t="s">
        <v>345</v>
      </c>
      <c r="E558" t="s">
        <v>191</v>
      </c>
      <c r="F558" t="s">
        <v>62</v>
      </c>
      <c r="G558" t="s">
        <v>68</v>
      </c>
      <c r="H558" t="s">
        <v>83</v>
      </c>
      <c r="I558" s="2">
        <v>6</v>
      </c>
      <c r="J558" s="3">
        <v>49</v>
      </c>
      <c r="K558" s="4">
        <v>0.05</v>
      </c>
      <c r="L558" s="3">
        <v>279.3</v>
      </c>
      <c r="M558" t="b">
        <v>1</v>
      </c>
      <c r="N558" s="2">
        <f>YEAR(B558)</f>
        <v>2026</v>
      </c>
      <c r="O558" t="str">
        <f>INDEX(Agences!$C:$C,MATCH(F558,Agences!$A:$A,0))</f>
        <v>Méditerranée</v>
      </c>
      <c r="P558" t="str">
        <f>INDEX(Produits!$C:$C,MATCH(H558,Produits!$A:$A,0))</f>
        <v>Mobilier</v>
      </c>
      <c r="Q558" s="3">
        <f>I558*INDEX(Produits!$E:$E,MATCH(H558,Produits!$A:$A,0))</f>
        <v>170.52</v>
      </c>
      <c r="R558" s="3">
        <f>L558-Q558</f>
        <v>108.78</v>
      </c>
      <c r="S558" s="2">
        <f>NETWORKDAYS(B558,C558)-1</f>
        <v>3</v>
      </c>
      <c r="T558" s="1">
        <f>WORKDAY(B558,5)</f>
        <v>46209</v>
      </c>
      <c r="U558" t="b">
        <f>C558&gt;T558</f>
        <v>0</v>
      </c>
    </row>
    <row r="559" spans="1:21" x14ac:dyDescent="0.25">
      <c r="A559" t="s">
        <v>577</v>
      </c>
      <c r="B559" s="1">
        <v>46202</v>
      </c>
      <c r="C559" s="1">
        <v>46205</v>
      </c>
      <c r="D559" t="s">
        <v>421</v>
      </c>
      <c r="E559" t="s">
        <v>316</v>
      </c>
      <c r="F559" t="s">
        <v>46</v>
      </c>
      <c r="G559" t="s">
        <v>47</v>
      </c>
      <c r="H559" t="s">
        <v>78</v>
      </c>
      <c r="I559" s="2">
        <v>1</v>
      </c>
      <c r="J559" s="3">
        <v>1390</v>
      </c>
      <c r="K559" s="4">
        <v>0</v>
      </c>
      <c r="L559" s="3">
        <v>1390</v>
      </c>
      <c r="M559" t="b">
        <v>1</v>
      </c>
      <c r="N559" s="2">
        <f>YEAR(B559)</f>
        <v>2026</v>
      </c>
      <c r="O559" t="str">
        <f>INDEX(Agences!$C:$C,MATCH(F559,Agences!$A:$A,0))</f>
        <v>Est</v>
      </c>
      <c r="P559" t="str">
        <f>INDEX(Produits!$C:$C,MATCH(H559,Produits!$A:$A,0))</f>
        <v>Informatique</v>
      </c>
      <c r="Q559" s="3">
        <f>I559*INDEX(Produits!$E:$E,MATCH(H559,Produits!$A:$A,0))</f>
        <v>1125.9</v>
      </c>
      <c r="R559" s="3">
        <f>L559-Q559</f>
        <v>264.0999999999999</v>
      </c>
      <c r="S559" s="2">
        <f>NETWORKDAYS(B559,C559)-1</f>
        <v>3</v>
      </c>
      <c r="T559" s="1">
        <f>WORKDAY(B559,5)</f>
        <v>46209</v>
      </c>
      <c r="U559" t="b">
        <f>C559&gt;T559</f>
        <v>0</v>
      </c>
    </row>
    <row r="560" spans="1:21" x14ac:dyDescent="0.25">
      <c r="A560" t="s">
        <v>577</v>
      </c>
      <c r="B560" s="1">
        <v>46202</v>
      </c>
      <c r="C560" s="1">
        <v>46205</v>
      </c>
      <c r="D560" t="s">
        <v>421</v>
      </c>
      <c r="E560" t="s">
        <v>316</v>
      </c>
      <c r="F560" t="s">
        <v>46</v>
      </c>
      <c r="G560" t="s">
        <v>47</v>
      </c>
      <c r="H560" t="s">
        <v>132</v>
      </c>
      <c r="I560" s="2">
        <v>1</v>
      </c>
      <c r="J560" s="3">
        <v>650</v>
      </c>
      <c r="K560" s="4">
        <v>0</v>
      </c>
      <c r="L560" s="3">
        <v>650</v>
      </c>
      <c r="M560" t="b">
        <v>1</v>
      </c>
      <c r="N560" s="2">
        <f>YEAR(B560)</f>
        <v>2026</v>
      </c>
      <c r="O560" t="str">
        <f>INDEX(Agences!$C:$C,MATCH(F560,Agences!$A:$A,0))</f>
        <v>Est</v>
      </c>
      <c r="P560" t="str">
        <f>INDEX(Produits!$C:$C,MATCH(H560,Produits!$A:$A,0))</f>
        <v>Maintenance</v>
      </c>
      <c r="Q560" s="3">
        <f>I560*INDEX(Produits!$E:$E,MATCH(H560,Produits!$A:$A,0))</f>
        <v>273</v>
      </c>
      <c r="R560" s="3">
        <f>L560-Q560</f>
        <v>377</v>
      </c>
      <c r="S560" s="2">
        <f>NETWORKDAYS(B560,C560)-1</f>
        <v>3</v>
      </c>
      <c r="T560" s="1">
        <f>WORKDAY(B560,5)</f>
        <v>46209</v>
      </c>
      <c r="U560" t="b">
        <f>C560&gt;T560</f>
        <v>0</v>
      </c>
    </row>
    <row r="561" spans="1:21" x14ac:dyDescent="0.25">
      <c r="A561" t="s">
        <v>577</v>
      </c>
      <c r="B561" s="1">
        <v>46202</v>
      </c>
      <c r="C561" s="1">
        <v>46205</v>
      </c>
      <c r="D561" t="s">
        <v>421</v>
      </c>
      <c r="E561" t="s">
        <v>316</v>
      </c>
      <c r="F561" t="s">
        <v>46</v>
      </c>
      <c r="G561" t="s">
        <v>47</v>
      </c>
      <c r="H561" t="s">
        <v>127</v>
      </c>
      <c r="I561" s="2">
        <v>1</v>
      </c>
      <c r="J561" s="3">
        <v>649</v>
      </c>
      <c r="K561" s="4">
        <v>0.02</v>
      </c>
      <c r="L561" s="3">
        <v>636.02</v>
      </c>
      <c r="M561" t="b">
        <v>1</v>
      </c>
      <c r="N561" s="2">
        <f>YEAR(B561)</f>
        <v>2026</v>
      </c>
      <c r="O561" t="str">
        <f>INDEX(Agences!$C:$C,MATCH(F561,Agences!$A:$A,0))</f>
        <v>Est</v>
      </c>
      <c r="P561" t="str">
        <f>INDEX(Produits!$C:$C,MATCH(H561,Produits!$A:$A,0))</f>
        <v>Informatique</v>
      </c>
      <c r="Q561" s="3">
        <f>I561*INDEX(Produits!$E:$E,MATCH(H561,Produits!$A:$A,0))</f>
        <v>480.26</v>
      </c>
      <c r="R561" s="3">
        <f>L561-Q561</f>
        <v>155.76</v>
      </c>
      <c r="S561" s="2">
        <f>NETWORKDAYS(B561,C561)-1</f>
        <v>3</v>
      </c>
      <c r="T561" s="1">
        <f>WORKDAY(B561,5)</f>
        <v>46209</v>
      </c>
      <c r="U561" t="b">
        <f>C561&gt;T561</f>
        <v>0</v>
      </c>
    </row>
    <row r="562" spans="1:21" x14ac:dyDescent="0.25">
      <c r="A562" t="s">
        <v>578</v>
      </c>
      <c r="B562" s="1">
        <v>46199</v>
      </c>
      <c r="C562" s="1">
        <v>46202</v>
      </c>
      <c r="D562" t="s">
        <v>579</v>
      </c>
      <c r="E562" t="s">
        <v>115</v>
      </c>
      <c r="F562" t="s">
        <v>24</v>
      </c>
      <c r="G562" t="s">
        <v>116</v>
      </c>
      <c r="H562" t="s">
        <v>51</v>
      </c>
      <c r="I562" s="2">
        <v>2</v>
      </c>
      <c r="J562" s="3">
        <v>180</v>
      </c>
      <c r="K562" s="4">
        <v>0</v>
      </c>
      <c r="L562" s="3">
        <v>360</v>
      </c>
      <c r="M562" t="b">
        <v>1</v>
      </c>
      <c r="N562" s="2">
        <f>YEAR(B562)</f>
        <v>2026</v>
      </c>
      <c r="O562" t="str">
        <f>INDEX(Agences!$C:$C,MATCH(F562,Agences!$A:$A,0))</f>
        <v>Nord</v>
      </c>
      <c r="P562" t="str">
        <f>INDEX(Produits!$C:$C,MATCH(H562,Produits!$A:$A,0))</f>
        <v>Maintenance</v>
      </c>
      <c r="Q562" s="3">
        <f>I562*INDEX(Produits!$E:$E,MATCH(H562,Produits!$A:$A,0))</f>
        <v>165.6</v>
      </c>
      <c r="R562" s="3">
        <f>L562-Q562</f>
        <v>194.4</v>
      </c>
      <c r="S562" s="2">
        <f>NETWORKDAYS(B562,C562)-1</f>
        <v>1</v>
      </c>
      <c r="T562" s="1">
        <f>WORKDAY(B562,5)</f>
        <v>46206</v>
      </c>
      <c r="U562" t="b">
        <f>C562&gt;T562</f>
        <v>0</v>
      </c>
    </row>
    <row r="563" spans="1:21" x14ac:dyDescent="0.25">
      <c r="A563" t="s">
        <v>578</v>
      </c>
      <c r="B563" s="1">
        <v>46199</v>
      </c>
      <c r="C563" s="1">
        <v>46202</v>
      </c>
      <c r="D563" t="s">
        <v>579</v>
      </c>
      <c r="E563" t="s">
        <v>115</v>
      </c>
      <c r="F563" t="s">
        <v>24</v>
      </c>
      <c r="G563" t="s">
        <v>116</v>
      </c>
      <c r="H563" t="s">
        <v>107</v>
      </c>
      <c r="I563" s="2">
        <v>2</v>
      </c>
      <c r="J563" s="3">
        <v>99</v>
      </c>
      <c r="K563" s="4">
        <v>0</v>
      </c>
      <c r="L563" s="3">
        <v>198</v>
      </c>
      <c r="M563" t="b">
        <v>1</v>
      </c>
      <c r="N563" s="2">
        <f>YEAR(B563)</f>
        <v>2026</v>
      </c>
      <c r="O563" t="str">
        <f>INDEX(Agences!$C:$C,MATCH(F563,Agences!$A:$A,0))</f>
        <v>Nord</v>
      </c>
      <c r="P563" t="str">
        <f>INDEX(Produits!$C:$C,MATCH(H563,Produits!$A:$A,0))</f>
        <v>Informatique</v>
      </c>
      <c r="Q563" s="3">
        <f>I563*INDEX(Produits!$E:$E,MATCH(H563,Produits!$A:$A,0))</f>
        <v>150.48</v>
      </c>
      <c r="R563" s="3">
        <f>L563-Q563</f>
        <v>47.52000000000001</v>
      </c>
      <c r="S563" s="2">
        <f>NETWORKDAYS(B563,C563)-1</f>
        <v>1</v>
      </c>
      <c r="T563" s="1">
        <f>WORKDAY(B563,5)</f>
        <v>46206</v>
      </c>
      <c r="U563" t="b">
        <f>C563&gt;T563</f>
        <v>0</v>
      </c>
    </row>
    <row r="564" spans="1:21" x14ac:dyDescent="0.25">
      <c r="A564" t="s">
        <v>578</v>
      </c>
      <c r="B564" s="1">
        <v>46199</v>
      </c>
      <c r="C564" s="1">
        <v>46202</v>
      </c>
      <c r="D564" t="s">
        <v>579</v>
      </c>
      <c r="E564" t="s">
        <v>115</v>
      </c>
      <c r="F564" t="s">
        <v>24</v>
      </c>
      <c r="G564" t="s">
        <v>116</v>
      </c>
      <c r="H564" t="s">
        <v>72</v>
      </c>
      <c r="I564" s="2">
        <v>1</v>
      </c>
      <c r="J564" s="3">
        <v>179</v>
      </c>
      <c r="K564" s="4">
        <v>0.02</v>
      </c>
      <c r="L564" s="3">
        <v>175.42</v>
      </c>
      <c r="M564" t="b">
        <v>1</v>
      </c>
      <c r="N564" s="2">
        <f>YEAR(B564)</f>
        <v>2026</v>
      </c>
      <c r="O564" t="str">
        <f>INDEX(Agences!$C:$C,MATCH(F564,Agences!$A:$A,0))</f>
        <v>Nord</v>
      </c>
      <c r="P564" t="str">
        <f>INDEX(Produits!$C:$C,MATCH(H564,Produits!$A:$A,0))</f>
        <v>Informatique</v>
      </c>
      <c r="Q564" s="3">
        <f>I564*INDEX(Produits!$E:$E,MATCH(H564,Produits!$A:$A,0))</f>
        <v>146.78</v>
      </c>
      <c r="R564" s="3">
        <f>L564-Q564</f>
        <v>28.639999999999986</v>
      </c>
      <c r="S564" s="2">
        <f>NETWORKDAYS(B564,C564)-1</f>
        <v>1</v>
      </c>
      <c r="T564" s="1">
        <f>WORKDAY(B564,5)</f>
        <v>46206</v>
      </c>
      <c r="U564" t="b">
        <f>C564&gt;T564</f>
        <v>0</v>
      </c>
    </row>
    <row r="565" spans="1:21" x14ac:dyDescent="0.25">
      <c r="A565" t="s">
        <v>578</v>
      </c>
      <c r="B565" s="1">
        <v>46199</v>
      </c>
      <c r="C565" s="1">
        <v>46202</v>
      </c>
      <c r="D565" t="s">
        <v>579</v>
      </c>
      <c r="E565" t="s">
        <v>115</v>
      </c>
      <c r="F565" t="s">
        <v>24</v>
      </c>
      <c r="G565" t="s">
        <v>116</v>
      </c>
      <c r="H565" t="s">
        <v>112</v>
      </c>
      <c r="I565" s="2">
        <v>3</v>
      </c>
      <c r="J565" s="3">
        <v>129</v>
      </c>
      <c r="K565" s="4">
        <v>0.05</v>
      </c>
      <c r="L565" s="3">
        <v>367.65</v>
      </c>
      <c r="M565" t="b">
        <v>1</v>
      </c>
      <c r="N565" s="2">
        <f>YEAR(B565)</f>
        <v>2026</v>
      </c>
      <c r="O565" t="str">
        <f>INDEX(Agences!$C:$C,MATCH(F565,Agences!$A:$A,0))</f>
        <v>Nord</v>
      </c>
      <c r="P565" t="str">
        <f>INDEX(Produits!$C:$C,MATCH(H565,Produits!$A:$A,0))</f>
        <v>Mobilier</v>
      </c>
      <c r="Q565" s="3">
        <f>I565*INDEX(Produits!$E:$E,MATCH(H565,Produits!$A:$A,0))</f>
        <v>259.29</v>
      </c>
      <c r="R565" s="3">
        <f>L565-Q565</f>
        <v>108.35999999999996</v>
      </c>
      <c r="S565" s="2">
        <f>NETWORKDAYS(B565,C565)-1</f>
        <v>1</v>
      </c>
      <c r="T565" s="1">
        <f>WORKDAY(B565,5)</f>
        <v>46206</v>
      </c>
      <c r="U565" t="b">
        <f>C565&gt;T565</f>
        <v>0</v>
      </c>
    </row>
    <row r="566" spans="1:21" x14ac:dyDescent="0.25">
      <c r="A566" t="s">
        <v>580</v>
      </c>
      <c r="B566" s="1">
        <v>46199</v>
      </c>
      <c r="C566" s="1">
        <v>46206</v>
      </c>
      <c r="D566" t="s">
        <v>581</v>
      </c>
      <c r="E566" t="s">
        <v>75</v>
      </c>
      <c r="F566" t="s">
        <v>76</v>
      </c>
      <c r="G566" t="s">
        <v>176</v>
      </c>
      <c r="H566" t="s">
        <v>51</v>
      </c>
      <c r="I566" s="2">
        <v>1</v>
      </c>
      <c r="J566" s="3">
        <v>180</v>
      </c>
      <c r="K566" s="4">
        <v>0</v>
      </c>
      <c r="L566" s="3">
        <v>180</v>
      </c>
      <c r="M566" t="b">
        <v>1</v>
      </c>
      <c r="N566" s="2">
        <f>YEAR(B566)</f>
        <v>2026</v>
      </c>
      <c r="O566" t="str">
        <f>INDEX(Agences!$C:$C,MATCH(F566,Agences!$A:$A,0))</f>
        <v>Île-de-France</v>
      </c>
      <c r="P566" t="str">
        <f>INDEX(Produits!$C:$C,MATCH(H566,Produits!$A:$A,0))</f>
        <v>Maintenance</v>
      </c>
      <c r="Q566" s="3">
        <f>I566*INDEX(Produits!$E:$E,MATCH(H566,Produits!$A:$A,0))</f>
        <v>82.8</v>
      </c>
      <c r="R566" s="3">
        <f>L566-Q566</f>
        <v>97.2</v>
      </c>
      <c r="S566" s="2">
        <f>NETWORKDAYS(B566,C566)-1</f>
        <v>5</v>
      </c>
      <c r="T566" s="1">
        <f>WORKDAY(B566,5)</f>
        <v>46206</v>
      </c>
      <c r="U566" t="b">
        <f>C566&gt;T566</f>
        <v>0</v>
      </c>
    </row>
    <row r="567" spans="1:21" x14ac:dyDescent="0.25">
      <c r="A567" t="s">
        <v>580</v>
      </c>
      <c r="B567" s="1">
        <v>46199</v>
      </c>
      <c r="C567" s="1">
        <v>46206</v>
      </c>
      <c r="D567" t="s">
        <v>581</v>
      </c>
      <c r="E567" t="s">
        <v>75</v>
      </c>
      <c r="F567" t="s">
        <v>76</v>
      </c>
      <c r="G567" t="s">
        <v>176</v>
      </c>
      <c r="H567" t="s">
        <v>42</v>
      </c>
      <c r="I567" s="2">
        <v>3</v>
      </c>
      <c r="J567" s="3">
        <v>55</v>
      </c>
      <c r="K567" s="4">
        <v>0</v>
      </c>
      <c r="L567" s="3">
        <v>165</v>
      </c>
      <c r="M567" t="b">
        <v>1</v>
      </c>
      <c r="N567" s="2">
        <f>YEAR(B567)</f>
        <v>2026</v>
      </c>
      <c r="O567" t="str">
        <f>INDEX(Agences!$C:$C,MATCH(F567,Agences!$A:$A,0))</f>
        <v>Île-de-France</v>
      </c>
      <c r="P567" t="str">
        <f>INDEX(Produits!$C:$C,MATCH(H567,Produits!$A:$A,0))</f>
        <v>Maintenance</v>
      </c>
      <c r="Q567" s="3">
        <f>I567*INDEX(Produits!$E:$E,MATCH(H567,Produits!$A:$A,0))</f>
        <v>74.25</v>
      </c>
      <c r="R567" s="3">
        <f>L567-Q567</f>
        <v>90.75</v>
      </c>
      <c r="S567" s="2">
        <f>NETWORKDAYS(B567,C567)-1</f>
        <v>5</v>
      </c>
      <c r="T567" s="1">
        <f>WORKDAY(B567,5)</f>
        <v>46206</v>
      </c>
      <c r="U567" t="b">
        <f>C567&gt;T567</f>
        <v>0</v>
      </c>
    </row>
    <row r="568" spans="1:21" x14ac:dyDescent="0.25">
      <c r="A568" t="s">
        <v>580</v>
      </c>
      <c r="B568" s="1">
        <v>46199</v>
      </c>
      <c r="C568" s="1">
        <v>46206</v>
      </c>
      <c r="D568" t="s">
        <v>581</v>
      </c>
      <c r="E568" t="s">
        <v>75</v>
      </c>
      <c r="F568" t="s">
        <v>76</v>
      </c>
      <c r="G568" t="s">
        <v>176</v>
      </c>
      <c r="H568" t="s">
        <v>50</v>
      </c>
      <c r="I568" s="2">
        <v>4</v>
      </c>
      <c r="J568" s="3">
        <v>69</v>
      </c>
      <c r="K568" s="4">
        <v>0.02</v>
      </c>
      <c r="L568" s="3">
        <v>270.48</v>
      </c>
      <c r="M568" t="b">
        <v>1</v>
      </c>
      <c r="N568" s="2">
        <f>YEAR(B568)</f>
        <v>2026</v>
      </c>
      <c r="O568" t="str">
        <f>INDEX(Agences!$C:$C,MATCH(F568,Agences!$A:$A,0))</f>
        <v>Île-de-France</v>
      </c>
      <c r="P568" t="str">
        <f>INDEX(Produits!$C:$C,MATCH(H568,Produits!$A:$A,0))</f>
        <v>Informatique</v>
      </c>
      <c r="Q568" s="3">
        <f>I568*INDEX(Produits!$E:$E,MATCH(H568,Produits!$A:$A,0))</f>
        <v>218.04</v>
      </c>
      <c r="R568" s="3">
        <f>L568-Q568</f>
        <v>52.440000000000026</v>
      </c>
      <c r="S568" s="2">
        <f>NETWORKDAYS(B568,C568)-1</f>
        <v>5</v>
      </c>
      <c r="T568" s="1">
        <f>WORKDAY(B568,5)</f>
        <v>46206</v>
      </c>
      <c r="U568" t="b">
        <f>C568&gt;T568</f>
        <v>0</v>
      </c>
    </row>
    <row r="569" spans="1:21" x14ac:dyDescent="0.25">
      <c r="A569" t="s">
        <v>580</v>
      </c>
      <c r="B569" s="1">
        <v>46199</v>
      </c>
      <c r="C569" s="1">
        <v>46206</v>
      </c>
      <c r="D569" t="s">
        <v>581</v>
      </c>
      <c r="E569" t="s">
        <v>75</v>
      </c>
      <c r="F569" t="s">
        <v>76</v>
      </c>
      <c r="G569" t="s">
        <v>176</v>
      </c>
      <c r="H569" t="s">
        <v>72</v>
      </c>
      <c r="I569" s="2">
        <v>1</v>
      </c>
      <c r="J569" s="3">
        <v>179</v>
      </c>
      <c r="K569" s="4">
        <v>0</v>
      </c>
      <c r="L569" s="3">
        <v>179</v>
      </c>
      <c r="M569" t="b">
        <v>1</v>
      </c>
      <c r="N569" s="2">
        <f>YEAR(B569)</f>
        <v>2026</v>
      </c>
      <c r="O569" t="str">
        <f>INDEX(Agences!$C:$C,MATCH(F569,Agences!$A:$A,0))</f>
        <v>Île-de-France</v>
      </c>
      <c r="P569" t="str">
        <f>INDEX(Produits!$C:$C,MATCH(H569,Produits!$A:$A,0))</f>
        <v>Informatique</v>
      </c>
      <c r="Q569" s="3">
        <f>I569*INDEX(Produits!$E:$E,MATCH(H569,Produits!$A:$A,0))</f>
        <v>146.78</v>
      </c>
      <c r="R569" s="3">
        <f>L569-Q569</f>
        <v>32.22</v>
      </c>
      <c r="S569" s="2">
        <f>NETWORKDAYS(B569,C569)-1</f>
        <v>5</v>
      </c>
      <c r="T569" s="1">
        <f>WORKDAY(B569,5)</f>
        <v>46206</v>
      </c>
      <c r="U569" t="b">
        <f>C569&gt;T569</f>
        <v>0</v>
      </c>
    </row>
    <row r="570" spans="1:21" x14ac:dyDescent="0.25">
      <c r="A570" t="s">
        <v>580</v>
      </c>
      <c r="B570" s="1">
        <v>46199</v>
      </c>
      <c r="C570" s="1">
        <v>46206</v>
      </c>
      <c r="D570" t="s">
        <v>581</v>
      </c>
      <c r="E570" t="s">
        <v>75</v>
      </c>
      <c r="F570" t="s">
        <v>76</v>
      </c>
      <c r="G570" t="s">
        <v>176</v>
      </c>
      <c r="H570" t="s">
        <v>107</v>
      </c>
      <c r="I570" s="2">
        <v>2</v>
      </c>
      <c r="J570" s="3">
        <v>99</v>
      </c>
      <c r="K570" s="4">
        <v>0</v>
      </c>
      <c r="L570" s="3">
        <v>198</v>
      </c>
      <c r="M570" t="b">
        <v>1</v>
      </c>
      <c r="N570" s="2">
        <f>YEAR(B570)</f>
        <v>2026</v>
      </c>
      <c r="O570" t="str">
        <f>INDEX(Agences!$C:$C,MATCH(F570,Agences!$A:$A,0))</f>
        <v>Île-de-France</v>
      </c>
      <c r="P570" t="str">
        <f>INDEX(Produits!$C:$C,MATCH(H570,Produits!$A:$A,0))</f>
        <v>Informatique</v>
      </c>
      <c r="Q570" s="3">
        <f>I570*INDEX(Produits!$E:$E,MATCH(H570,Produits!$A:$A,0))</f>
        <v>150.48</v>
      </c>
      <c r="R570" s="3">
        <f>L570-Q570</f>
        <v>47.52000000000001</v>
      </c>
      <c r="S570" s="2">
        <f>NETWORKDAYS(B570,C570)-1</f>
        <v>5</v>
      </c>
      <c r="T570" s="1">
        <f>WORKDAY(B570,5)</f>
        <v>46206</v>
      </c>
      <c r="U570" t="b">
        <f>C570&gt;T570</f>
        <v>0</v>
      </c>
    </row>
    <row r="571" spans="1:21" x14ac:dyDescent="0.25">
      <c r="A571" t="s">
        <v>582</v>
      </c>
      <c r="B571" s="1">
        <v>46199</v>
      </c>
      <c r="C571" s="1">
        <v>46202</v>
      </c>
      <c r="D571" t="s">
        <v>583</v>
      </c>
      <c r="E571" t="s">
        <v>165</v>
      </c>
      <c r="F571" t="s">
        <v>166</v>
      </c>
      <c r="G571" t="s">
        <v>179</v>
      </c>
      <c r="H571" t="s">
        <v>79</v>
      </c>
      <c r="I571" s="2">
        <v>5</v>
      </c>
      <c r="J571" s="3">
        <v>14.9</v>
      </c>
      <c r="K571" s="4">
        <v>0.08</v>
      </c>
      <c r="L571" s="3">
        <v>68.54</v>
      </c>
      <c r="M571" t="b">
        <v>1</v>
      </c>
      <c r="N571" s="2">
        <f>YEAR(B571)</f>
        <v>2026</v>
      </c>
      <c r="O571" t="str">
        <f>INDEX(Agences!$C:$C,MATCH(F571,Agences!$A:$A,0))</f>
        <v>Ouest</v>
      </c>
      <c r="P571" t="str">
        <f>INDEX(Produits!$C:$C,MATCH(H571,Produits!$A:$A,0))</f>
        <v>Fournitures</v>
      </c>
      <c r="Q571" s="3">
        <f>I571*INDEX(Produits!$E:$E,MATCH(H571,Produits!$A:$A,0))</f>
        <v>40.25</v>
      </c>
      <c r="R571" s="3">
        <f>L571-Q571</f>
        <v>28.290000000000006</v>
      </c>
      <c r="S571" s="2">
        <f>NETWORKDAYS(B571,C571)-1</f>
        <v>1</v>
      </c>
      <c r="T571" s="1">
        <f>WORKDAY(B571,5)</f>
        <v>46206</v>
      </c>
      <c r="U571" t="b">
        <f>C571&gt;T571</f>
        <v>0</v>
      </c>
    </row>
    <row r="572" spans="1:21" x14ac:dyDescent="0.25">
      <c r="A572" t="s">
        <v>582</v>
      </c>
      <c r="B572" s="1">
        <v>46199</v>
      </c>
      <c r="C572" s="1">
        <v>46202</v>
      </c>
      <c r="D572" t="s">
        <v>583</v>
      </c>
      <c r="E572" t="s">
        <v>165</v>
      </c>
      <c r="F572" t="s">
        <v>166</v>
      </c>
      <c r="G572" t="s">
        <v>179</v>
      </c>
      <c r="H572" t="s">
        <v>33</v>
      </c>
      <c r="I572" s="2">
        <v>1</v>
      </c>
      <c r="J572" s="3">
        <v>219</v>
      </c>
      <c r="K572" s="4">
        <v>0.05</v>
      </c>
      <c r="L572" s="3">
        <v>208.05</v>
      </c>
      <c r="M572" t="b">
        <v>1</v>
      </c>
      <c r="N572" s="2">
        <f>YEAR(B572)</f>
        <v>2026</v>
      </c>
      <c r="O572" t="str">
        <f>INDEX(Agences!$C:$C,MATCH(F572,Agences!$A:$A,0))</f>
        <v>Ouest</v>
      </c>
      <c r="P572" t="str">
        <f>INDEX(Produits!$C:$C,MATCH(H572,Produits!$A:$A,0))</f>
        <v>Informatique</v>
      </c>
      <c r="Q572" s="3">
        <f>I572*INDEX(Produits!$E:$E,MATCH(H572,Produits!$A:$A,0))</f>
        <v>179.58</v>
      </c>
      <c r="R572" s="3">
        <f>L572-Q572</f>
        <v>28.47</v>
      </c>
      <c r="S572" s="2">
        <f>NETWORKDAYS(B572,C572)-1</f>
        <v>1</v>
      </c>
      <c r="T572" s="1">
        <f>WORKDAY(B572,5)</f>
        <v>46206</v>
      </c>
      <c r="U572" t="b">
        <f>C572&gt;T572</f>
        <v>0</v>
      </c>
    </row>
    <row r="573" spans="1:21" x14ac:dyDescent="0.25">
      <c r="A573" t="s">
        <v>584</v>
      </c>
      <c r="B573" s="1">
        <v>46199</v>
      </c>
      <c r="C573" s="1">
        <v>46203</v>
      </c>
      <c r="D573" t="s">
        <v>585</v>
      </c>
      <c r="E573" t="s">
        <v>336</v>
      </c>
      <c r="F573" t="s">
        <v>166</v>
      </c>
      <c r="G573" t="s">
        <v>248</v>
      </c>
      <c r="H573" t="s">
        <v>64</v>
      </c>
      <c r="I573" s="2">
        <v>20</v>
      </c>
      <c r="J573" s="3">
        <v>16.8</v>
      </c>
      <c r="K573" s="4">
        <v>0</v>
      </c>
      <c r="L573" s="3">
        <v>336</v>
      </c>
      <c r="M573" t="b">
        <v>1</v>
      </c>
      <c r="N573" s="2">
        <f>YEAR(B573)</f>
        <v>2026</v>
      </c>
      <c r="O573" t="str">
        <f>INDEX(Agences!$C:$C,MATCH(F573,Agences!$A:$A,0))</f>
        <v>Ouest</v>
      </c>
      <c r="P573" t="str">
        <f>INDEX(Produits!$C:$C,MATCH(H573,Produits!$A:$A,0))</f>
        <v>Fournitures</v>
      </c>
      <c r="Q573" s="3">
        <f>I573*INDEX(Produits!$E:$E,MATCH(H573,Produits!$A:$A,0))</f>
        <v>174.8</v>
      </c>
      <c r="R573" s="3">
        <f>L573-Q573</f>
        <v>161.2</v>
      </c>
      <c r="S573" s="2">
        <f>NETWORKDAYS(B573,C573)-1</f>
        <v>2</v>
      </c>
      <c r="T573" s="1">
        <f>WORKDAY(B573,5)</f>
        <v>46206</v>
      </c>
      <c r="U573" t="b">
        <f>C573&gt;T573</f>
        <v>0</v>
      </c>
    </row>
    <row r="574" spans="1:21" x14ac:dyDescent="0.25">
      <c r="A574" t="s">
        <v>584</v>
      </c>
      <c r="B574" s="1">
        <v>46199</v>
      </c>
      <c r="C574" s="1">
        <v>46203</v>
      </c>
      <c r="D574" t="s">
        <v>585</v>
      </c>
      <c r="E574" t="s">
        <v>336</v>
      </c>
      <c r="F574" t="s">
        <v>166</v>
      </c>
      <c r="G574" t="s">
        <v>248</v>
      </c>
      <c r="H574" t="s">
        <v>205</v>
      </c>
      <c r="I574" s="2">
        <v>2</v>
      </c>
      <c r="J574" s="3">
        <v>359</v>
      </c>
      <c r="K574" s="4">
        <v>0.05</v>
      </c>
      <c r="L574" s="3">
        <v>682.1</v>
      </c>
      <c r="M574" t="b">
        <v>1</v>
      </c>
      <c r="N574" s="2">
        <f>YEAR(B574)</f>
        <v>2026</v>
      </c>
      <c r="O574" t="str">
        <f>INDEX(Agences!$C:$C,MATCH(F574,Agences!$A:$A,0))</f>
        <v>Ouest</v>
      </c>
      <c r="P574" t="str">
        <f>INDEX(Produits!$C:$C,MATCH(H574,Produits!$A:$A,0))</f>
        <v>Mobilier</v>
      </c>
      <c r="Q574" s="3">
        <f>I574*INDEX(Produits!$E:$E,MATCH(H574,Produits!$A:$A,0))</f>
        <v>409.26</v>
      </c>
      <c r="R574" s="3">
        <f>L574-Q574</f>
        <v>272.84000000000003</v>
      </c>
      <c r="S574" s="2">
        <f>NETWORKDAYS(B574,C574)-1</f>
        <v>2</v>
      </c>
      <c r="T574" s="1">
        <f>WORKDAY(B574,5)</f>
        <v>46206</v>
      </c>
      <c r="U574" t="b">
        <f>C574&gt;T574</f>
        <v>0</v>
      </c>
    </row>
    <row r="575" spans="1:21" x14ac:dyDescent="0.25">
      <c r="A575" t="s">
        <v>586</v>
      </c>
      <c r="B575" s="1">
        <v>46199</v>
      </c>
      <c r="C575" s="1">
        <v>46203</v>
      </c>
      <c r="D575" t="s">
        <v>272</v>
      </c>
      <c r="E575" t="s">
        <v>225</v>
      </c>
      <c r="F575" t="s">
        <v>88</v>
      </c>
      <c r="G575" t="s">
        <v>142</v>
      </c>
      <c r="H575" t="s">
        <v>83</v>
      </c>
      <c r="I575" s="2">
        <v>1</v>
      </c>
      <c r="J575" s="3">
        <v>49</v>
      </c>
      <c r="K575" s="4">
        <v>0.02</v>
      </c>
      <c r="L575" s="3">
        <v>48.02</v>
      </c>
      <c r="M575" t="b">
        <v>1</v>
      </c>
      <c r="N575" s="2">
        <f>YEAR(B575)</f>
        <v>2026</v>
      </c>
      <c r="O575" t="str">
        <f>INDEX(Agences!$C:$C,MATCH(F575,Agences!$A:$A,0))</f>
        <v>Sud-Ouest</v>
      </c>
      <c r="P575" t="str">
        <f>INDEX(Produits!$C:$C,MATCH(H575,Produits!$A:$A,0))</f>
        <v>Mobilier</v>
      </c>
      <c r="Q575" s="3">
        <f>I575*INDEX(Produits!$E:$E,MATCH(H575,Produits!$A:$A,0))</f>
        <v>28.42</v>
      </c>
      <c r="R575" s="3">
        <f>L575-Q575</f>
        <v>19.6</v>
      </c>
      <c r="S575" s="2">
        <f>NETWORKDAYS(B575,C575)-1</f>
        <v>2</v>
      </c>
      <c r="T575" s="1">
        <f>WORKDAY(B575,5)</f>
        <v>46206</v>
      </c>
      <c r="U575" t="b">
        <f>C575&gt;T575</f>
        <v>0</v>
      </c>
    </row>
    <row r="576" spans="1:21" x14ac:dyDescent="0.25">
      <c r="A576" t="s">
        <v>587</v>
      </c>
      <c r="B576" s="1">
        <v>46199</v>
      </c>
      <c r="C576" s="1">
        <v>46206</v>
      </c>
      <c r="D576" t="s">
        <v>588</v>
      </c>
      <c r="E576" t="s">
        <v>225</v>
      </c>
      <c r="F576" t="s">
        <v>88</v>
      </c>
      <c r="G576" t="s">
        <v>226</v>
      </c>
      <c r="H576" t="s">
        <v>107</v>
      </c>
      <c r="I576" s="2">
        <v>5</v>
      </c>
      <c r="J576" s="3">
        <v>99</v>
      </c>
      <c r="K576" s="4">
        <v>0.1</v>
      </c>
      <c r="L576" s="3">
        <v>445.5</v>
      </c>
      <c r="M576" t="b">
        <v>1</v>
      </c>
      <c r="N576" s="2">
        <f>YEAR(B576)</f>
        <v>2026</v>
      </c>
      <c r="O576" t="str">
        <f>INDEX(Agences!$C:$C,MATCH(F576,Agences!$A:$A,0))</f>
        <v>Sud-Ouest</v>
      </c>
      <c r="P576" t="str">
        <f>INDEX(Produits!$C:$C,MATCH(H576,Produits!$A:$A,0))</f>
        <v>Informatique</v>
      </c>
      <c r="Q576" s="3">
        <f>I576*INDEX(Produits!$E:$E,MATCH(H576,Produits!$A:$A,0))</f>
        <v>376.2</v>
      </c>
      <c r="R576" s="3">
        <f>L576-Q576</f>
        <v>69.30000000000001</v>
      </c>
      <c r="S576" s="2">
        <f>NETWORKDAYS(B576,C576)-1</f>
        <v>5</v>
      </c>
      <c r="T576" s="1">
        <f>WORKDAY(B576,5)</f>
        <v>46206</v>
      </c>
      <c r="U576" t="b">
        <f>C576&gt;T576</f>
        <v>0</v>
      </c>
    </row>
    <row r="577" spans="1:21" x14ac:dyDescent="0.25">
      <c r="A577" t="s">
        <v>587</v>
      </c>
      <c r="B577" s="1">
        <v>46199</v>
      </c>
      <c r="C577" s="1">
        <v>46206</v>
      </c>
      <c r="D577" t="s">
        <v>588</v>
      </c>
      <c r="E577" t="s">
        <v>225</v>
      </c>
      <c r="F577" t="s">
        <v>88</v>
      </c>
      <c r="G577" t="s">
        <v>226</v>
      </c>
      <c r="H577" t="s">
        <v>319</v>
      </c>
      <c r="I577" s="2">
        <v>3</v>
      </c>
      <c r="J577" s="3">
        <v>289</v>
      </c>
      <c r="K577" s="4">
        <v>0</v>
      </c>
      <c r="L577" s="3">
        <v>867</v>
      </c>
      <c r="M577" t="b">
        <v>1</v>
      </c>
      <c r="N577" s="2">
        <f>YEAR(B577)</f>
        <v>2026</v>
      </c>
      <c r="O577" t="str">
        <f>INDEX(Agences!$C:$C,MATCH(F577,Agences!$A:$A,0))</f>
        <v>Sud-Ouest</v>
      </c>
      <c r="P577" t="str">
        <f>INDEX(Produits!$C:$C,MATCH(H577,Produits!$A:$A,0))</f>
        <v>Informatique</v>
      </c>
      <c r="Q577" s="3">
        <f>I577*INDEX(Produits!$E:$E,MATCH(H577,Produits!$A:$A,0))</f>
        <v>641.58</v>
      </c>
      <c r="R577" s="3">
        <f>L577-Q577</f>
        <v>225.41999999999996</v>
      </c>
      <c r="S577" s="2">
        <f>NETWORKDAYS(B577,C577)-1</f>
        <v>5</v>
      </c>
      <c r="T577" s="1">
        <f>WORKDAY(B577,5)</f>
        <v>46206</v>
      </c>
      <c r="U577" t="b">
        <f>C577&gt;T577</f>
        <v>0</v>
      </c>
    </row>
    <row r="578" spans="1:21" x14ac:dyDescent="0.25">
      <c r="A578" t="s">
        <v>587</v>
      </c>
      <c r="B578" s="1">
        <v>46199</v>
      </c>
      <c r="C578" s="1">
        <v>46206</v>
      </c>
      <c r="D578" t="s">
        <v>588</v>
      </c>
      <c r="E578" t="s">
        <v>225</v>
      </c>
      <c r="F578" t="s">
        <v>88</v>
      </c>
      <c r="G578" t="s">
        <v>226</v>
      </c>
      <c r="H578" t="s">
        <v>42</v>
      </c>
      <c r="I578" s="2">
        <v>1</v>
      </c>
      <c r="J578" s="3">
        <v>55</v>
      </c>
      <c r="K578" s="4">
        <v>0</v>
      </c>
      <c r="L578" s="3">
        <v>55</v>
      </c>
      <c r="M578" t="b">
        <v>1</v>
      </c>
      <c r="N578" s="2">
        <f>YEAR(B578)</f>
        <v>2026</v>
      </c>
      <c r="O578" t="str">
        <f>INDEX(Agences!$C:$C,MATCH(F578,Agences!$A:$A,0))</f>
        <v>Sud-Ouest</v>
      </c>
      <c r="P578" t="str">
        <f>INDEX(Produits!$C:$C,MATCH(H578,Produits!$A:$A,0))</f>
        <v>Maintenance</v>
      </c>
      <c r="Q578" s="3">
        <f>I578*INDEX(Produits!$E:$E,MATCH(H578,Produits!$A:$A,0))</f>
        <v>24.75</v>
      </c>
      <c r="R578" s="3">
        <f>L578-Q578</f>
        <v>30.25</v>
      </c>
      <c r="S578" s="2">
        <f>NETWORKDAYS(B578,C578)-1</f>
        <v>5</v>
      </c>
      <c r="T578" s="1">
        <f>WORKDAY(B578,5)</f>
        <v>46206</v>
      </c>
      <c r="U578" t="b">
        <f>C578&gt;T578</f>
        <v>0</v>
      </c>
    </row>
    <row r="579" spans="1:21" x14ac:dyDescent="0.25">
      <c r="A579" t="s">
        <v>587</v>
      </c>
      <c r="B579" s="1">
        <v>46199</v>
      </c>
      <c r="C579" s="1">
        <v>46206</v>
      </c>
      <c r="D579" t="s">
        <v>588</v>
      </c>
      <c r="E579" t="s">
        <v>225</v>
      </c>
      <c r="F579" t="s">
        <v>88</v>
      </c>
      <c r="G579" t="s">
        <v>226</v>
      </c>
      <c r="H579" t="s">
        <v>51</v>
      </c>
      <c r="I579" s="2">
        <v>1</v>
      </c>
      <c r="J579" s="3">
        <v>180</v>
      </c>
      <c r="K579" s="4">
        <v>0.08</v>
      </c>
      <c r="L579" s="3">
        <v>165.6</v>
      </c>
      <c r="M579" t="b">
        <v>1</v>
      </c>
      <c r="N579" s="2">
        <f>YEAR(B579)</f>
        <v>2026</v>
      </c>
      <c r="O579" t="str">
        <f>INDEX(Agences!$C:$C,MATCH(F579,Agences!$A:$A,0))</f>
        <v>Sud-Ouest</v>
      </c>
      <c r="P579" t="str">
        <f>INDEX(Produits!$C:$C,MATCH(H579,Produits!$A:$A,0))</f>
        <v>Maintenance</v>
      </c>
      <c r="Q579" s="3">
        <f>I579*INDEX(Produits!$E:$E,MATCH(H579,Produits!$A:$A,0))</f>
        <v>82.8</v>
      </c>
      <c r="R579" s="3">
        <f>L579-Q579</f>
        <v>82.8</v>
      </c>
      <c r="S579" s="2">
        <f>NETWORKDAYS(B579,C579)-1</f>
        <v>5</v>
      </c>
      <c r="T579" s="1">
        <f>WORKDAY(B579,5)</f>
        <v>46206</v>
      </c>
      <c r="U579" t="b">
        <f>C579&gt;T579</f>
        <v>0</v>
      </c>
    </row>
    <row r="580" spans="1:21" x14ac:dyDescent="0.25">
      <c r="A580" t="s">
        <v>589</v>
      </c>
      <c r="B580" s="1">
        <v>46199</v>
      </c>
      <c r="C580" s="1">
        <v>46202</v>
      </c>
      <c r="D580" t="s">
        <v>347</v>
      </c>
      <c r="E580" t="s">
        <v>242</v>
      </c>
      <c r="F580" t="s">
        <v>94</v>
      </c>
      <c r="G580" t="s">
        <v>95</v>
      </c>
      <c r="H580" t="s">
        <v>161</v>
      </c>
      <c r="I580" s="2">
        <v>15</v>
      </c>
      <c r="J580" s="3">
        <v>32</v>
      </c>
      <c r="K580" s="4">
        <v>0</v>
      </c>
      <c r="L580" s="3">
        <v>480</v>
      </c>
      <c r="M580" t="b">
        <v>1</v>
      </c>
      <c r="N580" s="2">
        <f>YEAR(B580)</f>
        <v>2026</v>
      </c>
      <c r="O580" t="str">
        <f>INDEX(Agences!$C:$C,MATCH(F580,Agences!$A:$A,0))</f>
        <v>Méditerranée</v>
      </c>
      <c r="P580" t="str">
        <f>INDEX(Produits!$C:$C,MATCH(H580,Produits!$A:$A,0))</f>
        <v>Fournitures</v>
      </c>
      <c r="Q580" s="3">
        <f>I580*INDEX(Produits!$E:$E,MATCH(H580,Produits!$A:$A,0))</f>
        <v>264</v>
      </c>
      <c r="R580" s="3">
        <f>L580-Q580</f>
        <v>216</v>
      </c>
      <c r="S580" s="2">
        <f>NETWORKDAYS(B580,C580)-1</f>
        <v>1</v>
      </c>
      <c r="T580" s="1">
        <f>WORKDAY(B580,5)</f>
        <v>46206</v>
      </c>
      <c r="U580" t="b">
        <f>C580&gt;T580</f>
        <v>0</v>
      </c>
    </row>
    <row r="581" spans="1:21" x14ac:dyDescent="0.25">
      <c r="A581" t="s">
        <v>590</v>
      </c>
      <c r="B581" s="1">
        <v>46198</v>
      </c>
      <c r="C581" s="1">
        <v>46202</v>
      </c>
      <c r="D581" t="s">
        <v>414</v>
      </c>
      <c r="E581" t="s">
        <v>172</v>
      </c>
      <c r="F581" t="s">
        <v>99</v>
      </c>
      <c r="G581" t="s">
        <v>100</v>
      </c>
      <c r="H581" t="s">
        <v>27</v>
      </c>
      <c r="I581" s="2">
        <v>2</v>
      </c>
      <c r="J581" s="3">
        <v>310</v>
      </c>
      <c r="K581" s="4">
        <v>0.08</v>
      </c>
      <c r="L581" s="3">
        <v>570.4</v>
      </c>
      <c r="M581" t="b">
        <v>1</v>
      </c>
      <c r="N581" s="2">
        <f>YEAR(B581)</f>
        <v>2026</v>
      </c>
      <c r="O581" t="str">
        <f>INDEX(Agences!$C:$C,MATCH(F581,Agences!$A:$A,0))</f>
        <v>Nord</v>
      </c>
      <c r="P581" t="str">
        <f>INDEX(Produits!$C:$C,MATCH(H581,Produits!$A:$A,0))</f>
        <v>Mobilier</v>
      </c>
      <c r="Q581" s="3">
        <f>I581*INDEX(Produits!$E:$E,MATCH(H581,Produits!$A:$A,0))</f>
        <v>372</v>
      </c>
      <c r="R581" s="3">
        <f>L581-Q581</f>
        <v>198.39999999999998</v>
      </c>
      <c r="S581" s="2">
        <f>NETWORKDAYS(B581,C581)-1</f>
        <v>2</v>
      </c>
      <c r="T581" s="1">
        <f>WORKDAY(B581,5)</f>
        <v>46205</v>
      </c>
      <c r="U581" t="b">
        <f>C581&gt;T581</f>
        <v>0</v>
      </c>
    </row>
    <row r="582" spans="1:21" x14ac:dyDescent="0.25">
      <c r="A582" t="s">
        <v>590</v>
      </c>
      <c r="B582" s="1">
        <v>46198</v>
      </c>
      <c r="C582" s="1">
        <v>46202</v>
      </c>
      <c r="D582" t="s">
        <v>414</v>
      </c>
      <c r="E582" t="s">
        <v>172</v>
      </c>
      <c r="F582" t="s">
        <v>99</v>
      </c>
      <c r="G582" t="s">
        <v>100</v>
      </c>
      <c r="H582" t="s">
        <v>90</v>
      </c>
      <c r="I582" s="2">
        <v>15</v>
      </c>
      <c r="J582" s="3">
        <v>22.9</v>
      </c>
      <c r="K582" s="4">
        <v>0</v>
      </c>
      <c r="L582" s="3">
        <v>343.5</v>
      </c>
      <c r="M582" t="b">
        <v>1</v>
      </c>
      <c r="N582" s="2">
        <f>YEAR(B582)</f>
        <v>2026</v>
      </c>
      <c r="O582" t="str">
        <f>INDEX(Agences!$C:$C,MATCH(F582,Agences!$A:$A,0))</f>
        <v>Nord</v>
      </c>
      <c r="P582" t="str">
        <f>INDEX(Produits!$C:$C,MATCH(H582,Produits!$A:$A,0))</f>
        <v>Fournitures</v>
      </c>
      <c r="Q582" s="3">
        <f>I582*INDEX(Produits!$E:$E,MATCH(H582,Produits!$A:$A,0))</f>
        <v>192.3</v>
      </c>
      <c r="R582" s="3">
        <f>L582-Q582</f>
        <v>151.2</v>
      </c>
      <c r="S582" s="2">
        <f>NETWORKDAYS(B582,C582)-1</f>
        <v>2</v>
      </c>
      <c r="T582" s="1">
        <f>WORKDAY(B582,5)</f>
        <v>46205</v>
      </c>
      <c r="U582" t="b">
        <f>C582&gt;T582</f>
        <v>0</v>
      </c>
    </row>
    <row r="583" spans="1:21" x14ac:dyDescent="0.25">
      <c r="A583" t="s">
        <v>591</v>
      </c>
      <c r="B583" s="1">
        <v>46198</v>
      </c>
      <c r="C583" s="1">
        <v>46202</v>
      </c>
      <c r="D583" t="s">
        <v>592</v>
      </c>
      <c r="E583" t="s">
        <v>98</v>
      </c>
      <c r="F583" t="s">
        <v>99</v>
      </c>
      <c r="G583" t="s">
        <v>100</v>
      </c>
      <c r="H583" t="s">
        <v>35</v>
      </c>
      <c r="I583" s="2">
        <v>1</v>
      </c>
      <c r="J583" s="3">
        <v>79</v>
      </c>
      <c r="K583" s="4">
        <v>0.05</v>
      </c>
      <c r="L583" s="3">
        <v>75.05</v>
      </c>
      <c r="M583" t="b">
        <v>1</v>
      </c>
      <c r="N583" s="2">
        <f>YEAR(B583)</f>
        <v>2026</v>
      </c>
      <c r="O583" t="str">
        <f>INDEX(Agences!$C:$C,MATCH(F583,Agences!$A:$A,0))</f>
        <v>Nord</v>
      </c>
      <c r="P583" t="str">
        <f>INDEX(Produits!$C:$C,MATCH(H583,Produits!$A:$A,0))</f>
        <v>Mobilier</v>
      </c>
      <c r="Q583" s="3">
        <f>I583*INDEX(Produits!$E:$E,MATCH(H583,Produits!$A:$A,0))</f>
        <v>46.61</v>
      </c>
      <c r="R583" s="3">
        <f>L583-Q583</f>
        <v>28.439999999999998</v>
      </c>
      <c r="S583" s="2">
        <f>NETWORKDAYS(B583,C583)-1</f>
        <v>2</v>
      </c>
      <c r="T583" s="1">
        <f>WORKDAY(B583,5)</f>
        <v>46205</v>
      </c>
      <c r="U583" t="b">
        <f>C583&gt;T583</f>
        <v>0</v>
      </c>
    </row>
    <row r="584" spans="1:21" x14ac:dyDescent="0.25">
      <c r="A584" t="s">
        <v>593</v>
      </c>
      <c r="B584" s="1">
        <v>46198</v>
      </c>
      <c r="C584" s="1">
        <v>46202</v>
      </c>
      <c r="D584" t="s">
        <v>594</v>
      </c>
      <c r="E584" t="s">
        <v>126</v>
      </c>
      <c r="F584" t="s">
        <v>99</v>
      </c>
      <c r="G584" t="s">
        <v>265</v>
      </c>
      <c r="H584" t="s">
        <v>50</v>
      </c>
      <c r="I584" s="2">
        <v>1</v>
      </c>
      <c r="J584" s="3">
        <v>69</v>
      </c>
      <c r="K584" s="4">
        <v>0.02</v>
      </c>
      <c r="L584" s="3">
        <v>67.62</v>
      </c>
      <c r="M584" t="b">
        <v>1</v>
      </c>
      <c r="N584" s="2">
        <f>YEAR(B584)</f>
        <v>2026</v>
      </c>
      <c r="O584" t="str">
        <f>INDEX(Agences!$C:$C,MATCH(F584,Agences!$A:$A,0))</f>
        <v>Nord</v>
      </c>
      <c r="P584" t="str">
        <f>INDEX(Produits!$C:$C,MATCH(H584,Produits!$A:$A,0))</f>
        <v>Informatique</v>
      </c>
      <c r="Q584" s="3">
        <f>I584*INDEX(Produits!$E:$E,MATCH(H584,Produits!$A:$A,0))</f>
        <v>54.51</v>
      </c>
      <c r="R584" s="3">
        <f>L584-Q584</f>
        <v>13.110000000000007</v>
      </c>
      <c r="S584" s="2">
        <f>NETWORKDAYS(B584,C584)-1</f>
        <v>2</v>
      </c>
      <c r="T584" s="1">
        <f>WORKDAY(B584,5)</f>
        <v>46205</v>
      </c>
      <c r="U584" t="b">
        <f>C584&gt;T584</f>
        <v>0</v>
      </c>
    </row>
    <row r="585" spans="1:21" x14ac:dyDescent="0.25">
      <c r="A585" t="s">
        <v>595</v>
      </c>
      <c r="B585" s="1">
        <v>46198</v>
      </c>
      <c r="C585" s="1">
        <v>46199</v>
      </c>
      <c r="D585" t="s">
        <v>405</v>
      </c>
      <c r="E585" t="s">
        <v>256</v>
      </c>
      <c r="F585" t="s">
        <v>88</v>
      </c>
      <c r="G585" t="s">
        <v>89</v>
      </c>
      <c r="H585" t="s">
        <v>83</v>
      </c>
      <c r="I585" s="2">
        <v>4</v>
      </c>
      <c r="J585" s="3">
        <v>49</v>
      </c>
      <c r="K585" s="4">
        <v>0.02</v>
      </c>
      <c r="L585" s="3">
        <v>192.08</v>
      </c>
      <c r="M585" t="b">
        <v>1</v>
      </c>
      <c r="N585" s="2">
        <f>YEAR(B585)</f>
        <v>2026</v>
      </c>
      <c r="O585" t="str">
        <f>INDEX(Agences!$C:$C,MATCH(F585,Agences!$A:$A,0))</f>
        <v>Sud-Ouest</v>
      </c>
      <c r="P585" t="str">
        <f>INDEX(Produits!$C:$C,MATCH(H585,Produits!$A:$A,0))</f>
        <v>Mobilier</v>
      </c>
      <c r="Q585" s="3">
        <f>I585*INDEX(Produits!$E:$E,MATCH(H585,Produits!$A:$A,0))</f>
        <v>113.68</v>
      </c>
      <c r="R585" s="3">
        <f>L585-Q585</f>
        <v>78.4</v>
      </c>
      <c r="S585" s="2">
        <f>NETWORKDAYS(B585,C585)-1</f>
        <v>1</v>
      </c>
      <c r="T585" s="1">
        <f>WORKDAY(B585,5)</f>
        <v>46205</v>
      </c>
      <c r="U585" t="b">
        <f>C585&gt;T585</f>
        <v>0</v>
      </c>
    </row>
    <row r="586" spans="1:21" x14ac:dyDescent="0.25">
      <c r="A586" t="s">
        <v>596</v>
      </c>
      <c r="B586" s="1">
        <v>46198</v>
      </c>
      <c r="C586" s="1">
        <v>46203</v>
      </c>
      <c r="D586" t="s">
        <v>597</v>
      </c>
      <c r="E586" t="s">
        <v>153</v>
      </c>
      <c r="F586" t="s">
        <v>94</v>
      </c>
      <c r="G586" t="s">
        <v>95</v>
      </c>
      <c r="H586" t="s">
        <v>42</v>
      </c>
      <c r="I586" s="2">
        <v>1</v>
      </c>
      <c r="J586" s="3">
        <v>55</v>
      </c>
      <c r="K586" s="4">
        <v>0</v>
      </c>
      <c r="L586" s="3">
        <v>55</v>
      </c>
      <c r="M586" t="b">
        <v>1</v>
      </c>
      <c r="N586" s="2">
        <f>YEAR(B586)</f>
        <v>2026</v>
      </c>
      <c r="O586" t="str">
        <f>INDEX(Agences!$C:$C,MATCH(F586,Agences!$A:$A,0))</f>
        <v>Méditerranée</v>
      </c>
      <c r="P586" t="str">
        <f>INDEX(Produits!$C:$C,MATCH(H586,Produits!$A:$A,0))</f>
        <v>Maintenance</v>
      </c>
      <c r="Q586" s="3">
        <f>I586*INDEX(Produits!$E:$E,MATCH(H586,Produits!$A:$A,0))</f>
        <v>24.75</v>
      </c>
      <c r="R586" s="3">
        <f>L586-Q586</f>
        <v>30.25</v>
      </c>
      <c r="S586" s="2">
        <f>NETWORKDAYS(B586,C586)-1</f>
        <v>3</v>
      </c>
      <c r="T586" s="1">
        <f>WORKDAY(B586,5)</f>
        <v>46205</v>
      </c>
      <c r="U586" t="b">
        <f>C586&gt;T586</f>
        <v>0</v>
      </c>
    </row>
    <row r="587" spans="1:21" x14ac:dyDescent="0.25">
      <c r="A587" t="s">
        <v>596</v>
      </c>
      <c r="B587" s="1">
        <v>46198</v>
      </c>
      <c r="C587" s="1">
        <v>46203</v>
      </c>
      <c r="D587" t="s">
        <v>597</v>
      </c>
      <c r="E587" t="s">
        <v>153</v>
      </c>
      <c r="F587" t="s">
        <v>94</v>
      </c>
      <c r="G587" t="s">
        <v>95</v>
      </c>
      <c r="H587" t="s">
        <v>162</v>
      </c>
      <c r="I587" s="2">
        <v>2</v>
      </c>
      <c r="J587" s="3">
        <v>289</v>
      </c>
      <c r="K587" s="4">
        <v>0</v>
      </c>
      <c r="L587" s="3">
        <v>578</v>
      </c>
      <c r="M587" t="b">
        <v>1</v>
      </c>
      <c r="N587" s="2">
        <f>YEAR(B587)</f>
        <v>2026</v>
      </c>
      <c r="O587" t="str">
        <f>INDEX(Agences!$C:$C,MATCH(F587,Agences!$A:$A,0))</f>
        <v>Méditerranée</v>
      </c>
      <c r="P587" t="str">
        <f>INDEX(Produits!$C:$C,MATCH(H587,Produits!$A:$A,0))</f>
        <v>Mobilier</v>
      </c>
      <c r="Q587" s="3">
        <f>I587*INDEX(Produits!$E:$E,MATCH(H587,Produits!$A:$A,0))</f>
        <v>387.26</v>
      </c>
      <c r="R587" s="3">
        <f>L587-Q587</f>
        <v>190.74</v>
      </c>
      <c r="S587" s="2">
        <f>NETWORKDAYS(B587,C587)-1</f>
        <v>3</v>
      </c>
      <c r="T587" s="1">
        <f>WORKDAY(B587,5)</f>
        <v>46205</v>
      </c>
      <c r="U587" t="b">
        <f>C587&gt;T587</f>
        <v>0</v>
      </c>
    </row>
    <row r="588" spans="1:21" x14ac:dyDescent="0.25">
      <c r="A588" t="s">
        <v>598</v>
      </c>
      <c r="B588" s="1">
        <v>46197</v>
      </c>
      <c r="C588" s="1">
        <v>46198</v>
      </c>
      <c r="D588" t="s">
        <v>599</v>
      </c>
      <c r="E588" t="s">
        <v>307</v>
      </c>
      <c r="F588" t="s">
        <v>76</v>
      </c>
      <c r="G588" t="s">
        <v>176</v>
      </c>
      <c r="H588" t="s">
        <v>64</v>
      </c>
      <c r="I588" s="2">
        <v>10</v>
      </c>
      <c r="J588" s="3">
        <v>16.8</v>
      </c>
      <c r="K588" s="4">
        <v>0.05</v>
      </c>
      <c r="L588" s="3">
        <v>159.6</v>
      </c>
      <c r="M588" t="b">
        <v>1</v>
      </c>
      <c r="N588" s="2">
        <f>YEAR(B588)</f>
        <v>2026</v>
      </c>
      <c r="O588" t="str">
        <f>INDEX(Agences!$C:$C,MATCH(F588,Agences!$A:$A,0))</f>
        <v>Île-de-France</v>
      </c>
      <c r="P588" t="str">
        <f>INDEX(Produits!$C:$C,MATCH(H588,Produits!$A:$A,0))</f>
        <v>Fournitures</v>
      </c>
      <c r="Q588" s="3">
        <f>I588*INDEX(Produits!$E:$E,MATCH(H588,Produits!$A:$A,0))</f>
        <v>87.4</v>
      </c>
      <c r="R588" s="3">
        <f>L588-Q588</f>
        <v>72.19999999999999</v>
      </c>
      <c r="S588" s="2">
        <f>NETWORKDAYS(B588,C588)-1</f>
        <v>1</v>
      </c>
      <c r="T588" s="1">
        <f>WORKDAY(B588,5)</f>
        <v>46204</v>
      </c>
      <c r="U588" t="b">
        <f>C588&gt;T588</f>
        <v>0</v>
      </c>
    </row>
    <row r="589" spans="1:21" x14ac:dyDescent="0.25">
      <c r="A589" t="s">
        <v>598</v>
      </c>
      <c r="B589" s="1">
        <v>46197</v>
      </c>
      <c r="C589" s="1">
        <v>46198</v>
      </c>
      <c r="D589" t="s">
        <v>599</v>
      </c>
      <c r="E589" t="s">
        <v>307</v>
      </c>
      <c r="F589" t="s">
        <v>76</v>
      </c>
      <c r="G589" t="s">
        <v>176</v>
      </c>
      <c r="H589" t="s">
        <v>162</v>
      </c>
      <c r="I589" s="2">
        <v>2</v>
      </c>
      <c r="J589" s="3">
        <v>289</v>
      </c>
      <c r="K589" s="4">
        <v>0.05</v>
      </c>
      <c r="L589" s="3">
        <v>549.1</v>
      </c>
      <c r="M589" t="b">
        <v>1</v>
      </c>
      <c r="N589" s="2">
        <f>YEAR(B589)</f>
        <v>2026</v>
      </c>
      <c r="O589" t="str">
        <f>INDEX(Agences!$C:$C,MATCH(F589,Agences!$A:$A,0))</f>
        <v>Île-de-France</v>
      </c>
      <c r="P589" t="str">
        <f>INDEX(Produits!$C:$C,MATCH(H589,Produits!$A:$A,0))</f>
        <v>Mobilier</v>
      </c>
      <c r="Q589" s="3">
        <f>I589*INDEX(Produits!$E:$E,MATCH(H589,Produits!$A:$A,0))</f>
        <v>387.26</v>
      </c>
      <c r="R589" s="3">
        <f>L589-Q589</f>
        <v>161.84000000000003</v>
      </c>
      <c r="S589" s="2">
        <f>NETWORKDAYS(B589,C589)-1</f>
        <v>1</v>
      </c>
      <c r="T589" s="1">
        <f>WORKDAY(B589,5)</f>
        <v>46204</v>
      </c>
      <c r="U589" t="b">
        <f>C589&gt;T589</f>
        <v>0</v>
      </c>
    </row>
    <row r="590" spans="1:21" x14ac:dyDescent="0.25">
      <c r="A590" t="s">
        <v>598</v>
      </c>
      <c r="B590" s="1">
        <v>46197</v>
      </c>
      <c r="C590" s="1">
        <v>46198</v>
      </c>
      <c r="D590" t="s">
        <v>599</v>
      </c>
      <c r="E590" t="s">
        <v>307</v>
      </c>
      <c r="F590" t="s">
        <v>76</v>
      </c>
      <c r="G590" t="s">
        <v>176</v>
      </c>
      <c r="H590" t="s">
        <v>35</v>
      </c>
      <c r="I590" s="2">
        <v>8</v>
      </c>
      <c r="J590" s="3">
        <v>79</v>
      </c>
      <c r="K590" s="4">
        <v>0.08</v>
      </c>
      <c r="L590" s="3">
        <v>581.44</v>
      </c>
      <c r="M590" t="b">
        <v>1</v>
      </c>
      <c r="N590" s="2">
        <f>YEAR(B590)</f>
        <v>2026</v>
      </c>
      <c r="O590" t="str">
        <f>INDEX(Agences!$C:$C,MATCH(F590,Agences!$A:$A,0))</f>
        <v>Île-de-France</v>
      </c>
      <c r="P590" t="str">
        <f>INDEX(Produits!$C:$C,MATCH(H590,Produits!$A:$A,0))</f>
        <v>Mobilier</v>
      </c>
      <c r="Q590" s="3">
        <f>I590*INDEX(Produits!$E:$E,MATCH(H590,Produits!$A:$A,0))</f>
        <v>372.88</v>
      </c>
      <c r="R590" s="3">
        <f>L590-Q590</f>
        <v>208.56000000000006</v>
      </c>
      <c r="S590" s="2">
        <f>NETWORKDAYS(B590,C590)-1</f>
        <v>1</v>
      </c>
      <c r="T590" s="1">
        <f>WORKDAY(B590,5)</f>
        <v>46204</v>
      </c>
      <c r="U590" t="b">
        <f>C590&gt;T590</f>
        <v>0</v>
      </c>
    </row>
    <row r="591" spans="1:21" x14ac:dyDescent="0.25">
      <c r="A591" t="s">
        <v>598</v>
      </c>
      <c r="B591" s="1">
        <v>46197</v>
      </c>
      <c r="C591" s="1">
        <v>46198</v>
      </c>
      <c r="D591" t="s">
        <v>599</v>
      </c>
      <c r="E591" t="s">
        <v>307</v>
      </c>
      <c r="F591" t="s">
        <v>76</v>
      </c>
      <c r="G591" t="s">
        <v>176</v>
      </c>
      <c r="H591" t="s">
        <v>90</v>
      </c>
      <c r="I591" s="2">
        <v>10</v>
      </c>
      <c r="J591" s="3">
        <v>22.9</v>
      </c>
      <c r="K591" s="4">
        <v>0.1</v>
      </c>
      <c r="L591" s="3">
        <v>206.1</v>
      </c>
      <c r="M591" t="b">
        <v>1</v>
      </c>
      <c r="N591" s="2">
        <f>YEAR(B591)</f>
        <v>2026</v>
      </c>
      <c r="O591" t="str">
        <f>INDEX(Agences!$C:$C,MATCH(F591,Agences!$A:$A,0))</f>
        <v>Île-de-France</v>
      </c>
      <c r="P591" t="str">
        <f>INDEX(Produits!$C:$C,MATCH(H591,Produits!$A:$A,0))</f>
        <v>Fournitures</v>
      </c>
      <c r="Q591" s="3">
        <f>I591*INDEX(Produits!$E:$E,MATCH(H591,Produits!$A:$A,0))</f>
        <v>128.2</v>
      </c>
      <c r="R591" s="3">
        <f>L591-Q591</f>
        <v>77.9</v>
      </c>
      <c r="S591" s="2">
        <f>NETWORKDAYS(B591,C591)-1</f>
        <v>1</v>
      </c>
      <c r="T591" s="1">
        <f>WORKDAY(B591,5)</f>
        <v>46204</v>
      </c>
      <c r="U591" t="b">
        <f>C591&gt;T591</f>
        <v>0</v>
      </c>
    </row>
    <row r="592" spans="1:21" x14ac:dyDescent="0.25">
      <c r="A592" t="s">
        <v>600</v>
      </c>
      <c r="B592" s="1">
        <v>46197</v>
      </c>
      <c r="C592" s="1">
        <v>46202</v>
      </c>
      <c r="D592" t="s">
        <v>515</v>
      </c>
      <c r="E592" t="s">
        <v>165</v>
      </c>
      <c r="F592" t="s">
        <v>166</v>
      </c>
      <c r="G592" t="s">
        <v>167</v>
      </c>
      <c r="H592" t="s">
        <v>319</v>
      </c>
      <c r="I592" s="2">
        <v>2</v>
      </c>
      <c r="J592" s="3">
        <v>289</v>
      </c>
      <c r="K592" s="4">
        <v>0.08</v>
      </c>
      <c r="L592" s="3">
        <v>531.76</v>
      </c>
      <c r="M592" t="b">
        <v>1</v>
      </c>
      <c r="N592" s="2">
        <f>YEAR(B592)</f>
        <v>2026</v>
      </c>
      <c r="O592" t="str">
        <f>INDEX(Agences!$C:$C,MATCH(F592,Agences!$A:$A,0))</f>
        <v>Ouest</v>
      </c>
      <c r="P592" t="str">
        <f>INDEX(Produits!$C:$C,MATCH(H592,Produits!$A:$A,0))</f>
        <v>Informatique</v>
      </c>
      <c r="Q592" s="3">
        <f>I592*INDEX(Produits!$E:$E,MATCH(H592,Produits!$A:$A,0))</f>
        <v>427.72</v>
      </c>
      <c r="R592" s="3">
        <f>L592-Q592</f>
        <v>104.03999999999996</v>
      </c>
      <c r="S592" s="2">
        <f>NETWORKDAYS(B592,C592)-1</f>
        <v>3</v>
      </c>
      <c r="T592" s="1">
        <f>WORKDAY(B592,5)</f>
        <v>46204</v>
      </c>
      <c r="U592" t="b">
        <f>C592&gt;T592</f>
        <v>0</v>
      </c>
    </row>
    <row r="593" spans="1:21" x14ac:dyDescent="0.25">
      <c r="A593" t="s">
        <v>600</v>
      </c>
      <c r="B593" s="1">
        <v>46197</v>
      </c>
      <c r="C593" s="1">
        <v>46202</v>
      </c>
      <c r="D593" t="s">
        <v>515</v>
      </c>
      <c r="E593" t="s">
        <v>165</v>
      </c>
      <c r="F593" t="s">
        <v>166</v>
      </c>
      <c r="G593" t="s">
        <v>167</v>
      </c>
      <c r="H593" t="s">
        <v>112</v>
      </c>
      <c r="I593" s="2">
        <v>2</v>
      </c>
      <c r="J593" s="3">
        <v>129</v>
      </c>
      <c r="K593" s="4">
        <v>0</v>
      </c>
      <c r="L593" s="3">
        <v>258</v>
      </c>
      <c r="M593" t="b">
        <v>1</v>
      </c>
      <c r="N593" s="2">
        <f>YEAR(B593)</f>
        <v>2026</v>
      </c>
      <c r="O593" t="str">
        <f>INDEX(Agences!$C:$C,MATCH(F593,Agences!$A:$A,0))</f>
        <v>Ouest</v>
      </c>
      <c r="P593" t="str">
        <f>INDEX(Produits!$C:$C,MATCH(H593,Produits!$A:$A,0))</f>
        <v>Mobilier</v>
      </c>
      <c r="Q593" s="3">
        <f>I593*INDEX(Produits!$E:$E,MATCH(H593,Produits!$A:$A,0))</f>
        <v>172.86</v>
      </c>
      <c r="R593" s="3">
        <f>L593-Q593</f>
        <v>85.13999999999999</v>
      </c>
      <c r="S593" s="2">
        <f>NETWORKDAYS(B593,C593)-1</f>
        <v>3</v>
      </c>
      <c r="T593" s="1">
        <f>WORKDAY(B593,5)</f>
        <v>46204</v>
      </c>
      <c r="U593" t="b">
        <f>C593&gt;T593</f>
        <v>0</v>
      </c>
    </row>
    <row r="594" spans="1:21" x14ac:dyDescent="0.25">
      <c r="A594" t="s">
        <v>601</v>
      </c>
      <c r="B594" s="1">
        <v>46197</v>
      </c>
      <c r="C594" s="1">
        <v>46202</v>
      </c>
      <c r="D594" t="s">
        <v>315</v>
      </c>
      <c r="E594" t="s">
        <v>316</v>
      </c>
      <c r="F594" t="s">
        <v>46</v>
      </c>
      <c r="G594" t="s">
        <v>111</v>
      </c>
      <c r="H594" t="s">
        <v>34</v>
      </c>
      <c r="I594" s="2">
        <v>1</v>
      </c>
      <c r="J594" s="3">
        <v>340</v>
      </c>
      <c r="K594" s="4">
        <v>0</v>
      </c>
      <c r="L594" s="3">
        <v>340</v>
      </c>
      <c r="M594" t="b">
        <v>1</v>
      </c>
      <c r="N594" s="2">
        <f>YEAR(B594)</f>
        <v>2026</v>
      </c>
      <c r="O594" t="str">
        <f>INDEX(Agences!$C:$C,MATCH(F594,Agences!$A:$A,0))</f>
        <v>Est</v>
      </c>
      <c r="P594" t="str">
        <f>INDEX(Produits!$C:$C,MATCH(H594,Produits!$A:$A,0))</f>
        <v>Informatique</v>
      </c>
      <c r="Q594" s="3">
        <f>I594*INDEX(Produits!$E:$E,MATCH(H594,Produits!$A:$A,0))</f>
        <v>275.4</v>
      </c>
      <c r="R594" s="3">
        <f>L594-Q594</f>
        <v>64.60000000000002</v>
      </c>
      <c r="S594" s="2">
        <f>NETWORKDAYS(B594,C594)-1</f>
        <v>3</v>
      </c>
      <c r="T594" s="1">
        <f>WORKDAY(B594,5)</f>
        <v>46204</v>
      </c>
      <c r="U594" t="b">
        <f>C594&gt;T594</f>
        <v>0</v>
      </c>
    </row>
    <row r="595" spans="1:21" x14ac:dyDescent="0.25">
      <c r="A595" t="s">
        <v>601</v>
      </c>
      <c r="B595" s="1">
        <v>46197</v>
      </c>
      <c r="C595" s="1">
        <v>46202</v>
      </c>
      <c r="D595" t="s">
        <v>315</v>
      </c>
      <c r="E595" t="s">
        <v>316</v>
      </c>
      <c r="F595" t="s">
        <v>46</v>
      </c>
      <c r="G595" t="s">
        <v>111</v>
      </c>
      <c r="H595" t="s">
        <v>90</v>
      </c>
      <c r="I595" s="2">
        <v>5</v>
      </c>
      <c r="J595" s="3">
        <v>22.9</v>
      </c>
      <c r="K595" s="4">
        <v>0</v>
      </c>
      <c r="L595" s="3">
        <v>114.5</v>
      </c>
      <c r="M595" t="b">
        <v>1</v>
      </c>
      <c r="N595" s="2">
        <f>YEAR(B595)</f>
        <v>2026</v>
      </c>
      <c r="O595" t="str">
        <f>INDEX(Agences!$C:$C,MATCH(F595,Agences!$A:$A,0))</f>
        <v>Est</v>
      </c>
      <c r="P595" t="str">
        <f>INDEX(Produits!$C:$C,MATCH(H595,Produits!$A:$A,0))</f>
        <v>Fournitures</v>
      </c>
      <c r="Q595" s="3">
        <f>I595*INDEX(Produits!$E:$E,MATCH(H595,Produits!$A:$A,0))</f>
        <v>64.1</v>
      </c>
      <c r="R595" s="3">
        <f>L595-Q595</f>
        <v>50.400000000000006</v>
      </c>
      <c r="S595" s="2">
        <f>NETWORKDAYS(B595,C595)-1</f>
        <v>3</v>
      </c>
      <c r="T595" s="1">
        <f>WORKDAY(B595,5)</f>
        <v>46204</v>
      </c>
      <c r="U595" t="b">
        <f>C595&gt;T595</f>
        <v>0</v>
      </c>
    </row>
    <row r="596" spans="1:21" x14ac:dyDescent="0.25">
      <c r="A596" t="s">
        <v>602</v>
      </c>
      <c r="B596" s="1">
        <v>46196</v>
      </c>
      <c r="C596" s="1">
        <v>46198</v>
      </c>
      <c r="D596" t="s">
        <v>324</v>
      </c>
      <c r="E596" t="s">
        <v>130</v>
      </c>
      <c r="F596" t="s">
        <v>39</v>
      </c>
      <c r="G596" t="s">
        <v>131</v>
      </c>
      <c r="H596" t="s">
        <v>34</v>
      </c>
      <c r="I596" s="2">
        <v>1</v>
      </c>
      <c r="J596" s="3">
        <v>340</v>
      </c>
      <c r="K596" s="4">
        <v>0.05</v>
      </c>
      <c r="L596" s="3">
        <v>323</v>
      </c>
      <c r="M596" t="b">
        <v>1</v>
      </c>
      <c r="N596" s="2">
        <f>YEAR(B596)</f>
        <v>2026</v>
      </c>
      <c r="O596" t="str">
        <f>INDEX(Agences!$C:$C,MATCH(F596,Agences!$A:$A,0))</f>
        <v>Sud-Ouest</v>
      </c>
      <c r="P596" t="str">
        <f>INDEX(Produits!$C:$C,MATCH(H596,Produits!$A:$A,0))</f>
        <v>Informatique</v>
      </c>
      <c r="Q596" s="3">
        <f>I596*INDEX(Produits!$E:$E,MATCH(H596,Produits!$A:$A,0))</f>
        <v>275.4</v>
      </c>
      <c r="R596" s="3">
        <f>L596-Q596</f>
        <v>47.60000000000002</v>
      </c>
      <c r="S596" s="2">
        <f>NETWORKDAYS(B596,C596)-1</f>
        <v>2</v>
      </c>
      <c r="T596" s="1">
        <f>WORKDAY(B596,5)</f>
        <v>46203</v>
      </c>
      <c r="U596" t="b">
        <f>C596&gt;T596</f>
        <v>0</v>
      </c>
    </row>
    <row r="597" spans="1:21" x14ac:dyDescent="0.25">
      <c r="A597" t="s">
        <v>603</v>
      </c>
      <c r="B597" s="1">
        <v>46196</v>
      </c>
      <c r="C597" s="1">
        <v>46202</v>
      </c>
      <c r="D597" t="s">
        <v>604</v>
      </c>
      <c r="E597" t="s">
        <v>419</v>
      </c>
      <c r="F597" t="s">
        <v>62</v>
      </c>
      <c r="G597" t="s">
        <v>63</v>
      </c>
      <c r="H597" t="s">
        <v>72</v>
      </c>
      <c r="I597" s="2">
        <v>1</v>
      </c>
      <c r="J597" s="3">
        <v>179</v>
      </c>
      <c r="K597" s="4">
        <v>0</v>
      </c>
      <c r="L597" s="3">
        <v>179</v>
      </c>
      <c r="M597" t="b">
        <v>1</v>
      </c>
      <c r="N597" s="2">
        <f>YEAR(B597)</f>
        <v>2026</v>
      </c>
      <c r="O597" t="str">
        <f>INDEX(Agences!$C:$C,MATCH(F597,Agences!$A:$A,0))</f>
        <v>Méditerranée</v>
      </c>
      <c r="P597" t="str">
        <f>INDEX(Produits!$C:$C,MATCH(H597,Produits!$A:$A,0))</f>
        <v>Informatique</v>
      </c>
      <c r="Q597" s="3">
        <f>I597*INDEX(Produits!$E:$E,MATCH(H597,Produits!$A:$A,0))</f>
        <v>146.78</v>
      </c>
      <c r="R597" s="3">
        <f>L597-Q597</f>
        <v>32.22</v>
      </c>
      <c r="S597" s="2">
        <f>NETWORKDAYS(B597,C597)-1</f>
        <v>4</v>
      </c>
      <c r="T597" s="1">
        <f>WORKDAY(B597,5)</f>
        <v>46203</v>
      </c>
      <c r="U597" t="b">
        <f>C597&gt;T597</f>
        <v>0</v>
      </c>
    </row>
    <row r="598" spans="1:21" x14ac:dyDescent="0.25">
      <c r="A598" t="s">
        <v>603</v>
      </c>
      <c r="B598" s="1">
        <v>46196</v>
      </c>
      <c r="C598" s="1">
        <v>46202</v>
      </c>
      <c r="D598" t="s">
        <v>604</v>
      </c>
      <c r="E598" t="s">
        <v>419</v>
      </c>
      <c r="F598" t="s">
        <v>62</v>
      </c>
      <c r="G598" t="s">
        <v>63</v>
      </c>
      <c r="H598" t="s">
        <v>51</v>
      </c>
      <c r="I598" s="2">
        <v>2</v>
      </c>
      <c r="J598" s="3">
        <v>180</v>
      </c>
      <c r="K598" s="4">
        <v>0</v>
      </c>
      <c r="L598" s="3">
        <v>360</v>
      </c>
      <c r="M598" t="b">
        <v>1</v>
      </c>
      <c r="N598" s="2">
        <f>YEAR(B598)</f>
        <v>2026</v>
      </c>
      <c r="O598" t="str">
        <f>INDEX(Agences!$C:$C,MATCH(F598,Agences!$A:$A,0))</f>
        <v>Méditerranée</v>
      </c>
      <c r="P598" t="str">
        <f>INDEX(Produits!$C:$C,MATCH(H598,Produits!$A:$A,0))</f>
        <v>Maintenance</v>
      </c>
      <c r="Q598" s="3">
        <f>I598*INDEX(Produits!$E:$E,MATCH(H598,Produits!$A:$A,0))</f>
        <v>165.6</v>
      </c>
      <c r="R598" s="3">
        <f>L598-Q598</f>
        <v>194.4</v>
      </c>
      <c r="S598" s="2">
        <f>NETWORKDAYS(B598,C598)-1</f>
        <v>4</v>
      </c>
      <c r="T598" s="1">
        <f>WORKDAY(B598,5)</f>
        <v>46203</v>
      </c>
      <c r="U598" t="b">
        <f>C598&gt;T598</f>
        <v>0</v>
      </c>
    </row>
    <row r="599" spans="1:21" x14ac:dyDescent="0.25">
      <c r="A599" t="s">
        <v>605</v>
      </c>
      <c r="B599" s="1">
        <v>46195</v>
      </c>
      <c r="C599" s="1">
        <v>46197</v>
      </c>
      <c r="D599" t="s">
        <v>201</v>
      </c>
      <c r="E599" t="s">
        <v>202</v>
      </c>
      <c r="F599" t="s">
        <v>138</v>
      </c>
      <c r="G599" t="s">
        <v>220</v>
      </c>
      <c r="H599" t="s">
        <v>217</v>
      </c>
      <c r="I599" s="2">
        <v>1</v>
      </c>
      <c r="J599" s="3">
        <v>1090</v>
      </c>
      <c r="K599" s="4">
        <v>0.02</v>
      </c>
      <c r="L599" s="3">
        <v>1068.2</v>
      </c>
      <c r="M599" t="b">
        <v>1</v>
      </c>
      <c r="N599" s="2">
        <f>YEAR(B599)</f>
        <v>2026</v>
      </c>
      <c r="O599" t="str">
        <f>INDEX(Agences!$C:$C,MATCH(F599,Agences!$A:$A,0))</f>
        <v>Île-de-France</v>
      </c>
      <c r="P599" t="str">
        <f>INDEX(Produits!$C:$C,MATCH(H599,Produits!$A:$A,0))</f>
        <v>Informatique</v>
      </c>
      <c r="Q599" s="3">
        <f>I599*INDEX(Produits!$E:$E,MATCH(H599,Produits!$A:$A,0))</f>
        <v>817.5</v>
      </c>
      <c r="R599" s="3">
        <f>L599-Q599</f>
        <v>250.70000000000005</v>
      </c>
      <c r="S599" s="2">
        <f>NETWORKDAYS(B599,C599)-1</f>
        <v>2</v>
      </c>
      <c r="T599" s="1">
        <f>WORKDAY(B599,5)</f>
        <v>46202</v>
      </c>
      <c r="U599" t="b">
        <f>C599&gt;T599</f>
        <v>0</v>
      </c>
    </row>
    <row r="600" spans="1:21" x14ac:dyDescent="0.25">
      <c r="A600" t="s">
        <v>605</v>
      </c>
      <c r="B600" s="1">
        <v>46195</v>
      </c>
      <c r="C600" s="1">
        <v>46197</v>
      </c>
      <c r="D600" t="s">
        <v>201</v>
      </c>
      <c r="E600" t="s">
        <v>202</v>
      </c>
      <c r="F600" t="s">
        <v>138</v>
      </c>
      <c r="G600" t="s">
        <v>220</v>
      </c>
      <c r="H600" t="s">
        <v>606</v>
      </c>
      <c r="I600" s="2">
        <v>1</v>
      </c>
      <c r="J600" s="3">
        <v>1150</v>
      </c>
      <c r="K600" s="4">
        <v>0.02</v>
      </c>
      <c r="L600" s="3">
        <v>1127</v>
      </c>
      <c r="M600" t="b">
        <v>1</v>
      </c>
      <c r="N600" s="2">
        <f>YEAR(B600)</f>
        <v>2026</v>
      </c>
      <c r="O600" t="str">
        <f>INDEX(Agences!$C:$C,MATCH(F600,Agences!$A:$A,0))</f>
        <v>Île-de-France</v>
      </c>
      <c r="P600" t="str">
        <f>INDEX(Produits!$C:$C,MATCH(H600,Produits!$A:$A,0))</f>
        <v>Mobilier</v>
      </c>
      <c r="Q600" s="3">
        <f>I600*INDEX(Produits!$E:$E,MATCH(H600,Produits!$A:$A,0))</f>
        <v>713</v>
      </c>
      <c r="R600" s="3">
        <f>L600-Q600</f>
        <v>414</v>
      </c>
      <c r="S600" s="2">
        <f>NETWORKDAYS(B600,C600)-1</f>
        <v>2</v>
      </c>
      <c r="T600" s="1">
        <f>WORKDAY(B600,5)</f>
        <v>46202</v>
      </c>
      <c r="U600" t="b">
        <f>C600&gt;T600</f>
        <v>0</v>
      </c>
    </row>
    <row r="601" spans="1:21" x14ac:dyDescent="0.25">
      <c r="A601" t="s">
        <v>607</v>
      </c>
      <c r="B601" s="1">
        <v>46195</v>
      </c>
      <c r="C601" s="1">
        <v>46197</v>
      </c>
      <c r="D601" t="s">
        <v>608</v>
      </c>
      <c r="E601" t="s">
        <v>185</v>
      </c>
      <c r="F601" t="s">
        <v>31</v>
      </c>
      <c r="G601" t="s">
        <v>186</v>
      </c>
      <c r="H601" t="s">
        <v>42</v>
      </c>
      <c r="I601" s="2">
        <v>2</v>
      </c>
      <c r="J601" s="3">
        <v>55</v>
      </c>
      <c r="K601" s="4">
        <v>0</v>
      </c>
      <c r="L601" s="3">
        <v>110</v>
      </c>
      <c r="M601" t="b">
        <v>1</v>
      </c>
      <c r="N601" s="2">
        <f>YEAR(B601)</f>
        <v>2026</v>
      </c>
      <c r="O601" t="str">
        <f>INDEX(Agences!$C:$C,MATCH(F601,Agences!$A:$A,0))</f>
        <v>Ouest</v>
      </c>
      <c r="P601" t="str">
        <f>INDEX(Produits!$C:$C,MATCH(H601,Produits!$A:$A,0))</f>
        <v>Maintenance</v>
      </c>
      <c r="Q601" s="3">
        <f>I601*INDEX(Produits!$E:$E,MATCH(H601,Produits!$A:$A,0))</f>
        <v>49.5</v>
      </c>
      <c r="R601" s="3">
        <f>L601-Q601</f>
        <v>60.5</v>
      </c>
      <c r="S601" s="2">
        <f>NETWORKDAYS(B601,C601)-1</f>
        <v>2</v>
      </c>
      <c r="T601" s="1">
        <f>WORKDAY(B601,5)</f>
        <v>46202</v>
      </c>
      <c r="U601" t="b">
        <f>C601&gt;T601</f>
        <v>0</v>
      </c>
    </row>
    <row r="602" spans="1:21" x14ac:dyDescent="0.25">
      <c r="A602" t="s">
        <v>607</v>
      </c>
      <c r="B602" s="1">
        <v>46195</v>
      </c>
      <c r="C602" s="1">
        <v>46197</v>
      </c>
      <c r="D602" t="s">
        <v>608</v>
      </c>
      <c r="E602" t="s">
        <v>185</v>
      </c>
      <c r="F602" t="s">
        <v>31</v>
      </c>
      <c r="G602" t="s">
        <v>186</v>
      </c>
      <c r="H602" t="s">
        <v>50</v>
      </c>
      <c r="I602" s="2">
        <v>1</v>
      </c>
      <c r="J602" s="3">
        <v>69</v>
      </c>
      <c r="K602" s="4">
        <v>0</v>
      </c>
      <c r="L602" s="3">
        <v>69</v>
      </c>
      <c r="M602" t="b">
        <v>1</v>
      </c>
      <c r="N602" s="2">
        <f>YEAR(B602)</f>
        <v>2026</v>
      </c>
      <c r="O602" t="str">
        <f>INDEX(Agences!$C:$C,MATCH(F602,Agences!$A:$A,0))</f>
        <v>Ouest</v>
      </c>
      <c r="P602" t="str">
        <f>INDEX(Produits!$C:$C,MATCH(H602,Produits!$A:$A,0))</f>
        <v>Informatique</v>
      </c>
      <c r="Q602" s="3">
        <f>I602*INDEX(Produits!$E:$E,MATCH(H602,Produits!$A:$A,0))</f>
        <v>54.51</v>
      </c>
      <c r="R602" s="3">
        <f>L602-Q602</f>
        <v>14.490000000000002</v>
      </c>
      <c r="S602" s="2">
        <f>NETWORKDAYS(B602,C602)-1</f>
        <v>2</v>
      </c>
      <c r="T602" s="1">
        <f>WORKDAY(B602,5)</f>
        <v>46202</v>
      </c>
      <c r="U602" t="b">
        <f>C602&gt;T602</f>
        <v>0</v>
      </c>
    </row>
    <row r="603" spans="1:21" x14ac:dyDescent="0.25">
      <c r="A603" t="s">
        <v>607</v>
      </c>
      <c r="B603" s="1">
        <v>46195</v>
      </c>
      <c r="C603" s="1">
        <v>46197</v>
      </c>
      <c r="D603" t="s">
        <v>608</v>
      </c>
      <c r="E603" t="s">
        <v>185</v>
      </c>
      <c r="F603" t="s">
        <v>31</v>
      </c>
      <c r="G603" t="s">
        <v>186</v>
      </c>
      <c r="H603" t="s">
        <v>107</v>
      </c>
      <c r="I603" s="2">
        <v>2</v>
      </c>
      <c r="J603" s="3">
        <v>99</v>
      </c>
      <c r="K603" s="4">
        <v>0.08</v>
      </c>
      <c r="L603" s="3">
        <v>182.16</v>
      </c>
      <c r="M603" t="b">
        <v>1</v>
      </c>
      <c r="N603" s="2">
        <f>YEAR(B603)</f>
        <v>2026</v>
      </c>
      <c r="O603" t="str">
        <f>INDEX(Agences!$C:$C,MATCH(F603,Agences!$A:$A,0))</f>
        <v>Ouest</v>
      </c>
      <c r="P603" t="str">
        <f>INDEX(Produits!$C:$C,MATCH(H603,Produits!$A:$A,0))</f>
        <v>Informatique</v>
      </c>
      <c r="Q603" s="3">
        <f>I603*INDEX(Produits!$E:$E,MATCH(H603,Produits!$A:$A,0))</f>
        <v>150.48</v>
      </c>
      <c r="R603" s="3">
        <f>L603-Q603</f>
        <v>31.680000000000007</v>
      </c>
      <c r="S603" s="2">
        <f>NETWORKDAYS(B603,C603)-1</f>
        <v>2</v>
      </c>
      <c r="T603" s="1">
        <f>WORKDAY(B603,5)</f>
        <v>46202</v>
      </c>
      <c r="U603" t="b">
        <f>C603&gt;T603</f>
        <v>0</v>
      </c>
    </row>
    <row r="604" spans="1:21" x14ac:dyDescent="0.25">
      <c r="A604" t="s">
        <v>607</v>
      </c>
      <c r="B604" s="1">
        <v>46195</v>
      </c>
      <c r="C604" s="1">
        <v>46197</v>
      </c>
      <c r="D604" t="s">
        <v>608</v>
      </c>
      <c r="E604" t="s">
        <v>185</v>
      </c>
      <c r="F604" t="s">
        <v>31</v>
      </c>
      <c r="G604" t="s">
        <v>186</v>
      </c>
      <c r="H604" t="s">
        <v>112</v>
      </c>
      <c r="I604" s="2">
        <v>1</v>
      </c>
      <c r="J604" s="3">
        <v>129</v>
      </c>
      <c r="K604" s="4">
        <v>0</v>
      </c>
      <c r="L604" s="3">
        <v>129</v>
      </c>
      <c r="M604" t="b">
        <v>1</v>
      </c>
      <c r="N604" s="2">
        <f>YEAR(B604)</f>
        <v>2026</v>
      </c>
      <c r="O604" t="str">
        <f>INDEX(Agences!$C:$C,MATCH(F604,Agences!$A:$A,0))</f>
        <v>Ouest</v>
      </c>
      <c r="P604" t="str">
        <f>INDEX(Produits!$C:$C,MATCH(H604,Produits!$A:$A,0))</f>
        <v>Mobilier</v>
      </c>
      <c r="Q604" s="3">
        <f>I604*INDEX(Produits!$E:$E,MATCH(H604,Produits!$A:$A,0))</f>
        <v>86.43</v>
      </c>
      <c r="R604" s="3">
        <f>L604-Q604</f>
        <v>42.56999999999999</v>
      </c>
      <c r="S604" s="2">
        <f>NETWORKDAYS(B604,C604)-1</f>
        <v>2</v>
      </c>
      <c r="T604" s="1">
        <f>WORKDAY(B604,5)</f>
        <v>46202</v>
      </c>
      <c r="U604" t="b">
        <f>C604&gt;T604</f>
        <v>0</v>
      </c>
    </row>
    <row r="605" spans="1:21" x14ac:dyDescent="0.25">
      <c r="A605" t="s">
        <v>607</v>
      </c>
      <c r="B605" s="1">
        <v>46195</v>
      </c>
      <c r="C605" s="1">
        <v>46197</v>
      </c>
      <c r="D605" t="s">
        <v>608</v>
      </c>
      <c r="E605" t="s">
        <v>185</v>
      </c>
      <c r="F605" t="s">
        <v>31</v>
      </c>
      <c r="G605" t="s">
        <v>186</v>
      </c>
      <c r="H605" t="s">
        <v>162</v>
      </c>
      <c r="I605" s="2">
        <v>2</v>
      </c>
      <c r="J605" s="3">
        <v>289</v>
      </c>
      <c r="K605" s="4">
        <v>0</v>
      </c>
      <c r="L605" s="3">
        <v>578</v>
      </c>
      <c r="M605" t="b">
        <v>1</v>
      </c>
      <c r="N605" s="2">
        <f>YEAR(B605)</f>
        <v>2026</v>
      </c>
      <c r="O605" t="str">
        <f>INDEX(Agences!$C:$C,MATCH(F605,Agences!$A:$A,0))</f>
        <v>Ouest</v>
      </c>
      <c r="P605" t="str">
        <f>INDEX(Produits!$C:$C,MATCH(H605,Produits!$A:$A,0))</f>
        <v>Mobilier</v>
      </c>
      <c r="Q605" s="3">
        <f>I605*INDEX(Produits!$E:$E,MATCH(H605,Produits!$A:$A,0))</f>
        <v>387.26</v>
      </c>
      <c r="R605" s="3">
        <f>L605-Q605</f>
        <v>190.74</v>
      </c>
      <c r="S605" s="2">
        <f>NETWORKDAYS(B605,C605)-1</f>
        <v>2</v>
      </c>
      <c r="T605" s="1">
        <f>WORKDAY(B605,5)</f>
        <v>46202</v>
      </c>
      <c r="U605" t="b">
        <f>C605&gt;T605</f>
        <v>0</v>
      </c>
    </row>
    <row r="606" spans="1:21" x14ac:dyDescent="0.25">
      <c r="A606" t="s">
        <v>609</v>
      </c>
      <c r="B606" s="1">
        <v>46195</v>
      </c>
      <c r="C606" s="1">
        <v>46196</v>
      </c>
      <c r="D606" t="s">
        <v>610</v>
      </c>
      <c r="E606" t="s">
        <v>61</v>
      </c>
      <c r="F606" t="s">
        <v>62</v>
      </c>
      <c r="G606" t="s">
        <v>63</v>
      </c>
      <c r="H606" t="s">
        <v>606</v>
      </c>
      <c r="I606" s="2">
        <v>2</v>
      </c>
      <c r="J606" s="3">
        <v>1150</v>
      </c>
      <c r="K606" s="4">
        <v>0</v>
      </c>
      <c r="L606" s="3">
        <v>2300</v>
      </c>
      <c r="M606" t="b">
        <v>1</v>
      </c>
      <c r="N606" s="2">
        <f>YEAR(B606)</f>
        <v>2026</v>
      </c>
      <c r="O606" t="str">
        <f>INDEX(Agences!$C:$C,MATCH(F606,Agences!$A:$A,0))</f>
        <v>Méditerranée</v>
      </c>
      <c r="P606" t="str">
        <f>INDEX(Produits!$C:$C,MATCH(H606,Produits!$A:$A,0))</f>
        <v>Mobilier</v>
      </c>
      <c r="Q606" s="3">
        <f>I606*INDEX(Produits!$E:$E,MATCH(H606,Produits!$A:$A,0))</f>
        <v>1426</v>
      </c>
      <c r="R606" s="3">
        <f>L606-Q606</f>
        <v>874</v>
      </c>
      <c r="S606" s="2">
        <f>NETWORKDAYS(B606,C606)-1</f>
        <v>1</v>
      </c>
      <c r="T606" s="1">
        <f>WORKDAY(B606,5)</f>
        <v>46202</v>
      </c>
      <c r="U606" t="b">
        <f>C606&gt;T606</f>
        <v>0</v>
      </c>
    </row>
    <row r="607" spans="1:21" x14ac:dyDescent="0.25">
      <c r="A607" t="s">
        <v>609</v>
      </c>
      <c r="B607" s="1">
        <v>46195</v>
      </c>
      <c r="C607" s="1">
        <v>46196</v>
      </c>
      <c r="D607" t="s">
        <v>610</v>
      </c>
      <c r="E607" t="s">
        <v>61</v>
      </c>
      <c r="F607" t="s">
        <v>62</v>
      </c>
      <c r="G607" t="s">
        <v>63</v>
      </c>
      <c r="H607" t="s">
        <v>49</v>
      </c>
      <c r="I607" s="2">
        <v>1</v>
      </c>
      <c r="J607" s="3">
        <v>120</v>
      </c>
      <c r="K607" s="4">
        <v>0.08</v>
      </c>
      <c r="L607" s="3">
        <v>110.4</v>
      </c>
      <c r="M607" t="b">
        <v>1</v>
      </c>
      <c r="N607" s="2">
        <f>YEAR(B607)</f>
        <v>2026</v>
      </c>
      <c r="O607" t="str">
        <f>INDEX(Agences!$C:$C,MATCH(F607,Agences!$A:$A,0))</f>
        <v>Méditerranée</v>
      </c>
      <c r="P607" t="str">
        <f>INDEX(Produits!$C:$C,MATCH(H607,Produits!$A:$A,0))</f>
        <v>Maintenance</v>
      </c>
      <c r="Q607" s="3">
        <f>I607*INDEX(Produits!$E:$E,MATCH(H607,Produits!$A:$A,0))</f>
        <v>55.2</v>
      </c>
      <c r="R607" s="3">
        <f>L607-Q607</f>
        <v>55.2</v>
      </c>
      <c r="S607" s="2">
        <f>NETWORKDAYS(B607,C607)-1</f>
        <v>1</v>
      </c>
      <c r="T607" s="1">
        <f>WORKDAY(B607,5)</f>
        <v>46202</v>
      </c>
      <c r="U607" t="b">
        <f>C607&gt;T607</f>
        <v>0</v>
      </c>
    </row>
    <row r="608" spans="1:21" x14ac:dyDescent="0.25">
      <c r="A608" t="s">
        <v>609</v>
      </c>
      <c r="B608" s="1">
        <v>46195</v>
      </c>
      <c r="C608" s="1">
        <v>46196</v>
      </c>
      <c r="D608" t="s">
        <v>610</v>
      </c>
      <c r="E608" t="s">
        <v>61</v>
      </c>
      <c r="F608" t="s">
        <v>62</v>
      </c>
      <c r="G608" t="s">
        <v>63</v>
      </c>
      <c r="H608" t="s">
        <v>107</v>
      </c>
      <c r="I608" s="2">
        <v>1</v>
      </c>
      <c r="J608" s="3">
        <v>99</v>
      </c>
      <c r="K608" s="4">
        <v>0</v>
      </c>
      <c r="L608" s="3">
        <v>99</v>
      </c>
      <c r="M608" t="b">
        <v>1</v>
      </c>
      <c r="N608" s="2">
        <f>YEAR(B608)</f>
        <v>2026</v>
      </c>
      <c r="O608" t="str">
        <f>INDEX(Agences!$C:$C,MATCH(F608,Agences!$A:$A,0))</f>
        <v>Méditerranée</v>
      </c>
      <c r="P608" t="str">
        <f>INDEX(Produits!$C:$C,MATCH(H608,Produits!$A:$A,0))</f>
        <v>Informatique</v>
      </c>
      <c r="Q608" s="3">
        <f>I608*INDEX(Produits!$E:$E,MATCH(H608,Produits!$A:$A,0))</f>
        <v>75.24</v>
      </c>
      <c r="R608" s="3">
        <f>L608-Q608</f>
        <v>23.760000000000005</v>
      </c>
      <c r="S608" s="2">
        <f>NETWORKDAYS(B608,C608)-1</f>
        <v>1</v>
      </c>
      <c r="T608" s="1">
        <f>WORKDAY(B608,5)</f>
        <v>46202</v>
      </c>
      <c r="U608" t="b">
        <f>C608&gt;T608</f>
        <v>0</v>
      </c>
    </row>
    <row r="609" spans="1:21" x14ac:dyDescent="0.25">
      <c r="A609" t="s">
        <v>611</v>
      </c>
      <c r="B609" s="1">
        <v>46195</v>
      </c>
      <c r="C609" s="1">
        <v>46197</v>
      </c>
      <c r="D609" t="s">
        <v>612</v>
      </c>
      <c r="E609" t="s">
        <v>157</v>
      </c>
      <c r="F609" t="s">
        <v>46</v>
      </c>
      <c r="G609" t="s">
        <v>47</v>
      </c>
      <c r="H609" t="s">
        <v>48</v>
      </c>
      <c r="I609" s="2">
        <v>4</v>
      </c>
      <c r="J609" s="3">
        <v>165</v>
      </c>
      <c r="K609" s="4">
        <v>0.05</v>
      </c>
      <c r="L609" s="3">
        <v>627</v>
      </c>
      <c r="M609" t="b">
        <v>1</v>
      </c>
      <c r="N609" s="2">
        <f>YEAR(B609)</f>
        <v>2026</v>
      </c>
      <c r="O609" t="str">
        <f>INDEX(Agences!$C:$C,MATCH(F609,Agences!$A:$A,0))</f>
        <v>Est</v>
      </c>
      <c r="P609" t="str">
        <f>INDEX(Produits!$C:$C,MATCH(H609,Produits!$A:$A,0))</f>
        <v>Mobilier</v>
      </c>
      <c r="Q609" s="3">
        <f>I609*INDEX(Produits!$E:$E,MATCH(H609,Produits!$A:$A,0))</f>
        <v>429</v>
      </c>
      <c r="R609" s="3">
        <f>L609-Q609</f>
        <v>198</v>
      </c>
      <c r="S609" s="2">
        <f>NETWORKDAYS(B609,C609)-1</f>
        <v>2</v>
      </c>
      <c r="T609" s="1">
        <f>WORKDAY(B609,5)</f>
        <v>46202</v>
      </c>
      <c r="U609" t="b">
        <f>C609&gt;T609</f>
        <v>0</v>
      </c>
    </row>
    <row r="610" spans="1:21" x14ac:dyDescent="0.25">
      <c r="A610" t="s">
        <v>611</v>
      </c>
      <c r="B610" s="1">
        <v>46195</v>
      </c>
      <c r="C610" s="1">
        <v>46197</v>
      </c>
      <c r="D610" t="s">
        <v>612</v>
      </c>
      <c r="E610" t="s">
        <v>157</v>
      </c>
      <c r="F610" t="s">
        <v>46</v>
      </c>
      <c r="G610" t="s">
        <v>47</v>
      </c>
      <c r="H610" t="s">
        <v>107</v>
      </c>
      <c r="I610" s="2">
        <v>5</v>
      </c>
      <c r="J610" s="3">
        <v>99</v>
      </c>
      <c r="K610" s="4">
        <v>0.02</v>
      </c>
      <c r="L610" s="3">
        <v>485.1</v>
      </c>
      <c r="M610" t="b">
        <v>1</v>
      </c>
      <c r="N610" s="2">
        <f>YEAR(B610)</f>
        <v>2026</v>
      </c>
      <c r="O610" t="str">
        <f>INDEX(Agences!$C:$C,MATCH(F610,Agences!$A:$A,0))</f>
        <v>Est</v>
      </c>
      <c r="P610" t="str">
        <f>INDEX(Produits!$C:$C,MATCH(H610,Produits!$A:$A,0))</f>
        <v>Informatique</v>
      </c>
      <c r="Q610" s="3">
        <f>I610*INDEX(Produits!$E:$E,MATCH(H610,Produits!$A:$A,0))</f>
        <v>376.2</v>
      </c>
      <c r="R610" s="3">
        <f>L610-Q610</f>
        <v>108.90000000000003</v>
      </c>
      <c r="S610" s="2">
        <f>NETWORKDAYS(B610,C610)-1</f>
        <v>2</v>
      </c>
      <c r="T610" s="1">
        <f>WORKDAY(B610,5)</f>
        <v>46202</v>
      </c>
      <c r="U610" t="b">
        <f>C610&gt;T610</f>
        <v>0</v>
      </c>
    </row>
    <row r="611" spans="1:21" x14ac:dyDescent="0.25">
      <c r="A611" t="s">
        <v>611</v>
      </c>
      <c r="B611" s="1">
        <v>46195</v>
      </c>
      <c r="C611" s="1">
        <v>46197</v>
      </c>
      <c r="D611" t="s">
        <v>612</v>
      </c>
      <c r="E611" t="s">
        <v>157</v>
      </c>
      <c r="F611" t="s">
        <v>46</v>
      </c>
      <c r="G611" t="s">
        <v>47</v>
      </c>
      <c r="H611" t="s">
        <v>83</v>
      </c>
      <c r="I611" s="2">
        <v>1</v>
      </c>
      <c r="J611" s="3">
        <v>49</v>
      </c>
      <c r="K611" s="4">
        <v>0.1</v>
      </c>
      <c r="L611" s="3">
        <v>44.1</v>
      </c>
      <c r="M611" t="b">
        <v>1</v>
      </c>
      <c r="N611" s="2">
        <f>YEAR(B611)</f>
        <v>2026</v>
      </c>
      <c r="O611" t="str">
        <f>INDEX(Agences!$C:$C,MATCH(F611,Agences!$A:$A,0))</f>
        <v>Est</v>
      </c>
      <c r="P611" t="str">
        <f>INDEX(Produits!$C:$C,MATCH(H611,Produits!$A:$A,0))</f>
        <v>Mobilier</v>
      </c>
      <c r="Q611" s="3">
        <f>I611*INDEX(Produits!$E:$E,MATCH(H611,Produits!$A:$A,0))</f>
        <v>28.42</v>
      </c>
      <c r="R611" s="3">
        <f>L611-Q611</f>
        <v>15.68</v>
      </c>
      <c r="S611" s="2">
        <f>NETWORKDAYS(B611,C611)-1</f>
        <v>2</v>
      </c>
      <c r="T611" s="1">
        <f>WORKDAY(B611,5)</f>
        <v>46202</v>
      </c>
      <c r="U611" t="b">
        <f>C611&gt;T611</f>
        <v>0</v>
      </c>
    </row>
    <row r="612" spans="1:21" x14ac:dyDescent="0.25">
      <c r="A612" t="s">
        <v>611</v>
      </c>
      <c r="B612" s="1">
        <v>46195</v>
      </c>
      <c r="C612" s="1">
        <v>46197</v>
      </c>
      <c r="D612" t="s">
        <v>612</v>
      </c>
      <c r="E612" t="s">
        <v>157</v>
      </c>
      <c r="F612" t="s">
        <v>46</v>
      </c>
      <c r="G612" t="s">
        <v>47</v>
      </c>
      <c r="H612" t="s">
        <v>42</v>
      </c>
      <c r="I612" s="2">
        <v>2</v>
      </c>
      <c r="J612" s="3">
        <v>55</v>
      </c>
      <c r="K612" s="4">
        <v>0</v>
      </c>
      <c r="L612" s="3">
        <v>110</v>
      </c>
      <c r="M612" t="b">
        <v>1</v>
      </c>
      <c r="N612" s="2">
        <f>YEAR(B612)</f>
        <v>2026</v>
      </c>
      <c r="O612" t="str">
        <f>INDEX(Agences!$C:$C,MATCH(F612,Agences!$A:$A,0))</f>
        <v>Est</v>
      </c>
      <c r="P612" t="str">
        <f>INDEX(Produits!$C:$C,MATCH(H612,Produits!$A:$A,0))</f>
        <v>Maintenance</v>
      </c>
      <c r="Q612" s="3">
        <f>I612*INDEX(Produits!$E:$E,MATCH(H612,Produits!$A:$A,0))</f>
        <v>49.5</v>
      </c>
      <c r="R612" s="3">
        <f>L612-Q612</f>
        <v>60.5</v>
      </c>
      <c r="S612" s="2">
        <f>NETWORKDAYS(B612,C612)-1</f>
        <v>2</v>
      </c>
      <c r="T612" s="1">
        <f>WORKDAY(B612,5)</f>
        <v>46202</v>
      </c>
      <c r="U612" t="b">
        <f>C612&gt;T612</f>
        <v>0</v>
      </c>
    </row>
    <row r="613" spans="1:21" x14ac:dyDescent="0.25">
      <c r="A613" t="s">
        <v>611</v>
      </c>
      <c r="B613" s="1">
        <v>46195</v>
      </c>
      <c r="C613" s="1">
        <v>46197</v>
      </c>
      <c r="D613" t="s">
        <v>612</v>
      </c>
      <c r="E613" t="s">
        <v>157</v>
      </c>
      <c r="F613" t="s">
        <v>46</v>
      </c>
      <c r="G613" t="s">
        <v>47</v>
      </c>
      <c r="H613" t="s">
        <v>35</v>
      </c>
      <c r="I613" s="2">
        <v>1</v>
      </c>
      <c r="J613" s="3">
        <v>79</v>
      </c>
      <c r="K613" s="4">
        <v>0.1</v>
      </c>
      <c r="L613" s="3">
        <v>71.1</v>
      </c>
      <c r="M613" t="b">
        <v>1</v>
      </c>
      <c r="N613" s="2">
        <f>YEAR(B613)</f>
        <v>2026</v>
      </c>
      <c r="O613" t="str">
        <f>INDEX(Agences!$C:$C,MATCH(F613,Agences!$A:$A,0))</f>
        <v>Est</v>
      </c>
      <c r="P613" t="str">
        <f>INDEX(Produits!$C:$C,MATCH(H613,Produits!$A:$A,0))</f>
        <v>Mobilier</v>
      </c>
      <c r="Q613" s="3">
        <f>I613*INDEX(Produits!$E:$E,MATCH(H613,Produits!$A:$A,0))</f>
        <v>46.61</v>
      </c>
      <c r="R613" s="3">
        <f>L613-Q613</f>
        <v>24.489999999999995</v>
      </c>
      <c r="S613" s="2">
        <f>NETWORKDAYS(B613,C613)-1</f>
        <v>2</v>
      </c>
      <c r="T613" s="1">
        <f>WORKDAY(B613,5)</f>
        <v>46202</v>
      </c>
      <c r="U613" t="b">
        <f>C613&gt;T613</f>
        <v>0</v>
      </c>
    </row>
    <row r="614" spans="1:21" x14ac:dyDescent="0.25">
      <c r="A614" t="s">
        <v>613</v>
      </c>
      <c r="B614" s="1">
        <v>46195</v>
      </c>
      <c r="C614" s="1">
        <v>46198</v>
      </c>
      <c r="D614" t="s">
        <v>614</v>
      </c>
      <c r="E614" t="s">
        <v>45</v>
      </c>
      <c r="F614" t="s">
        <v>46</v>
      </c>
      <c r="G614" t="s">
        <v>47</v>
      </c>
      <c r="H614" t="s">
        <v>123</v>
      </c>
      <c r="I614" s="2">
        <v>5</v>
      </c>
      <c r="J614" s="3">
        <v>39.9</v>
      </c>
      <c r="K614" s="4">
        <v>0</v>
      </c>
      <c r="L614" s="3">
        <v>199.5</v>
      </c>
      <c r="M614" t="b">
        <v>1</v>
      </c>
      <c r="N614" s="2">
        <f>YEAR(B614)</f>
        <v>2026</v>
      </c>
      <c r="O614" t="str">
        <f>INDEX(Agences!$C:$C,MATCH(F614,Agences!$A:$A,0))</f>
        <v>Est</v>
      </c>
      <c r="P614" t="str">
        <f>INDEX(Produits!$C:$C,MATCH(H614,Produits!$A:$A,0))</f>
        <v>Fournitures</v>
      </c>
      <c r="Q614" s="3">
        <f>I614*INDEX(Produits!$E:$E,MATCH(H614,Produits!$A:$A,0))</f>
        <v>111.7</v>
      </c>
      <c r="R614" s="3">
        <f>L614-Q614</f>
        <v>87.8</v>
      </c>
      <c r="S614" s="2">
        <f>NETWORKDAYS(B614,C614)-1</f>
        <v>3</v>
      </c>
      <c r="T614" s="1">
        <f>WORKDAY(B614,5)</f>
        <v>46202</v>
      </c>
      <c r="U614" t="b">
        <f>C614&gt;T614</f>
        <v>0</v>
      </c>
    </row>
    <row r="615" spans="1:21" x14ac:dyDescent="0.25">
      <c r="A615" t="s">
        <v>613</v>
      </c>
      <c r="B615" s="1">
        <v>46195</v>
      </c>
      <c r="C615" s="1">
        <v>46198</v>
      </c>
      <c r="D615" t="s">
        <v>614</v>
      </c>
      <c r="E615" t="s">
        <v>45</v>
      </c>
      <c r="F615" t="s">
        <v>46</v>
      </c>
      <c r="G615" t="s">
        <v>47</v>
      </c>
      <c r="H615" t="s">
        <v>64</v>
      </c>
      <c r="I615" s="2">
        <v>5</v>
      </c>
      <c r="J615" s="3">
        <v>16.8</v>
      </c>
      <c r="K615" s="4">
        <v>0.08</v>
      </c>
      <c r="L615" s="3">
        <v>77.28</v>
      </c>
      <c r="M615" t="b">
        <v>1</v>
      </c>
      <c r="N615" s="2">
        <f>YEAR(B615)</f>
        <v>2026</v>
      </c>
      <c r="O615" t="str">
        <f>INDEX(Agences!$C:$C,MATCH(F615,Agences!$A:$A,0))</f>
        <v>Est</v>
      </c>
      <c r="P615" t="str">
        <f>INDEX(Produits!$C:$C,MATCH(H615,Produits!$A:$A,0))</f>
        <v>Fournitures</v>
      </c>
      <c r="Q615" s="3">
        <f>I615*INDEX(Produits!$E:$E,MATCH(H615,Produits!$A:$A,0))</f>
        <v>43.7</v>
      </c>
      <c r="R615" s="3">
        <f>L615-Q615</f>
        <v>33.58</v>
      </c>
      <c r="S615" s="2">
        <f>NETWORKDAYS(B615,C615)-1</f>
        <v>3</v>
      </c>
      <c r="T615" s="1">
        <f>WORKDAY(B615,5)</f>
        <v>46202</v>
      </c>
      <c r="U615" t="b">
        <f>C615&gt;T615</f>
        <v>0</v>
      </c>
    </row>
    <row r="616" spans="1:21" x14ac:dyDescent="0.25">
      <c r="A616" t="s">
        <v>613</v>
      </c>
      <c r="B616" s="1">
        <v>46195</v>
      </c>
      <c r="C616" s="1">
        <v>46198</v>
      </c>
      <c r="D616" t="s">
        <v>614</v>
      </c>
      <c r="E616" t="s">
        <v>45</v>
      </c>
      <c r="F616" t="s">
        <v>46</v>
      </c>
      <c r="G616" t="s">
        <v>47</v>
      </c>
      <c r="H616" t="s">
        <v>42</v>
      </c>
      <c r="I616" s="2">
        <v>1</v>
      </c>
      <c r="J616" s="3">
        <v>55</v>
      </c>
      <c r="K616" s="4">
        <v>0.02</v>
      </c>
      <c r="L616" s="3">
        <v>53.9</v>
      </c>
      <c r="M616" t="b">
        <v>1</v>
      </c>
      <c r="N616" s="2">
        <f>YEAR(B616)</f>
        <v>2026</v>
      </c>
      <c r="O616" t="str">
        <f>INDEX(Agences!$C:$C,MATCH(F616,Agences!$A:$A,0))</f>
        <v>Est</v>
      </c>
      <c r="P616" t="str">
        <f>INDEX(Produits!$C:$C,MATCH(H616,Produits!$A:$A,0))</f>
        <v>Maintenance</v>
      </c>
      <c r="Q616" s="3">
        <f>I616*INDEX(Produits!$E:$E,MATCH(H616,Produits!$A:$A,0))</f>
        <v>24.75</v>
      </c>
      <c r="R616" s="3">
        <f>L616-Q616</f>
        <v>29.15</v>
      </c>
      <c r="S616" s="2">
        <f>NETWORKDAYS(B616,C616)-1</f>
        <v>3</v>
      </c>
      <c r="T616" s="1">
        <f>WORKDAY(B616,5)</f>
        <v>46202</v>
      </c>
      <c r="U616" t="b">
        <f>C616&gt;T616</f>
        <v>0</v>
      </c>
    </row>
    <row r="617" spans="1:21" x14ac:dyDescent="0.25">
      <c r="A617" t="s">
        <v>613</v>
      </c>
      <c r="B617" s="1">
        <v>46195</v>
      </c>
      <c r="C617" s="1">
        <v>46198</v>
      </c>
      <c r="D617" t="s">
        <v>614</v>
      </c>
      <c r="E617" t="s">
        <v>45</v>
      </c>
      <c r="F617" t="s">
        <v>46</v>
      </c>
      <c r="G617" t="s">
        <v>47</v>
      </c>
      <c r="H617" t="s">
        <v>606</v>
      </c>
      <c r="I617" s="2">
        <v>2</v>
      </c>
      <c r="J617" s="3">
        <v>1150</v>
      </c>
      <c r="K617" s="4">
        <v>0.02</v>
      </c>
      <c r="L617" s="3">
        <v>2254</v>
      </c>
      <c r="M617" t="b">
        <v>1</v>
      </c>
      <c r="N617" s="2">
        <f>YEAR(B617)</f>
        <v>2026</v>
      </c>
      <c r="O617" t="str">
        <f>INDEX(Agences!$C:$C,MATCH(F617,Agences!$A:$A,0))</f>
        <v>Est</v>
      </c>
      <c r="P617" t="str">
        <f>INDEX(Produits!$C:$C,MATCH(H617,Produits!$A:$A,0))</f>
        <v>Mobilier</v>
      </c>
      <c r="Q617" s="3">
        <f>I617*INDEX(Produits!$E:$E,MATCH(H617,Produits!$A:$A,0))</f>
        <v>1426</v>
      </c>
      <c r="R617" s="3">
        <f>L617-Q617</f>
        <v>828</v>
      </c>
      <c r="S617" s="2">
        <f>NETWORKDAYS(B617,C617)-1</f>
        <v>3</v>
      </c>
      <c r="T617" s="1">
        <f>WORKDAY(B617,5)</f>
        <v>46202</v>
      </c>
      <c r="U617" t="b">
        <f>C617&gt;T617</f>
        <v>0</v>
      </c>
    </row>
    <row r="618" spans="1:21" x14ac:dyDescent="0.25">
      <c r="A618" t="s">
        <v>615</v>
      </c>
      <c r="B618" s="1">
        <v>46192</v>
      </c>
      <c r="C618" s="1">
        <v>46195</v>
      </c>
      <c r="D618" t="s">
        <v>160</v>
      </c>
      <c r="E618" t="s">
        <v>137</v>
      </c>
      <c r="F618" t="s">
        <v>138</v>
      </c>
      <c r="G618" t="s">
        <v>220</v>
      </c>
      <c r="H618" t="s">
        <v>48</v>
      </c>
      <c r="I618" s="2">
        <v>1</v>
      </c>
      <c r="J618" s="3">
        <v>165</v>
      </c>
      <c r="K618" s="4">
        <v>0</v>
      </c>
      <c r="L618" s="3">
        <v>165</v>
      </c>
      <c r="M618" t="b">
        <v>1</v>
      </c>
      <c r="N618" s="2">
        <f>YEAR(B618)</f>
        <v>2026</v>
      </c>
      <c r="O618" t="str">
        <f>INDEX(Agences!$C:$C,MATCH(F618,Agences!$A:$A,0))</f>
        <v>Île-de-France</v>
      </c>
      <c r="P618" t="str">
        <f>INDEX(Produits!$C:$C,MATCH(H618,Produits!$A:$A,0))</f>
        <v>Mobilier</v>
      </c>
      <c r="Q618" s="3">
        <f>I618*INDEX(Produits!$E:$E,MATCH(H618,Produits!$A:$A,0))</f>
        <v>107.25</v>
      </c>
      <c r="R618" s="3">
        <f>L618-Q618</f>
        <v>57.75</v>
      </c>
      <c r="S618" s="2">
        <f>NETWORKDAYS(B618,C618)-1</f>
        <v>1</v>
      </c>
      <c r="T618" s="1">
        <f>WORKDAY(B618,5)</f>
        <v>46199</v>
      </c>
      <c r="U618" t="b">
        <f>C618&gt;T618</f>
        <v>0</v>
      </c>
    </row>
    <row r="619" spans="1:21" x14ac:dyDescent="0.25">
      <c r="A619" t="s">
        <v>615</v>
      </c>
      <c r="B619" s="1">
        <v>46192</v>
      </c>
      <c r="C619" s="1">
        <v>46195</v>
      </c>
      <c r="D619" t="s">
        <v>160</v>
      </c>
      <c r="E619" t="s">
        <v>137</v>
      </c>
      <c r="F619" t="s">
        <v>138</v>
      </c>
      <c r="G619" t="s">
        <v>220</v>
      </c>
      <c r="H619" t="s">
        <v>72</v>
      </c>
      <c r="I619" s="2">
        <v>1</v>
      </c>
      <c r="J619" s="3">
        <v>179</v>
      </c>
      <c r="K619" s="4">
        <v>0</v>
      </c>
      <c r="L619" s="3">
        <v>179</v>
      </c>
      <c r="M619" t="b">
        <v>1</v>
      </c>
      <c r="N619" s="2">
        <f>YEAR(B619)</f>
        <v>2026</v>
      </c>
      <c r="O619" t="str">
        <f>INDEX(Agences!$C:$C,MATCH(F619,Agences!$A:$A,0))</f>
        <v>Île-de-France</v>
      </c>
      <c r="P619" t="str">
        <f>INDEX(Produits!$C:$C,MATCH(H619,Produits!$A:$A,0))</f>
        <v>Informatique</v>
      </c>
      <c r="Q619" s="3">
        <f>I619*INDEX(Produits!$E:$E,MATCH(H619,Produits!$A:$A,0))</f>
        <v>146.78</v>
      </c>
      <c r="R619" s="3">
        <f>L619-Q619</f>
        <v>32.22</v>
      </c>
      <c r="S619" s="2">
        <f>NETWORKDAYS(B619,C619)-1</f>
        <v>1</v>
      </c>
      <c r="T619" s="1">
        <f>WORKDAY(B619,5)</f>
        <v>46199</v>
      </c>
      <c r="U619" t="b">
        <f>C619&gt;T619</f>
        <v>0</v>
      </c>
    </row>
    <row r="620" spans="1:21" x14ac:dyDescent="0.25">
      <c r="A620" t="s">
        <v>615</v>
      </c>
      <c r="B620" s="1">
        <v>46192</v>
      </c>
      <c r="C620" s="1">
        <v>46195</v>
      </c>
      <c r="D620" t="s">
        <v>160</v>
      </c>
      <c r="E620" t="s">
        <v>137</v>
      </c>
      <c r="F620" t="s">
        <v>138</v>
      </c>
      <c r="G620" t="s">
        <v>220</v>
      </c>
      <c r="H620" t="s">
        <v>50</v>
      </c>
      <c r="I620" s="2">
        <v>1</v>
      </c>
      <c r="J620" s="3">
        <v>69</v>
      </c>
      <c r="K620" s="4">
        <v>0.08</v>
      </c>
      <c r="L620" s="3">
        <v>63.48</v>
      </c>
      <c r="M620" t="b">
        <v>1</v>
      </c>
      <c r="N620" s="2">
        <f>YEAR(B620)</f>
        <v>2026</v>
      </c>
      <c r="O620" t="str">
        <f>INDEX(Agences!$C:$C,MATCH(F620,Agences!$A:$A,0))</f>
        <v>Île-de-France</v>
      </c>
      <c r="P620" t="str">
        <f>INDEX(Produits!$C:$C,MATCH(H620,Produits!$A:$A,0))</f>
        <v>Informatique</v>
      </c>
      <c r="Q620" s="3">
        <f>I620*INDEX(Produits!$E:$E,MATCH(H620,Produits!$A:$A,0))</f>
        <v>54.51</v>
      </c>
      <c r="R620" s="3">
        <f>L620-Q620</f>
        <v>8.969999999999999</v>
      </c>
      <c r="S620" s="2">
        <f>NETWORKDAYS(B620,C620)-1</f>
        <v>1</v>
      </c>
      <c r="T620" s="1">
        <f>WORKDAY(B620,5)</f>
        <v>46199</v>
      </c>
      <c r="U620" t="b">
        <f>C620&gt;T620</f>
        <v>0</v>
      </c>
    </row>
    <row r="621" spans="1:21" x14ac:dyDescent="0.25">
      <c r="A621" t="s">
        <v>616</v>
      </c>
      <c r="B621" s="1">
        <v>46192</v>
      </c>
      <c r="C621" s="1">
        <v>46197</v>
      </c>
      <c r="D621" t="s">
        <v>617</v>
      </c>
      <c r="E621" t="s">
        <v>130</v>
      </c>
      <c r="F621" t="s">
        <v>39</v>
      </c>
      <c r="G621" t="s">
        <v>131</v>
      </c>
      <c r="H621" t="s">
        <v>103</v>
      </c>
      <c r="I621" s="2">
        <v>3</v>
      </c>
      <c r="J621" s="3">
        <v>245</v>
      </c>
      <c r="K621" s="4">
        <v>0.05</v>
      </c>
      <c r="L621" s="3">
        <v>698.25</v>
      </c>
      <c r="M621" t="b">
        <v>1</v>
      </c>
      <c r="N621" s="2">
        <f>YEAR(B621)</f>
        <v>2026</v>
      </c>
      <c r="O621" t="str">
        <f>INDEX(Agences!$C:$C,MATCH(F621,Agences!$A:$A,0))</f>
        <v>Sud-Ouest</v>
      </c>
      <c r="P621" t="str">
        <f>INDEX(Produits!$C:$C,MATCH(H621,Produits!$A:$A,0))</f>
        <v>Mobilier</v>
      </c>
      <c r="Q621" s="3">
        <f>I621*INDEX(Produits!$E:$E,MATCH(H621,Produits!$A:$A,0))</f>
        <v>492.45000000000005</v>
      </c>
      <c r="R621" s="3">
        <f>L621-Q621</f>
        <v>205.79999999999995</v>
      </c>
      <c r="S621" s="2">
        <f>NETWORKDAYS(B621,C621)-1</f>
        <v>3</v>
      </c>
      <c r="T621" s="1">
        <f>WORKDAY(B621,5)</f>
        <v>46199</v>
      </c>
      <c r="U621" t="b">
        <f>C621&gt;T621</f>
        <v>0</v>
      </c>
    </row>
    <row r="622" spans="1:21" x14ac:dyDescent="0.25">
      <c r="A622" t="s">
        <v>616</v>
      </c>
      <c r="B622" s="1">
        <v>46192</v>
      </c>
      <c r="C622" s="1">
        <v>46197</v>
      </c>
      <c r="D622" t="s">
        <v>617</v>
      </c>
      <c r="E622" t="s">
        <v>130</v>
      </c>
      <c r="F622" t="s">
        <v>39</v>
      </c>
      <c r="G622" t="s">
        <v>131</v>
      </c>
      <c r="H622" t="s">
        <v>42</v>
      </c>
      <c r="I622" s="2">
        <v>1</v>
      </c>
      <c r="J622" s="3">
        <v>55</v>
      </c>
      <c r="K622" s="4">
        <v>0</v>
      </c>
      <c r="L622" s="3">
        <v>55</v>
      </c>
      <c r="M622" t="b">
        <v>1</v>
      </c>
      <c r="N622" s="2">
        <f>YEAR(B622)</f>
        <v>2026</v>
      </c>
      <c r="O622" t="str">
        <f>INDEX(Agences!$C:$C,MATCH(F622,Agences!$A:$A,0))</f>
        <v>Sud-Ouest</v>
      </c>
      <c r="P622" t="str">
        <f>INDEX(Produits!$C:$C,MATCH(H622,Produits!$A:$A,0))</f>
        <v>Maintenance</v>
      </c>
      <c r="Q622" s="3">
        <f>I622*INDEX(Produits!$E:$E,MATCH(H622,Produits!$A:$A,0))</f>
        <v>24.75</v>
      </c>
      <c r="R622" s="3">
        <f>L622-Q622</f>
        <v>30.25</v>
      </c>
      <c r="S622" s="2">
        <f>NETWORKDAYS(B622,C622)-1</f>
        <v>3</v>
      </c>
      <c r="T622" s="1">
        <f>WORKDAY(B622,5)</f>
        <v>46199</v>
      </c>
      <c r="U622" t="b">
        <f>C622&gt;T622</f>
        <v>0</v>
      </c>
    </row>
    <row r="623" spans="1:21" x14ac:dyDescent="0.25">
      <c r="A623" t="s">
        <v>616</v>
      </c>
      <c r="B623" s="1">
        <v>46192</v>
      </c>
      <c r="C623" s="1">
        <v>46197</v>
      </c>
      <c r="D623" t="s">
        <v>617</v>
      </c>
      <c r="E623" t="s">
        <v>130</v>
      </c>
      <c r="F623" t="s">
        <v>39</v>
      </c>
      <c r="G623" t="s">
        <v>131</v>
      </c>
      <c r="H623" t="s">
        <v>49</v>
      </c>
      <c r="I623" s="2">
        <v>2</v>
      </c>
      <c r="J623" s="3">
        <v>120</v>
      </c>
      <c r="K623" s="4">
        <v>0.02</v>
      </c>
      <c r="L623" s="3">
        <v>235.2</v>
      </c>
      <c r="M623" t="b">
        <v>1</v>
      </c>
      <c r="N623" s="2">
        <f>YEAR(B623)</f>
        <v>2026</v>
      </c>
      <c r="O623" t="str">
        <f>INDEX(Agences!$C:$C,MATCH(F623,Agences!$A:$A,0))</f>
        <v>Sud-Ouest</v>
      </c>
      <c r="P623" t="str">
        <f>INDEX(Produits!$C:$C,MATCH(H623,Produits!$A:$A,0))</f>
        <v>Maintenance</v>
      </c>
      <c r="Q623" s="3">
        <f>I623*INDEX(Produits!$E:$E,MATCH(H623,Produits!$A:$A,0))</f>
        <v>110.4</v>
      </c>
      <c r="R623" s="3">
        <f>L623-Q623</f>
        <v>124.79999999999998</v>
      </c>
      <c r="S623" s="2">
        <f>NETWORKDAYS(B623,C623)-1</f>
        <v>3</v>
      </c>
      <c r="T623" s="1">
        <f>WORKDAY(B623,5)</f>
        <v>46199</v>
      </c>
      <c r="U623" t="b">
        <f>C623&gt;T623</f>
        <v>0</v>
      </c>
    </row>
    <row r="624" spans="1:21" x14ac:dyDescent="0.25">
      <c r="A624" t="s">
        <v>616</v>
      </c>
      <c r="B624" s="1">
        <v>46192</v>
      </c>
      <c r="C624" s="1">
        <v>46197</v>
      </c>
      <c r="D624" t="s">
        <v>617</v>
      </c>
      <c r="E624" t="s">
        <v>130</v>
      </c>
      <c r="F624" t="s">
        <v>39</v>
      </c>
      <c r="G624" t="s">
        <v>131</v>
      </c>
      <c r="H624" t="s">
        <v>83</v>
      </c>
      <c r="I624" s="2">
        <v>3</v>
      </c>
      <c r="J624" s="3">
        <v>49</v>
      </c>
      <c r="K624" s="4">
        <v>0.02</v>
      </c>
      <c r="L624" s="3">
        <v>144.06</v>
      </c>
      <c r="M624" t="b">
        <v>1</v>
      </c>
      <c r="N624" s="2">
        <f>YEAR(B624)</f>
        <v>2026</v>
      </c>
      <c r="O624" t="str">
        <f>INDEX(Agences!$C:$C,MATCH(F624,Agences!$A:$A,0))</f>
        <v>Sud-Ouest</v>
      </c>
      <c r="P624" t="str">
        <f>INDEX(Produits!$C:$C,MATCH(H624,Produits!$A:$A,0))</f>
        <v>Mobilier</v>
      </c>
      <c r="Q624" s="3">
        <f>I624*INDEX(Produits!$E:$E,MATCH(H624,Produits!$A:$A,0))</f>
        <v>85.26</v>
      </c>
      <c r="R624" s="3">
        <f>L624-Q624</f>
        <v>58.8</v>
      </c>
      <c r="S624" s="2">
        <f>NETWORKDAYS(B624,C624)-1</f>
        <v>3</v>
      </c>
      <c r="T624" s="1">
        <f>WORKDAY(B624,5)</f>
        <v>46199</v>
      </c>
      <c r="U624" t="b">
        <f>C624&gt;T624</f>
        <v>0</v>
      </c>
    </row>
    <row r="625" spans="1:21" x14ac:dyDescent="0.25">
      <c r="A625" t="s">
        <v>618</v>
      </c>
      <c r="B625" s="1">
        <v>46192</v>
      </c>
      <c r="C625" s="1">
        <v>46195</v>
      </c>
      <c r="D625" t="s">
        <v>619</v>
      </c>
      <c r="E625" t="s">
        <v>191</v>
      </c>
      <c r="F625" t="s">
        <v>62</v>
      </c>
      <c r="G625" t="s">
        <v>106</v>
      </c>
      <c r="H625" t="s">
        <v>64</v>
      </c>
      <c r="I625" s="2">
        <v>10</v>
      </c>
      <c r="J625" s="3">
        <v>16.8</v>
      </c>
      <c r="K625" s="4">
        <v>0.2</v>
      </c>
      <c r="L625" s="3">
        <v>134.4</v>
      </c>
      <c r="M625" t="b">
        <v>1</v>
      </c>
      <c r="N625" s="2">
        <f>YEAR(B625)</f>
        <v>2026</v>
      </c>
      <c r="O625" t="str">
        <f>INDEX(Agences!$C:$C,MATCH(F625,Agences!$A:$A,0))</f>
        <v>Méditerranée</v>
      </c>
      <c r="P625" t="str">
        <f>INDEX(Produits!$C:$C,MATCH(H625,Produits!$A:$A,0))</f>
        <v>Fournitures</v>
      </c>
      <c r="Q625" s="3">
        <f>I625*INDEX(Produits!$E:$E,MATCH(H625,Produits!$A:$A,0))</f>
        <v>87.4</v>
      </c>
      <c r="R625" s="3">
        <f>L625-Q625</f>
        <v>47</v>
      </c>
      <c r="S625" s="2">
        <f>NETWORKDAYS(B625,C625)-1</f>
        <v>1</v>
      </c>
      <c r="T625" s="1">
        <f>WORKDAY(B625,5)</f>
        <v>46199</v>
      </c>
      <c r="U625" t="b">
        <f>C625&gt;T625</f>
        <v>0</v>
      </c>
    </row>
    <row r="626" spans="1:21" x14ac:dyDescent="0.25">
      <c r="A626" t="s">
        <v>618</v>
      </c>
      <c r="B626" s="1">
        <v>46192</v>
      </c>
      <c r="C626" s="1">
        <v>46195</v>
      </c>
      <c r="D626" t="s">
        <v>619</v>
      </c>
      <c r="E626" t="s">
        <v>191</v>
      </c>
      <c r="F626" t="s">
        <v>62</v>
      </c>
      <c r="G626" t="s">
        <v>106</v>
      </c>
      <c r="H626" t="s">
        <v>150</v>
      </c>
      <c r="I626" s="2">
        <v>1</v>
      </c>
      <c r="J626" s="3">
        <v>790</v>
      </c>
      <c r="K626" s="4">
        <v>0.3</v>
      </c>
      <c r="L626" s="3">
        <v>553</v>
      </c>
      <c r="M626" t="b">
        <v>1</v>
      </c>
      <c r="N626" s="2">
        <f>YEAR(B626)</f>
        <v>2026</v>
      </c>
      <c r="O626" t="str">
        <f>INDEX(Agences!$C:$C,MATCH(F626,Agences!$A:$A,0))</f>
        <v>Méditerranée</v>
      </c>
      <c r="P626" t="str">
        <f>INDEX(Produits!$C:$C,MATCH(H626,Produits!$A:$A,0))</f>
        <v>Informatique</v>
      </c>
      <c r="Q626" s="3">
        <f>I626*INDEX(Produits!$E:$E,MATCH(H626,Produits!$A:$A,0))</f>
        <v>584.6</v>
      </c>
      <c r="R626" s="3">
        <f>L626-Q626</f>
        <v>-31.600000000000023</v>
      </c>
      <c r="S626" s="2">
        <f>NETWORKDAYS(B626,C626)-1</f>
        <v>1</v>
      </c>
      <c r="T626" s="1">
        <f>WORKDAY(B626,5)</f>
        <v>46199</v>
      </c>
      <c r="U626" t="b">
        <f>C626&gt;T626</f>
        <v>0</v>
      </c>
    </row>
    <row r="627" spans="1:21" x14ac:dyDescent="0.25">
      <c r="A627" t="s">
        <v>618</v>
      </c>
      <c r="B627" s="1">
        <v>46192</v>
      </c>
      <c r="C627" s="1">
        <v>46195</v>
      </c>
      <c r="D627" t="s">
        <v>619</v>
      </c>
      <c r="E627" t="s">
        <v>191</v>
      </c>
      <c r="F627" t="s">
        <v>62</v>
      </c>
      <c r="G627" t="s">
        <v>106</v>
      </c>
      <c r="H627" t="s">
        <v>233</v>
      </c>
      <c r="I627" s="2">
        <v>15</v>
      </c>
      <c r="J627" s="3">
        <v>27.5</v>
      </c>
      <c r="K627" s="4">
        <v>0.2</v>
      </c>
      <c r="L627" s="3">
        <v>330</v>
      </c>
      <c r="M627" t="b">
        <v>1</v>
      </c>
      <c r="N627" s="2">
        <f>YEAR(B627)</f>
        <v>2026</v>
      </c>
      <c r="O627" t="str">
        <f>INDEX(Agences!$C:$C,MATCH(F627,Agences!$A:$A,0))</f>
        <v>Méditerranée</v>
      </c>
      <c r="P627" t="str">
        <f>INDEX(Produits!$C:$C,MATCH(H627,Produits!$A:$A,0))</f>
        <v>Fournitures</v>
      </c>
      <c r="Q627" s="3">
        <f>I627*INDEX(Produits!$E:$E,MATCH(H627,Produits!$A:$A,0))</f>
        <v>231</v>
      </c>
      <c r="R627" s="3">
        <f>L627-Q627</f>
        <v>99</v>
      </c>
      <c r="S627" s="2">
        <f>NETWORKDAYS(B627,C627)-1</f>
        <v>1</v>
      </c>
      <c r="T627" s="1">
        <f>WORKDAY(B627,5)</f>
        <v>46199</v>
      </c>
      <c r="U627" t="b">
        <f>C627&gt;T627</f>
        <v>0</v>
      </c>
    </row>
    <row r="628" spans="1:21" x14ac:dyDescent="0.25">
      <c r="A628" t="s">
        <v>620</v>
      </c>
      <c r="B628" s="1">
        <v>46192</v>
      </c>
      <c r="C628" s="1">
        <v>46258</v>
      </c>
      <c r="D628" t="s">
        <v>621</v>
      </c>
      <c r="E628" t="s">
        <v>54</v>
      </c>
      <c r="F628" t="s">
        <v>55</v>
      </c>
      <c r="G628" t="s">
        <v>56</v>
      </c>
      <c r="H628" t="s">
        <v>217</v>
      </c>
      <c r="I628" s="2">
        <v>1</v>
      </c>
      <c r="J628" s="3">
        <v>1090</v>
      </c>
      <c r="K628" s="4">
        <v>0</v>
      </c>
      <c r="L628" s="3">
        <v>1090</v>
      </c>
      <c r="M628" t="b">
        <v>1</v>
      </c>
      <c r="N628" s="2">
        <f>YEAR(B628)</f>
        <v>2026</v>
      </c>
      <c r="O628" t="str">
        <f>INDEX(Agences!$C:$C,MATCH(F628,Agences!$A:$A,0))</f>
        <v>Est</v>
      </c>
      <c r="P628" t="str">
        <f>INDEX(Produits!$C:$C,MATCH(H628,Produits!$A:$A,0))</f>
        <v>Informatique</v>
      </c>
      <c r="Q628" s="3">
        <f>I628*INDEX(Produits!$E:$E,MATCH(H628,Produits!$A:$A,0))</f>
        <v>817.5</v>
      </c>
      <c r="R628" s="3">
        <f>L628-Q628</f>
        <v>272.5</v>
      </c>
      <c r="S628" s="2">
        <f>NETWORKDAYS(B628,C628)-1</f>
        <v>46</v>
      </c>
      <c r="T628" s="1">
        <f>WORKDAY(B628,5)</f>
        <v>46199</v>
      </c>
      <c r="U628" t="b">
        <f>C628&gt;T628</f>
        <v>1</v>
      </c>
    </row>
    <row r="629" spans="1:21" x14ac:dyDescent="0.25">
      <c r="A629" t="s">
        <v>620</v>
      </c>
      <c r="B629" s="1">
        <v>46192</v>
      </c>
      <c r="C629" s="1">
        <v>46258</v>
      </c>
      <c r="D629" t="s">
        <v>621</v>
      </c>
      <c r="E629" t="s">
        <v>54</v>
      </c>
      <c r="F629" t="s">
        <v>55</v>
      </c>
      <c r="G629" t="s">
        <v>56</v>
      </c>
      <c r="H629" t="s">
        <v>83</v>
      </c>
      <c r="I629" s="2">
        <v>5</v>
      </c>
      <c r="J629" s="3">
        <v>49</v>
      </c>
      <c r="K629" s="4">
        <v>0</v>
      </c>
      <c r="L629" s="3">
        <v>245</v>
      </c>
      <c r="M629" t="b">
        <v>1</v>
      </c>
      <c r="N629" s="2">
        <f>YEAR(B629)</f>
        <v>2026</v>
      </c>
      <c r="O629" t="str">
        <f>INDEX(Agences!$C:$C,MATCH(F629,Agences!$A:$A,0))</f>
        <v>Est</v>
      </c>
      <c r="P629" t="str">
        <f>INDEX(Produits!$C:$C,MATCH(H629,Produits!$A:$A,0))</f>
        <v>Mobilier</v>
      </c>
      <c r="Q629" s="3">
        <f>I629*INDEX(Produits!$E:$E,MATCH(H629,Produits!$A:$A,0))</f>
        <v>142.10000000000002</v>
      </c>
      <c r="R629" s="3">
        <f>L629-Q629</f>
        <v>102.89999999999998</v>
      </c>
      <c r="S629" s="2">
        <f>NETWORKDAYS(B629,C629)-1</f>
        <v>46</v>
      </c>
      <c r="T629" s="1">
        <f>WORKDAY(B629,5)</f>
        <v>46199</v>
      </c>
      <c r="U629" t="b">
        <f>C629&gt;T629</f>
        <v>1</v>
      </c>
    </row>
    <row r="630" spans="1:21" x14ac:dyDescent="0.25">
      <c r="A630" t="s">
        <v>622</v>
      </c>
      <c r="B630" s="1">
        <v>46191</v>
      </c>
      <c r="C630" s="1">
        <v>46196</v>
      </c>
      <c r="D630" t="s">
        <v>623</v>
      </c>
      <c r="E630" t="s">
        <v>122</v>
      </c>
      <c r="F630" t="s">
        <v>24</v>
      </c>
      <c r="G630" t="s">
        <v>116</v>
      </c>
      <c r="H630" t="s">
        <v>606</v>
      </c>
      <c r="I630" s="2">
        <v>1</v>
      </c>
      <c r="J630" s="3">
        <v>1150</v>
      </c>
      <c r="K630" s="4">
        <v>0</v>
      </c>
      <c r="L630" s="3">
        <v>1150</v>
      </c>
      <c r="M630" t="b">
        <v>1</v>
      </c>
      <c r="N630" s="2">
        <f>YEAR(B630)</f>
        <v>2026</v>
      </c>
      <c r="O630" t="str">
        <f>INDEX(Agences!$C:$C,MATCH(F630,Agences!$A:$A,0))</f>
        <v>Nord</v>
      </c>
      <c r="P630" t="str">
        <f>INDEX(Produits!$C:$C,MATCH(H630,Produits!$A:$A,0))</f>
        <v>Mobilier</v>
      </c>
      <c r="Q630" s="3">
        <f>I630*INDEX(Produits!$E:$E,MATCH(H630,Produits!$A:$A,0))</f>
        <v>713</v>
      </c>
      <c r="R630" s="3">
        <f>L630-Q630</f>
        <v>437</v>
      </c>
      <c r="S630" s="2">
        <f>NETWORKDAYS(B630,C630)-1</f>
        <v>3</v>
      </c>
      <c r="T630" s="1">
        <f>WORKDAY(B630,5)</f>
        <v>46198</v>
      </c>
      <c r="U630" t="b">
        <f>C630&gt;T630</f>
        <v>0</v>
      </c>
    </row>
    <row r="631" spans="1:21" x14ac:dyDescent="0.25">
      <c r="A631" t="s">
        <v>624</v>
      </c>
      <c r="B631" s="1">
        <v>46191</v>
      </c>
      <c r="C631" s="1">
        <v>46195</v>
      </c>
      <c r="D631" t="s">
        <v>438</v>
      </c>
      <c r="E631" t="s">
        <v>175</v>
      </c>
      <c r="F631" t="s">
        <v>76</v>
      </c>
      <c r="G631" t="s">
        <v>77</v>
      </c>
      <c r="H631" t="s">
        <v>50</v>
      </c>
      <c r="I631" s="2">
        <v>3</v>
      </c>
      <c r="J631" s="3">
        <v>69</v>
      </c>
      <c r="K631" s="4">
        <v>0.05</v>
      </c>
      <c r="L631" s="3">
        <v>196.65</v>
      </c>
      <c r="M631" t="b">
        <v>1</v>
      </c>
      <c r="N631" s="2">
        <f>YEAR(B631)</f>
        <v>2026</v>
      </c>
      <c r="O631" t="str">
        <f>INDEX(Agences!$C:$C,MATCH(F631,Agences!$A:$A,0))</f>
        <v>Île-de-France</v>
      </c>
      <c r="P631" t="str">
        <f>INDEX(Produits!$C:$C,MATCH(H631,Produits!$A:$A,0))</f>
        <v>Informatique</v>
      </c>
      <c r="Q631" s="3">
        <f>I631*INDEX(Produits!$E:$E,MATCH(H631,Produits!$A:$A,0))</f>
        <v>163.53</v>
      </c>
      <c r="R631" s="3">
        <f>L631-Q631</f>
        <v>33.120000000000005</v>
      </c>
      <c r="S631" s="2">
        <f>NETWORKDAYS(B631,C631)-1</f>
        <v>2</v>
      </c>
      <c r="T631" s="1">
        <f>WORKDAY(B631,5)</f>
        <v>46198</v>
      </c>
      <c r="U631" t="b">
        <f>C631&gt;T631</f>
        <v>0</v>
      </c>
    </row>
    <row r="632" spans="1:21" x14ac:dyDescent="0.25">
      <c r="A632" t="s">
        <v>624</v>
      </c>
      <c r="B632" s="1">
        <v>46191</v>
      </c>
      <c r="C632" s="1">
        <v>46195</v>
      </c>
      <c r="D632" t="s">
        <v>438</v>
      </c>
      <c r="E632" t="s">
        <v>175</v>
      </c>
      <c r="F632" t="s">
        <v>76</v>
      </c>
      <c r="G632" t="s">
        <v>77</v>
      </c>
      <c r="H632" t="s">
        <v>41</v>
      </c>
      <c r="I632" s="2">
        <v>1</v>
      </c>
      <c r="J632" s="3">
        <v>790</v>
      </c>
      <c r="K632" s="4">
        <v>0.1</v>
      </c>
      <c r="L632" s="3">
        <v>711</v>
      </c>
      <c r="M632" t="b">
        <v>1</v>
      </c>
      <c r="N632" s="2">
        <f>YEAR(B632)</f>
        <v>2026</v>
      </c>
      <c r="O632" t="str">
        <f>INDEX(Agences!$C:$C,MATCH(F632,Agences!$A:$A,0))</f>
        <v>Île-de-France</v>
      </c>
      <c r="P632" t="str">
        <f>INDEX(Produits!$C:$C,MATCH(H632,Produits!$A:$A,0))</f>
        <v>Informatique</v>
      </c>
      <c r="Q632" s="3">
        <f>I632*INDEX(Produits!$E:$E,MATCH(H632,Produits!$A:$A,0))</f>
        <v>576.7</v>
      </c>
      <c r="R632" s="3">
        <f>L632-Q632</f>
        <v>134.29999999999995</v>
      </c>
      <c r="S632" s="2">
        <f>NETWORKDAYS(B632,C632)-1</f>
        <v>2</v>
      </c>
      <c r="T632" s="1">
        <f>WORKDAY(B632,5)</f>
        <v>46198</v>
      </c>
      <c r="U632" t="b">
        <f>C632&gt;T632</f>
        <v>0</v>
      </c>
    </row>
    <row r="633" spans="1:21" x14ac:dyDescent="0.25">
      <c r="A633" t="s">
        <v>624</v>
      </c>
      <c r="B633" s="1">
        <v>46191</v>
      </c>
      <c r="C633" s="1">
        <v>46195</v>
      </c>
      <c r="D633" t="s">
        <v>438</v>
      </c>
      <c r="E633" t="s">
        <v>175</v>
      </c>
      <c r="F633" t="s">
        <v>76</v>
      </c>
      <c r="G633" t="s">
        <v>77</v>
      </c>
      <c r="H633" t="s">
        <v>108</v>
      </c>
      <c r="I633" s="2">
        <v>20</v>
      </c>
      <c r="J633" s="3">
        <v>24.5</v>
      </c>
      <c r="K633" s="4">
        <v>0</v>
      </c>
      <c r="L633" s="3">
        <v>490</v>
      </c>
      <c r="M633" t="b">
        <v>1</v>
      </c>
      <c r="N633" s="2">
        <f>YEAR(B633)</f>
        <v>2026</v>
      </c>
      <c r="O633" t="str">
        <f>INDEX(Agences!$C:$C,MATCH(F633,Agences!$A:$A,0))</f>
        <v>Île-de-France</v>
      </c>
      <c r="P633" t="str">
        <f>INDEX(Produits!$C:$C,MATCH(H633,Produits!$A:$A,0))</f>
        <v>Fournitures</v>
      </c>
      <c r="Q633" s="3">
        <f>I633*INDEX(Produits!$E:$E,MATCH(H633,Produits!$A:$A,0))</f>
        <v>294</v>
      </c>
      <c r="R633" s="3">
        <f>L633-Q633</f>
        <v>196</v>
      </c>
      <c r="S633" s="2">
        <f>NETWORKDAYS(B633,C633)-1</f>
        <v>2</v>
      </c>
      <c r="T633" s="1">
        <f>WORKDAY(B633,5)</f>
        <v>46198</v>
      </c>
      <c r="U633" t="b">
        <f>C633&gt;T633</f>
        <v>0</v>
      </c>
    </row>
    <row r="634" spans="1:21" x14ac:dyDescent="0.25">
      <c r="A634" t="s">
        <v>625</v>
      </c>
      <c r="B634" s="1">
        <v>46191</v>
      </c>
      <c r="C634" s="1">
        <v>46195</v>
      </c>
      <c r="D634" t="s">
        <v>486</v>
      </c>
      <c r="E634" t="s">
        <v>149</v>
      </c>
      <c r="F634" t="s">
        <v>88</v>
      </c>
      <c r="G634" t="s">
        <v>226</v>
      </c>
      <c r="H634" t="s">
        <v>51</v>
      </c>
      <c r="I634" s="2">
        <v>1</v>
      </c>
      <c r="J634" s="3">
        <v>180</v>
      </c>
      <c r="K634" s="4">
        <v>0.05</v>
      </c>
      <c r="L634" s="3">
        <v>171</v>
      </c>
      <c r="M634" t="b">
        <v>1</v>
      </c>
      <c r="N634" s="2">
        <f>YEAR(B634)</f>
        <v>2026</v>
      </c>
      <c r="O634" t="str">
        <f>INDEX(Agences!$C:$C,MATCH(F634,Agences!$A:$A,0))</f>
        <v>Sud-Ouest</v>
      </c>
      <c r="P634" t="str">
        <f>INDEX(Produits!$C:$C,MATCH(H634,Produits!$A:$A,0))</f>
        <v>Maintenance</v>
      </c>
      <c r="Q634" s="3">
        <f>I634*INDEX(Produits!$E:$E,MATCH(H634,Produits!$A:$A,0))</f>
        <v>82.8</v>
      </c>
      <c r="R634" s="3">
        <f>L634-Q634</f>
        <v>88.2</v>
      </c>
      <c r="S634" s="2">
        <f>NETWORKDAYS(B634,C634)-1</f>
        <v>2</v>
      </c>
      <c r="T634" s="1">
        <f>WORKDAY(B634,5)</f>
        <v>46198</v>
      </c>
      <c r="U634" t="b">
        <f>C634&gt;T634</f>
        <v>0</v>
      </c>
    </row>
    <row r="635" spans="1:21" x14ac:dyDescent="0.25">
      <c r="A635" t="s">
        <v>625</v>
      </c>
      <c r="B635" s="1">
        <v>46191</v>
      </c>
      <c r="C635" s="1">
        <v>46195</v>
      </c>
      <c r="D635" t="s">
        <v>486</v>
      </c>
      <c r="E635" t="s">
        <v>149</v>
      </c>
      <c r="F635" t="s">
        <v>88</v>
      </c>
      <c r="G635" t="s">
        <v>226</v>
      </c>
      <c r="H635" t="s">
        <v>49</v>
      </c>
      <c r="I635" s="2">
        <v>1</v>
      </c>
      <c r="J635" s="3">
        <v>120</v>
      </c>
      <c r="K635" s="4">
        <v>0.1</v>
      </c>
      <c r="L635" s="3">
        <v>108</v>
      </c>
      <c r="M635" t="b">
        <v>1</v>
      </c>
      <c r="N635" s="2">
        <f>YEAR(B635)</f>
        <v>2026</v>
      </c>
      <c r="O635" t="str">
        <f>INDEX(Agences!$C:$C,MATCH(F635,Agences!$A:$A,0))</f>
        <v>Sud-Ouest</v>
      </c>
      <c r="P635" t="str">
        <f>INDEX(Produits!$C:$C,MATCH(H635,Produits!$A:$A,0))</f>
        <v>Maintenance</v>
      </c>
      <c r="Q635" s="3">
        <f>I635*INDEX(Produits!$E:$E,MATCH(H635,Produits!$A:$A,0))</f>
        <v>55.2</v>
      </c>
      <c r="R635" s="3">
        <f>L635-Q635</f>
        <v>52.8</v>
      </c>
      <c r="S635" s="2">
        <f>NETWORKDAYS(B635,C635)-1</f>
        <v>2</v>
      </c>
      <c r="T635" s="1">
        <f>WORKDAY(B635,5)</f>
        <v>46198</v>
      </c>
      <c r="U635" t="b">
        <f>C635&gt;T635</f>
        <v>0</v>
      </c>
    </row>
    <row r="636" spans="1:21" x14ac:dyDescent="0.25">
      <c r="A636" t="s">
        <v>625</v>
      </c>
      <c r="B636" s="1">
        <v>46191</v>
      </c>
      <c r="C636" s="1">
        <v>46195</v>
      </c>
      <c r="D636" t="s">
        <v>486</v>
      </c>
      <c r="E636" t="s">
        <v>149</v>
      </c>
      <c r="F636" t="s">
        <v>88</v>
      </c>
      <c r="G636" t="s">
        <v>226</v>
      </c>
      <c r="H636" t="s">
        <v>123</v>
      </c>
      <c r="I636" s="2">
        <v>5</v>
      </c>
      <c r="J636" s="3">
        <v>39.9</v>
      </c>
      <c r="K636" s="4">
        <v>0.02</v>
      </c>
      <c r="L636" s="3">
        <v>195.51</v>
      </c>
      <c r="M636" t="b">
        <v>1</v>
      </c>
      <c r="N636" s="2">
        <f>YEAR(B636)</f>
        <v>2026</v>
      </c>
      <c r="O636" t="str">
        <f>INDEX(Agences!$C:$C,MATCH(F636,Agences!$A:$A,0))</f>
        <v>Sud-Ouest</v>
      </c>
      <c r="P636" t="str">
        <f>INDEX(Produits!$C:$C,MATCH(H636,Produits!$A:$A,0))</f>
        <v>Fournitures</v>
      </c>
      <c r="Q636" s="3">
        <f>I636*INDEX(Produits!$E:$E,MATCH(H636,Produits!$A:$A,0))</f>
        <v>111.7</v>
      </c>
      <c r="R636" s="3">
        <f>L636-Q636</f>
        <v>83.80999999999999</v>
      </c>
      <c r="S636" s="2">
        <f>NETWORKDAYS(B636,C636)-1</f>
        <v>2</v>
      </c>
      <c r="T636" s="1">
        <f>WORKDAY(B636,5)</f>
        <v>46198</v>
      </c>
      <c r="U636" t="b">
        <f>C636&gt;T636</f>
        <v>0</v>
      </c>
    </row>
    <row r="637" spans="1:21" x14ac:dyDescent="0.25">
      <c r="A637" t="s">
        <v>625</v>
      </c>
      <c r="B637" s="1">
        <v>46191</v>
      </c>
      <c r="C637" s="1">
        <v>46195</v>
      </c>
      <c r="D637" t="s">
        <v>486</v>
      </c>
      <c r="E637" t="s">
        <v>149</v>
      </c>
      <c r="F637" t="s">
        <v>88</v>
      </c>
      <c r="G637" t="s">
        <v>226</v>
      </c>
      <c r="H637" t="s">
        <v>50</v>
      </c>
      <c r="I637" s="2">
        <v>2</v>
      </c>
      <c r="J637" s="3">
        <v>69</v>
      </c>
      <c r="K637" s="4">
        <v>0</v>
      </c>
      <c r="L637" s="3">
        <v>138</v>
      </c>
      <c r="M637" t="b">
        <v>1</v>
      </c>
      <c r="N637" s="2">
        <f>YEAR(B637)</f>
        <v>2026</v>
      </c>
      <c r="O637" t="str">
        <f>INDEX(Agences!$C:$C,MATCH(F637,Agences!$A:$A,0))</f>
        <v>Sud-Ouest</v>
      </c>
      <c r="P637" t="str">
        <f>INDEX(Produits!$C:$C,MATCH(H637,Produits!$A:$A,0))</f>
        <v>Informatique</v>
      </c>
      <c r="Q637" s="3">
        <f>I637*INDEX(Produits!$E:$E,MATCH(H637,Produits!$A:$A,0))</f>
        <v>109.02</v>
      </c>
      <c r="R637" s="3">
        <f>L637-Q637</f>
        <v>28.980000000000004</v>
      </c>
      <c r="S637" s="2">
        <f>NETWORKDAYS(B637,C637)-1</f>
        <v>2</v>
      </c>
      <c r="T637" s="1">
        <f>WORKDAY(B637,5)</f>
        <v>46198</v>
      </c>
      <c r="U637" t="b">
        <f>C637&gt;T637</f>
        <v>0</v>
      </c>
    </row>
    <row r="638" spans="1:21" x14ac:dyDescent="0.25">
      <c r="A638" t="s">
        <v>626</v>
      </c>
      <c r="B638" s="1">
        <v>46191</v>
      </c>
      <c r="C638" s="1">
        <v>46192</v>
      </c>
      <c r="D638" t="s">
        <v>627</v>
      </c>
      <c r="E638" t="s">
        <v>242</v>
      </c>
      <c r="F638" t="s">
        <v>94</v>
      </c>
      <c r="G638" t="s">
        <v>95</v>
      </c>
      <c r="H638" t="s">
        <v>196</v>
      </c>
      <c r="I638" s="2">
        <v>5</v>
      </c>
      <c r="J638" s="3">
        <v>18.5</v>
      </c>
      <c r="K638" s="4">
        <v>0.1</v>
      </c>
      <c r="L638" s="3">
        <v>83.25</v>
      </c>
      <c r="M638" t="b">
        <v>1</v>
      </c>
      <c r="N638" s="2">
        <f>YEAR(B638)</f>
        <v>2026</v>
      </c>
      <c r="O638" t="str">
        <f>INDEX(Agences!$C:$C,MATCH(F638,Agences!$A:$A,0))</f>
        <v>Méditerranée</v>
      </c>
      <c r="P638" t="str">
        <f>INDEX(Produits!$C:$C,MATCH(H638,Produits!$A:$A,0))</f>
        <v>Fournitures</v>
      </c>
      <c r="Q638" s="3">
        <f>I638*INDEX(Produits!$E:$E,MATCH(H638,Produits!$A:$A,0))</f>
        <v>47.199999999999996</v>
      </c>
      <c r="R638" s="3">
        <f>L638-Q638</f>
        <v>36.050000000000004</v>
      </c>
      <c r="S638" s="2">
        <f>NETWORKDAYS(B638,C638)-1</f>
        <v>1</v>
      </c>
      <c r="T638" s="1">
        <f>WORKDAY(B638,5)</f>
        <v>46198</v>
      </c>
      <c r="U638" t="b">
        <f>C638&gt;T638</f>
        <v>0</v>
      </c>
    </row>
    <row r="639" spans="1:21" x14ac:dyDescent="0.25">
      <c r="A639" t="s">
        <v>626</v>
      </c>
      <c r="B639" s="1">
        <v>46191</v>
      </c>
      <c r="C639" s="1">
        <v>46192</v>
      </c>
      <c r="D639" t="s">
        <v>627</v>
      </c>
      <c r="E639" t="s">
        <v>242</v>
      </c>
      <c r="F639" t="s">
        <v>94</v>
      </c>
      <c r="G639" t="s">
        <v>95</v>
      </c>
      <c r="H639" t="s">
        <v>34</v>
      </c>
      <c r="I639" s="2">
        <v>4</v>
      </c>
      <c r="J639" s="3">
        <v>340</v>
      </c>
      <c r="K639" s="4">
        <v>0.1</v>
      </c>
      <c r="L639" s="3">
        <v>1224</v>
      </c>
      <c r="M639" t="b">
        <v>1</v>
      </c>
      <c r="N639" s="2">
        <f>YEAR(B639)</f>
        <v>2026</v>
      </c>
      <c r="O639" t="str">
        <f>INDEX(Agences!$C:$C,MATCH(F639,Agences!$A:$A,0))</f>
        <v>Méditerranée</v>
      </c>
      <c r="P639" t="str">
        <f>INDEX(Produits!$C:$C,MATCH(H639,Produits!$A:$A,0))</f>
        <v>Informatique</v>
      </c>
      <c r="Q639" s="3">
        <f>I639*INDEX(Produits!$E:$E,MATCH(H639,Produits!$A:$A,0))</f>
        <v>1101.6</v>
      </c>
      <c r="R639" s="3">
        <f>L639-Q639</f>
        <v>122.40000000000009</v>
      </c>
      <c r="S639" s="2">
        <f>NETWORKDAYS(B639,C639)-1</f>
        <v>1</v>
      </c>
      <c r="T639" s="1">
        <f>WORKDAY(B639,5)</f>
        <v>46198</v>
      </c>
      <c r="U639" t="b">
        <f>C639&gt;T639</f>
        <v>0</v>
      </c>
    </row>
    <row r="640" spans="1:21" x14ac:dyDescent="0.25">
      <c r="A640" t="s">
        <v>626</v>
      </c>
      <c r="B640" s="1">
        <v>46191</v>
      </c>
      <c r="C640" s="1">
        <v>46192</v>
      </c>
      <c r="D640" t="s">
        <v>627</v>
      </c>
      <c r="E640" t="s">
        <v>242</v>
      </c>
      <c r="F640" t="s">
        <v>94</v>
      </c>
      <c r="G640" t="s">
        <v>95</v>
      </c>
      <c r="H640" t="s">
        <v>107</v>
      </c>
      <c r="I640" s="2">
        <v>2</v>
      </c>
      <c r="J640" s="3">
        <v>99</v>
      </c>
      <c r="K640" s="4">
        <v>0</v>
      </c>
      <c r="L640" s="3">
        <v>198</v>
      </c>
      <c r="M640" t="b">
        <v>1</v>
      </c>
      <c r="N640" s="2">
        <f>YEAR(B640)</f>
        <v>2026</v>
      </c>
      <c r="O640" t="str">
        <f>INDEX(Agences!$C:$C,MATCH(F640,Agences!$A:$A,0))</f>
        <v>Méditerranée</v>
      </c>
      <c r="P640" t="str">
        <f>INDEX(Produits!$C:$C,MATCH(H640,Produits!$A:$A,0))</f>
        <v>Informatique</v>
      </c>
      <c r="Q640" s="3">
        <f>I640*INDEX(Produits!$E:$E,MATCH(H640,Produits!$A:$A,0))</f>
        <v>150.48</v>
      </c>
      <c r="R640" s="3">
        <f>L640-Q640</f>
        <v>47.52000000000001</v>
      </c>
      <c r="S640" s="2">
        <f>NETWORKDAYS(B640,C640)-1</f>
        <v>1</v>
      </c>
      <c r="T640" s="1">
        <f>WORKDAY(B640,5)</f>
        <v>46198</v>
      </c>
      <c r="U640" t="b">
        <f>C640&gt;T640</f>
        <v>0</v>
      </c>
    </row>
    <row r="641" spans="1:21" x14ac:dyDescent="0.25">
      <c r="A641" t="s">
        <v>626</v>
      </c>
      <c r="B641" s="1">
        <v>46191</v>
      </c>
      <c r="C641" s="1">
        <v>46192</v>
      </c>
      <c r="D641" t="s">
        <v>627</v>
      </c>
      <c r="E641" t="s">
        <v>242</v>
      </c>
      <c r="F641" t="s">
        <v>94</v>
      </c>
      <c r="G641" t="s">
        <v>95</v>
      </c>
      <c r="H641" t="s">
        <v>57</v>
      </c>
      <c r="I641" s="2">
        <v>1</v>
      </c>
      <c r="J641" s="3">
        <v>149</v>
      </c>
      <c r="K641" s="4">
        <v>0.08</v>
      </c>
      <c r="L641" s="3">
        <v>137.08</v>
      </c>
      <c r="M641" t="b">
        <v>1</v>
      </c>
      <c r="N641" s="2">
        <f>YEAR(B641)</f>
        <v>2026</v>
      </c>
      <c r="O641" t="str">
        <f>INDEX(Agences!$C:$C,MATCH(F641,Agences!$A:$A,0))</f>
        <v>Méditerranée</v>
      </c>
      <c r="P641" t="str">
        <f>INDEX(Produits!$C:$C,MATCH(H641,Produits!$A:$A,0))</f>
        <v>Informatique</v>
      </c>
      <c r="Q641" s="3">
        <f>I641*INDEX(Produits!$E:$E,MATCH(H641,Produits!$A:$A,0))</f>
        <v>114.73</v>
      </c>
      <c r="R641" s="3">
        <f>L641-Q641</f>
        <v>22.35000000000001</v>
      </c>
      <c r="S641" s="2">
        <f>NETWORKDAYS(B641,C641)-1</f>
        <v>1</v>
      </c>
      <c r="T641" s="1">
        <f>WORKDAY(B641,5)</f>
        <v>46198</v>
      </c>
      <c r="U641" t="b">
        <f>C641&gt;T641</f>
        <v>0</v>
      </c>
    </row>
    <row r="642" spans="1:21" x14ac:dyDescent="0.25">
      <c r="A642" t="s">
        <v>626</v>
      </c>
      <c r="B642" s="1">
        <v>46191</v>
      </c>
      <c r="C642" s="1">
        <v>46192</v>
      </c>
      <c r="D642" t="s">
        <v>627</v>
      </c>
      <c r="E642" t="s">
        <v>242</v>
      </c>
      <c r="F642" t="s">
        <v>94</v>
      </c>
      <c r="G642" t="s">
        <v>95</v>
      </c>
      <c r="H642" t="s">
        <v>103</v>
      </c>
      <c r="I642" s="2">
        <v>1</v>
      </c>
      <c r="J642" s="3">
        <v>245</v>
      </c>
      <c r="K642" s="4">
        <v>0</v>
      </c>
      <c r="L642" s="3">
        <v>245</v>
      </c>
      <c r="M642" t="b">
        <v>1</v>
      </c>
      <c r="N642" s="2">
        <f>YEAR(B642)</f>
        <v>2026</v>
      </c>
      <c r="O642" t="str">
        <f>INDEX(Agences!$C:$C,MATCH(F642,Agences!$A:$A,0))</f>
        <v>Méditerranée</v>
      </c>
      <c r="P642" t="str">
        <f>INDEX(Produits!$C:$C,MATCH(H642,Produits!$A:$A,0))</f>
        <v>Mobilier</v>
      </c>
      <c r="Q642" s="3">
        <f>I642*INDEX(Produits!$E:$E,MATCH(H642,Produits!$A:$A,0))</f>
        <v>164.15</v>
      </c>
      <c r="R642" s="3">
        <f>L642-Q642</f>
        <v>80.85</v>
      </c>
      <c r="S642" s="2">
        <f>NETWORKDAYS(B642,C642)-1</f>
        <v>1</v>
      </c>
      <c r="T642" s="1">
        <f>WORKDAY(B642,5)</f>
        <v>46198</v>
      </c>
      <c r="U642" t="b">
        <f>C642&gt;T642</f>
        <v>0</v>
      </c>
    </row>
    <row r="643" spans="1:21" x14ac:dyDescent="0.25">
      <c r="A643" t="s">
        <v>628</v>
      </c>
      <c r="B643" s="1">
        <v>46190</v>
      </c>
      <c r="C643" s="1">
        <v>46192</v>
      </c>
      <c r="D643" t="s">
        <v>629</v>
      </c>
      <c r="E643" t="s">
        <v>119</v>
      </c>
      <c r="F643" t="s">
        <v>24</v>
      </c>
      <c r="G643" t="s">
        <v>25</v>
      </c>
      <c r="H643" t="s">
        <v>50</v>
      </c>
      <c r="I643" s="2">
        <v>2</v>
      </c>
      <c r="J643" s="3">
        <v>69</v>
      </c>
      <c r="K643" s="4">
        <v>0.02</v>
      </c>
      <c r="L643" s="3">
        <v>135.24</v>
      </c>
      <c r="M643" t="b">
        <v>1</v>
      </c>
      <c r="N643" s="2">
        <f>YEAR(B643)</f>
        <v>2026</v>
      </c>
      <c r="O643" t="str">
        <f>INDEX(Agences!$C:$C,MATCH(F643,Agences!$A:$A,0))</f>
        <v>Nord</v>
      </c>
      <c r="P643" t="str">
        <f>INDEX(Produits!$C:$C,MATCH(H643,Produits!$A:$A,0))</f>
        <v>Informatique</v>
      </c>
      <c r="Q643" s="3">
        <f>I643*INDEX(Produits!$E:$E,MATCH(H643,Produits!$A:$A,0))</f>
        <v>109.02</v>
      </c>
      <c r="R643" s="3">
        <f>L643-Q643</f>
        <v>26.220000000000013</v>
      </c>
      <c r="S643" s="2">
        <f>NETWORKDAYS(B643,C643)-1</f>
        <v>2</v>
      </c>
      <c r="T643" s="1">
        <f>WORKDAY(B643,5)</f>
        <v>46197</v>
      </c>
      <c r="U643" t="b">
        <f>C643&gt;T643</f>
        <v>0</v>
      </c>
    </row>
    <row r="644" spans="1:21" x14ac:dyDescent="0.25">
      <c r="A644" t="s">
        <v>628</v>
      </c>
      <c r="B644" s="1">
        <v>46190</v>
      </c>
      <c r="C644" s="1">
        <v>46192</v>
      </c>
      <c r="D644" t="s">
        <v>629</v>
      </c>
      <c r="E644" t="s">
        <v>119</v>
      </c>
      <c r="F644" t="s">
        <v>24</v>
      </c>
      <c r="G644" t="s">
        <v>25</v>
      </c>
      <c r="H644" t="s">
        <v>107</v>
      </c>
      <c r="I644" s="2">
        <v>1</v>
      </c>
      <c r="J644" s="3">
        <v>99</v>
      </c>
      <c r="K644" s="4">
        <v>0.02</v>
      </c>
      <c r="L644" s="3">
        <v>97.02</v>
      </c>
      <c r="M644" t="b">
        <v>1</v>
      </c>
      <c r="N644" s="2">
        <f>YEAR(B644)</f>
        <v>2026</v>
      </c>
      <c r="O644" t="str">
        <f>INDEX(Agences!$C:$C,MATCH(F644,Agences!$A:$A,0))</f>
        <v>Nord</v>
      </c>
      <c r="P644" t="str">
        <f>INDEX(Produits!$C:$C,MATCH(H644,Produits!$A:$A,0))</f>
        <v>Informatique</v>
      </c>
      <c r="Q644" s="3">
        <f>I644*INDEX(Produits!$E:$E,MATCH(H644,Produits!$A:$A,0))</f>
        <v>75.24</v>
      </c>
      <c r="R644" s="3">
        <f>L644-Q644</f>
        <v>21.78</v>
      </c>
      <c r="S644" s="2">
        <f>NETWORKDAYS(B644,C644)-1</f>
        <v>2</v>
      </c>
      <c r="T644" s="1">
        <f>WORKDAY(B644,5)</f>
        <v>46197</v>
      </c>
      <c r="U644" t="b">
        <f>C644&gt;T644</f>
        <v>0</v>
      </c>
    </row>
    <row r="645" spans="1:21" x14ac:dyDescent="0.25">
      <c r="A645" t="s">
        <v>628</v>
      </c>
      <c r="B645" s="1">
        <v>46190</v>
      </c>
      <c r="C645" s="1">
        <v>46192</v>
      </c>
      <c r="D645" t="s">
        <v>629</v>
      </c>
      <c r="E645" t="s">
        <v>119</v>
      </c>
      <c r="F645" t="s">
        <v>24</v>
      </c>
      <c r="G645" t="s">
        <v>25</v>
      </c>
      <c r="H645" t="s">
        <v>79</v>
      </c>
      <c r="I645" s="2">
        <v>5</v>
      </c>
      <c r="J645" s="3">
        <v>14.9</v>
      </c>
      <c r="K645" s="4">
        <v>0.08</v>
      </c>
      <c r="L645" s="3">
        <v>68.54</v>
      </c>
      <c r="M645" t="b">
        <v>1</v>
      </c>
      <c r="N645" s="2">
        <f>YEAR(B645)</f>
        <v>2026</v>
      </c>
      <c r="O645" t="str">
        <f>INDEX(Agences!$C:$C,MATCH(F645,Agences!$A:$A,0))</f>
        <v>Nord</v>
      </c>
      <c r="P645" t="str">
        <f>INDEX(Produits!$C:$C,MATCH(H645,Produits!$A:$A,0))</f>
        <v>Fournitures</v>
      </c>
      <c r="Q645" s="3">
        <f>I645*INDEX(Produits!$E:$E,MATCH(H645,Produits!$A:$A,0))</f>
        <v>40.25</v>
      </c>
      <c r="R645" s="3">
        <f>L645-Q645</f>
        <v>28.290000000000006</v>
      </c>
      <c r="S645" s="2">
        <f>NETWORKDAYS(B645,C645)-1</f>
        <v>2</v>
      </c>
      <c r="T645" s="1">
        <f>WORKDAY(B645,5)</f>
        <v>46197</v>
      </c>
      <c r="U645" t="b">
        <f>C645&gt;T645</f>
        <v>0</v>
      </c>
    </row>
    <row r="646" spans="1:21" x14ac:dyDescent="0.25">
      <c r="A646" t="s">
        <v>628</v>
      </c>
      <c r="B646" s="1">
        <v>46190</v>
      </c>
      <c r="C646" s="1">
        <v>46192</v>
      </c>
      <c r="D646" t="s">
        <v>629</v>
      </c>
      <c r="E646" t="s">
        <v>119</v>
      </c>
      <c r="F646" t="s">
        <v>24</v>
      </c>
      <c r="G646" t="s">
        <v>25</v>
      </c>
      <c r="H646" t="s">
        <v>42</v>
      </c>
      <c r="I646" s="2">
        <v>2</v>
      </c>
      <c r="J646" s="3">
        <v>55</v>
      </c>
      <c r="K646" s="4">
        <v>0</v>
      </c>
      <c r="L646" s="3">
        <v>110</v>
      </c>
      <c r="M646" t="b">
        <v>1</v>
      </c>
      <c r="N646" s="2">
        <f>YEAR(B646)</f>
        <v>2026</v>
      </c>
      <c r="O646" t="str">
        <f>INDEX(Agences!$C:$C,MATCH(F646,Agences!$A:$A,0))</f>
        <v>Nord</v>
      </c>
      <c r="P646" t="str">
        <f>INDEX(Produits!$C:$C,MATCH(H646,Produits!$A:$A,0))</f>
        <v>Maintenance</v>
      </c>
      <c r="Q646" s="3">
        <f>I646*INDEX(Produits!$E:$E,MATCH(H646,Produits!$A:$A,0))</f>
        <v>49.5</v>
      </c>
      <c r="R646" s="3">
        <f>L646-Q646</f>
        <v>60.5</v>
      </c>
      <c r="S646" s="2">
        <f>NETWORKDAYS(B646,C646)-1</f>
        <v>2</v>
      </c>
      <c r="T646" s="1">
        <f>WORKDAY(B646,5)</f>
        <v>46197</v>
      </c>
      <c r="U646" t="b">
        <f>C646&gt;T646</f>
        <v>0</v>
      </c>
    </row>
    <row r="647" spans="1:21" x14ac:dyDescent="0.25">
      <c r="A647" t="s">
        <v>630</v>
      </c>
      <c r="B647" s="1">
        <v>46190</v>
      </c>
      <c r="C647" s="1">
        <v>46191</v>
      </c>
      <c r="D647" t="s">
        <v>198</v>
      </c>
      <c r="E647" t="s">
        <v>122</v>
      </c>
      <c r="F647" t="s">
        <v>24</v>
      </c>
      <c r="G647" t="s">
        <v>25</v>
      </c>
      <c r="H647" t="s">
        <v>107</v>
      </c>
      <c r="I647" s="2">
        <v>2</v>
      </c>
      <c r="J647" s="3">
        <v>99</v>
      </c>
      <c r="K647" s="4">
        <v>0.02</v>
      </c>
      <c r="L647" s="3">
        <v>194.04</v>
      </c>
      <c r="M647" t="b">
        <v>1</v>
      </c>
      <c r="N647" s="2">
        <f>YEAR(B647)</f>
        <v>2026</v>
      </c>
      <c r="O647" t="str">
        <f>INDEX(Agences!$C:$C,MATCH(F647,Agences!$A:$A,0))</f>
        <v>Nord</v>
      </c>
      <c r="P647" t="str">
        <f>INDEX(Produits!$C:$C,MATCH(H647,Produits!$A:$A,0))</f>
        <v>Informatique</v>
      </c>
      <c r="Q647" s="3">
        <f>I647*INDEX(Produits!$E:$E,MATCH(H647,Produits!$A:$A,0))</f>
        <v>150.48</v>
      </c>
      <c r="R647" s="3">
        <f>L647-Q647</f>
        <v>43.56</v>
      </c>
      <c r="S647" s="2">
        <f>NETWORKDAYS(B647,C647)-1</f>
        <v>1</v>
      </c>
      <c r="T647" s="1">
        <f>WORKDAY(B647,5)</f>
        <v>46197</v>
      </c>
      <c r="U647" t="b">
        <f>C647&gt;T647</f>
        <v>0</v>
      </c>
    </row>
    <row r="648" spans="1:21" x14ac:dyDescent="0.25">
      <c r="A648" t="s">
        <v>631</v>
      </c>
      <c r="B648" s="1">
        <v>46190</v>
      </c>
      <c r="C648" s="1">
        <v>46195</v>
      </c>
      <c r="D648" t="s">
        <v>581</v>
      </c>
      <c r="E648" t="s">
        <v>75</v>
      </c>
      <c r="F648" t="s">
        <v>76</v>
      </c>
      <c r="G648" t="s">
        <v>176</v>
      </c>
      <c r="H648" t="s">
        <v>51</v>
      </c>
      <c r="I648" s="2">
        <v>3</v>
      </c>
      <c r="J648" s="3">
        <v>180</v>
      </c>
      <c r="K648" s="4">
        <v>0</v>
      </c>
      <c r="L648" s="3">
        <v>540</v>
      </c>
      <c r="M648" t="b">
        <v>1</v>
      </c>
      <c r="N648" s="2">
        <f>YEAR(B648)</f>
        <v>2026</v>
      </c>
      <c r="O648" t="str">
        <f>INDEX(Agences!$C:$C,MATCH(F648,Agences!$A:$A,0))</f>
        <v>Île-de-France</v>
      </c>
      <c r="P648" t="str">
        <f>INDEX(Produits!$C:$C,MATCH(H648,Produits!$A:$A,0))</f>
        <v>Maintenance</v>
      </c>
      <c r="Q648" s="3">
        <f>I648*INDEX(Produits!$E:$E,MATCH(H648,Produits!$A:$A,0))</f>
        <v>248.39999999999998</v>
      </c>
      <c r="R648" s="3">
        <f>L648-Q648</f>
        <v>291.6</v>
      </c>
      <c r="S648" s="2">
        <f>NETWORKDAYS(B648,C648)-1</f>
        <v>3</v>
      </c>
      <c r="T648" s="1">
        <f>WORKDAY(B648,5)</f>
        <v>46197</v>
      </c>
      <c r="U648" t="b">
        <f>C648&gt;T648</f>
        <v>0</v>
      </c>
    </row>
    <row r="649" spans="1:21" x14ac:dyDescent="0.25">
      <c r="A649" t="s">
        <v>632</v>
      </c>
      <c r="B649" s="1">
        <v>46190</v>
      </c>
      <c r="C649" s="1">
        <v>46191</v>
      </c>
      <c r="D649" t="s">
        <v>184</v>
      </c>
      <c r="E649" t="s">
        <v>185</v>
      </c>
      <c r="F649" t="s">
        <v>31</v>
      </c>
      <c r="G649" t="s">
        <v>375</v>
      </c>
      <c r="H649" t="s">
        <v>26</v>
      </c>
      <c r="I649" s="2">
        <v>1</v>
      </c>
      <c r="J649" s="3">
        <v>290</v>
      </c>
      <c r="K649" s="4">
        <v>0.02</v>
      </c>
      <c r="L649" s="3">
        <v>284.2</v>
      </c>
      <c r="M649" t="b">
        <v>1</v>
      </c>
      <c r="N649" s="2">
        <f>YEAR(B649)</f>
        <v>2026</v>
      </c>
      <c r="O649" t="str">
        <f>INDEX(Agences!$C:$C,MATCH(F649,Agences!$A:$A,0))</f>
        <v>Ouest</v>
      </c>
      <c r="P649" t="str">
        <f>INDEX(Produits!$C:$C,MATCH(H649,Produits!$A:$A,0))</f>
        <v>Maintenance</v>
      </c>
      <c r="Q649" s="3">
        <f>I649*INDEX(Produits!$E:$E,MATCH(H649,Produits!$A:$A,0))</f>
        <v>139.2</v>
      </c>
      <c r="R649" s="3">
        <f>L649-Q649</f>
        <v>145</v>
      </c>
      <c r="S649" s="2">
        <f>NETWORKDAYS(B649,C649)-1</f>
        <v>1</v>
      </c>
      <c r="T649" s="1">
        <f>WORKDAY(B649,5)</f>
        <v>46197</v>
      </c>
      <c r="U649" t="b">
        <f>C649&gt;T649</f>
        <v>0</v>
      </c>
    </row>
    <row r="650" spans="1:21" x14ac:dyDescent="0.25">
      <c r="A650" t="s">
        <v>633</v>
      </c>
      <c r="B650" s="1">
        <v>46188</v>
      </c>
      <c r="C650" s="1">
        <v>46190</v>
      </c>
      <c r="D650" t="s">
        <v>634</v>
      </c>
      <c r="E650" t="s">
        <v>23</v>
      </c>
      <c r="F650" t="s">
        <v>24</v>
      </c>
      <c r="G650" t="s">
        <v>25</v>
      </c>
      <c r="H650" t="s">
        <v>319</v>
      </c>
      <c r="I650" s="2">
        <v>1</v>
      </c>
      <c r="J650" s="3">
        <v>289</v>
      </c>
      <c r="K650" s="4">
        <v>0.02</v>
      </c>
      <c r="L650" s="3">
        <v>283.22</v>
      </c>
      <c r="M650" t="b">
        <v>1</v>
      </c>
      <c r="N650" s="2">
        <f>YEAR(B650)</f>
        <v>2026</v>
      </c>
      <c r="O650" t="str">
        <f>INDEX(Agences!$C:$C,MATCH(F650,Agences!$A:$A,0))</f>
        <v>Nord</v>
      </c>
      <c r="P650" t="str">
        <f>INDEX(Produits!$C:$C,MATCH(H650,Produits!$A:$A,0))</f>
        <v>Informatique</v>
      </c>
      <c r="Q650" s="3">
        <f>I650*INDEX(Produits!$E:$E,MATCH(H650,Produits!$A:$A,0))</f>
        <v>213.86</v>
      </c>
      <c r="R650" s="3">
        <f>L650-Q650</f>
        <v>69.36000000000001</v>
      </c>
      <c r="S650" s="2">
        <f>NETWORKDAYS(B650,C650)-1</f>
        <v>2</v>
      </c>
      <c r="T650" s="1">
        <f>WORKDAY(B650,5)</f>
        <v>46195</v>
      </c>
      <c r="U650" t="b">
        <f>C650&gt;T650</f>
        <v>0</v>
      </c>
    </row>
    <row r="651" spans="1:21" x14ac:dyDescent="0.25">
      <c r="A651" t="s">
        <v>633</v>
      </c>
      <c r="B651" s="1">
        <v>46188</v>
      </c>
      <c r="C651" s="1">
        <v>46190</v>
      </c>
      <c r="D651" t="s">
        <v>634</v>
      </c>
      <c r="E651" t="s">
        <v>23</v>
      </c>
      <c r="F651" t="s">
        <v>24</v>
      </c>
      <c r="G651" t="s">
        <v>25</v>
      </c>
      <c r="H651" t="s">
        <v>83</v>
      </c>
      <c r="I651" s="2">
        <v>1</v>
      </c>
      <c r="J651" s="3">
        <v>49</v>
      </c>
      <c r="K651" s="4">
        <v>0.05</v>
      </c>
      <c r="L651" s="3">
        <v>46.55</v>
      </c>
      <c r="M651" t="b">
        <v>1</v>
      </c>
      <c r="N651" s="2">
        <f>YEAR(B651)</f>
        <v>2026</v>
      </c>
      <c r="O651" t="str">
        <f>INDEX(Agences!$C:$C,MATCH(F651,Agences!$A:$A,0))</f>
        <v>Nord</v>
      </c>
      <c r="P651" t="str">
        <f>INDEX(Produits!$C:$C,MATCH(H651,Produits!$A:$A,0))</f>
        <v>Mobilier</v>
      </c>
      <c r="Q651" s="3">
        <f>I651*INDEX(Produits!$E:$E,MATCH(H651,Produits!$A:$A,0))</f>
        <v>28.42</v>
      </c>
      <c r="R651" s="3">
        <f>L651-Q651</f>
        <v>18.129999999999995</v>
      </c>
      <c r="S651" s="2">
        <f>NETWORKDAYS(B651,C651)-1</f>
        <v>2</v>
      </c>
      <c r="T651" s="1">
        <f>WORKDAY(B651,5)</f>
        <v>46195</v>
      </c>
      <c r="U651" t="b">
        <f>C651&gt;T651</f>
        <v>0</v>
      </c>
    </row>
    <row r="652" spans="1:21" x14ac:dyDescent="0.25">
      <c r="A652" t="s">
        <v>633</v>
      </c>
      <c r="B652" s="1">
        <v>46188</v>
      </c>
      <c r="C652" s="1">
        <v>46190</v>
      </c>
      <c r="D652" t="s">
        <v>634</v>
      </c>
      <c r="E652" t="s">
        <v>23</v>
      </c>
      <c r="F652" t="s">
        <v>24</v>
      </c>
      <c r="G652" t="s">
        <v>25</v>
      </c>
      <c r="H652" t="s">
        <v>103</v>
      </c>
      <c r="I652" s="2">
        <v>3</v>
      </c>
      <c r="J652" s="3">
        <v>245</v>
      </c>
      <c r="K652" s="4">
        <v>0.08</v>
      </c>
      <c r="L652" s="3">
        <v>676.2</v>
      </c>
      <c r="M652" t="b">
        <v>1</v>
      </c>
      <c r="N652" s="2">
        <f>YEAR(B652)</f>
        <v>2026</v>
      </c>
      <c r="O652" t="str">
        <f>INDEX(Agences!$C:$C,MATCH(F652,Agences!$A:$A,0))</f>
        <v>Nord</v>
      </c>
      <c r="P652" t="str">
        <f>INDEX(Produits!$C:$C,MATCH(H652,Produits!$A:$A,0))</f>
        <v>Mobilier</v>
      </c>
      <c r="Q652" s="3">
        <f>I652*INDEX(Produits!$E:$E,MATCH(H652,Produits!$A:$A,0))</f>
        <v>492.45000000000005</v>
      </c>
      <c r="R652" s="3">
        <f>L652-Q652</f>
        <v>183.75</v>
      </c>
      <c r="S652" s="2">
        <f>NETWORKDAYS(B652,C652)-1</f>
        <v>2</v>
      </c>
      <c r="T652" s="1">
        <f>WORKDAY(B652,5)</f>
        <v>46195</v>
      </c>
      <c r="U652" t="b">
        <f>C652&gt;T652</f>
        <v>0</v>
      </c>
    </row>
    <row r="653" spans="1:21" x14ac:dyDescent="0.25">
      <c r="A653" t="s">
        <v>635</v>
      </c>
      <c r="B653" s="1">
        <v>46188</v>
      </c>
      <c r="C653" s="1">
        <v>46190</v>
      </c>
      <c r="D653" t="s">
        <v>488</v>
      </c>
      <c r="E653" t="s">
        <v>333</v>
      </c>
      <c r="F653" t="s">
        <v>138</v>
      </c>
      <c r="G653" t="s">
        <v>220</v>
      </c>
      <c r="H653" t="s">
        <v>48</v>
      </c>
      <c r="I653" s="2">
        <v>4</v>
      </c>
      <c r="J653" s="3">
        <v>165</v>
      </c>
      <c r="K653" s="4">
        <v>0.05</v>
      </c>
      <c r="L653" s="3">
        <v>627</v>
      </c>
      <c r="M653" t="b">
        <v>1</v>
      </c>
      <c r="N653" s="2">
        <f>YEAR(B653)</f>
        <v>2026</v>
      </c>
      <c r="O653" t="str">
        <f>INDEX(Agences!$C:$C,MATCH(F653,Agences!$A:$A,0))</f>
        <v>Île-de-France</v>
      </c>
      <c r="P653" t="str">
        <f>INDEX(Produits!$C:$C,MATCH(H653,Produits!$A:$A,0))</f>
        <v>Mobilier</v>
      </c>
      <c r="Q653" s="3">
        <f>I653*INDEX(Produits!$E:$E,MATCH(H653,Produits!$A:$A,0))</f>
        <v>429</v>
      </c>
      <c r="R653" s="3">
        <f>L653-Q653</f>
        <v>198</v>
      </c>
      <c r="S653" s="2">
        <f>NETWORKDAYS(B653,C653)-1</f>
        <v>2</v>
      </c>
      <c r="T653" s="1">
        <f>WORKDAY(B653,5)</f>
        <v>46195</v>
      </c>
      <c r="U653" t="b">
        <f>C653&gt;T653</f>
        <v>0</v>
      </c>
    </row>
    <row r="654" spans="1:21" x14ac:dyDescent="0.25">
      <c r="A654" t="s">
        <v>635</v>
      </c>
      <c r="B654" s="1">
        <v>46188</v>
      </c>
      <c r="C654" s="1">
        <v>46190</v>
      </c>
      <c r="D654" t="s">
        <v>488</v>
      </c>
      <c r="E654" t="s">
        <v>333</v>
      </c>
      <c r="F654" t="s">
        <v>138</v>
      </c>
      <c r="G654" t="s">
        <v>220</v>
      </c>
      <c r="H654" t="s">
        <v>196</v>
      </c>
      <c r="I654" s="2">
        <v>15</v>
      </c>
      <c r="J654" s="3">
        <v>18.5</v>
      </c>
      <c r="K654" s="4">
        <v>0</v>
      </c>
      <c r="L654" s="3">
        <v>277.5</v>
      </c>
      <c r="M654" t="b">
        <v>1</v>
      </c>
      <c r="N654" s="2">
        <f>YEAR(B654)</f>
        <v>2026</v>
      </c>
      <c r="O654" t="str">
        <f>INDEX(Agences!$C:$C,MATCH(F654,Agences!$A:$A,0))</f>
        <v>Île-de-France</v>
      </c>
      <c r="P654" t="str">
        <f>INDEX(Produits!$C:$C,MATCH(H654,Produits!$A:$A,0))</f>
        <v>Fournitures</v>
      </c>
      <c r="Q654" s="3">
        <f>I654*INDEX(Produits!$E:$E,MATCH(H654,Produits!$A:$A,0))</f>
        <v>141.6</v>
      </c>
      <c r="R654" s="3">
        <f>L654-Q654</f>
        <v>135.9</v>
      </c>
      <c r="S654" s="2">
        <f>NETWORKDAYS(B654,C654)-1</f>
        <v>2</v>
      </c>
      <c r="T654" s="1">
        <f>WORKDAY(B654,5)</f>
        <v>46195</v>
      </c>
      <c r="U654" t="b">
        <f>C654&gt;T654</f>
        <v>0</v>
      </c>
    </row>
    <row r="655" spans="1:21" x14ac:dyDescent="0.25">
      <c r="A655" t="s">
        <v>635</v>
      </c>
      <c r="B655" s="1">
        <v>46188</v>
      </c>
      <c r="C655" s="1">
        <v>46190</v>
      </c>
      <c r="D655" t="s">
        <v>488</v>
      </c>
      <c r="E655" t="s">
        <v>333</v>
      </c>
      <c r="F655" t="s">
        <v>138</v>
      </c>
      <c r="G655" t="s">
        <v>220</v>
      </c>
      <c r="H655" t="s">
        <v>49</v>
      </c>
      <c r="I655" s="2">
        <v>1</v>
      </c>
      <c r="J655" s="3">
        <v>120</v>
      </c>
      <c r="K655" s="4">
        <v>0.05</v>
      </c>
      <c r="L655" s="3">
        <v>114</v>
      </c>
      <c r="M655" t="b">
        <v>1</v>
      </c>
      <c r="N655" s="2">
        <f>YEAR(B655)</f>
        <v>2026</v>
      </c>
      <c r="O655" t="str">
        <f>INDEX(Agences!$C:$C,MATCH(F655,Agences!$A:$A,0))</f>
        <v>Île-de-France</v>
      </c>
      <c r="P655" t="str">
        <f>INDEX(Produits!$C:$C,MATCH(H655,Produits!$A:$A,0))</f>
        <v>Maintenance</v>
      </c>
      <c r="Q655" s="3">
        <f>I655*INDEX(Produits!$E:$E,MATCH(H655,Produits!$A:$A,0))</f>
        <v>55.2</v>
      </c>
      <c r="R655" s="3">
        <f>L655-Q655</f>
        <v>58.8</v>
      </c>
      <c r="S655" s="2">
        <f>NETWORKDAYS(B655,C655)-1</f>
        <v>2</v>
      </c>
      <c r="T655" s="1">
        <f>WORKDAY(B655,5)</f>
        <v>46195</v>
      </c>
      <c r="U655" t="b">
        <f>C655&gt;T655</f>
        <v>0</v>
      </c>
    </row>
    <row r="656" spans="1:21" x14ac:dyDescent="0.25">
      <c r="A656" t="s">
        <v>636</v>
      </c>
      <c r="B656" s="1">
        <v>46188</v>
      </c>
      <c r="C656" s="1">
        <v>46191</v>
      </c>
      <c r="D656" t="s">
        <v>637</v>
      </c>
      <c r="E656" t="s">
        <v>336</v>
      </c>
      <c r="F656" t="s">
        <v>166</v>
      </c>
      <c r="G656" t="s">
        <v>248</v>
      </c>
      <c r="H656" t="s">
        <v>48</v>
      </c>
      <c r="I656" s="2">
        <v>1</v>
      </c>
      <c r="J656" s="3">
        <v>165</v>
      </c>
      <c r="K656" s="4">
        <v>0.05</v>
      </c>
      <c r="L656" s="3">
        <v>156.75</v>
      </c>
      <c r="M656" t="b">
        <v>1</v>
      </c>
      <c r="N656" s="2">
        <f>YEAR(B656)</f>
        <v>2026</v>
      </c>
      <c r="O656" t="str">
        <f>INDEX(Agences!$C:$C,MATCH(F656,Agences!$A:$A,0))</f>
        <v>Ouest</v>
      </c>
      <c r="P656" t="str">
        <f>INDEX(Produits!$C:$C,MATCH(H656,Produits!$A:$A,0))</f>
        <v>Mobilier</v>
      </c>
      <c r="Q656" s="3">
        <f>I656*INDEX(Produits!$E:$E,MATCH(H656,Produits!$A:$A,0))</f>
        <v>107.25</v>
      </c>
      <c r="R656" s="3">
        <f>L656-Q656</f>
        <v>49.5</v>
      </c>
      <c r="S656" s="2">
        <f>NETWORKDAYS(B656,C656)-1</f>
        <v>3</v>
      </c>
      <c r="T656" s="1">
        <f>WORKDAY(B656,5)</f>
        <v>46195</v>
      </c>
      <c r="U656" t="b">
        <f>C656&gt;T656</f>
        <v>0</v>
      </c>
    </row>
    <row r="657" spans="1:21" x14ac:dyDescent="0.25">
      <c r="A657" t="s">
        <v>638</v>
      </c>
      <c r="B657" s="1">
        <v>46188</v>
      </c>
      <c r="C657" s="1">
        <v>46192</v>
      </c>
      <c r="D657" t="s">
        <v>639</v>
      </c>
      <c r="E657" t="s">
        <v>374</v>
      </c>
      <c r="F657" t="s">
        <v>31</v>
      </c>
      <c r="G657" t="s">
        <v>375</v>
      </c>
      <c r="H657" t="s">
        <v>196</v>
      </c>
      <c r="I657" s="2">
        <v>5</v>
      </c>
      <c r="J657" s="3">
        <v>18.5</v>
      </c>
      <c r="K657" s="4">
        <v>0</v>
      </c>
      <c r="L657" s="3">
        <v>92.5</v>
      </c>
      <c r="M657" t="b">
        <v>1</v>
      </c>
      <c r="N657" s="2">
        <f>YEAR(B657)</f>
        <v>2026</v>
      </c>
      <c r="O657" t="str">
        <f>INDEX(Agences!$C:$C,MATCH(F657,Agences!$A:$A,0))</f>
        <v>Ouest</v>
      </c>
      <c r="P657" t="str">
        <f>INDEX(Produits!$C:$C,MATCH(H657,Produits!$A:$A,0))</f>
        <v>Fournitures</v>
      </c>
      <c r="Q657" s="3">
        <f>I657*INDEX(Produits!$E:$E,MATCH(H657,Produits!$A:$A,0))</f>
        <v>47.199999999999996</v>
      </c>
      <c r="R657" s="3">
        <f>L657-Q657</f>
        <v>45.300000000000004</v>
      </c>
      <c r="S657" s="2">
        <f>NETWORKDAYS(B657,C657)-1</f>
        <v>4</v>
      </c>
      <c r="T657" s="1">
        <f>WORKDAY(B657,5)</f>
        <v>46195</v>
      </c>
      <c r="U657" t="b">
        <f>C657&gt;T657</f>
        <v>0</v>
      </c>
    </row>
    <row r="658" spans="1:21" x14ac:dyDescent="0.25">
      <c r="A658" t="s">
        <v>640</v>
      </c>
      <c r="B658" s="1">
        <v>46188</v>
      </c>
      <c r="C658" s="1">
        <v>46191</v>
      </c>
      <c r="D658" t="s">
        <v>498</v>
      </c>
      <c r="E658" t="s">
        <v>419</v>
      </c>
      <c r="F658" t="s">
        <v>62</v>
      </c>
      <c r="G658" t="s">
        <v>68</v>
      </c>
      <c r="H658" t="s">
        <v>35</v>
      </c>
      <c r="I658" s="2">
        <v>2</v>
      </c>
      <c r="J658" s="3">
        <v>79</v>
      </c>
      <c r="K658" s="4">
        <v>0.02</v>
      </c>
      <c r="L658" s="3">
        <v>154.84</v>
      </c>
      <c r="M658" t="b">
        <v>1</v>
      </c>
      <c r="N658" s="2">
        <f>YEAR(B658)</f>
        <v>2026</v>
      </c>
      <c r="O658" t="str">
        <f>INDEX(Agences!$C:$C,MATCH(F658,Agences!$A:$A,0))</f>
        <v>Méditerranée</v>
      </c>
      <c r="P658" t="str">
        <f>INDEX(Produits!$C:$C,MATCH(H658,Produits!$A:$A,0))</f>
        <v>Mobilier</v>
      </c>
      <c r="Q658" s="3">
        <f>I658*INDEX(Produits!$E:$E,MATCH(H658,Produits!$A:$A,0))</f>
        <v>93.22</v>
      </c>
      <c r="R658" s="3">
        <f>L658-Q658</f>
        <v>61.620000000000005</v>
      </c>
      <c r="S658" s="2">
        <f>NETWORKDAYS(B658,C658)-1</f>
        <v>3</v>
      </c>
      <c r="T658" s="1">
        <f>WORKDAY(B658,5)</f>
        <v>46195</v>
      </c>
      <c r="U658" t="b">
        <f>C658&gt;T658</f>
        <v>0</v>
      </c>
    </row>
    <row r="659" spans="1:21" x14ac:dyDescent="0.25">
      <c r="A659" t="s">
        <v>640</v>
      </c>
      <c r="B659" s="1">
        <v>46188</v>
      </c>
      <c r="C659" s="1">
        <v>46191</v>
      </c>
      <c r="D659" t="s">
        <v>498</v>
      </c>
      <c r="E659" t="s">
        <v>419</v>
      </c>
      <c r="F659" t="s">
        <v>62</v>
      </c>
      <c r="G659" t="s">
        <v>68</v>
      </c>
      <c r="H659" t="s">
        <v>49</v>
      </c>
      <c r="I659" s="2">
        <v>2</v>
      </c>
      <c r="J659" s="3">
        <v>120</v>
      </c>
      <c r="K659" s="4">
        <v>0.05</v>
      </c>
      <c r="L659" s="3">
        <v>228</v>
      </c>
      <c r="M659" t="b">
        <v>1</v>
      </c>
      <c r="N659" s="2">
        <f>YEAR(B659)</f>
        <v>2026</v>
      </c>
      <c r="O659" t="str">
        <f>INDEX(Agences!$C:$C,MATCH(F659,Agences!$A:$A,0))</f>
        <v>Méditerranée</v>
      </c>
      <c r="P659" t="str">
        <f>INDEX(Produits!$C:$C,MATCH(H659,Produits!$A:$A,0))</f>
        <v>Maintenance</v>
      </c>
      <c r="Q659" s="3">
        <f>I659*INDEX(Produits!$E:$E,MATCH(H659,Produits!$A:$A,0))</f>
        <v>110.4</v>
      </c>
      <c r="R659" s="3">
        <f>L659-Q659</f>
        <v>117.6</v>
      </c>
      <c r="S659" s="2">
        <f>NETWORKDAYS(B659,C659)-1</f>
        <v>3</v>
      </c>
      <c r="T659" s="1">
        <f>WORKDAY(B659,5)</f>
        <v>46195</v>
      </c>
      <c r="U659" t="b">
        <f>C659&gt;T659</f>
        <v>0</v>
      </c>
    </row>
    <row r="660" spans="1:21" x14ac:dyDescent="0.25">
      <c r="A660" t="s">
        <v>641</v>
      </c>
      <c r="B660" s="1">
        <v>46188</v>
      </c>
      <c r="C660" s="1">
        <v>46190</v>
      </c>
      <c r="D660" t="s">
        <v>619</v>
      </c>
      <c r="E660" t="s">
        <v>191</v>
      </c>
      <c r="F660" t="s">
        <v>62</v>
      </c>
      <c r="G660" t="s">
        <v>106</v>
      </c>
      <c r="H660" t="s">
        <v>50</v>
      </c>
      <c r="I660" s="2">
        <v>1</v>
      </c>
      <c r="J660" s="3">
        <v>69</v>
      </c>
      <c r="K660" s="4">
        <v>0.3</v>
      </c>
      <c r="L660" s="3">
        <v>48.3</v>
      </c>
      <c r="M660" t="b">
        <v>1</v>
      </c>
      <c r="N660" s="2">
        <f>YEAR(B660)</f>
        <v>2026</v>
      </c>
      <c r="O660" t="str">
        <f>INDEX(Agences!$C:$C,MATCH(F660,Agences!$A:$A,0))</f>
        <v>Méditerranée</v>
      </c>
      <c r="P660" t="str">
        <f>INDEX(Produits!$C:$C,MATCH(H660,Produits!$A:$A,0))</f>
        <v>Informatique</v>
      </c>
      <c r="Q660" s="3">
        <f>I660*INDEX(Produits!$E:$E,MATCH(H660,Produits!$A:$A,0))</f>
        <v>54.51</v>
      </c>
      <c r="R660" s="3">
        <f>L660-Q660</f>
        <v>-6.210000000000001</v>
      </c>
      <c r="S660" s="2">
        <f>NETWORKDAYS(B660,C660)-1</f>
        <v>2</v>
      </c>
      <c r="T660" s="1">
        <f>WORKDAY(B660,5)</f>
        <v>46195</v>
      </c>
      <c r="U660" t="b">
        <f>C660&gt;T660</f>
        <v>0</v>
      </c>
    </row>
    <row r="661" spans="1:21" x14ac:dyDescent="0.25">
      <c r="A661" t="s">
        <v>641</v>
      </c>
      <c r="B661" s="1">
        <v>46188</v>
      </c>
      <c r="C661" s="1">
        <v>46190</v>
      </c>
      <c r="D661" t="s">
        <v>619</v>
      </c>
      <c r="E661" t="s">
        <v>191</v>
      </c>
      <c r="F661" t="s">
        <v>62</v>
      </c>
      <c r="G661" t="s">
        <v>106</v>
      </c>
      <c r="H661" t="s">
        <v>196</v>
      </c>
      <c r="I661" s="2">
        <v>10</v>
      </c>
      <c r="J661" s="3">
        <v>18.5</v>
      </c>
      <c r="K661" s="4">
        <v>0.2</v>
      </c>
      <c r="L661" s="3">
        <v>148</v>
      </c>
      <c r="M661" t="b">
        <v>1</v>
      </c>
      <c r="N661" s="2">
        <f>YEAR(B661)</f>
        <v>2026</v>
      </c>
      <c r="O661" t="str">
        <f>INDEX(Agences!$C:$C,MATCH(F661,Agences!$A:$A,0))</f>
        <v>Méditerranée</v>
      </c>
      <c r="P661" t="str">
        <f>INDEX(Produits!$C:$C,MATCH(H661,Produits!$A:$A,0))</f>
        <v>Fournitures</v>
      </c>
      <c r="Q661" s="3">
        <f>I661*INDEX(Produits!$E:$E,MATCH(H661,Produits!$A:$A,0))</f>
        <v>94.39999999999999</v>
      </c>
      <c r="R661" s="3">
        <f>L661-Q661</f>
        <v>53.60000000000001</v>
      </c>
      <c r="S661" s="2">
        <f>NETWORKDAYS(B661,C661)-1</f>
        <v>2</v>
      </c>
      <c r="T661" s="1">
        <f>WORKDAY(B661,5)</f>
        <v>46195</v>
      </c>
      <c r="U661" t="b">
        <f>C661&gt;T661</f>
        <v>0</v>
      </c>
    </row>
    <row r="662" spans="1:21" x14ac:dyDescent="0.25">
      <c r="A662" t="s">
        <v>642</v>
      </c>
      <c r="B662" s="1">
        <v>46188</v>
      </c>
      <c r="C662" s="1">
        <v>46190</v>
      </c>
      <c r="D662" t="s">
        <v>643</v>
      </c>
      <c r="E662" t="s">
        <v>242</v>
      </c>
      <c r="F662" t="s">
        <v>94</v>
      </c>
      <c r="G662" t="s">
        <v>154</v>
      </c>
      <c r="H662" t="s">
        <v>72</v>
      </c>
      <c r="I662" s="2">
        <v>1</v>
      </c>
      <c r="J662" s="3">
        <v>179</v>
      </c>
      <c r="K662" s="4">
        <v>0.05</v>
      </c>
      <c r="L662" s="3">
        <v>170.05</v>
      </c>
      <c r="M662" t="b">
        <v>1</v>
      </c>
      <c r="N662" s="2">
        <f>YEAR(B662)</f>
        <v>2026</v>
      </c>
      <c r="O662" t="str">
        <f>INDEX(Agences!$C:$C,MATCH(F662,Agences!$A:$A,0))</f>
        <v>Méditerranée</v>
      </c>
      <c r="P662" t="str">
        <f>INDEX(Produits!$C:$C,MATCH(H662,Produits!$A:$A,0))</f>
        <v>Informatique</v>
      </c>
      <c r="Q662" s="3">
        <f>I662*INDEX(Produits!$E:$E,MATCH(H662,Produits!$A:$A,0))</f>
        <v>146.78</v>
      </c>
      <c r="R662" s="3">
        <f>L662-Q662</f>
        <v>23.27000000000001</v>
      </c>
      <c r="S662" s="2">
        <f>NETWORKDAYS(B662,C662)-1</f>
        <v>2</v>
      </c>
      <c r="T662" s="1">
        <f>WORKDAY(B662,5)</f>
        <v>46195</v>
      </c>
      <c r="U662" t="b">
        <f>C662&gt;T662</f>
        <v>0</v>
      </c>
    </row>
    <row r="663" spans="1:21" x14ac:dyDescent="0.25">
      <c r="A663" t="s">
        <v>642</v>
      </c>
      <c r="B663" s="1">
        <v>46188</v>
      </c>
      <c r="C663" s="1">
        <v>46190</v>
      </c>
      <c r="D663" t="s">
        <v>643</v>
      </c>
      <c r="E663" t="s">
        <v>242</v>
      </c>
      <c r="F663" t="s">
        <v>94</v>
      </c>
      <c r="G663" t="s">
        <v>154</v>
      </c>
      <c r="H663" t="s">
        <v>27</v>
      </c>
      <c r="I663" s="2">
        <v>4</v>
      </c>
      <c r="J663" s="3">
        <v>310</v>
      </c>
      <c r="K663" s="4">
        <v>0</v>
      </c>
      <c r="L663" s="3">
        <v>1240</v>
      </c>
      <c r="M663" t="b">
        <v>1</v>
      </c>
      <c r="N663" s="2">
        <f>YEAR(B663)</f>
        <v>2026</v>
      </c>
      <c r="O663" t="str">
        <f>INDEX(Agences!$C:$C,MATCH(F663,Agences!$A:$A,0))</f>
        <v>Méditerranée</v>
      </c>
      <c r="P663" t="str">
        <f>INDEX(Produits!$C:$C,MATCH(H663,Produits!$A:$A,0))</f>
        <v>Mobilier</v>
      </c>
      <c r="Q663" s="3">
        <f>I663*INDEX(Produits!$E:$E,MATCH(H663,Produits!$A:$A,0))</f>
        <v>744</v>
      </c>
      <c r="R663" s="3">
        <f>L663-Q663</f>
        <v>496</v>
      </c>
      <c r="S663" s="2">
        <f>NETWORKDAYS(B663,C663)-1</f>
        <v>2</v>
      </c>
      <c r="T663" s="1">
        <f>WORKDAY(B663,5)</f>
        <v>46195</v>
      </c>
      <c r="U663" t="b">
        <f>C663&gt;T663</f>
        <v>0</v>
      </c>
    </row>
    <row r="664" spans="1:21" x14ac:dyDescent="0.25">
      <c r="A664" t="s">
        <v>642</v>
      </c>
      <c r="B664" s="1">
        <v>46188</v>
      </c>
      <c r="C664" s="1">
        <v>46190</v>
      </c>
      <c r="D664" t="s">
        <v>643</v>
      </c>
      <c r="E664" t="s">
        <v>242</v>
      </c>
      <c r="F664" t="s">
        <v>94</v>
      </c>
      <c r="G664" t="s">
        <v>154</v>
      </c>
      <c r="H664" t="s">
        <v>49</v>
      </c>
      <c r="I664" s="2">
        <v>4</v>
      </c>
      <c r="J664" s="3">
        <v>120</v>
      </c>
      <c r="K664" s="4">
        <v>0</v>
      </c>
      <c r="L664" s="3">
        <v>480</v>
      </c>
      <c r="M664" t="b">
        <v>1</v>
      </c>
      <c r="N664" s="2">
        <f>YEAR(B664)</f>
        <v>2026</v>
      </c>
      <c r="O664" t="str">
        <f>INDEX(Agences!$C:$C,MATCH(F664,Agences!$A:$A,0))</f>
        <v>Méditerranée</v>
      </c>
      <c r="P664" t="str">
        <f>INDEX(Produits!$C:$C,MATCH(H664,Produits!$A:$A,0))</f>
        <v>Maintenance</v>
      </c>
      <c r="Q664" s="3">
        <f>I664*INDEX(Produits!$E:$E,MATCH(H664,Produits!$A:$A,0))</f>
        <v>220.8</v>
      </c>
      <c r="R664" s="3">
        <f>L664-Q664</f>
        <v>259.2</v>
      </c>
      <c r="S664" s="2">
        <f>NETWORKDAYS(B664,C664)-1</f>
        <v>2</v>
      </c>
      <c r="T664" s="1">
        <f>WORKDAY(B664,5)</f>
        <v>46195</v>
      </c>
      <c r="U664" t="b">
        <f>C664&gt;T664</f>
        <v>0</v>
      </c>
    </row>
    <row r="665" spans="1:21" x14ac:dyDescent="0.25">
      <c r="A665" t="s">
        <v>644</v>
      </c>
      <c r="B665" s="1">
        <v>46188</v>
      </c>
      <c r="C665" s="1">
        <v>46192</v>
      </c>
      <c r="D665" t="s">
        <v>315</v>
      </c>
      <c r="E665" t="s">
        <v>316</v>
      </c>
      <c r="F665" t="s">
        <v>46</v>
      </c>
      <c r="G665" t="s">
        <v>111</v>
      </c>
      <c r="H665" t="s">
        <v>90</v>
      </c>
      <c r="I665" s="2">
        <v>5</v>
      </c>
      <c r="J665" s="3">
        <v>22.9</v>
      </c>
      <c r="K665" s="4">
        <v>0.02</v>
      </c>
      <c r="L665" s="3">
        <v>112.21</v>
      </c>
      <c r="M665" t="b">
        <v>1</v>
      </c>
      <c r="N665" s="2">
        <f>YEAR(B665)</f>
        <v>2026</v>
      </c>
      <c r="O665" t="str">
        <f>INDEX(Agences!$C:$C,MATCH(F665,Agences!$A:$A,0))</f>
        <v>Est</v>
      </c>
      <c r="P665" t="str">
        <f>INDEX(Produits!$C:$C,MATCH(H665,Produits!$A:$A,0))</f>
        <v>Fournitures</v>
      </c>
      <c r="Q665" s="3">
        <f>I665*INDEX(Produits!$E:$E,MATCH(H665,Produits!$A:$A,0))</f>
        <v>64.1</v>
      </c>
      <c r="R665" s="3">
        <f>L665-Q665</f>
        <v>48.11</v>
      </c>
      <c r="S665" s="2">
        <f>NETWORKDAYS(B665,C665)-1</f>
        <v>4</v>
      </c>
      <c r="T665" s="1">
        <f>WORKDAY(B665,5)</f>
        <v>46195</v>
      </c>
      <c r="U665" t="b">
        <f>C665&gt;T665</f>
        <v>0</v>
      </c>
    </row>
    <row r="666" spans="1:21" x14ac:dyDescent="0.25">
      <c r="A666" t="s">
        <v>644</v>
      </c>
      <c r="B666" s="1">
        <v>46188</v>
      </c>
      <c r="C666" s="1">
        <v>46192</v>
      </c>
      <c r="D666" t="s">
        <v>315</v>
      </c>
      <c r="E666" t="s">
        <v>316</v>
      </c>
      <c r="F666" t="s">
        <v>46</v>
      </c>
      <c r="G666" t="s">
        <v>111</v>
      </c>
      <c r="H666" t="s">
        <v>233</v>
      </c>
      <c r="I666" s="2">
        <v>10</v>
      </c>
      <c r="J666" s="3">
        <v>27.5</v>
      </c>
      <c r="K666" s="4">
        <v>0</v>
      </c>
      <c r="L666" s="3">
        <v>275</v>
      </c>
      <c r="M666" t="b">
        <v>1</v>
      </c>
      <c r="N666" s="2">
        <f>YEAR(B666)</f>
        <v>2026</v>
      </c>
      <c r="O666" t="str">
        <f>INDEX(Agences!$C:$C,MATCH(F666,Agences!$A:$A,0))</f>
        <v>Est</v>
      </c>
      <c r="P666" t="str">
        <f>INDEX(Produits!$C:$C,MATCH(H666,Produits!$A:$A,0))</f>
        <v>Fournitures</v>
      </c>
      <c r="Q666" s="3">
        <f>I666*INDEX(Produits!$E:$E,MATCH(H666,Produits!$A:$A,0))</f>
        <v>154</v>
      </c>
      <c r="R666" s="3">
        <f>L666-Q666</f>
        <v>121</v>
      </c>
      <c r="S666" s="2">
        <f>NETWORKDAYS(B666,C666)-1</f>
        <v>4</v>
      </c>
      <c r="T666" s="1">
        <f>WORKDAY(B666,5)</f>
        <v>46195</v>
      </c>
      <c r="U666" t="b">
        <f>C666&gt;T666</f>
        <v>0</v>
      </c>
    </row>
    <row r="667" spans="1:21" x14ac:dyDescent="0.25">
      <c r="A667" t="s">
        <v>645</v>
      </c>
      <c r="B667" s="1">
        <v>46185</v>
      </c>
      <c r="C667" s="1">
        <v>46192</v>
      </c>
      <c r="D667" t="s">
        <v>361</v>
      </c>
      <c r="E667" t="s">
        <v>165</v>
      </c>
      <c r="F667" t="s">
        <v>166</v>
      </c>
      <c r="G667" t="s">
        <v>248</v>
      </c>
      <c r="H667" t="s">
        <v>107</v>
      </c>
      <c r="I667" s="2">
        <v>1</v>
      </c>
      <c r="J667" s="3">
        <v>99</v>
      </c>
      <c r="K667" s="4">
        <v>0.1</v>
      </c>
      <c r="L667" s="3">
        <v>89.1</v>
      </c>
      <c r="M667" t="b">
        <v>1</v>
      </c>
      <c r="N667" s="2">
        <f>YEAR(B667)</f>
        <v>2026</v>
      </c>
      <c r="O667" t="str">
        <f>INDEX(Agences!$C:$C,MATCH(F667,Agences!$A:$A,0))</f>
        <v>Ouest</v>
      </c>
      <c r="P667" t="str">
        <f>INDEX(Produits!$C:$C,MATCH(H667,Produits!$A:$A,0))</f>
        <v>Informatique</v>
      </c>
      <c r="Q667" s="3">
        <f>I667*INDEX(Produits!$E:$E,MATCH(H667,Produits!$A:$A,0))</f>
        <v>75.24</v>
      </c>
      <c r="R667" s="3">
        <f>L667-Q667</f>
        <v>13.86</v>
      </c>
      <c r="S667" s="2">
        <f>NETWORKDAYS(B667,C667)-1</f>
        <v>5</v>
      </c>
      <c r="T667" s="1">
        <f>WORKDAY(B667,5)</f>
        <v>46192</v>
      </c>
      <c r="U667" t="b">
        <f>C667&gt;T667</f>
        <v>0</v>
      </c>
    </row>
    <row r="668" spans="1:21" x14ac:dyDescent="0.25">
      <c r="A668" t="s">
        <v>645</v>
      </c>
      <c r="B668" s="1">
        <v>46185</v>
      </c>
      <c r="C668" s="1">
        <v>46192</v>
      </c>
      <c r="D668" t="s">
        <v>361</v>
      </c>
      <c r="E668" t="s">
        <v>165</v>
      </c>
      <c r="F668" t="s">
        <v>166</v>
      </c>
      <c r="G668" t="s">
        <v>248</v>
      </c>
      <c r="H668" t="s">
        <v>196</v>
      </c>
      <c r="I668" s="2">
        <v>5</v>
      </c>
      <c r="J668" s="3">
        <v>18.5</v>
      </c>
      <c r="K668" s="4">
        <v>0</v>
      </c>
      <c r="L668" s="3">
        <v>92.5</v>
      </c>
      <c r="M668" t="b">
        <v>1</v>
      </c>
      <c r="N668" s="2">
        <f>YEAR(B668)</f>
        <v>2026</v>
      </c>
      <c r="O668" t="str">
        <f>INDEX(Agences!$C:$C,MATCH(F668,Agences!$A:$A,0))</f>
        <v>Ouest</v>
      </c>
      <c r="P668" t="str">
        <f>INDEX(Produits!$C:$C,MATCH(H668,Produits!$A:$A,0))</f>
        <v>Fournitures</v>
      </c>
      <c r="Q668" s="3">
        <f>I668*INDEX(Produits!$E:$E,MATCH(H668,Produits!$A:$A,0))</f>
        <v>47.199999999999996</v>
      </c>
      <c r="R668" s="3">
        <f>L668-Q668</f>
        <v>45.300000000000004</v>
      </c>
      <c r="S668" s="2">
        <f>NETWORKDAYS(B668,C668)-1</f>
        <v>5</v>
      </c>
      <c r="T668" s="1">
        <f>WORKDAY(B668,5)</f>
        <v>46192</v>
      </c>
      <c r="U668" t="b">
        <f>C668&gt;T668</f>
        <v>0</v>
      </c>
    </row>
    <row r="669" spans="1:21" x14ac:dyDescent="0.25">
      <c r="A669" t="s">
        <v>645</v>
      </c>
      <c r="B669" s="1">
        <v>46185</v>
      </c>
      <c r="C669" s="1">
        <v>46192</v>
      </c>
      <c r="D669" t="s">
        <v>361</v>
      </c>
      <c r="E669" t="s">
        <v>165</v>
      </c>
      <c r="F669" t="s">
        <v>166</v>
      </c>
      <c r="G669" t="s">
        <v>248</v>
      </c>
      <c r="H669" t="s">
        <v>78</v>
      </c>
      <c r="I669" s="2">
        <v>1</v>
      </c>
      <c r="J669" s="3">
        <v>1390</v>
      </c>
      <c r="K669" s="4">
        <v>0.08</v>
      </c>
      <c r="L669" s="3">
        <v>1278.8</v>
      </c>
      <c r="M669" t="b">
        <v>1</v>
      </c>
      <c r="N669" s="2">
        <f>YEAR(B669)</f>
        <v>2026</v>
      </c>
      <c r="O669" t="str">
        <f>INDEX(Agences!$C:$C,MATCH(F669,Agences!$A:$A,0))</f>
        <v>Ouest</v>
      </c>
      <c r="P669" t="str">
        <f>INDEX(Produits!$C:$C,MATCH(H669,Produits!$A:$A,0))</f>
        <v>Informatique</v>
      </c>
      <c r="Q669" s="3">
        <f>I669*INDEX(Produits!$E:$E,MATCH(H669,Produits!$A:$A,0))</f>
        <v>1125.9</v>
      </c>
      <c r="R669" s="3">
        <f>L669-Q669</f>
        <v>152.89999999999986</v>
      </c>
      <c r="S669" s="2">
        <f>NETWORKDAYS(B669,C669)-1</f>
        <v>5</v>
      </c>
      <c r="T669" s="1">
        <f>WORKDAY(B669,5)</f>
        <v>46192</v>
      </c>
      <c r="U669" t="b">
        <f>C669&gt;T669</f>
        <v>0</v>
      </c>
    </row>
    <row r="670" spans="1:21" x14ac:dyDescent="0.25">
      <c r="A670" t="s">
        <v>646</v>
      </c>
      <c r="B670" s="1">
        <v>46185</v>
      </c>
      <c r="C670" s="1">
        <v>46189</v>
      </c>
      <c r="D670" t="s">
        <v>379</v>
      </c>
      <c r="E670" t="s">
        <v>374</v>
      </c>
      <c r="F670" t="s">
        <v>31</v>
      </c>
      <c r="G670" t="s">
        <v>375</v>
      </c>
      <c r="H670" t="s">
        <v>49</v>
      </c>
      <c r="I670" s="2">
        <v>1</v>
      </c>
      <c r="J670" s="3">
        <v>120</v>
      </c>
      <c r="K670" s="4">
        <v>0.05</v>
      </c>
      <c r="L670" s="3">
        <v>114</v>
      </c>
      <c r="M670" t="b">
        <v>1</v>
      </c>
      <c r="N670" s="2">
        <f>YEAR(B670)</f>
        <v>2026</v>
      </c>
      <c r="O670" t="str">
        <f>INDEX(Agences!$C:$C,MATCH(F670,Agences!$A:$A,0))</f>
        <v>Ouest</v>
      </c>
      <c r="P670" t="str">
        <f>INDEX(Produits!$C:$C,MATCH(H670,Produits!$A:$A,0))</f>
        <v>Maintenance</v>
      </c>
      <c r="Q670" s="3">
        <f>I670*INDEX(Produits!$E:$E,MATCH(H670,Produits!$A:$A,0))</f>
        <v>55.2</v>
      </c>
      <c r="R670" s="3">
        <f>L670-Q670</f>
        <v>58.8</v>
      </c>
      <c r="S670" s="2">
        <f>NETWORKDAYS(B670,C670)-1</f>
        <v>2</v>
      </c>
      <c r="T670" s="1">
        <f>WORKDAY(B670,5)</f>
        <v>46192</v>
      </c>
      <c r="U670" t="b">
        <f>C670&gt;T670</f>
        <v>0</v>
      </c>
    </row>
    <row r="671" spans="1:21" x14ac:dyDescent="0.25">
      <c r="A671" t="s">
        <v>646</v>
      </c>
      <c r="B671" s="1">
        <v>46185</v>
      </c>
      <c r="C671" s="1">
        <v>46189</v>
      </c>
      <c r="D671" t="s">
        <v>379</v>
      </c>
      <c r="E671" t="s">
        <v>374</v>
      </c>
      <c r="F671" t="s">
        <v>31</v>
      </c>
      <c r="G671" t="s">
        <v>375</v>
      </c>
      <c r="H671" t="s">
        <v>83</v>
      </c>
      <c r="I671" s="2">
        <v>1</v>
      </c>
      <c r="J671" s="3">
        <v>49</v>
      </c>
      <c r="K671" s="4">
        <v>0.05</v>
      </c>
      <c r="L671" s="3">
        <v>46.55</v>
      </c>
      <c r="M671" t="b">
        <v>1</v>
      </c>
      <c r="N671" s="2">
        <f>YEAR(B671)</f>
        <v>2026</v>
      </c>
      <c r="O671" t="str">
        <f>INDEX(Agences!$C:$C,MATCH(F671,Agences!$A:$A,0))</f>
        <v>Ouest</v>
      </c>
      <c r="P671" t="str">
        <f>INDEX(Produits!$C:$C,MATCH(H671,Produits!$A:$A,0))</f>
        <v>Mobilier</v>
      </c>
      <c r="Q671" s="3">
        <f>I671*INDEX(Produits!$E:$E,MATCH(H671,Produits!$A:$A,0))</f>
        <v>28.42</v>
      </c>
      <c r="R671" s="3">
        <f>L671-Q671</f>
        <v>18.129999999999995</v>
      </c>
      <c r="S671" s="2">
        <f>NETWORKDAYS(B671,C671)-1</f>
        <v>2</v>
      </c>
      <c r="T671" s="1">
        <f>WORKDAY(B671,5)</f>
        <v>46192</v>
      </c>
      <c r="U671" t="b">
        <f>C671&gt;T671</f>
        <v>0</v>
      </c>
    </row>
    <row r="672" spans="1:21" x14ac:dyDescent="0.25">
      <c r="A672" t="s">
        <v>647</v>
      </c>
      <c r="B672" s="1">
        <v>46184</v>
      </c>
      <c r="C672" s="1">
        <v>46188</v>
      </c>
      <c r="D672" t="s">
        <v>648</v>
      </c>
      <c r="E672" t="s">
        <v>236</v>
      </c>
      <c r="F672" t="s">
        <v>39</v>
      </c>
      <c r="G672" t="s">
        <v>322</v>
      </c>
      <c r="H672" t="s">
        <v>42</v>
      </c>
      <c r="I672" s="2">
        <v>3</v>
      </c>
      <c r="J672" s="3">
        <v>55</v>
      </c>
      <c r="K672" s="4">
        <v>0</v>
      </c>
      <c r="L672" s="3">
        <v>165</v>
      </c>
      <c r="M672" t="b">
        <v>1</v>
      </c>
      <c r="N672" s="2">
        <f>YEAR(B672)</f>
        <v>2026</v>
      </c>
      <c r="O672" t="str">
        <f>INDEX(Agences!$C:$C,MATCH(F672,Agences!$A:$A,0))</f>
        <v>Sud-Ouest</v>
      </c>
      <c r="P672" t="str">
        <f>INDEX(Produits!$C:$C,MATCH(H672,Produits!$A:$A,0))</f>
        <v>Maintenance</v>
      </c>
      <c r="Q672" s="3">
        <f>I672*INDEX(Produits!$E:$E,MATCH(H672,Produits!$A:$A,0))</f>
        <v>74.25</v>
      </c>
      <c r="R672" s="3">
        <f>L672-Q672</f>
        <v>90.75</v>
      </c>
      <c r="S672" s="2">
        <f>NETWORKDAYS(B672,C672)-1</f>
        <v>2</v>
      </c>
      <c r="T672" s="1">
        <f>WORKDAY(B672,5)</f>
        <v>46191</v>
      </c>
      <c r="U672" t="b">
        <f>C672&gt;T672</f>
        <v>0</v>
      </c>
    </row>
    <row r="673" spans="1:21" x14ac:dyDescent="0.25">
      <c r="A673" t="s">
        <v>647</v>
      </c>
      <c r="B673" s="1">
        <v>46184</v>
      </c>
      <c r="C673" s="1">
        <v>46188</v>
      </c>
      <c r="D673" t="s">
        <v>648</v>
      </c>
      <c r="E673" t="s">
        <v>236</v>
      </c>
      <c r="F673" t="s">
        <v>39</v>
      </c>
      <c r="G673" t="s">
        <v>322</v>
      </c>
      <c r="H673" t="s">
        <v>196</v>
      </c>
      <c r="I673" s="2">
        <v>5</v>
      </c>
      <c r="J673" s="3">
        <v>18.5</v>
      </c>
      <c r="K673" s="4">
        <v>0</v>
      </c>
      <c r="L673" s="3">
        <v>92.5</v>
      </c>
      <c r="M673" t="b">
        <v>1</v>
      </c>
      <c r="N673" s="2">
        <f>YEAR(B673)</f>
        <v>2026</v>
      </c>
      <c r="O673" t="str">
        <f>INDEX(Agences!$C:$C,MATCH(F673,Agences!$A:$A,0))</f>
        <v>Sud-Ouest</v>
      </c>
      <c r="P673" t="str">
        <f>INDEX(Produits!$C:$C,MATCH(H673,Produits!$A:$A,0))</f>
        <v>Fournitures</v>
      </c>
      <c r="Q673" s="3">
        <f>I673*INDEX(Produits!$E:$E,MATCH(H673,Produits!$A:$A,0))</f>
        <v>47.199999999999996</v>
      </c>
      <c r="R673" s="3">
        <f>L673-Q673</f>
        <v>45.300000000000004</v>
      </c>
      <c r="S673" s="2">
        <f>NETWORKDAYS(B673,C673)-1</f>
        <v>2</v>
      </c>
      <c r="T673" s="1">
        <f>WORKDAY(B673,5)</f>
        <v>46191</v>
      </c>
      <c r="U673" t="b">
        <f>C673&gt;T673</f>
        <v>0</v>
      </c>
    </row>
    <row r="674" spans="1:21" x14ac:dyDescent="0.25">
      <c r="A674" t="s">
        <v>647</v>
      </c>
      <c r="B674" s="1">
        <v>46184</v>
      </c>
      <c r="C674" s="1">
        <v>46188</v>
      </c>
      <c r="D674" t="s">
        <v>648</v>
      </c>
      <c r="E674" t="s">
        <v>236</v>
      </c>
      <c r="F674" t="s">
        <v>39</v>
      </c>
      <c r="G674" t="s">
        <v>322</v>
      </c>
      <c r="H674" t="s">
        <v>127</v>
      </c>
      <c r="I674" s="2">
        <v>3</v>
      </c>
      <c r="J674" s="3">
        <v>649</v>
      </c>
      <c r="K674" s="4">
        <v>0</v>
      </c>
      <c r="L674" s="3">
        <v>1947</v>
      </c>
      <c r="M674" t="b">
        <v>1</v>
      </c>
      <c r="N674" s="2">
        <f>YEAR(B674)</f>
        <v>2026</v>
      </c>
      <c r="O674" t="str">
        <f>INDEX(Agences!$C:$C,MATCH(F674,Agences!$A:$A,0))</f>
        <v>Sud-Ouest</v>
      </c>
      <c r="P674" t="str">
        <f>INDEX(Produits!$C:$C,MATCH(H674,Produits!$A:$A,0))</f>
        <v>Informatique</v>
      </c>
      <c r="Q674" s="3">
        <f>I674*INDEX(Produits!$E:$E,MATCH(H674,Produits!$A:$A,0))</f>
        <v>1440.78</v>
      </c>
      <c r="R674" s="3">
        <f>L674-Q674</f>
        <v>506.22</v>
      </c>
      <c r="S674" s="2">
        <f>NETWORKDAYS(B674,C674)-1</f>
        <v>2</v>
      </c>
      <c r="T674" s="1">
        <f>WORKDAY(B674,5)</f>
        <v>46191</v>
      </c>
      <c r="U674" t="b">
        <f>C674&gt;T674</f>
        <v>0</v>
      </c>
    </row>
    <row r="675" spans="1:21" x14ac:dyDescent="0.25">
      <c r="A675" t="s">
        <v>647</v>
      </c>
      <c r="B675" s="1">
        <v>46184</v>
      </c>
      <c r="C675" s="1">
        <v>46188</v>
      </c>
      <c r="D675" t="s">
        <v>648</v>
      </c>
      <c r="E675" t="s">
        <v>236</v>
      </c>
      <c r="F675" t="s">
        <v>39</v>
      </c>
      <c r="G675" t="s">
        <v>322</v>
      </c>
      <c r="H675" t="s">
        <v>50</v>
      </c>
      <c r="I675" s="2">
        <v>2</v>
      </c>
      <c r="J675" s="3">
        <v>69</v>
      </c>
      <c r="K675" s="4">
        <v>0.05</v>
      </c>
      <c r="L675" s="3">
        <v>131.1</v>
      </c>
      <c r="M675" t="b">
        <v>1</v>
      </c>
      <c r="N675" s="2">
        <f>YEAR(B675)</f>
        <v>2026</v>
      </c>
      <c r="O675" t="str">
        <f>INDEX(Agences!$C:$C,MATCH(F675,Agences!$A:$A,0))</f>
        <v>Sud-Ouest</v>
      </c>
      <c r="P675" t="str">
        <f>INDEX(Produits!$C:$C,MATCH(H675,Produits!$A:$A,0))</f>
        <v>Informatique</v>
      </c>
      <c r="Q675" s="3">
        <f>I675*INDEX(Produits!$E:$E,MATCH(H675,Produits!$A:$A,0))</f>
        <v>109.02</v>
      </c>
      <c r="R675" s="3">
        <f>L675-Q675</f>
        <v>22.08</v>
      </c>
      <c r="S675" s="2">
        <f>NETWORKDAYS(B675,C675)-1</f>
        <v>2</v>
      </c>
      <c r="T675" s="1">
        <f>WORKDAY(B675,5)</f>
        <v>46191</v>
      </c>
      <c r="U675" t="b">
        <f>C675&gt;T675</f>
        <v>0</v>
      </c>
    </row>
    <row r="676" spans="1:21" x14ac:dyDescent="0.25">
      <c r="A676" t="s">
        <v>647</v>
      </c>
      <c r="B676" s="1">
        <v>46184</v>
      </c>
      <c r="C676" s="1">
        <v>46188</v>
      </c>
      <c r="D676" t="s">
        <v>648</v>
      </c>
      <c r="E676" t="s">
        <v>236</v>
      </c>
      <c r="F676" t="s">
        <v>39</v>
      </c>
      <c r="G676" t="s">
        <v>322</v>
      </c>
      <c r="H676" t="s">
        <v>48</v>
      </c>
      <c r="I676" s="2">
        <v>1</v>
      </c>
      <c r="J676" s="3">
        <v>165</v>
      </c>
      <c r="K676" s="4">
        <v>0.02</v>
      </c>
      <c r="L676" s="3">
        <v>161.7</v>
      </c>
      <c r="M676" t="b">
        <v>1</v>
      </c>
      <c r="N676" s="2">
        <f>YEAR(B676)</f>
        <v>2026</v>
      </c>
      <c r="O676" t="str">
        <f>INDEX(Agences!$C:$C,MATCH(F676,Agences!$A:$A,0))</f>
        <v>Sud-Ouest</v>
      </c>
      <c r="P676" t="str">
        <f>INDEX(Produits!$C:$C,MATCH(H676,Produits!$A:$A,0))</f>
        <v>Mobilier</v>
      </c>
      <c r="Q676" s="3">
        <f>I676*INDEX(Produits!$E:$E,MATCH(H676,Produits!$A:$A,0))</f>
        <v>107.25</v>
      </c>
      <c r="R676" s="3">
        <f>L676-Q676</f>
        <v>54.44999999999999</v>
      </c>
      <c r="S676" s="2">
        <f>NETWORKDAYS(B676,C676)-1</f>
        <v>2</v>
      </c>
      <c r="T676" s="1">
        <f>WORKDAY(B676,5)</f>
        <v>46191</v>
      </c>
      <c r="U676" t="b">
        <f>C676&gt;T676</f>
        <v>0</v>
      </c>
    </row>
    <row r="677" spans="1:21" x14ac:dyDescent="0.25">
      <c r="A677" t="s">
        <v>649</v>
      </c>
      <c r="B677" s="1">
        <v>46184</v>
      </c>
      <c r="C677" s="1">
        <v>46189</v>
      </c>
      <c r="D677" t="s">
        <v>105</v>
      </c>
      <c r="E677" t="s">
        <v>67</v>
      </c>
      <c r="F677" t="s">
        <v>62</v>
      </c>
      <c r="G677" t="s">
        <v>106</v>
      </c>
      <c r="H677" t="s">
        <v>57</v>
      </c>
      <c r="I677" s="2">
        <v>1</v>
      </c>
      <c r="J677" s="3">
        <v>149</v>
      </c>
      <c r="K677" s="4">
        <v>0.28</v>
      </c>
      <c r="L677" s="3">
        <v>107.28</v>
      </c>
      <c r="M677" t="b">
        <v>1</v>
      </c>
      <c r="N677" s="2">
        <f>YEAR(B677)</f>
        <v>2026</v>
      </c>
      <c r="O677" t="str">
        <f>INDEX(Agences!$C:$C,MATCH(F677,Agences!$A:$A,0))</f>
        <v>Méditerranée</v>
      </c>
      <c r="P677" t="str">
        <f>INDEX(Produits!$C:$C,MATCH(H677,Produits!$A:$A,0))</f>
        <v>Informatique</v>
      </c>
      <c r="Q677" s="3">
        <f>I677*INDEX(Produits!$E:$E,MATCH(H677,Produits!$A:$A,0))</f>
        <v>114.73</v>
      </c>
      <c r="R677" s="3">
        <f>L677-Q677</f>
        <v>-7.450000000000003</v>
      </c>
      <c r="S677" s="2">
        <f>NETWORKDAYS(B677,C677)-1</f>
        <v>3</v>
      </c>
      <c r="T677" s="1">
        <f>WORKDAY(B677,5)</f>
        <v>46191</v>
      </c>
      <c r="U677" t="b">
        <f>C677&gt;T677</f>
        <v>0</v>
      </c>
    </row>
    <row r="678" spans="1:21" x14ac:dyDescent="0.25">
      <c r="A678" t="s">
        <v>649</v>
      </c>
      <c r="B678" s="1">
        <v>46184</v>
      </c>
      <c r="C678" s="1">
        <v>46189</v>
      </c>
      <c r="D678" t="s">
        <v>105</v>
      </c>
      <c r="E678" t="s">
        <v>67</v>
      </c>
      <c r="F678" t="s">
        <v>62</v>
      </c>
      <c r="G678" t="s">
        <v>106</v>
      </c>
      <c r="H678" t="s">
        <v>72</v>
      </c>
      <c r="I678" s="2">
        <v>1</v>
      </c>
      <c r="J678" s="3">
        <v>179</v>
      </c>
      <c r="K678" s="4">
        <v>0.22</v>
      </c>
      <c r="L678" s="3">
        <v>139.62</v>
      </c>
      <c r="M678" t="b">
        <v>1</v>
      </c>
      <c r="N678" s="2">
        <f>YEAR(B678)</f>
        <v>2026</v>
      </c>
      <c r="O678" t="str">
        <f>INDEX(Agences!$C:$C,MATCH(F678,Agences!$A:$A,0))</f>
        <v>Méditerranée</v>
      </c>
      <c r="P678" t="str">
        <f>INDEX(Produits!$C:$C,MATCH(H678,Produits!$A:$A,0))</f>
        <v>Informatique</v>
      </c>
      <c r="Q678" s="3">
        <f>I678*INDEX(Produits!$E:$E,MATCH(H678,Produits!$A:$A,0))</f>
        <v>146.78</v>
      </c>
      <c r="R678" s="3">
        <f>L678-Q678</f>
        <v>-7.159999999999997</v>
      </c>
      <c r="S678" s="2">
        <f>NETWORKDAYS(B678,C678)-1</f>
        <v>3</v>
      </c>
      <c r="T678" s="1">
        <f>WORKDAY(B678,5)</f>
        <v>46191</v>
      </c>
      <c r="U678" t="b">
        <f>C678&gt;T678</f>
        <v>0</v>
      </c>
    </row>
    <row r="679" spans="1:21" x14ac:dyDescent="0.25">
      <c r="A679" t="s">
        <v>650</v>
      </c>
      <c r="B679" s="1">
        <v>46183</v>
      </c>
      <c r="C679" s="1">
        <v>46190</v>
      </c>
      <c r="D679" t="s">
        <v>543</v>
      </c>
      <c r="E679" t="s">
        <v>130</v>
      </c>
      <c r="F679" t="s">
        <v>39</v>
      </c>
      <c r="G679" t="s">
        <v>131</v>
      </c>
      <c r="H679" t="s">
        <v>112</v>
      </c>
      <c r="I679" s="2">
        <v>2</v>
      </c>
      <c r="J679" s="3">
        <v>129</v>
      </c>
      <c r="K679" s="4">
        <v>0</v>
      </c>
      <c r="L679" s="3">
        <v>258</v>
      </c>
      <c r="M679" t="b">
        <v>1</v>
      </c>
      <c r="N679" s="2">
        <f>YEAR(B679)</f>
        <v>2026</v>
      </c>
      <c r="O679" t="str">
        <f>INDEX(Agences!$C:$C,MATCH(F679,Agences!$A:$A,0))</f>
        <v>Sud-Ouest</v>
      </c>
      <c r="P679" t="str">
        <f>INDEX(Produits!$C:$C,MATCH(H679,Produits!$A:$A,0))</f>
        <v>Mobilier</v>
      </c>
      <c r="Q679" s="3">
        <f>I679*INDEX(Produits!$E:$E,MATCH(H679,Produits!$A:$A,0))</f>
        <v>172.86</v>
      </c>
      <c r="R679" s="3">
        <f>L679-Q679</f>
        <v>85.13999999999999</v>
      </c>
      <c r="S679" s="2">
        <f>NETWORKDAYS(B679,C679)-1</f>
        <v>5</v>
      </c>
      <c r="T679" s="1">
        <f>WORKDAY(B679,5)</f>
        <v>46190</v>
      </c>
      <c r="U679" t="b">
        <f>C679&gt;T679</f>
        <v>0</v>
      </c>
    </row>
    <row r="680" spans="1:21" x14ac:dyDescent="0.25">
      <c r="A680" t="s">
        <v>650</v>
      </c>
      <c r="B680" s="1">
        <v>46183</v>
      </c>
      <c r="C680" s="1">
        <v>46190</v>
      </c>
      <c r="D680" t="s">
        <v>543</v>
      </c>
      <c r="E680" t="s">
        <v>130</v>
      </c>
      <c r="F680" t="s">
        <v>39</v>
      </c>
      <c r="G680" t="s">
        <v>131</v>
      </c>
      <c r="H680" t="s">
        <v>90</v>
      </c>
      <c r="I680" s="2">
        <v>10</v>
      </c>
      <c r="J680" s="3">
        <v>22.9</v>
      </c>
      <c r="K680" s="4">
        <v>0.05</v>
      </c>
      <c r="L680" s="3">
        <v>217.55</v>
      </c>
      <c r="M680" t="b">
        <v>1</v>
      </c>
      <c r="N680" s="2">
        <f>YEAR(B680)</f>
        <v>2026</v>
      </c>
      <c r="O680" t="str">
        <f>INDEX(Agences!$C:$C,MATCH(F680,Agences!$A:$A,0))</f>
        <v>Sud-Ouest</v>
      </c>
      <c r="P680" t="str">
        <f>INDEX(Produits!$C:$C,MATCH(H680,Produits!$A:$A,0))</f>
        <v>Fournitures</v>
      </c>
      <c r="Q680" s="3">
        <f>I680*INDEX(Produits!$E:$E,MATCH(H680,Produits!$A:$A,0))</f>
        <v>128.2</v>
      </c>
      <c r="R680" s="3">
        <f>L680-Q680</f>
        <v>89.35000000000002</v>
      </c>
      <c r="S680" s="2">
        <f>NETWORKDAYS(B680,C680)-1</f>
        <v>5</v>
      </c>
      <c r="T680" s="1">
        <f>WORKDAY(B680,5)</f>
        <v>46190</v>
      </c>
      <c r="U680" t="b">
        <f>C680&gt;T680</f>
        <v>0</v>
      </c>
    </row>
    <row r="681" spans="1:21" x14ac:dyDescent="0.25">
      <c r="A681" t="s">
        <v>650</v>
      </c>
      <c r="B681" s="1">
        <v>46183</v>
      </c>
      <c r="C681" s="1">
        <v>46190</v>
      </c>
      <c r="D681" t="s">
        <v>543</v>
      </c>
      <c r="E681" t="s">
        <v>130</v>
      </c>
      <c r="F681" t="s">
        <v>39</v>
      </c>
      <c r="G681" t="s">
        <v>131</v>
      </c>
      <c r="H681" t="s">
        <v>42</v>
      </c>
      <c r="I681" s="2">
        <v>4</v>
      </c>
      <c r="J681" s="3">
        <v>55</v>
      </c>
      <c r="K681" s="4">
        <v>0.05</v>
      </c>
      <c r="L681" s="3">
        <v>209</v>
      </c>
      <c r="M681" t="b">
        <v>1</v>
      </c>
      <c r="N681" s="2">
        <f>YEAR(B681)</f>
        <v>2026</v>
      </c>
      <c r="O681" t="str">
        <f>INDEX(Agences!$C:$C,MATCH(F681,Agences!$A:$A,0))</f>
        <v>Sud-Ouest</v>
      </c>
      <c r="P681" t="str">
        <f>INDEX(Produits!$C:$C,MATCH(H681,Produits!$A:$A,0))</f>
        <v>Maintenance</v>
      </c>
      <c r="Q681" s="3">
        <f>I681*INDEX(Produits!$E:$E,MATCH(H681,Produits!$A:$A,0))</f>
        <v>99</v>
      </c>
      <c r="R681" s="3">
        <f>L681-Q681</f>
        <v>110</v>
      </c>
      <c r="S681" s="2">
        <f>NETWORKDAYS(B681,C681)-1</f>
        <v>5</v>
      </c>
      <c r="T681" s="1">
        <f>WORKDAY(B681,5)</f>
        <v>46190</v>
      </c>
      <c r="U681" t="b">
        <f>C681&gt;T681</f>
        <v>0</v>
      </c>
    </row>
    <row r="682" spans="1:21" x14ac:dyDescent="0.25">
      <c r="A682" t="s">
        <v>651</v>
      </c>
      <c r="B682" s="1">
        <v>46183</v>
      </c>
      <c r="C682" s="1">
        <v>46195</v>
      </c>
      <c r="D682" t="s">
        <v>652</v>
      </c>
      <c r="E682" t="s">
        <v>229</v>
      </c>
      <c r="F682" t="s">
        <v>55</v>
      </c>
      <c r="G682" t="s">
        <v>71</v>
      </c>
      <c r="H682" t="s">
        <v>83</v>
      </c>
      <c r="I682" s="2">
        <v>1</v>
      </c>
      <c r="J682" s="3">
        <v>49</v>
      </c>
      <c r="K682" s="4">
        <v>0.08</v>
      </c>
      <c r="L682" s="3">
        <v>45.08</v>
      </c>
      <c r="M682" t="b">
        <v>1</v>
      </c>
      <c r="N682" s="2">
        <f>YEAR(B682)</f>
        <v>2026</v>
      </c>
      <c r="O682" t="str">
        <f>INDEX(Agences!$C:$C,MATCH(F682,Agences!$A:$A,0))</f>
        <v>Est</v>
      </c>
      <c r="P682" t="str">
        <f>INDEX(Produits!$C:$C,MATCH(H682,Produits!$A:$A,0))</f>
        <v>Mobilier</v>
      </c>
      <c r="Q682" s="3">
        <f>I682*INDEX(Produits!$E:$E,MATCH(H682,Produits!$A:$A,0))</f>
        <v>28.42</v>
      </c>
      <c r="R682" s="3">
        <f>L682-Q682</f>
        <v>16.659999999999997</v>
      </c>
      <c r="S682" s="2">
        <f>NETWORKDAYS(B682,C682)-1</f>
        <v>8</v>
      </c>
      <c r="T682" s="1">
        <f>WORKDAY(B682,5)</f>
        <v>46190</v>
      </c>
      <c r="U682" t="b">
        <f>C682&gt;T682</f>
        <v>1</v>
      </c>
    </row>
    <row r="683" spans="1:21" x14ac:dyDescent="0.25">
      <c r="A683" t="s">
        <v>651</v>
      </c>
      <c r="B683" s="1">
        <v>46183</v>
      </c>
      <c r="C683" s="1">
        <v>46195</v>
      </c>
      <c r="D683" t="s">
        <v>652</v>
      </c>
      <c r="E683" t="s">
        <v>229</v>
      </c>
      <c r="F683" t="s">
        <v>55</v>
      </c>
      <c r="G683" t="s">
        <v>71</v>
      </c>
      <c r="H683" t="s">
        <v>48</v>
      </c>
      <c r="I683" s="2">
        <v>1</v>
      </c>
      <c r="J683" s="3">
        <v>165</v>
      </c>
      <c r="K683" s="4">
        <v>0</v>
      </c>
      <c r="L683" s="3">
        <v>165</v>
      </c>
      <c r="M683" t="b">
        <v>1</v>
      </c>
      <c r="N683" s="2">
        <f>YEAR(B683)</f>
        <v>2026</v>
      </c>
      <c r="O683" t="str">
        <f>INDEX(Agences!$C:$C,MATCH(F683,Agences!$A:$A,0))</f>
        <v>Est</v>
      </c>
      <c r="P683" t="str">
        <f>INDEX(Produits!$C:$C,MATCH(H683,Produits!$A:$A,0))</f>
        <v>Mobilier</v>
      </c>
      <c r="Q683" s="3">
        <f>I683*INDEX(Produits!$E:$E,MATCH(H683,Produits!$A:$A,0))</f>
        <v>107.25</v>
      </c>
      <c r="R683" s="3">
        <f>L683-Q683</f>
        <v>57.75</v>
      </c>
      <c r="S683" s="2">
        <f>NETWORKDAYS(B683,C683)-1</f>
        <v>8</v>
      </c>
      <c r="T683" s="1">
        <f>WORKDAY(B683,5)</f>
        <v>46190</v>
      </c>
      <c r="U683" t="b">
        <f>C683&gt;T683</f>
        <v>1</v>
      </c>
    </row>
    <row r="684" spans="1:21" x14ac:dyDescent="0.25">
      <c r="A684" t="s">
        <v>653</v>
      </c>
      <c r="B684" s="1">
        <v>46182</v>
      </c>
      <c r="C684" s="1">
        <v>46184</v>
      </c>
      <c r="D684" t="s">
        <v>654</v>
      </c>
      <c r="E684" t="s">
        <v>87</v>
      </c>
      <c r="F684" t="s">
        <v>88</v>
      </c>
      <c r="G684" t="s">
        <v>89</v>
      </c>
      <c r="H684" t="s">
        <v>162</v>
      </c>
      <c r="I684" s="2">
        <v>5</v>
      </c>
      <c r="J684" s="3">
        <v>289</v>
      </c>
      <c r="K684" s="4">
        <v>0</v>
      </c>
      <c r="L684" s="3">
        <v>1445</v>
      </c>
      <c r="M684" t="b">
        <v>1</v>
      </c>
      <c r="N684" s="2">
        <f>YEAR(B684)</f>
        <v>2026</v>
      </c>
      <c r="O684" t="str">
        <f>INDEX(Agences!$C:$C,MATCH(F684,Agences!$A:$A,0))</f>
        <v>Sud-Ouest</v>
      </c>
      <c r="P684" t="str">
        <f>INDEX(Produits!$C:$C,MATCH(H684,Produits!$A:$A,0))</f>
        <v>Mobilier</v>
      </c>
      <c r="Q684" s="3">
        <f>I684*INDEX(Produits!$E:$E,MATCH(H684,Produits!$A:$A,0))</f>
        <v>968.15</v>
      </c>
      <c r="R684" s="3">
        <f>L684-Q684</f>
        <v>476.85</v>
      </c>
      <c r="S684" s="2">
        <f>NETWORKDAYS(B684,C684)-1</f>
        <v>2</v>
      </c>
      <c r="T684" s="1">
        <f>WORKDAY(B684,5)</f>
        <v>46189</v>
      </c>
      <c r="U684" t="b">
        <f>C684&gt;T684</f>
        <v>0</v>
      </c>
    </row>
    <row r="685" spans="1:21" x14ac:dyDescent="0.25">
      <c r="A685" t="s">
        <v>653</v>
      </c>
      <c r="B685" s="1">
        <v>46182</v>
      </c>
      <c r="C685" s="1">
        <v>46184</v>
      </c>
      <c r="D685" t="s">
        <v>654</v>
      </c>
      <c r="E685" t="s">
        <v>87</v>
      </c>
      <c r="F685" t="s">
        <v>88</v>
      </c>
      <c r="G685" t="s">
        <v>89</v>
      </c>
      <c r="H685" t="s">
        <v>64</v>
      </c>
      <c r="I685" s="2">
        <v>5</v>
      </c>
      <c r="J685" s="3">
        <v>16.8</v>
      </c>
      <c r="K685" s="4">
        <v>0</v>
      </c>
      <c r="L685" s="3">
        <v>84</v>
      </c>
      <c r="M685" t="b">
        <v>1</v>
      </c>
      <c r="N685" s="2">
        <f>YEAR(B685)</f>
        <v>2026</v>
      </c>
      <c r="O685" t="str">
        <f>INDEX(Agences!$C:$C,MATCH(F685,Agences!$A:$A,0))</f>
        <v>Sud-Ouest</v>
      </c>
      <c r="P685" t="str">
        <f>INDEX(Produits!$C:$C,MATCH(H685,Produits!$A:$A,0))</f>
        <v>Fournitures</v>
      </c>
      <c r="Q685" s="3">
        <f>I685*INDEX(Produits!$E:$E,MATCH(H685,Produits!$A:$A,0))</f>
        <v>43.7</v>
      </c>
      <c r="R685" s="3">
        <f>L685-Q685</f>
        <v>40.3</v>
      </c>
      <c r="S685" s="2">
        <f>NETWORKDAYS(B685,C685)-1</f>
        <v>2</v>
      </c>
      <c r="T685" s="1">
        <f>WORKDAY(B685,5)</f>
        <v>46189</v>
      </c>
      <c r="U685" t="b">
        <f>C685&gt;T685</f>
        <v>0</v>
      </c>
    </row>
    <row r="686" spans="1:21" x14ac:dyDescent="0.25">
      <c r="A686" t="s">
        <v>653</v>
      </c>
      <c r="B686" s="1">
        <v>46182</v>
      </c>
      <c r="C686" s="1">
        <v>46184</v>
      </c>
      <c r="D686" t="s">
        <v>654</v>
      </c>
      <c r="E686" t="s">
        <v>87</v>
      </c>
      <c r="F686" t="s">
        <v>88</v>
      </c>
      <c r="G686" t="s">
        <v>89</v>
      </c>
      <c r="H686" t="s">
        <v>48</v>
      </c>
      <c r="I686" s="2">
        <v>1</v>
      </c>
      <c r="J686" s="3">
        <v>165</v>
      </c>
      <c r="K686" s="4">
        <v>0</v>
      </c>
      <c r="L686" s="3">
        <v>165</v>
      </c>
      <c r="M686" t="b">
        <v>1</v>
      </c>
      <c r="N686" s="2">
        <f>YEAR(B686)</f>
        <v>2026</v>
      </c>
      <c r="O686" t="str">
        <f>INDEX(Agences!$C:$C,MATCH(F686,Agences!$A:$A,0))</f>
        <v>Sud-Ouest</v>
      </c>
      <c r="P686" t="str">
        <f>INDEX(Produits!$C:$C,MATCH(H686,Produits!$A:$A,0))</f>
        <v>Mobilier</v>
      </c>
      <c r="Q686" s="3">
        <f>I686*INDEX(Produits!$E:$E,MATCH(H686,Produits!$A:$A,0))</f>
        <v>107.25</v>
      </c>
      <c r="R686" s="3">
        <f>L686-Q686</f>
        <v>57.75</v>
      </c>
      <c r="S686" s="2">
        <f>NETWORKDAYS(B686,C686)-1</f>
        <v>2</v>
      </c>
      <c r="T686" s="1">
        <f>WORKDAY(B686,5)</f>
        <v>46189</v>
      </c>
      <c r="U686" t="b">
        <f>C686&gt;T686</f>
        <v>0</v>
      </c>
    </row>
    <row r="687" spans="1:21" x14ac:dyDescent="0.25">
      <c r="A687" t="s">
        <v>655</v>
      </c>
      <c r="B687" s="1">
        <v>46181</v>
      </c>
      <c r="C687" s="1">
        <v>46185</v>
      </c>
      <c r="D687" t="s">
        <v>656</v>
      </c>
      <c r="E687" t="s">
        <v>122</v>
      </c>
      <c r="F687" t="s">
        <v>24</v>
      </c>
      <c r="G687" t="s">
        <v>25</v>
      </c>
      <c r="H687" t="s">
        <v>319</v>
      </c>
      <c r="I687" s="2">
        <v>2</v>
      </c>
      <c r="J687" s="3">
        <v>289</v>
      </c>
      <c r="K687" s="4">
        <v>0.08</v>
      </c>
      <c r="L687" s="3">
        <v>531.76</v>
      </c>
      <c r="M687" t="b">
        <v>1</v>
      </c>
      <c r="N687" s="2">
        <f>YEAR(B687)</f>
        <v>2026</v>
      </c>
      <c r="O687" t="str">
        <f>INDEX(Agences!$C:$C,MATCH(F687,Agences!$A:$A,0))</f>
        <v>Nord</v>
      </c>
      <c r="P687" t="str">
        <f>INDEX(Produits!$C:$C,MATCH(H687,Produits!$A:$A,0))</f>
        <v>Informatique</v>
      </c>
      <c r="Q687" s="3">
        <f>I687*INDEX(Produits!$E:$E,MATCH(H687,Produits!$A:$A,0))</f>
        <v>427.72</v>
      </c>
      <c r="R687" s="3">
        <f>L687-Q687</f>
        <v>104.03999999999996</v>
      </c>
      <c r="S687" s="2">
        <f>NETWORKDAYS(B687,C687)-1</f>
        <v>4</v>
      </c>
      <c r="T687" s="1">
        <f>WORKDAY(B687,5)</f>
        <v>46188</v>
      </c>
      <c r="U687" t="b">
        <f>C687&gt;T687</f>
        <v>0</v>
      </c>
    </row>
    <row r="688" spans="1:21" x14ac:dyDescent="0.25">
      <c r="A688" t="s">
        <v>655</v>
      </c>
      <c r="B688" s="1">
        <v>46181</v>
      </c>
      <c r="C688" s="1">
        <v>46185</v>
      </c>
      <c r="D688" t="s">
        <v>656</v>
      </c>
      <c r="E688" t="s">
        <v>122</v>
      </c>
      <c r="F688" t="s">
        <v>24</v>
      </c>
      <c r="G688" t="s">
        <v>25</v>
      </c>
      <c r="H688" t="s">
        <v>49</v>
      </c>
      <c r="I688" s="2">
        <v>2</v>
      </c>
      <c r="J688" s="3">
        <v>120</v>
      </c>
      <c r="K688" s="4">
        <v>0</v>
      </c>
      <c r="L688" s="3">
        <v>240</v>
      </c>
      <c r="M688" t="b">
        <v>1</v>
      </c>
      <c r="N688" s="2">
        <f>YEAR(B688)</f>
        <v>2026</v>
      </c>
      <c r="O688" t="str">
        <f>INDEX(Agences!$C:$C,MATCH(F688,Agences!$A:$A,0))</f>
        <v>Nord</v>
      </c>
      <c r="P688" t="str">
        <f>INDEX(Produits!$C:$C,MATCH(H688,Produits!$A:$A,0))</f>
        <v>Maintenance</v>
      </c>
      <c r="Q688" s="3">
        <f>I688*INDEX(Produits!$E:$E,MATCH(H688,Produits!$A:$A,0))</f>
        <v>110.4</v>
      </c>
      <c r="R688" s="3">
        <f>L688-Q688</f>
        <v>129.6</v>
      </c>
      <c r="S688" s="2">
        <f>NETWORKDAYS(B688,C688)-1</f>
        <v>4</v>
      </c>
      <c r="T688" s="1">
        <f>WORKDAY(B688,5)</f>
        <v>46188</v>
      </c>
      <c r="U688" t="b">
        <f>C688&gt;T688</f>
        <v>0</v>
      </c>
    </row>
    <row r="689" spans="1:21" x14ac:dyDescent="0.25">
      <c r="A689" t="s">
        <v>655</v>
      </c>
      <c r="B689" s="1">
        <v>46181</v>
      </c>
      <c r="C689" s="1">
        <v>46185</v>
      </c>
      <c r="D689" t="s">
        <v>656</v>
      </c>
      <c r="E689" t="s">
        <v>122</v>
      </c>
      <c r="F689" t="s">
        <v>24</v>
      </c>
      <c r="G689" t="s">
        <v>25</v>
      </c>
      <c r="H689" t="s">
        <v>33</v>
      </c>
      <c r="I689" s="2">
        <v>1</v>
      </c>
      <c r="J689" s="3">
        <v>219</v>
      </c>
      <c r="K689" s="4">
        <v>0.1</v>
      </c>
      <c r="L689" s="3">
        <v>197.1</v>
      </c>
      <c r="M689" t="b">
        <v>1</v>
      </c>
      <c r="N689" s="2">
        <f>YEAR(B689)</f>
        <v>2026</v>
      </c>
      <c r="O689" t="str">
        <f>INDEX(Agences!$C:$C,MATCH(F689,Agences!$A:$A,0))</f>
        <v>Nord</v>
      </c>
      <c r="P689" t="str">
        <f>INDEX(Produits!$C:$C,MATCH(H689,Produits!$A:$A,0))</f>
        <v>Informatique</v>
      </c>
      <c r="Q689" s="3">
        <f>I689*INDEX(Produits!$E:$E,MATCH(H689,Produits!$A:$A,0))</f>
        <v>179.58</v>
      </c>
      <c r="R689" s="3">
        <f>L689-Q689</f>
        <v>17.519999999999982</v>
      </c>
      <c r="S689" s="2">
        <f>NETWORKDAYS(B689,C689)-1</f>
        <v>4</v>
      </c>
      <c r="T689" s="1">
        <f>WORKDAY(B689,5)</f>
        <v>46188</v>
      </c>
      <c r="U689" t="b">
        <f>C689&gt;T689</f>
        <v>0</v>
      </c>
    </row>
    <row r="690" spans="1:21" x14ac:dyDescent="0.25">
      <c r="A690" t="s">
        <v>655</v>
      </c>
      <c r="B690" s="1">
        <v>46181</v>
      </c>
      <c r="C690" s="1">
        <v>46185</v>
      </c>
      <c r="D690" t="s">
        <v>656</v>
      </c>
      <c r="E690" t="s">
        <v>122</v>
      </c>
      <c r="F690" t="s">
        <v>24</v>
      </c>
      <c r="G690" t="s">
        <v>25</v>
      </c>
      <c r="H690" t="s">
        <v>42</v>
      </c>
      <c r="I690" s="2">
        <v>1</v>
      </c>
      <c r="J690" s="3">
        <v>55</v>
      </c>
      <c r="K690" s="4">
        <v>0.08</v>
      </c>
      <c r="L690" s="3">
        <v>50.6</v>
      </c>
      <c r="M690" t="b">
        <v>1</v>
      </c>
      <c r="N690" s="2">
        <f>YEAR(B690)</f>
        <v>2026</v>
      </c>
      <c r="O690" t="str">
        <f>INDEX(Agences!$C:$C,MATCH(F690,Agences!$A:$A,0))</f>
        <v>Nord</v>
      </c>
      <c r="P690" t="str">
        <f>INDEX(Produits!$C:$C,MATCH(H690,Produits!$A:$A,0))</f>
        <v>Maintenance</v>
      </c>
      <c r="Q690" s="3">
        <f>I690*INDEX(Produits!$E:$E,MATCH(H690,Produits!$A:$A,0))</f>
        <v>24.75</v>
      </c>
      <c r="R690" s="3">
        <f>L690-Q690</f>
        <v>25.85</v>
      </c>
      <c r="S690" s="2">
        <f>NETWORKDAYS(B690,C690)-1</f>
        <v>4</v>
      </c>
      <c r="T690" s="1">
        <f>WORKDAY(B690,5)</f>
        <v>46188</v>
      </c>
      <c r="U690" t="b">
        <f>C690&gt;T690</f>
        <v>0</v>
      </c>
    </row>
    <row r="691" spans="1:21" x14ac:dyDescent="0.25">
      <c r="A691" t="s">
        <v>657</v>
      </c>
      <c r="B691" s="1">
        <v>46181</v>
      </c>
      <c r="C691" s="1">
        <v>46185</v>
      </c>
      <c r="D691" t="s">
        <v>136</v>
      </c>
      <c r="E691" t="s">
        <v>137</v>
      </c>
      <c r="F691" t="s">
        <v>138</v>
      </c>
      <c r="G691" t="s">
        <v>220</v>
      </c>
      <c r="H691" t="s">
        <v>49</v>
      </c>
      <c r="I691" s="2">
        <v>1</v>
      </c>
      <c r="J691" s="3">
        <v>120</v>
      </c>
      <c r="K691" s="4">
        <v>0.05</v>
      </c>
      <c r="L691" s="3">
        <v>114</v>
      </c>
      <c r="M691" t="b">
        <v>1</v>
      </c>
      <c r="N691" s="2">
        <f>YEAR(B691)</f>
        <v>2026</v>
      </c>
      <c r="O691" t="str">
        <f>INDEX(Agences!$C:$C,MATCH(F691,Agences!$A:$A,0))</f>
        <v>Île-de-France</v>
      </c>
      <c r="P691" t="str">
        <f>INDEX(Produits!$C:$C,MATCH(H691,Produits!$A:$A,0))</f>
        <v>Maintenance</v>
      </c>
      <c r="Q691" s="3">
        <f>I691*INDEX(Produits!$E:$E,MATCH(H691,Produits!$A:$A,0))</f>
        <v>55.2</v>
      </c>
      <c r="R691" s="3">
        <f>L691-Q691</f>
        <v>58.8</v>
      </c>
      <c r="S691" s="2">
        <f>NETWORKDAYS(B691,C691)-1</f>
        <v>4</v>
      </c>
      <c r="T691" s="1">
        <f>WORKDAY(B691,5)</f>
        <v>46188</v>
      </c>
      <c r="U691" t="b">
        <f>C691&gt;T691</f>
        <v>0</v>
      </c>
    </row>
    <row r="692" spans="1:21" x14ac:dyDescent="0.25">
      <c r="A692" t="s">
        <v>657</v>
      </c>
      <c r="B692" s="1">
        <v>46181</v>
      </c>
      <c r="C692" s="1">
        <v>46185</v>
      </c>
      <c r="D692" t="s">
        <v>136</v>
      </c>
      <c r="E692" t="s">
        <v>137</v>
      </c>
      <c r="F692" t="s">
        <v>138</v>
      </c>
      <c r="G692" t="s">
        <v>220</v>
      </c>
      <c r="H692" t="s">
        <v>26</v>
      </c>
      <c r="I692" s="2">
        <v>2</v>
      </c>
      <c r="J692" s="3">
        <v>290</v>
      </c>
      <c r="K692" s="4">
        <v>0</v>
      </c>
      <c r="L692" s="3">
        <v>580</v>
      </c>
      <c r="M692" t="b">
        <v>1</v>
      </c>
      <c r="N692" s="2">
        <f>YEAR(B692)</f>
        <v>2026</v>
      </c>
      <c r="O692" t="str">
        <f>INDEX(Agences!$C:$C,MATCH(F692,Agences!$A:$A,0))</f>
        <v>Île-de-France</v>
      </c>
      <c r="P692" t="str">
        <f>INDEX(Produits!$C:$C,MATCH(H692,Produits!$A:$A,0))</f>
        <v>Maintenance</v>
      </c>
      <c r="Q692" s="3">
        <f>I692*INDEX(Produits!$E:$E,MATCH(H692,Produits!$A:$A,0))</f>
        <v>278.4</v>
      </c>
      <c r="R692" s="3">
        <f>L692-Q692</f>
        <v>301.6</v>
      </c>
      <c r="S692" s="2">
        <f>NETWORKDAYS(B692,C692)-1</f>
        <v>4</v>
      </c>
      <c r="T692" s="1">
        <f>WORKDAY(B692,5)</f>
        <v>46188</v>
      </c>
      <c r="U692" t="b">
        <f>C692&gt;T692</f>
        <v>0</v>
      </c>
    </row>
    <row r="693" spans="1:21" x14ac:dyDescent="0.25">
      <c r="A693" t="s">
        <v>657</v>
      </c>
      <c r="B693" s="1">
        <v>46181</v>
      </c>
      <c r="C693" s="1">
        <v>46185</v>
      </c>
      <c r="D693" t="s">
        <v>136</v>
      </c>
      <c r="E693" t="s">
        <v>137</v>
      </c>
      <c r="F693" t="s">
        <v>138</v>
      </c>
      <c r="G693" t="s">
        <v>220</v>
      </c>
      <c r="H693" t="s">
        <v>103</v>
      </c>
      <c r="I693" s="2">
        <v>2</v>
      </c>
      <c r="J693" s="3">
        <v>245</v>
      </c>
      <c r="K693" s="4">
        <v>0.08</v>
      </c>
      <c r="L693" s="3">
        <v>450.8</v>
      </c>
      <c r="M693" t="b">
        <v>1</v>
      </c>
      <c r="N693" s="2">
        <f>YEAR(B693)</f>
        <v>2026</v>
      </c>
      <c r="O693" t="str">
        <f>INDEX(Agences!$C:$C,MATCH(F693,Agences!$A:$A,0))</f>
        <v>Île-de-France</v>
      </c>
      <c r="P693" t="str">
        <f>INDEX(Produits!$C:$C,MATCH(H693,Produits!$A:$A,0))</f>
        <v>Mobilier</v>
      </c>
      <c r="Q693" s="3">
        <f>I693*INDEX(Produits!$E:$E,MATCH(H693,Produits!$A:$A,0))</f>
        <v>328.3</v>
      </c>
      <c r="R693" s="3">
        <f>L693-Q693</f>
        <v>122.5</v>
      </c>
      <c r="S693" s="2">
        <f>NETWORKDAYS(B693,C693)-1</f>
        <v>4</v>
      </c>
      <c r="T693" s="1">
        <f>WORKDAY(B693,5)</f>
        <v>46188</v>
      </c>
      <c r="U693" t="b">
        <f>C693&gt;T693</f>
        <v>0</v>
      </c>
    </row>
    <row r="694" spans="1:21" x14ac:dyDescent="0.25">
      <c r="A694" t="s">
        <v>657</v>
      </c>
      <c r="B694" s="1">
        <v>46181</v>
      </c>
      <c r="C694" s="1">
        <v>46185</v>
      </c>
      <c r="D694" t="s">
        <v>136</v>
      </c>
      <c r="E694" t="s">
        <v>137</v>
      </c>
      <c r="F694" t="s">
        <v>138</v>
      </c>
      <c r="G694" t="s">
        <v>220</v>
      </c>
      <c r="H694" t="s">
        <v>42</v>
      </c>
      <c r="I694" s="2">
        <v>1</v>
      </c>
      <c r="J694" s="3">
        <v>55</v>
      </c>
      <c r="K694" s="4">
        <v>0.02</v>
      </c>
      <c r="L694" s="3">
        <v>53.9</v>
      </c>
      <c r="M694" t="b">
        <v>1</v>
      </c>
      <c r="N694" s="2">
        <f>YEAR(B694)</f>
        <v>2026</v>
      </c>
      <c r="O694" t="str">
        <f>INDEX(Agences!$C:$C,MATCH(F694,Agences!$A:$A,0))</f>
        <v>Île-de-France</v>
      </c>
      <c r="P694" t="str">
        <f>INDEX(Produits!$C:$C,MATCH(H694,Produits!$A:$A,0))</f>
        <v>Maintenance</v>
      </c>
      <c r="Q694" s="3">
        <f>I694*INDEX(Produits!$E:$E,MATCH(H694,Produits!$A:$A,0))</f>
        <v>24.75</v>
      </c>
      <c r="R694" s="3">
        <f>L694-Q694</f>
        <v>29.15</v>
      </c>
      <c r="S694" s="2">
        <f>NETWORKDAYS(B694,C694)-1</f>
        <v>4</v>
      </c>
      <c r="T694" s="1">
        <f>WORKDAY(B694,5)</f>
        <v>46188</v>
      </c>
      <c r="U694" t="b">
        <f>C694&gt;T694</f>
        <v>0</v>
      </c>
    </row>
    <row r="695" spans="1:21" x14ac:dyDescent="0.25">
      <c r="A695" t="s">
        <v>658</v>
      </c>
      <c r="B695" s="1">
        <v>46181</v>
      </c>
      <c r="C695" s="1">
        <v>46183</v>
      </c>
      <c r="D695" t="s">
        <v>216</v>
      </c>
      <c r="E695" t="s">
        <v>202</v>
      </c>
      <c r="F695" t="s">
        <v>138</v>
      </c>
      <c r="G695" t="s">
        <v>220</v>
      </c>
      <c r="H695" t="s">
        <v>196</v>
      </c>
      <c r="I695" s="2">
        <v>20</v>
      </c>
      <c r="J695" s="3">
        <v>18.5</v>
      </c>
      <c r="K695" s="4">
        <v>0</v>
      </c>
      <c r="L695" s="3">
        <v>370</v>
      </c>
      <c r="M695" t="b">
        <v>1</v>
      </c>
      <c r="N695" s="2">
        <f>YEAR(B695)</f>
        <v>2026</v>
      </c>
      <c r="O695" t="str">
        <f>INDEX(Agences!$C:$C,MATCH(F695,Agences!$A:$A,0))</f>
        <v>Île-de-France</v>
      </c>
      <c r="P695" t="str">
        <f>INDEX(Produits!$C:$C,MATCH(H695,Produits!$A:$A,0))</f>
        <v>Fournitures</v>
      </c>
      <c r="Q695" s="3">
        <f>I695*INDEX(Produits!$E:$E,MATCH(H695,Produits!$A:$A,0))</f>
        <v>188.79999999999998</v>
      </c>
      <c r="R695" s="3">
        <f>L695-Q695</f>
        <v>181.20000000000002</v>
      </c>
      <c r="S695" s="2">
        <f>NETWORKDAYS(B695,C695)-1</f>
        <v>2</v>
      </c>
      <c r="T695" s="1">
        <f>WORKDAY(B695,5)</f>
        <v>46188</v>
      </c>
      <c r="U695" t="b">
        <f>C695&gt;T695</f>
        <v>0</v>
      </c>
    </row>
    <row r="696" spans="1:21" x14ac:dyDescent="0.25">
      <c r="A696" t="s">
        <v>658</v>
      </c>
      <c r="B696" s="1">
        <v>46181</v>
      </c>
      <c r="C696" s="1">
        <v>46183</v>
      </c>
      <c r="D696" t="s">
        <v>216</v>
      </c>
      <c r="E696" t="s">
        <v>202</v>
      </c>
      <c r="F696" t="s">
        <v>138</v>
      </c>
      <c r="G696" t="s">
        <v>220</v>
      </c>
      <c r="H696" t="s">
        <v>107</v>
      </c>
      <c r="I696" s="2">
        <v>4</v>
      </c>
      <c r="J696" s="3">
        <v>99</v>
      </c>
      <c r="K696" s="4">
        <v>0.08</v>
      </c>
      <c r="L696" s="3">
        <v>364.32</v>
      </c>
      <c r="M696" t="b">
        <v>1</v>
      </c>
      <c r="N696" s="2">
        <f>YEAR(B696)</f>
        <v>2026</v>
      </c>
      <c r="O696" t="str">
        <f>INDEX(Agences!$C:$C,MATCH(F696,Agences!$A:$A,0))</f>
        <v>Île-de-France</v>
      </c>
      <c r="P696" t="str">
        <f>INDEX(Produits!$C:$C,MATCH(H696,Produits!$A:$A,0))</f>
        <v>Informatique</v>
      </c>
      <c r="Q696" s="3">
        <f>I696*INDEX(Produits!$E:$E,MATCH(H696,Produits!$A:$A,0))</f>
        <v>300.96</v>
      </c>
      <c r="R696" s="3">
        <f>L696-Q696</f>
        <v>63.360000000000014</v>
      </c>
      <c r="S696" s="2">
        <f>NETWORKDAYS(B696,C696)-1</f>
        <v>2</v>
      </c>
      <c r="T696" s="1">
        <f>WORKDAY(B696,5)</f>
        <v>46188</v>
      </c>
      <c r="U696" t="b">
        <f>C696&gt;T696</f>
        <v>0</v>
      </c>
    </row>
    <row r="697" spans="1:21" x14ac:dyDescent="0.25">
      <c r="A697" t="s">
        <v>658</v>
      </c>
      <c r="B697" s="1">
        <v>46181</v>
      </c>
      <c r="C697" s="1">
        <v>46183</v>
      </c>
      <c r="D697" t="s">
        <v>216</v>
      </c>
      <c r="E697" t="s">
        <v>202</v>
      </c>
      <c r="F697" t="s">
        <v>138</v>
      </c>
      <c r="G697" t="s">
        <v>220</v>
      </c>
      <c r="H697" t="s">
        <v>127</v>
      </c>
      <c r="I697" s="2">
        <v>2</v>
      </c>
      <c r="J697" s="3">
        <v>649</v>
      </c>
      <c r="K697" s="4">
        <v>0</v>
      </c>
      <c r="L697" s="3">
        <v>1298</v>
      </c>
      <c r="M697" t="b">
        <v>1</v>
      </c>
      <c r="N697" s="2">
        <f>YEAR(B697)</f>
        <v>2026</v>
      </c>
      <c r="O697" t="str">
        <f>INDEX(Agences!$C:$C,MATCH(F697,Agences!$A:$A,0))</f>
        <v>Île-de-France</v>
      </c>
      <c r="P697" t="str">
        <f>INDEX(Produits!$C:$C,MATCH(H697,Produits!$A:$A,0))</f>
        <v>Informatique</v>
      </c>
      <c r="Q697" s="3">
        <f>I697*INDEX(Produits!$E:$E,MATCH(H697,Produits!$A:$A,0))</f>
        <v>960.52</v>
      </c>
      <c r="R697" s="3">
        <f>L697-Q697</f>
        <v>337.48</v>
      </c>
      <c r="S697" s="2">
        <f>NETWORKDAYS(B697,C697)-1</f>
        <v>2</v>
      </c>
      <c r="T697" s="1">
        <f>WORKDAY(B697,5)</f>
        <v>46188</v>
      </c>
      <c r="U697" t="b">
        <f>C697&gt;T697</f>
        <v>0</v>
      </c>
    </row>
    <row r="698" spans="1:21" x14ac:dyDescent="0.25">
      <c r="A698" t="s">
        <v>658</v>
      </c>
      <c r="B698" s="1">
        <v>46181</v>
      </c>
      <c r="C698" s="1">
        <v>46183</v>
      </c>
      <c r="D698" t="s">
        <v>216</v>
      </c>
      <c r="E698" t="s">
        <v>202</v>
      </c>
      <c r="F698" t="s">
        <v>138</v>
      </c>
      <c r="G698" t="s">
        <v>220</v>
      </c>
      <c r="H698" t="s">
        <v>57</v>
      </c>
      <c r="I698" s="2">
        <v>1</v>
      </c>
      <c r="J698" s="3">
        <v>149</v>
      </c>
      <c r="K698" s="4">
        <v>0.05</v>
      </c>
      <c r="L698" s="3">
        <v>141.55</v>
      </c>
      <c r="M698" t="b">
        <v>1</v>
      </c>
      <c r="N698" s="2">
        <f>YEAR(B698)</f>
        <v>2026</v>
      </c>
      <c r="O698" t="str">
        <f>INDEX(Agences!$C:$C,MATCH(F698,Agences!$A:$A,0))</f>
        <v>Île-de-France</v>
      </c>
      <c r="P698" t="str">
        <f>INDEX(Produits!$C:$C,MATCH(H698,Produits!$A:$A,0))</f>
        <v>Informatique</v>
      </c>
      <c r="Q698" s="3">
        <f>I698*INDEX(Produits!$E:$E,MATCH(H698,Produits!$A:$A,0))</f>
        <v>114.73</v>
      </c>
      <c r="R698" s="3">
        <f>L698-Q698</f>
        <v>26.820000000000007</v>
      </c>
      <c r="S698" s="2">
        <f>NETWORKDAYS(B698,C698)-1</f>
        <v>2</v>
      </c>
      <c r="T698" s="1">
        <f>WORKDAY(B698,5)</f>
        <v>46188</v>
      </c>
      <c r="U698" t="b">
        <f>C698&gt;T698</f>
        <v>0</v>
      </c>
    </row>
    <row r="699" spans="1:21" x14ac:dyDescent="0.25">
      <c r="A699" t="s">
        <v>659</v>
      </c>
      <c r="B699" s="1">
        <v>46181</v>
      </c>
      <c r="C699" s="1">
        <v>46184</v>
      </c>
      <c r="D699" t="s">
        <v>660</v>
      </c>
      <c r="E699" t="s">
        <v>256</v>
      </c>
      <c r="F699" t="s">
        <v>88</v>
      </c>
      <c r="G699" t="s">
        <v>226</v>
      </c>
      <c r="H699" t="s">
        <v>33</v>
      </c>
      <c r="I699" s="2">
        <v>1</v>
      </c>
      <c r="J699" s="3">
        <v>219</v>
      </c>
      <c r="K699" s="4">
        <v>0.02</v>
      </c>
      <c r="L699" s="3">
        <v>214.62</v>
      </c>
      <c r="M699" t="b">
        <v>1</v>
      </c>
      <c r="N699" s="2">
        <f>YEAR(B699)</f>
        <v>2026</v>
      </c>
      <c r="O699" t="str">
        <f>INDEX(Agences!$C:$C,MATCH(F699,Agences!$A:$A,0))</f>
        <v>Sud-Ouest</v>
      </c>
      <c r="P699" t="str">
        <f>INDEX(Produits!$C:$C,MATCH(H699,Produits!$A:$A,0))</f>
        <v>Informatique</v>
      </c>
      <c r="Q699" s="3">
        <f>I699*INDEX(Produits!$E:$E,MATCH(H699,Produits!$A:$A,0))</f>
        <v>179.58</v>
      </c>
      <c r="R699" s="3">
        <f>L699-Q699</f>
        <v>35.03999999999999</v>
      </c>
      <c r="S699" s="2">
        <f>NETWORKDAYS(B699,C699)-1</f>
        <v>3</v>
      </c>
      <c r="T699" s="1">
        <f>WORKDAY(B699,5)</f>
        <v>46188</v>
      </c>
      <c r="U699" t="b">
        <f>C699&gt;T699</f>
        <v>0</v>
      </c>
    </row>
    <row r="700" spans="1:21" x14ac:dyDescent="0.25">
      <c r="A700" t="s">
        <v>661</v>
      </c>
      <c r="B700" s="1">
        <v>46178</v>
      </c>
      <c r="C700" s="1">
        <v>46182</v>
      </c>
      <c r="D700" t="s">
        <v>662</v>
      </c>
      <c r="E700" t="s">
        <v>75</v>
      </c>
      <c r="F700" t="s">
        <v>76</v>
      </c>
      <c r="G700" t="s">
        <v>232</v>
      </c>
      <c r="H700" t="s">
        <v>50</v>
      </c>
      <c r="I700" s="2">
        <v>2</v>
      </c>
      <c r="J700" s="3">
        <v>69</v>
      </c>
      <c r="K700" s="4">
        <v>0.05</v>
      </c>
      <c r="L700" s="3">
        <v>131.1</v>
      </c>
      <c r="M700" t="b">
        <v>1</v>
      </c>
      <c r="N700" s="2">
        <f>YEAR(B700)</f>
        <v>2026</v>
      </c>
      <c r="O700" t="str">
        <f>INDEX(Agences!$C:$C,MATCH(F700,Agences!$A:$A,0))</f>
        <v>Île-de-France</v>
      </c>
      <c r="P700" t="str">
        <f>INDEX(Produits!$C:$C,MATCH(H700,Produits!$A:$A,0))</f>
        <v>Informatique</v>
      </c>
      <c r="Q700" s="3">
        <f>I700*INDEX(Produits!$E:$E,MATCH(H700,Produits!$A:$A,0))</f>
        <v>109.02</v>
      </c>
      <c r="R700" s="3">
        <f>L700-Q700</f>
        <v>22.08</v>
      </c>
      <c r="S700" s="2">
        <f>NETWORKDAYS(B700,C700)-1</f>
        <v>2</v>
      </c>
      <c r="T700" s="1">
        <f>WORKDAY(B700,5)</f>
        <v>46185</v>
      </c>
      <c r="U700" t="b">
        <f>C700&gt;T700</f>
        <v>0</v>
      </c>
    </row>
    <row r="701" spans="1:21" x14ac:dyDescent="0.25">
      <c r="A701" t="s">
        <v>661</v>
      </c>
      <c r="B701" s="1">
        <v>46178</v>
      </c>
      <c r="C701" s="1">
        <v>46182</v>
      </c>
      <c r="D701" t="s">
        <v>662</v>
      </c>
      <c r="E701" t="s">
        <v>75</v>
      </c>
      <c r="F701" t="s">
        <v>76</v>
      </c>
      <c r="G701" t="s">
        <v>232</v>
      </c>
      <c r="H701" t="s">
        <v>205</v>
      </c>
      <c r="I701" s="2">
        <v>4</v>
      </c>
      <c r="J701" s="3">
        <v>359</v>
      </c>
      <c r="K701" s="4">
        <v>0</v>
      </c>
      <c r="L701" s="3">
        <v>1436</v>
      </c>
      <c r="M701" t="b">
        <v>1</v>
      </c>
      <c r="N701" s="2">
        <f>YEAR(B701)</f>
        <v>2026</v>
      </c>
      <c r="O701" t="str">
        <f>INDEX(Agences!$C:$C,MATCH(F701,Agences!$A:$A,0))</f>
        <v>Île-de-France</v>
      </c>
      <c r="P701" t="str">
        <f>INDEX(Produits!$C:$C,MATCH(H701,Produits!$A:$A,0))</f>
        <v>Mobilier</v>
      </c>
      <c r="Q701" s="3">
        <f>I701*INDEX(Produits!$E:$E,MATCH(H701,Produits!$A:$A,0))</f>
        <v>818.52</v>
      </c>
      <c r="R701" s="3">
        <f>L701-Q701</f>
        <v>617.48</v>
      </c>
      <c r="S701" s="2">
        <f>NETWORKDAYS(B701,C701)-1</f>
        <v>2</v>
      </c>
      <c r="T701" s="1">
        <f>WORKDAY(B701,5)</f>
        <v>46185</v>
      </c>
      <c r="U701" t="b">
        <f>C701&gt;T701</f>
        <v>0</v>
      </c>
    </row>
    <row r="702" spans="1:21" x14ac:dyDescent="0.25">
      <c r="A702" t="s">
        <v>661</v>
      </c>
      <c r="B702" s="1">
        <v>46178</v>
      </c>
      <c r="C702" s="1">
        <v>46182</v>
      </c>
      <c r="D702" t="s">
        <v>662</v>
      </c>
      <c r="E702" t="s">
        <v>75</v>
      </c>
      <c r="F702" t="s">
        <v>76</v>
      </c>
      <c r="G702" t="s">
        <v>232</v>
      </c>
      <c r="H702" t="s">
        <v>48</v>
      </c>
      <c r="I702" s="2">
        <v>3</v>
      </c>
      <c r="J702" s="3">
        <v>165</v>
      </c>
      <c r="K702" s="4">
        <v>0.08</v>
      </c>
      <c r="L702" s="3">
        <v>455.4</v>
      </c>
      <c r="M702" t="b">
        <v>1</v>
      </c>
      <c r="N702" s="2">
        <f>YEAR(B702)</f>
        <v>2026</v>
      </c>
      <c r="O702" t="str">
        <f>INDEX(Agences!$C:$C,MATCH(F702,Agences!$A:$A,0))</f>
        <v>Île-de-France</v>
      </c>
      <c r="P702" t="str">
        <f>INDEX(Produits!$C:$C,MATCH(H702,Produits!$A:$A,0))</f>
        <v>Mobilier</v>
      </c>
      <c r="Q702" s="3">
        <f>I702*INDEX(Produits!$E:$E,MATCH(H702,Produits!$A:$A,0))</f>
        <v>321.75</v>
      </c>
      <c r="R702" s="3">
        <f>L702-Q702</f>
        <v>133.64999999999998</v>
      </c>
      <c r="S702" s="2">
        <f>NETWORKDAYS(B702,C702)-1</f>
        <v>2</v>
      </c>
      <c r="T702" s="1">
        <f>WORKDAY(B702,5)</f>
        <v>46185</v>
      </c>
      <c r="U702" t="b">
        <f>C702&gt;T702</f>
        <v>0</v>
      </c>
    </row>
    <row r="703" spans="1:21" x14ac:dyDescent="0.25">
      <c r="A703" t="s">
        <v>661</v>
      </c>
      <c r="B703" s="1">
        <v>46178</v>
      </c>
      <c r="C703" s="1">
        <v>46182</v>
      </c>
      <c r="D703" t="s">
        <v>662</v>
      </c>
      <c r="E703" t="s">
        <v>75</v>
      </c>
      <c r="F703" t="s">
        <v>76</v>
      </c>
      <c r="G703" t="s">
        <v>232</v>
      </c>
      <c r="H703" t="s">
        <v>127</v>
      </c>
      <c r="I703" s="2">
        <v>2</v>
      </c>
      <c r="J703" s="3">
        <v>649</v>
      </c>
      <c r="K703" s="4">
        <v>0.05</v>
      </c>
      <c r="L703" s="3">
        <v>1233.1</v>
      </c>
      <c r="M703" t="b">
        <v>1</v>
      </c>
      <c r="N703" s="2">
        <f>YEAR(B703)</f>
        <v>2026</v>
      </c>
      <c r="O703" t="str">
        <f>INDEX(Agences!$C:$C,MATCH(F703,Agences!$A:$A,0))</f>
        <v>Île-de-France</v>
      </c>
      <c r="P703" t="str">
        <f>INDEX(Produits!$C:$C,MATCH(H703,Produits!$A:$A,0))</f>
        <v>Informatique</v>
      </c>
      <c r="Q703" s="3">
        <f>I703*INDEX(Produits!$E:$E,MATCH(H703,Produits!$A:$A,0))</f>
        <v>960.52</v>
      </c>
      <c r="R703" s="3">
        <f>L703-Q703</f>
        <v>272.5799999999999</v>
      </c>
      <c r="S703" s="2">
        <f>NETWORKDAYS(B703,C703)-1</f>
        <v>2</v>
      </c>
      <c r="T703" s="1">
        <f>WORKDAY(B703,5)</f>
        <v>46185</v>
      </c>
      <c r="U703" t="b">
        <f>C703&gt;T703</f>
        <v>0</v>
      </c>
    </row>
    <row r="704" spans="1:21" x14ac:dyDescent="0.25">
      <c r="A704" t="s">
        <v>663</v>
      </c>
      <c r="B704" s="1">
        <v>46178</v>
      </c>
      <c r="C704" s="1">
        <v>46181</v>
      </c>
      <c r="D704" t="s">
        <v>664</v>
      </c>
      <c r="E704" t="s">
        <v>87</v>
      </c>
      <c r="F704" t="s">
        <v>88</v>
      </c>
      <c r="G704" t="s">
        <v>226</v>
      </c>
      <c r="H704" t="s">
        <v>42</v>
      </c>
      <c r="I704" s="2">
        <v>2</v>
      </c>
      <c r="J704" s="3">
        <v>55</v>
      </c>
      <c r="K704" s="4">
        <v>0</v>
      </c>
      <c r="L704" s="3">
        <v>110</v>
      </c>
      <c r="M704" t="b">
        <v>1</v>
      </c>
      <c r="N704" s="2">
        <f>YEAR(B704)</f>
        <v>2026</v>
      </c>
      <c r="O704" t="str">
        <f>INDEX(Agences!$C:$C,MATCH(F704,Agences!$A:$A,0))</f>
        <v>Sud-Ouest</v>
      </c>
      <c r="P704" t="str">
        <f>INDEX(Produits!$C:$C,MATCH(H704,Produits!$A:$A,0))</f>
        <v>Maintenance</v>
      </c>
      <c r="Q704" s="3">
        <f>I704*INDEX(Produits!$E:$E,MATCH(H704,Produits!$A:$A,0))</f>
        <v>49.5</v>
      </c>
      <c r="R704" s="3">
        <f>L704-Q704</f>
        <v>60.5</v>
      </c>
      <c r="S704" s="2">
        <f>NETWORKDAYS(B704,C704)-1</f>
        <v>1</v>
      </c>
      <c r="T704" s="1">
        <f>WORKDAY(B704,5)</f>
        <v>46185</v>
      </c>
      <c r="U704" t="b">
        <f>C704&gt;T704</f>
        <v>0</v>
      </c>
    </row>
    <row r="705" spans="1:21" x14ac:dyDescent="0.25">
      <c r="A705" t="s">
        <v>663</v>
      </c>
      <c r="B705" s="1">
        <v>46178</v>
      </c>
      <c r="C705" s="1">
        <v>46181</v>
      </c>
      <c r="D705" t="s">
        <v>664</v>
      </c>
      <c r="E705" t="s">
        <v>87</v>
      </c>
      <c r="F705" t="s">
        <v>88</v>
      </c>
      <c r="G705" t="s">
        <v>226</v>
      </c>
      <c r="H705" t="s">
        <v>84</v>
      </c>
      <c r="I705" s="2">
        <v>1</v>
      </c>
      <c r="J705" s="3">
        <v>420</v>
      </c>
      <c r="K705" s="4">
        <v>0.02</v>
      </c>
      <c r="L705" s="3">
        <v>411.6</v>
      </c>
      <c r="M705" t="b">
        <v>1</v>
      </c>
      <c r="N705" s="2">
        <f>YEAR(B705)</f>
        <v>2026</v>
      </c>
      <c r="O705" t="str">
        <f>INDEX(Agences!$C:$C,MATCH(F705,Agences!$A:$A,0))</f>
        <v>Sud-Ouest</v>
      </c>
      <c r="P705" t="str">
        <f>INDEX(Produits!$C:$C,MATCH(H705,Produits!$A:$A,0))</f>
        <v>Mobilier</v>
      </c>
      <c r="Q705" s="3">
        <f>I705*INDEX(Produits!$E:$E,MATCH(H705,Produits!$A:$A,0))</f>
        <v>243.6</v>
      </c>
      <c r="R705" s="3">
        <f>L705-Q705</f>
        <v>168.00000000000003</v>
      </c>
      <c r="S705" s="2">
        <f>NETWORKDAYS(B705,C705)-1</f>
        <v>1</v>
      </c>
      <c r="T705" s="1">
        <f>WORKDAY(B705,5)</f>
        <v>46185</v>
      </c>
      <c r="U705" t="b">
        <f>C705&gt;T705</f>
        <v>0</v>
      </c>
    </row>
    <row r="706" spans="1:21" x14ac:dyDescent="0.25">
      <c r="A706" t="s">
        <v>663</v>
      </c>
      <c r="B706" s="1">
        <v>46178</v>
      </c>
      <c r="C706" s="1">
        <v>46181</v>
      </c>
      <c r="D706" t="s">
        <v>664</v>
      </c>
      <c r="E706" t="s">
        <v>87</v>
      </c>
      <c r="F706" t="s">
        <v>88</v>
      </c>
      <c r="G706" t="s">
        <v>226</v>
      </c>
      <c r="H706" t="s">
        <v>107</v>
      </c>
      <c r="I706" s="2">
        <v>4</v>
      </c>
      <c r="J706" s="3">
        <v>99</v>
      </c>
      <c r="K706" s="4">
        <v>0.1</v>
      </c>
      <c r="L706" s="3">
        <v>356.4</v>
      </c>
      <c r="M706" t="b">
        <v>1</v>
      </c>
      <c r="N706" s="2">
        <f>YEAR(B706)</f>
        <v>2026</v>
      </c>
      <c r="O706" t="str">
        <f>INDEX(Agences!$C:$C,MATCH(F706,Agences!$A:$A,0))</f>
        <v>Sud-Ouest</v>
      </c>
      <c r="P706" t="str">
        <f>INDEX(Produits!$C:$C,MATCH(H706,Produits!$A:$A,0))</f>
        <v>Informatique</v>
      </c>
      <c r="Q706" s="3">
        <f>I706*INDEX(Produits!$E:$E,MATCH(H706,Produits!$A:$A,0))</f>
        <v>300.96</v>
      </c>
      <c r="R706" s="3">
        <f>L706-Q706</f>
        <v>55.44</v>
      </c>
      <c r="S706" s="2">
        <f>NETWORKDAYS(B706,C706)-1</f>
        <v>1</v>
      </c>
      <c r="T706" s="1">
        <f>WORKDAY(B706,5)</f>
        <v>46185</v>
      </c>
      <c r="U706" t="b">
        <f>C706&gt;T706</f>
        <v>0</v>
      </c>
    </row>
    <row r="707" spans="1:21" x14ac:dyDescent="0.25">
      <c r="A707" t="s">
        <v>665</v>
      </c>
      <c r="B707" s="1">
        <v>46178</v>
      </c>
      <c r="C707" s="1">
        <v>46182</v>
      </c>
      <c r="D707" t="s">
        <v>666</v>
      </c>
      <c r="E707" t="s">
        <v>225</v>
      </c>
      <c r="F707" t="s">
        <v>88</v>
      </c>
      <c r="G707" t="s">
        <v>89</v>
      </c>
      <c r="H707" t="s">
        <v>107</v>
      </c>
      <c r="I707" s="2">
        <v>1</v>
      </c>
      <c r="J707" s="3">
        <v>99</v>
      </c>
      <c r="K707" s="4">
        <v>0</v>
      </c>
      <c r="L707" s="3">
        <v>99</v>
      </c>
      <c r="M707" t="b">
        <v>1</v>
      </c>
      <c r="N707" s="2">
        <f>YEAR(B707)</f>
        <v>2026</v>
      </c>
      <c r="O707" t="str">
        <f>INDEX(Agences!$C:$C,MATCH(F707,Agences!$A:$A,0))</f>
        <v>Sud-Ouest</v>
      </c>
      <c r="P707" t="str">
        <f>INDEX(Produits!$C:$C,MATCH(H707,Produits!$A:$A,0))</f>
        <v>Informatique</v>
      </c>
      <c r="Q707" s="3">
        <f>I707*INDEX(Produits!$E:$E,MATCH(H707,Produits!$A:$A,0))</f>
        <v>75.24</v>
      </c>
      <c r="R707" s="3">
        <f>L707-Q707</f>
        <v>23.760000000000005</v>
      </c>
      <c r="S707" s="2">
        <f>NETWORKDAYS(B707,C707)-1</f>
        <v>2</v>
      </c>
      <c r="T707" s="1">
        <f>WORKDAY(B707,5)</f>
        <v>46185</v>
      </c>
      <c r="U707" t="b">
        <f>C707&gt;T707</f>
        <v>0</v>
      </c>
    </row>
    <row r="708" spans="1:21" x14ac:dyDescent="0.25">
      <c r="A708" t="s">
        <v>667</v>
      </c>
      <c r="B708" s="1">
        <v>46177</v>
      </c>
      <c r="C708" s="1">
        <v>46181</v>
      </c>
      <c r="D708" t="s">
        <v>247</v>
      </c>
      <c r="E708" t="s">
        <v>165</v>
      </c>
      <c r="F708" t="s">
        <v>166</v>
      </c>
      <c r="G708" t="s">
        <v>167</v>
      </c>
      <c r="H708" t="s">
        <v>84</v>
      </c>
      <c r="I708" s="2">
        <v>2</v>
      </c>
      <c r="J708" s="3">
        <v>420</v>
      </c>
      <c r="K708" s="4">
        <v>0</v>
      </c>
      <c r="L708" s="3">
        <v>840</v>
      </c>
      <c r="M708" t="b">
        <v>1</v>
      </c>
      <c r="N708" s="2">
        <f>YEAR(B708)</f>
        <v>2026</v>
      </c>
      <c r="O708" t="str">
        <f>INDEX(Agences!$C:$C,MATCH(F708,Agences!$A:$A,0))</f>
        <v>Ouest</v>
      </c>
      <c r="P708" t="str">
        <f>INDEX(Produits!$C:$C,MATCH(H708,Produits!$A:$A,0))</f>
        <v>Mobilier</v>
      </c>
      <c r="Q708" s="3">
        <f>I708*INDEX(Produits!$E:$E,MATCH(H708,Produits!$A:$A,0))</f>
        <v>487.2</v>
      </c>
      <c r="R708" s="3">
        <f>L708-Q708</f>
        <v>352.8</v>
      </c>
      <c r="S708" s="2">
        <f>NETWORKDAYS(B708,C708)-1</f>
        <v>2</v>
      </c>
      <c r="T708" s="1">
        <f>WORKDAY(B708,5)</f>
        <v>46184</v>
      </c>
      <c r="U708" t="b">
        <f>C708&gt;T708</f>
        <v>0</v>
      </c>
    </row>
    <row r="709" spans="1:21" x14ac:dyDescent="0.25">
      <c r="A709" t="s">
        <v>667</v>
      </c>
      <c r="B709" s="1">
        <v>46177</v>
      </c>
      <c r="C709" s="1">
        <v>46181</v>
      </c>
      <c r="D709" t="s">
        <v>247</v>
      </c>
      <c r="E709" t="s">
        <v>165</v>
      </c>
      <c r="F709" t="s">
        <v>166</v>
      </c>
      <c r="G709" t="s">
        <v>167</v>
      </c>
      <c r="H709" t="s">
        <v>26</v>
      </c>
      <c r="I709" s="2">
        <v>2</v>
      </c>
      <c r="J709" s="3">
        <v>290</v>
      </c>
      <c r="K709" s="4">
        <v>0</v>
      </c>
      <c r="L709" s="3">
        <v>580</v>
      </c>
      <c r="M709" t="b">
        <v>1</v>
      </c>
      <c r="N709" s="2">
        <f>YEAR(B709)</f>
        <v>2026</v>
      </c>
      <c r="O709" t="str">
        <f>INDEX(Agences!$C:$C,MATCH(F709,Agences!$A:$A,0))</f>
        <v>Ouest</v>
      </c>
      <c r="P709" t="str">
        <f>INDEX(Produits!$C:$C,MATCH(H709,Produits!$A:$A,0))</f>
        <v>Maintenance</v>
      </c>
      <c r="Q709" s="3">
        <f>I709*INDEX(Produits!$E:$E,MATCH(H709,Produits!$A:$A,0))</f>
        <v>278.4</v>
      </c>
      <c r="R709" s="3">
        <f>L709-Q709</f>
        <v>301.6</v>
      </c>
      <c r="S709" s="2">
        <f>NETWORKDAYS(B709,C709)-1</f>
        <v>2</v>
      </c>
      <c r="T709" s="1">
        <f>WORKDAY(B709,5)</f>
        <v>46184</v>
      </c>
      <c r="U709" t="b">
        <f>C709&gt;T709</f>
        <v>0</v>
      </c>
    </row>
    <row r="710" spans="1:21" x14ac:dyDescent="0.25">
      <c r="A710" t="s">
        <v>668</v>
      </c>
      <c r="B710" s="1">
        <v>46177</v>
      </c>
      <c r="C710" s="1">
        <v>46181</v>
      </c>
      <c r="D710" t="s">
        <v>669</v>
      </c>
      <c r="E710" t="s">
        <v>165</v>
      </c>
      <c r="F710" t="s">
        <v>166</v>
      </c>
      <c r="G710" t="s">
        <v>167</v>
      </c>
      <c r="H710" t="s">
        <v>103</v>
      </c>
      <c r="I710" s="2">
        <v>1</v>
      </c>
      <c r="J710" s="3">
        <v>245</v>
      </c>
      <c r="K710" s="4">
        <v>0</v>
      </c>
      <c r="L710" s="3">
        <v>245</v>
      </c>
      <c r="M710" t="b">
        <v>1</v>
      </c>
      <c r="N710" s="2">
        <f>YEAR(B710)</f>
        <v>2026</v>
      </c>
      <c r="O710" t="str">
        <f>INDEX(Agences!$C:$C,MATCH(F710,Agences!$A:$A,0))</f>
        <v>Ouest</v>
      </c>
      <c r="P710" t="str">
        <f>INDEX(Produits!$C:$C,MATCH(H710,Produits!$A:$A,0))</f>
        <v>Mobilier</v>
      </c>
      <c r="Q710" s="3">
        <f>I710*INDEX(Produits!$E:$E,MATCH(H710,Produits!$A:$A,0))</f>
        <v>164.15</v>
      </c>
      <c r="R710" s="3">
        <f>L710-Q710</f>
        <v>80.85</v>
      </c>
      <c r="S710" s="2">
        <f>NETWORKDAYS(B710,C710)-1</f>
        <v>2</v>
      </c>
      <c r="T710" s="1">
        <f>WORKDAY(B710,5)</f>
        <v>46184</v>
      </c>
      <c r="U710" t="b">
        <f>C710&gt;T710</f>
        <v>0</v>
      </c>
    </row>
    <row r="711" spans="1:21" x14ac:dyDescent="0.25">
      <c r="A711" t="s">
        <v>670</v>
      </c>
      <c r="B711" s="1">
        <v>46177</v>
      </c>
      <c r="C711" s="1">
        <v>46181</v>
      </c>
      <c r="D711" t="s">
        <v>608</v>
      </c>
      <c r="E711" t="s">
        <v>185</v>
      </c>
      <c r="F711" t="s">
        <v>31</v>
      </c>
      <c r="G711" t="s">
        <v>186</v>
      </c>
      <c r="H711" t="s">
        <v>103</v>
      </c>
      <c r="I711" s="2">
        <v>4</v>
      </c>
      <c r="J711" s="3">
        <v>245</v>
      </c>
      <c r="K711" s="4">
        <v>0</v>
      </c>
      <c r="L711" s="3">
        <v>980</v>
      </c>
      <c r="M711" t="b">
        <v>1</v>
      </c>
      <c r="N711" s="2">
        <f>YEAR(B711)</f>
        <v>2026</v>
      </c>
      <c r="O711" t="str">
        <f>INDEX(Agences!$C:$C,MATCH(F711,Agences!$A:$A,0))</f>
        <v>Ouest</v>
      </c>
      <c r="P711" t="str">
        <f>INDEX(Produits!$C:$C,MATCH(H711,Produits!$A:$A,0))</f>
        <v>Mobilier</v>
      </c>
      <c r="Q711" s="3">
        <f>I711*INDEX(Produits!$E:$E,MATCH(H711,Produits!$A:$A,0))</f>
        <v>656.6</v>
      </c>
      <c r="R711" s="3">
        <f>L711-Q711</f>
        <v>323.4</v>
      </c>
      <c r="S711" s="2">
        <f>NETWORKDAYS(B711,C711)-1</f>
        <v>2</v>
      </c>
      <c r="T711" s="1">
        <f>WORKDAY(B711,5)</f>
        <v>46184</v>
      </c>
      <c r="U711" t="b">
        <f>C711&gt;T711</f>
        <v>0</v>
      </c>
    </row>
    <row r="712" spans="1:21" x14ac:dyDescent="0.25">
      <c r="A712" t="s">
        <v>670</v>
      </c>
      <c r="B712" s="1">
        <v>46177</v>
      </c>
      <c r="C712" s="1">
        <v>46181</v>
      </c>
      <c r="D712" t="s">
        <v>608</v>
      </c>
      <c r="E712" t="s">
        <v>185</v>
      </c>
      <c r="F712" t="s">
        <v>31</v>
      </c>
      <c r="G712" t="s">
        <v>186</v>
      </c>
      <c r="H712" t="s">
        <v>83</v>
      </c>
      <c r="I712" s="2">
        <v>3</v>
      </c>
      <c r="J712" s="3">
        <v>49</v>
      </c>
      <c r="K712" s="4">
        <v>0.05</v>
      </c>
      <c r="L712" s="3">
        <v>139.65</v>
      </c>
      <c r="M712" t="b">
        <v>1</v>
      </c>
      <c r="N712" s="2">
        <f>YEAR(B712)</f>
        <v>2026</v>
      </c>
      <c r="O712" t="str">
        <f>INDEX(Agences!$C:$C,MATCH(F712,Agences!$A:$A,0))</f>
        <v>Ouest</v>
      </c>
      <c r="P712" t="str">
        <f>INDEX(Produits!$C:$C,MATCH(H712,Produits!$A:$A,0))</f>
        <v>Mobilier</v>
      </c>
      <c r="Q712" s="3">
        <f>I712*INDEX(Produits!$E:$E,MATCH(H712,Produits!$A:$A,0))</f>
        <v>85.26</v>
      </c>
      <c r="R712" s="3">
        <f>L712-Q712</f>
        <v>54.39</v>
      </c>
      <c r="S712" s="2">
        <f>NETWORKDAYS(B712,C712)-1</f>
        <v>2</v>
      </c>
      <c r="T712" s="1">
        <f>WORKDAY(B712,5)</f>
        <v>46184</v>
      </c>
      <c r="U712" t="b">
        <f>C712&gt;T712</f>
        <v>0</v>
      </c>
    </row>
    <row r="713" spans="1:21" x14ac:dyDescent="0.25">
      <c r="A713" t="s">
        <v>670</v>
      </c>
      <c r="B713" s="1">
        <v>46177</v>
      </c>
      <c r="C713" s="1">
        <v>46181</v>
      </c>
      <c r="D713" t="s">
        <v>608</v>
      </c>
      <c r="E713" t="s">
        <v>185</v>
      </c>
      <c r="F713" t="s">
        <v>31</v>
      </c>
      <c r="G713" t="s">
        <v>186</v>
      </c>
      <c r="H713" t="s">
        <v>50</v>
      </c>
      <c r="I713" s="2">
        <v>2</v>
      </c>
      <c r="J713" s="3">
        <v>69</v>
      </c>
      <c r="K713" s="4">
        <v>0.05</v>
      </c>
      <c r="L713" s="3">
        <v>131.1</v>
      </c>
      <c r="M713" t="b">
        <v>1</v>
      </c>
      <c r="N713" s="2">
        <f>YEAR(B713)</f>
        <v>2026</v>
      </c>
      <c r="O713" t="str">
        <f>INDEX(Agences!$C:$C,MATCH(F713,Agences!$A:$A,0))</f>
        <v>Ouest</v>
      </c>
      <c r="P713" t="str">
        <f>INDEX(Produits!$C:$C,MATCH(H713,Produits!$A:$A,0))</f>
        <v>Informatique</v>
      </c>
      <c r="Q713" s="3">
        <f>I713*INDEX(Produits!$E:$E,MATCH(H713,Produits!$A:$A,0))</f>
        <v>109.02</v>
      </c>
      <c r="R713" s="3">
        <f>L713-Q713</f>
        <v>22.08</v>
      </c>
      <c r="S713" s="2">
        <f>NETWORKDAYS(B713,C713)-1</f>
        <v>2</v>
      </c>
      <c r="T713" s="1">
        <f>WORKDAY(B713,5)</f>
        <v>46184</v>
      </c>
      <c r="U713" t="b">
        <f>C713&gt;T713</f>
        <v>0</v>
      </c>
    </row>
    <row r="714" spans="1:21" x14ac:dyDescent="0.25">
      <c r="A714" t="s">
        <v>671</v>
      </c>
      <c r="B714" s="1">
        <v>46177</v>
      </c>
      <c r="C714" s="1">
        <v>46182</v>
      </c>
      <c r="D714" t="s">
        <v>639</v>
      </c>
      <c r="E714" t="s">
        <v>374</v>
      </c>
      <c r="F714" t="s">
        <v>31</v>
      </c>
      <c r="G714" t="s">
        <v>375</v>
      </c>
      <c r="H714" t="s">
        <v>123</v>
      </c>
      <c r="I714" s="2">
        <v>10</v>
      </c>
      <c r="J714" s="3">
        <v>39.9</v>
      </c>
      <c r="K714" s="4">
        <v>0.1</v>
      </c>
      <c r="L714" s="3">
        <v>359.1</v>
      </c>
      <c r="M714" t="b">
        <v>1</v>
      </c>
      <c r="N714" s="2">
        <f>YEAR(B714)</f>
        <v>2026</v>
      </c>
      <c r="O714" t="str">
        <f>INDEX(Agences!$C:$C,MATCH(F714,Agences!$A:$A,0))</f>
        <v>Ouest</v>
      </c>
      <c r="P714" t="str">
        <f>INDEX(Produits!$C:$C,MATCH(H714,Produits!$A:$A,0))</f>
        <v>Fournitures</v>
      </c>
      <c r="Q714" s="3">
        <f>I714*INDEX(Produits!$E:$E,MATCH(H714,Produits!$A:$A,0))</f>
        <v>223.4</v>
      </c>
      <c r="R714" s="3">
        <f>L714-Q714</f>
        <v>135.70000000000002</v>
      </c>
      <c r="S714" s="2">
        <f>NETWORKDAYS(B714,C714)-1</f>
        <v>3</v>
      </c>
      <c r="T714" s="1">
        <f>WORKDAY(B714,5)</f>
        <v>46184</v>
      </c>
      <c r="U714" t="b">
        <f>C714&gt;T714</f>
        <v>0</v>
      </c>
    </row>
    <row r="715" spans="1:21" x14ac:dyDescent="0.25">
      <c r="A715" t="s">
        <v>671</v>
      </c>
      <c r="B715" s="1">
        <v>46177</v>
      </c>
      <c r="C715" s="1">
        <v>46182</v>
      </c>
      <c r="D715" t="s">
        <v>639</v>
      </c>
      <c r="E715" t="s">
        <v>374</v>
      </c>
      <c r="F715" t="s">
        <v>31</v>
      </c>
      <c r="G715" t="s">
        <v>375</v>
      </c>
      <c r="H715" t="s">
        <v>34</v>
      </c>
      <c r="I715" s="2">
        <v>2</v>
      </c>
      <c r="J715" s="3">
        <v>340</v>
      </c>
      <c r="K715" s="4">
        <v>0.02</v>
      </c>
      <c r="L715" s="3">
        <v>666.4</v>
      </c>
      <c r="M715" t="b">
        <v>1</v>
      </c>
      <c r="N715" s="2">
        <f>YEAR(B715)</f>
        <v>2026</v>
      </c>
      <c r="O715" t="str">
        <f>INDEX(Agences!$C:$C,MATCH(F715,Agences!$A:$A,0))</f>
        <v>Ouest</v>
      </c>
      <c r="P715" t="str">
        <f>INDEX(Produits!$C:$C,MATCH(H715,Produits!$A:$A,0))</f>
        <v>Informatique</v>
      </c>
      <c r="Q715" s="3">
        <f>I715*INDEX(Produits!$E:$E,MATCH(H715,Produits!$A:$A,0))</f>
        <v>550.8</v>
      </c>
      <c r="R715" s="3">
        <f>L715-Q715</f>
        <v>115.60000000000002</v>
      </c>
      <c r="S715" s="2">
        <f>NETWORKDAYS(B715,C715)-1</f>
        <v>3</v>
      </c>
      <c r="T715" s="1">
        <f>WORKDAY(B715,5)</f>
        <v>46184</v>
      </c>
      <c r="U715" t="b">
        <f>C715&gt;T715</f>
        <v>0</v>
      </c>
    </row>
    <row r="716" spans="1:21" x14ac:dyDescent="0.25">
      <c r="A716" t="s">
        <v>672</v>
      </c>
      <c r="B716" s="1">
        <v>46177</v>
      </c>
      <c r="C716" s="1">
        <v>46192</v>
      </c>
      <c r="D716" t="s">
        <v>673</v>
      </c>
      <c r="E716" t="s">
        <v>229</v>
      </c>
      <c r="F716" t="s">
        <v>55</v>
      </c>
      <c r="G716" t="s">
        <v>195</v>
      </c>
      <c r="H716" t="s">
        <v>42</v>
      </c>
      <c r="I716" s="2">
        <v>1</v>
      </c>
      <c r="J716" s="3">
        <v>55</v>
      </c>
      <c r="K716" s="4">
        <v>0.05</v>
      </c>
      <c r="L716" s="3">
        <v>52.25</v>
      </c>
      <c r="M716" t="b">
        <v>1</v>
      </c>
      <c r="N716" s="2">
        <f>YEAR(B716)</f>
        <v>2026</v>
      </c>
      <c r="O716" t="str">
        <f>INDEX(Agences!$C:$C,MATCH(F716,Agences!$A:$A,0))</f>
        <v>Est</v>
      </c>
      <c r="P716" t="str">
        <f>INDEX(Produits!$C:$C,MATCH(H716,Produits!$A:$A,0))</f>
        <v>Maintenance</v>
      </c>
      <c r="Q716" s="3">
        <f>I716*INDEX(Produits!$E:$E,MATCH(H716,Produits!$A:$A,0))</f>
        <v>24.75</v>
      </c>
      <c r="R716" s="3">
        <f>L716-Q716</f>
        <v>27.5</v>
      </c>
      <c r="S716" s="2">
        <f>NETWORKDAYS(B716,C716)-1</f>
        <v>11</v>
      </c>
      <c r="T716" s="1">
        <f>WORKDAY(B716,5)</f>
        <v>46184</v>
      </c>
      <c r="U716" t="b">
        <f>C716&gt;T716</f>
        <v>1</v>
      </c>
    </row>
    <row r="717" spans="1:21" x14ac:dyDescent="0.25">
      <c r="A717" t="s">
        <v>672</v>
      </c>
      <c r="B717" s="1">
        <v>46177</v>
      </c>
      <c r="C717" s="1">
        <v>46192</v>
      </c>
      <c r="D717" t="s">
        <v>673</v>
      </c>
      <c r="E717" t="s">
        <v>229</v>
      </c>
      <c r="F717" t="s">
        <v>55</v>
      </c>
      <c r="G717" t="s">
        <v>195</v>
      </c>
      <c r="H717" t="s">
        <v>49</v>
      </c>
      <c r="I717" s="2">
        <v>4</v>
      </c>
      <c r="J717" s="3">
        <v>120</v>
      </c>
      <c r="K717" s="4">
        <v>0.05</v>
      </c>
      <c r="L717" s="3">
        <v>456</v>
      </c>
      <c r="M717" t="b">
        <v>1</v>
      </c>
      <c r="N717" s="2">
        <f>YEAR(B717)</f>
        <v>2026</v>
      </c>
      <c r="O717" t="str">
        <f>INDEX(Agences!$C:$C,MATCH(F717,Agences!$A:$A,0))</f>
        <v>Est</v>
      </c>
      <c r="P717" t="str">
        <f>INDEX(Produits!$C:$C,MATCH(H717,Produits!$A:$A,0))</f>
        <v>Maintenance</v>
      </c>
      <c r="Q717" s="3">
        <f>I717*INDEX(Produits!$E:$E,MATCH(H717,Produits!$A:$A,0))</f>
        <v>220.8</v>
      </c>
      <c r="R717" s="3">
        <f>L717-Q717</f>
        <v>235.2</v>
      </c>
      <c r="S717" s="2">
        <f>NETWORKDAYS(B717,C717)-1</f>
        <v>11</v>
      </c>
      <c r="T717" s="1">
        <f>WORKDAY(B717,5)</f>
        <v>46184</v>
      </c>
      <c r="U717" t="b">
        <f>C717&gt;T717</f>
        <v>1</v>
      </c>
    </row>
    <row r="718" spans="1:21" x14ac:dyDescent="0.25">
      <c r="A718" t="s">
        <v>672</v>
      </c>
      <c r="B718" s="1">
        <v>46177</v>
      </c>
      <c r="C718" s="1">
        <v>46192</v>
      </c>
      <c r="D718" t="s">
        <v>673</v>
      </c>
      <c r="E718" t="s">
        <v>229</v>
      </c>
      <c r="F718" t="s">
        <v>55</v>
      </c>
      <c r="G718" t="s">
        <v>195</v>
      </c>
      <c r="H718" t="s">
        <v>108</v>
      </c>
      <c r="I718" s="2">
        <v>5</v>
      </c>
      <c r="J718" s="3">
        <v>24.5</v>
      </c>
      <c r="K718" s="4">
        <v>0.05</v>
      </c>
      <c r="L718" s="3">
        <v>116.38</v>
      </c>
      <c r="M718" t="b">
        <v>1</v>
      </c>
      <c r="N718" s="2">
        <f>YEAR(B718)</f>
        <v>2026</v>
      </c>
      <c r="O718" t="str">
        <f>INDEX(Agences!$C:$C,MATCH(F718,Agences!$A:$A,0))</f>
        <v>Est</v>
      </c>
      <c r="P718" t="str">
        <f>INDEX(Produits!$C:$C,MATCH(H718,Produits!$A:$A,0))</f>
        <v>Fournitures</v>
      </c>
      <c r="Q718" s="3">
        <f>I718*INDEX(Produits!$E:$E,MATCH(H718,Produits!$A:$A,0))</f>
        <v>73.5</v>
      </c>
      <c r="R718" s="3">
        <f>L718-Q718</f>
        <v>42.879999999999995</v>
      </c>
      <c r="S718" s="2">
        <f>NETWORKDAYS(B718,C718)-1</f>
        <v>11</v>
      </c>
      <c r="T718" s="1">
        <f>WORKDAY(B718,5)</f>
        <v>46184</v>
      </c>
      <c r="U718" t="b">
        <f>C718&gt;T718</f>
        <v>1</v>
      </c>
    </row>
    <row r="719" spans="1:21" x14ac:dyDescent="0.25">
      <c r="A719" t="s">
        <v>674</v>
      </c>
      <c r="B719" s="1">
        <v>46176</v>
      </c>
      <c r="C719" s="1">
        <v>46178</v>
      </c>
      <c r="D719" t="s">
        <v>675</v>
      </c>
      <c r="E719" t="s">
        <v>98</v>
      </c>
      <c r="F719" t="s">
        <v>99</v>
      </c>
      <c r="G719" t="s">
        <v>100</v>
      </c>
      <c r="H719" t="s">
        <v>51</v>
      </c>
      <c r="I719" s="2">
        <v>2</v>
      </c>
      <c r="J719" s="3">
        <v>180</v>
      </c>
      <c r="K719" s="4">
        <v>0.1</v>
      </c>
      <c r="L719" s="3">
        <v>324</v>
      </c>
      <c r="M719" t="b">
        <v>1</v>
      </c>
      <c r="N719" s="2">
        <f>YEAR(B719)</f>
        <v>2026</v>
      </c>
      <c r="O719" t="str">
        <f>INDEX(Agences!$C:$C,MATCH(F719,Agences!$A:$A,0))</f>
        <v>Nord</v>
      </c>
      <c r="P719" t="str">
        <f>INDEX(Produits!$C:$C,MATCH(H719,Produits!$A:$A,0))</f>
        <v>Maintenance</v>
      </c>
      <c r="Q719" s="3">
        <f>I719*INDEX(Produits!$E:$E,MATCH(H719,Produits!$A:$A,0))</f>
        <v>165.6</v>
      </c>
      <c r="R719" s="3">
        <f>L719-Q719</f>
        <v>158.4</v>
      </c>
      <c r="S719" s="2">
        <f>NETWORKDAYS(B719,C719)-1</f>
        <v>2</v>
      </c>
      <c r="T719" s="1">
        <f>WORKDAY(B719,5)</f>
        <v>46183</v>
      </c>
      <c r="U719" t="b">
        <f>C719&gt;T719</f>
        <v>0</v>
      </c>
    </row>
    <row r="720" spans="1:21" x14ac:dyDescent="0.25">
      <c r="A720" t="s">
        <v>674</v>
      </c>
      <c r="B720" s="1">
        <v>46176</v>
      </c>
      <c r="C720" s="1">
        <v>46178</v>
      </c>
      <c r="D720" t="s">
        <v>675</v>
      </c>
      <c r="E720" t="s">
        <v>98</v>
      </c>
      <c r="F720" t="s">
        <v>99</v>
      </c>
      <c r="G720" t="s">
        <v>100</v>
      </c>
      <c r="H720" t="s">
        <v>162</v>
      </c>
      <c r="I720" s="2">
        <v>3</v>
      </c>
      <c r="J720" s="3">
        <v>289</v>
      </c>
      <c r="K720" s="4">
        <v>0</v>
      </c>
      <c r="L720" s="3">
        <v>867</v>
      </c>
      <c r="M720" t="b">
        <v>1</v>
      </c>
      <c r="N720" s="2">
        <f>YEAR(B720)</f>
        <v>2026</v>
      </c>
      <c r="O720" t="str">
        <f>INDEX(Agences!$C:$C,MATCH(F720,Agences!$A:$A,0))</f>
        <v>Nord</v>
      </c>
      <c r="P720" t="str">
        <f>INDEX(Produits!$C:$C,MATCH(H720,Produits!$A:$A,0))</f>
        <v>Mobilier</v>
      </c>
      <c r="Q720" s="3">
        <f>I720*INDEX(Produits!$E:$E,MATCH(H720,Produits!$A:$A,0))</f>
        <v>580.89</v>
      </c>
      <c r="R720" s="3">
        <f>L720-Q720</f>
        <v>286.11</v>
      </c>
      <c r="S720" s="2">
        <f>NETWORKDAYS(B720,C720)-1</f>
        <v>2</v>
      </c>
      <c r="T720" s="1">
        <f>WORKDAY(B720,5)</f>
        <v>46183</v>
      </c>
      <c r="U720" t="b">
        <f>C720&gt;T720</f>
        <v>0</v>
      </c>
    </row>
    <row r="721" spans="1:21" x14ac:dyDescent="0.25">
      <c r="A721" t="s">
        <v>674</v>
      </c>
      <c r="B721" s="1">
        <v>46176</v>
      </c>
      <c r="C721" s="1">
        <v>46178</v>
      </c>
      <c r="D721" t="s">
        <v>675</v>
      </c>
      <c r="E721" t="s">
        <v>98</v>
      </c>
      <c r="F721" t="s">
        <v>99</v>
      </c>
      <c r="G721" t="s">
        <v>100</v>
      </c>
      <c r="H721" t="s">
        <v>107</v>
      </c>
      <c r="I721" s="2">
        <v>1</v>
      </c>
      <c r="J721" s="3">
        <v>99</v>
      </c>
      <c r="K721" s="4">
        <v>0</v>
      </c>
      <c r="L721" s="3">
        <v>99</v>
      </c>
      <c r="M721" t="b">
        <v>1</v>
      </c>
      <c r="N721" s="2">
        <f>YEAR(B721)</f>
        <v>2026</v>
      </c>
      <c r="O721" t="str">
        <f>INDEX(Agences!$C:$C,MATCH(F721,Agences!$A:$A,0))</f>
        <v>Nord</v>
      </c>
      <c r="P721" t="str">
        <f>INDEX(Produits!$C:$C,MATCH(H721,Produits!$A:$A,0))</f>
        <v>Informatique</v>
      </c>
      <c r="Q721" s="3">
        <f>I721*INDEX(Produits!$E:$E,MATCH(H721,Produits!$A:$A,0))</f>
        <v>75.24</v>
      </c>
      <c r="R721" s="3">
        <f>L721-Q721</f>
        <v>23.760000000000005</v>
      </c>
      <c r="S721" s="2">
        <f>NETWORKDAYS(B721,C721)-1</f>
        <v>2</v>
      </c>
      <c r="T721" s="1">
        <f>WORKDAY(B721,5)</f>
        <v>46183</v>
      </c>
      <c r="U721" t="b">
        <f>C721&gt;T721</f>
        <v>0</v>
      </c>
    </row>
    <row r="722" spans="1:21" x14ac:dyDescent="0.25">
      <c r="A722" t="s">
        <v>676</v>
      </c>
      <c r="B722" s="1">
        <v>46176</v>
      </c>
      <c r="C722" s="1">
        <v>46177</v>
      </c>
      <c r="D722" t="s">
        <v>666</v>
      </c>
      <c r="E722" t="s">
        <v>225</v>
      </c>
      <c r="F722" t="s">
        <v>88</v>
      </c>
      <c r="G722" t="s">
        <v>89</v>
      </c>
      <c r="H722" t="s">
        <v>107</v>
      </c>
      <c r="I722" s="2">
        <v>1</v>
      </c>
      <c r="J722" s="3">
        <v>99</v>
      </c>
      <c r="K722" s="4">
        <v>0</v>
      </c>
      <c r="L722" s="3">
        <v>99</v>
      </c>
      <c r="M722" t="b">
        <v>1</v>
      </c>
      <c r="N722" s="2">
        <f>YEAR(B722)</f>
        <v>2026</v>
      </c>
      <c r="O722" t="str">
        <f>INDEX(Agences!$C:$C,MATCH(F722,Agences!$A:$A,0))</f>
        <v>Sud-Ouest</v>
      </c>
      <c r="P722" t="str">
        <f>INDEX(Produits!$C:$C,MATCH(H722,Produits!$A:$A,0))</f>
        <v>Informatique</v>
      </c>
      <c r="Q722" s="3">
        <f>I722*INDEX(Produits!$E:$E,MATCH(H722,Produits!$A:$A,0))</f>
        <v>75.24</v>
      </c>
      <c r="R722" s="3">
        <f>L722-Q722</f>
        <v>23.760000000000005</v>
      </c>
      <c r="S722" s="2">
        <f>NETWORKDAYS(B722,C722)-1</f>
        <v>1</v>
      </c>
      <c r="T722" s="1">
        <f>WORKDAY(B722,5)</f>
        <v>46183</v>
      </c>
      <c r="U722" t="b">
        <f>C722&gt;T722</f>
        <v>0</v>
      </c>
    </row>
    <row r="723" spans="1:21" x14ac:dyDescent="0.25">
      <c r="A723" t="s">
        <v>677</v>
      </c>
      <c r="B723" s="1">
        <v>46175</v>
      </c>
      <c r="C723" s="1">
        <v>46178</v>
      </c>
      <c r="D723" t="s">
        <v>678</v>
      </c>
      <c r="E723" t="s">
        <v>137</v>
      </c>
      <c r="F723" t="s">
        <v>138</v>
      </c>
      <c r="G723" t="s">
        <v>139</v>
      </c>
      <c r="H723" t="s">
        <v>103</v>
      </c>
      <c r="I723" s="2">
        <v>2</v>
      </c>
      <c r="J723" s="3">
        <v>245</v>
      </c>
      <c r="K723" s="4">
        <v>0</v>
      </c>
      <c r="L723" s="3">
        <v>490</v>
      </c>
      <c r="M723" t="b">
        <v>1</v>
      </c>
      <c r="N723" s="2">
        <f>YEAR(B723)</f>
        <v>2026</v>
      </c>
      <c r="O723" t="str">
        <f>INDEX(Agences!$C:$C,MATCH(F723,Agences!$A:$A,0))</f>
        <v>Île-de-France</v>
      </c>
      <c r="P723" t="str">
        <f>INDEX(Produits!$C:$C,MATCH(H723,Produits!$A:$A,0))</f>
        <v>Mobilier</v>
      </c>
      <c r="Q723" s="3">
        <f>I723*INDEX(Produits!$E:$E,MATCH(H723,Produits!$A:$A,0))</f>
        <v>328.3</v>
      </c>
      <c r="R723" s="3">
        <f>L723-Q723</f>
        <v>161.7</v>
      </c>
      <c r="S723" s="2">
        <f>NETWORKDAYS(B723,C723)-1</f>
        <v>3</v>
      </c>
      <c r="T723" s="1">
        <f>WORKDAY(B723,5)</f>
        <v>46182</v>
      </c>
      <c r="U723" t="b">
        <f>C723&gt;T723</f>
        <v>0</v>
      </c>
    </row>
    <row r="724" spans="1:21" x14ac:dyDescent="0.25">
      <c r="A724" t="s">
        <v>677</v>
      </c>
      <c r="B724" s="1">
        <v>46175</v>
      </c>
      <c r="C724" s="1">
        <v>46178</v>
      </c>
      <c r="D724" t="s">
        <v>678</v>
      </c>
      <c r="E724" t="s">
        <v>137</v>
      </c>
      <c r="F724" t="s">
        <v>138</v>
      </c>
      <c r="G724" t="s">
        <v>139</v>
      </c>
      <c r="H724" t="s">
        <v>83</v>
      </c>
      <c r="I724" s="2">
        <v>1</v>
      </c>
      <c r="J724" s="3">
        <v>49</v>
      </c>
      <c r="K724" s="4">
        <v>0.05</v>
      </c>
      <c r="L724" s="3">
        <v>46.55</v>
      </c>
      <c r="M724" t="b">
        <v>1</v>
      </c>
      <c r="N724" s="2">
        <f>YEAR(B724)</f>
        <v>2026</v>
      </c>
      <c r="O724" t="str">
        <f>INDEX(Agences!$C:$C,MATCH(F724,Agences!$A:$A,0))</f>
        <v>Île-de-France</v>
      </c>
      <c r="P724" t="str">
        <f>INDEX(Produits!$C:$C,MATCH(H724,Produits!$A:$A,0))</f>
        <v>Mobilier</v>
      </c>
      <c r="Q724" s="3">
        <f>I724*INDEX(Produits!$E:$E,MATCH(H724,Produits!$A:$A,0))</f>
        <v>28.42</v>
      </c>
      <c r="R724" s="3">
        <f>L724-Q724</f>
        <v>18.129999999999995</v>
      </c>
      <c r="S724" s="2">
        <f>NETWORKDAYS(B724,C724)-1</f>
        <v>3</v>
      </c>
      <c r="T724" s="1">
        <f>WORKDAY(B724,5)</f>
        <v>46182</v>
      </c>
      <c r="U724" t="b">
        <f>C724&gt;T724</f>
        <v>0</v>
      </c>
    </row>
    <row r="725" spans="1:21" x14ac:dyDescent="0.25">
      <c r="A725" t="s">
        <v>677</v>
      </c>
      <c r="B725" s="1">
        <v>46175</v>
      </c>
      <c r="C725" s="1">
        <v>46178</v>
      </c>
      <c r="D725" t="s">
        <v>678</v>
      </c>
      <c r="E725" t="s">
        <v>137</v>
      </c>
      <c r="F725" t="s">
        <v>138</v>
      </c>
      <c r="G725" t="s">
        <v>139</v>
      </c>
      <c r="H725" t="s">
        <v>108</v>
      </c>
      <c r="I725" s="2">
        <v>10</v>
      </c>
      <c r="J725" s="3">
        <v>24.5</v>
      </c>
      <c r="K725" s="4">
        <v>0.02</v>
      </c>
      <c r="L725" s="3">
        <v>240.1</v>
      </c>
      <c r="M725" t="b">
        <v>1</v>
      </c>
      <c r="N725" s="2">
        <f>YEAR(B725)</f>
        <v>2026</v>
      </c>
      <c r="O725" t="str">
        <f>INDEX(Agences!$C:$C,MATCH(F725,Agences!$A:$A,0))</f>
        <v>Île-de-France</v>
      </c>
      <c r="P725" t="str">
        <f>INDEX(Produits!$C:$C,MATCH(H725,Produits!$A:$A,0))</f>
        <v>Fournitures</v>
      </c>
      <c r="Q725" s="3">
        <f>I725*INDEX(Produits!$E:$E,MATCH(H725,Produits!$A:$A,0))</f>
        <v>147</v>
      </c>
      <c r="R725" s="3">
        <f>L725-Q725</f>
        <v>93.1</v>
      </c>
      <c r="S725" s="2">
        <f>NETWORKDAYS(B725,C725)-1</f>
        <v>3</v>
      </c>
      <c r="T725" s="1">
        <f>WORKDAY(B725,5)</f>
        <v>46182</v>
      </c>
      <c r="U725" t="b">
        <f>C725&gt;T725</f>
        <v>0</v>
      </c>
    </row>
    <row r="726" spans="1:21" x14ac:dyDescent="0.25">
      <c r="A726" t="s">
        <v>677</v>
      </c>
      <c r="B726" s="1">
        <v>46175</v>
      </c>
      <c r="C726" s="1">
        <v>46178</v>
      </c>
      <c r="D726" t="s">
        <v>678</v>
      </c>
      <c r="E726" t="s">
        <v>137</v>
      </c>
      <c r="F726" t="s">
        <v>138</v>
      </c>
      <c r="G726" t="s">
        <v>139</v>
      </c>
      <c r="H726" t="s">
        <v>48</v>
      </c>
      <c r="I726" s="2">
        <v>2</v>
      </c>
      <c r="J726" s="3">
        <v>165</v>
      </c>
      <c r="K726" s="4">
        <v>0</v>
      </c>
      <c r="L726" s="3">
        <v>330</v>
      </c>
      <c r="M726" t="b">
        <v>1</v>
      </c>
      <c r="N726" s="2">
        <f>YEAR(B726)</f>
        <v>2026</v>
      </c>
      <c r="O726" t="str">
        <f>INDEX(Agences!$C:$C,MATCH(F726,Agences!$A:$A,0))</f>
        <v>Île-de-France</v>
      </c>
      <c r="P726" t="str">
        <f>INDEX(Produits!$C:$C,MATCH(H726,Produits!$A:$A,0))</f>
        <v>Mobilier</v>
      </c>
      <c r="Q726" s="3">
        <f>I726*INDEX(Produits!$E:$E,MATCH(H726,Produits!$A:$A,0))</f>
        <v>214.5</v>
      </c>
      <c r="R726" s="3">
        <f>L726-Q726</f>
        <v>115.5</v>
      </c>
      <c r="S726" s="2">
        <f>NETWORKDAYS(B726,C726)-1</f>
        <v>3</v>
      </c>
      <c r="T726" s="1">
        <f>WORKDAY(B726,5)</f>
        <v>46182</v>
      </c>
      <c r="U726" t="b">
        <f>C726&gt;T726</f>
        <v>0</v>
      </c>
    </row>
    <row r="727" spans="1:21" x14ac:dyDescent="0.25">
      <c r="A727" t="s">
        <v>679</v>
      </c>
      <c r="B727" s="1">
        <v>46175</v>
      </c>
      <c r="C727" s="1">
        <v>46178</v>
      </c>
      <c r="D727" t="s">
        <v>247</v>
      </c>
      <c r="E727" t="s">
        <v>165</v>
      </c>
      <c r="F727" t="s">
        <v>166</v>
      </c>
      <c r="G727" t="s">
        <v>167</v>
      </c>
      <c r="H727" t="s">
        <v>42</v>
      </c>
      <c r="I727" s="2">
        <v>1</v>
      </c>
      <c r="J727" s="3">
        <v>55</v>
      </c>
      <c r="K727" s="4">
        <v>0.05</v>
      </c>
      <c r="L727" s="3">
        <v>52.25</v>
      </c>
      <c r="M727" t="b">
        <v>1</v>
      </c>
      <c r="N727" s="2">
        <f>YEAR(B727)</f>
        <v>2026</v>
      </c>
      <c r="O727" t="str">
        <f>INDEX(Agences!$C:$C,MATCH(F727,Agences!$A:$A,0))</f>
        <v>Ouest</v>
      </c>
      <c r="P727" t="str">
        <f>INDEX(Produits!$C:$C,MATCH(H727,Produits!$A:$A,0))</f>
        <v>Maintenance</v>
      </c>
      <c r="Q727" s="3">
        <f>I727*INDEX(Produits!$E:$E,MATCH(H727,Produits!$A:$A,0))</f>
        <v>24.75</v>
      </c>
      <c r="R727" s="3">
        <f>L727-Q727</f>
        <v>27.5</v>
      </c>
      <c r="S727" s="2">
        <f>NETWORKDAYS(B727,C727)-1</f>
        <v>3</v>
      </c>
      <c r="T727" s="1">
        <f>WORKDAY(B727,5)</f>
        <v>46182</v>
      </c>
      <c r="U727" t="b">
        <f>C727&gt;T727</f>
        <v>0</v>
      </c>
    </row>
    <row r="728" spans="1:21" x14ac:dyDescent="0.25">
      <c r="A728" t="s">
        <v>679</v>
      </c>
      <c r="B728" s="1">
        <v>46175</v>
      </c>
      <c r="C728" s="1">
        <v>46178</v>
      </c>
      <c r="D728" t="s">
        <v>247</v>
      </c>
      <c r="E728" t="s">
        <v>165</v>
      </c>
      <c r="F728" t="s">
        <v>166</v>
      </c>
      <c r="G728" t="s">
        <v>167</v>
      </c>
      <c r="H728" t="s">
        <v>83</v>
      </c>
      <c r="I728" s="2">
        <v>3</v>
      </c>
      <c r="J728" s="3">
        <v>49</v>
      </c>
      <c r="K728" s="4">
        <v>0</v>
      </c>
      <c r="L728" s="3">
        <v>147</v>
      </c>
      <c r="M728" t="b">
        <v>1</v>
      </c>
      <c r="N728" s="2">
        <f>YEAR(B728)</f>
        <v>2026</v>
      </c>
      <c r="O728" t="str">
        <f>INDEX(Agences!$C:$C,MATCH(F728,Agences!$A:$A,0))</f>
        <v>Ouest</v>
      </c>
      <c r="P728" t="str">
        <f>INDEX(Produits!$C:$C,MATCH(H728,Produits!$A:$A,0))</f>
        <v>Mobilier</v>
      </c>
      <c r="Q728" s="3">
        <f>I728*INDEX(Produits!$E:$E,MATCH(H728,Produits!$A:$A,0))</f>
        <v>85.26</v>
      </c>
      <c r="R728" s="3">
        <f>L728-Q728</f>
        <v>61.739999999999995</v>
      </c>
      <c r="S728" s="2">
        <f>NETWORKDAYS(B728,C728)-1</f>
        <v>3</v>
      </c>
      <c r="T728" s="1">
        <f>WORKDAY(B728,5)</f>
        <v>46182</v>
      </c>
      <c r="U728" t="b">
        <f>C728&gt;T728</f>
        <v>0</v>
      </c>
    </row>
    <row r="729" spans="1:21" x14ac:dyDescent="0.25">
      <c r="A729" t="s">
        <v>679</v>
      </c>
      <c r="B729" s="1">
        <v>46175</v>
      </c>
      <c r="C729" s="1">
        <v>46178</v>
      </c>
      <c r="D729" t="s">
        <v>247</v>
      </c>
      <c r="E729" t="s">
        <v>165</v>
      </c>
      <c r="F729" t="s">
        <v>166</v>
      </c>
      <c r="G729" t="s">
        <v>167</v>
      </c>
      <c r="H729" t="s">
        <v>35</v>
      </c>
      <c r="I729" s="2">
        <v>1</v>
      </c>
      <c r="J729" s="3">
        <v>79</v>
      </c>
      <c r="K729" s="4">
        <v>0.05</v>
      </c>
      <c r="L729" s="3">
        <v>75.05</v>
      </c>
      <c r="M729" t="b">
        <v>1</v>
      </c>
      <c r="N729" s="2">
        <f>YEAR(B729)</f>
        <v>2026</v>
      </c>
      <c r="O729" t="str">
        <f>INDEX(Agences!$C:$C,MATCH(F729,Agences!$A:$A,0))</f>
        <v>Ouest</v>
      </c>
      <c r="P729" t="str">
        <f>INDEX(Produits!$C:$C,MATCH(H729,Produits!$A:$A,0))</f>
        <v>Mobilier</v>
      </c>
      <c r="Q729" s="3">
        <f>I729*INDEX(Produits!$E:$E,MATCH(H729,Produits!$A:$A,0))</f>
        <v>46.61</v>
      </c>
      <c r="R729" s="3">
        <f>L729-Q729</f>
        <v>28.439999999999998</v>
      </c>
      <c r="S729" s="2">
        <f>NETWORKDAYS(B729,C729)-1</f>
        <v>3</v>
      </c>
      <c r="T729" s="1">
        <f>WORKDAY(B729,5)</f>
        <v>46182</v>
      </c>
      <c r="U729" t="b">
        <f>C729&gt;T729</f>
        <v>0</v>
      </c>
    </row>
    <row r="730" spans="1:21" x14ac:dyDescent="0.25">
      <c r="A730" t="s">
        <v>679</v>
      </c>
      <c r="B730" s="1">
        <v>46175</v>
      </c>
      <c r="C730" s="1">
        <v>46178</v>
      </c>
      <c r="D730" t="s">
        <v>247</v>
      </c>
      <c r="E730" t="s">
        <v>165</v>
      </c>
      <c r="F730" t="s">
        <v>166</v>
      </c>
      <c r="G730" t="s">
        <v>167</v>
      </c>
      <c r="H730" t="s">
        <v>64</v>
      </c>
      <c r="I730" s="2">
        <v>5</v>
      </c>
      <c r="J730" s="3">
        <v>16.8</v>
      </c>
      <c r="K730" s="4">
        <v>0</v>
      </c>
      <c r="L730" s="3">
        <v>84</v>
      </c>
      <c r="M730" t="b">
        <v>1</v>
      </c>
      <c r="N730" s="2">
        <f>YEAR(B730)</f>
        <v>2026</v>
      </c>
      <c r="O730" t="str">
        <f>INDEX(Agences!$C:$C,MATCH(F730,Agences!$A:$A,0))</f>
        <v>Ouest</v>
      </c>
      <c r="P730" t="str">
        <f>INDEX(Produits!$C:$C,MATCH(H730,Produits!$A:$A,0))</f>
        <v>Fournitures</v>
      </c>
      <c r="Q730" s="3">
        <f>I730*INDEX(Produits!$E:$E,MATCH(H730,Produits!$A:$A,0))</f>
        <v>43.7</v>
      </c>
      <c r="R730" s="3">
        <f>L730-Q730</f>
        <v>40.3</v>
      </c>
      <c r="S730" s="2">
        <f>NETWORKDAYS(B730,C730)-1</f>
        <v>3</v>
      </c>
      <c r="T730" s="1">
        <f>WORKDAY(B730,5)</f>
        <v>46182</v>
      </c>
      <c r="U730" t="b">
        <f>C730&gt;T730</f>
        <v>0</v>
      </c>
    </row>
    <row r="731" spans="1:21" x14ac:dyDescent="0.25">
      <c r="A731" t="s">
        <v>680</v>
      </c>
      <c r="B731" s="1">
        <v>46175</v>
      </c>
      <c r="C731" s="1">
        <v>46176</v>
      </c>
      <c r="D731" t="s">
        <v>681</v>
      </c>
      <c r="E731" t="s">
        <v>236</v>
      </c>
      <c r="F731" t="s">
        <v>39</v>
      </c>
      <c r="G731" t="s">
        <v>40</v>
      </c>
      <c r="H731" t="s">
        <v>103</v>
      </c>
      <c r="I731" s="2">
        <v>3</v>
      </c>
      <c r="J731" s="3">
        <v>245</v>
      </c>
      <c r="K731" s="4">
        <v>0.02</v>
      </c>
      <c r="L731" s="3">
        <v>720.3</v>
      </c>
      <c r="M731" t="b">
        <v>1</v>
      </c>
      <c r="N731" s="2">
        <f>YEAR(B731)</f>
        <v>2026</v>
      </c>
      <c r="O731" t="str">
        <f>INDEX(Agences!$C:$C,MATCH(F731,Agences!$A:$A,0))</f>
        <v>Sud-Ouest</v>
      </c>
      <c r="P731" t="str">
        <f>INDEX(Produits!$C:$C,MATCH(H731,Produits!$A:$A,0))</f>
        <v>Mobilier</v>
      </c>
      <c r="Q731" s="3">
        <f>I731*INDEX(Produits!$E:$E,MATCH(H731,Produits!$A:$A,0))</f>
        <v>492.45000000000005</v>
      </c>
      <c r="R731" s="3">
        <f>L731-Q731</f>
        <v>227.8499999999999</v>
      </c>
      <c r="S731" s="2">
        <f>NETWORKDAYS(B731,C731)-1</f>
        <v>1</v>
      </c>
      <c r="T731" s="1">
        <f>WORKDAY(B731,5)</f>
        <v>46182</v>
      </c>
      <c r="U731" t="b">
        <f>C731&gt;T731</f>
        <v>0</v>
      </c>
    </row>
    <row r="732" spans="1:21" x14ac:dyDescent="0.25">
      <c r="A732" t="s">
        <v>680</v>
      </c>
      <c r="B732" s="1">
        <v>46175</v>
      </c>
      <c r="C732" s="1">
        <v>46176</v>
      </c>
      <c r="D732" t="s">
        <v>681</v>
      </c>
      <c r="E732" t="s">
        <v>236</v>
      </c>
      <c r="F732" t="s">
        <v>39</v>
      </c>
      <c r="G732" t="s">
        <v>40</v>
      </c>
      <c r="H732" t="s">
        <v>79</v>
      </c>
      <c r="I732" s="2">
        <v>20</v>
      </c>
      <c r="J732" s="3">
        <v>14.9</v>
      </c>
      <c r="K732" s="4">
        <v>0</v>
      </c>
      <c r="L732" s="3">
        <v>298</v>
      </c>
      <c r="M732" t="b">
        <v>1</v>
      </c>
      <c r="N732" s="2">
        <f>YEAR(B732)</f>
        <v>2026</v>
      </c>
      <c r="O732" t="str">
        <f>INDEX(Agences!$C:$C,MATCH(F732,Agences!$A:$A,0))</f>
        <v>Sud-Ouest</v>
      </c>
      <c r="P732" t="str">
        <f>INDEX(Produits!$C:$C,MATCH(H732,Produits!$A:$A,0))</f>
        <v>Fournitures</v>
      </c>
      <c r="Q732" s="3">
        <f>I732*INDEX(Produits!$E:$E,MATCH(H732,Produits!$A:$A,0))</f>
        <v>161</v>
      </c>
      <c r="R732" s="3">
        <f>L732-Q732</f>
        <v>137</v>
      </c>
      <c r="S732" s="2">
        <f>NETWORKDAYS(B732,C732)-1</f>
        <v>1</v>
      </c>
      <c r="T732" s="1">
        <f>WORKDAY(B732,5)</f>
        <v>46182</v>
      </c>
      <c r="U732" t="b">
        <f>C732&gt;T732</f>
        <v>0</v>
      </c>
    </row>
    <row r="733" spans="1:21" x14ac:dyDescent="0.25">
      <c r="A733" t="s">
        <v>682</v>
      </c>
      <c r="B733" s="1">
        <v>46175</v>
      </c>
      <c r="C733" s="1">
        <v>46190</v>
      </c>
      <c r="D733" t="s">
        <v>683</v>
      </c>
      <c r="E733" t="s">
        <v>229</v>
      </c>
      <c r="F733" t="s">
        <v>55</v>
      </c>
      <c r="G733" t="s">
        <v>195</v>
      </c>
      <c r="H733" t="s">
        <v>90</v>
      </c>
      <c r="I733" s="2">
        <v>15</v>
      </c>
      <c r="J733" s="3">
        <v>22.9</v>
      </c>
      <c r="K733" s="4">
        <v>0.02</v>
      </c>
      <c r="L733" s="3">
        <v>336.63</v>
      </c>
      <c r="M733" t="b">
        <v>1</v>
      </c>
      <c r="N733" s="2">
        <f>YEAR(B733)</f>
        <v>2026</v>
      </c>
      <c r="O733" t="str">
        <f>INDEX(Agences!$C:$C,MATCH(F733,Agences!$A:$A,0))</f>
        <v>Est</v>
      </c>
      <c r="P733" t="str">
        <f>INDEX(Produits!$C:$C,MATCH(H733,Produits!$A:$A,0))</f>
        <v>Fournitures</v>
      </c>
      <c r="Q733" s="3">
        <f>I733*INDEX(Produits!$E:$E,MATCH(H733,Produits!$A:$A,0))</f>
        <v>192.3</v>
      </c>
      <c r="R733" s="3">
        <f>L733-Q733</f>
        <v>144.32999999999998</v>
      </c>
      <c r="S733" s="2">
        <f>NETWORKDAYS(B733,C733)-1</f>
        <v>11</v>
      </c>
      <c r="T733" s="1">
        <f>WORKDAY(B733,5)</f>
        <v>46182</v>
      </c>
      <c r="U733" t="b">
        <f>C733&gt;T733</f>
        <v>1</v>
      </c>
    </row>
    <row r="734" spans="1:21" x14ac:dyDescent="0.25">
      <c r="A734" t="s">
        <v>682</v>
      </c>
      <c r="B734" s="1">
        <v>46175</v>
      </c>
      <c r="C734" s="1">
        <v>46190</v>
      </c>
      <c r="D734" t="s">
        <v>683</v>
      </c>
      <c r="E734" t="s">
        <v>229</v>
      </c>
      <c r="F734" t="s">
        <v>55</v>
      </c>
      <c r="G734" t="s">
        <v>195</v>
      </c>
      <c r="H734" t="s">
        <v>83</v>
      </c>
      <c r="I734" s="2">
        <v>1</v>
      </c>
      <c r="J734" s="3">
        <v>49</v>
      </c>
      <c r="K734" s="4">
        <v>0.05</v>
      </c>
      <c r="L734" s="3">
        <v>46.55</v>
      </c>
      <c r="M734" t="b">
        <v>1</v>
      </c>
      <c r="N734" s="2">
        <f>YEAR(B734)</f>
        <v>2026</v>
      </c>
      <c r="O734" t="str">
        <f>INDEX(Agences!$C:$C,MATCH(F734,Agences!$A:$A,0))</f>
        <v>Est</v>
      </c>
      <c r="P734" t="str">
        <f>INDEX(Produits!$C:$C,MATCH(H734,Produits!$A:$A,0))</f>
        <v>Mobilier</v>
      </c>
      <c r="Q734" s="3">
        <f>I734*INDEX(Produits!$E:$E,MATCH(H734,Produits!$A:$A,0))</f>
        <v>28.42</v>
      </c>
      <c r="R734" s="3">
        <f>L734-Q734</f>
        <v>18.129999999999995</v>
      </c>
      <c r="S734" s="2">
        <f>NETWORKDAYS(B734,C734)-1</f>
        <v>11</v>
      </c>
      <c r="T734" s="1">
        <f>WORKDAY(B734,5)</f>
        <v>46182</v>
      </c>
      <c r="U734" t="b">
        <f>C734&gt;T734</f>
        <v>1</v>
      </c>
    </row>
    <row r="735" spans="1:21" x14ac:dyDescent="0.25">
      <c r="A735" t="s">
        <v>682</v>
      </c>
      <c r="B735" s="1">
        <v>46175</v>
      </c>
      <c r="C735" s="1">
        <v>46190</v>
      </c>
      <c r="D735" t="s">
        <v>683</v>
      </c>
      <c r="E735" t="s">
        <v>229</v>
      </c>
      <c r="F735" t="s">
        <v>55</v>
      </c>
      <c r="G735" t="s">
        <v>195</v>
      </c>
      <c r="H735" t="s">
        <v>103</v>
      </c>
      <c r="I735" s="2">
        <v>5</v>
      </c>
      <c r="J735" s="3">
        <v>245</v>
      </c>
      <c r="K735" s="4">
        <v>0</v>
      </c>
      <c r="L735" s="3">
        <v>1225</v>
      </c>
      <c r="M735" t="b">
        <v>1</v>
      </c>
      <c r="N735" s="2">
        <f>YEAR(B735)</f>
        <v>2026</v>
      </c>
      <c r="O735" t="str">
        <f>INDEX(Agences!$C:$C,MATCH(F735,Agences!$A:$A,0))</f>
        <v>Est</v>
      </c>
      <c r="P735" t="str">
        <f>INDEX(Produits!$C:$C,MATCH(H735,Produits!$A:$A,0))</f>
        <v>Mobilier</v>
      </c>
      <c r="Q735" s="3">
        <f>I735*INDEX(Produits!$E:$E,MATCH(H735,Produits!$A:$A,0))</f>
        <v>820.75</v>
      </c>
      <c r="R735" s="3">
        <f>L735-Q735</f>
        <v>404.25</v>
      </c>
      <c r="S735" s="2">
        <f>NETWORKDAYS(B735,C735)-1</f>
        <v>11</v>
      </c>
      <c r="T735" s="1">
        <f>WORKDAY(B735,5)</f>
        <v>46182</v>
      </c>
      <c r="U735" t="b">
        <f>C735&gt;T735</f>
        <v>1</v>
      </c>
    </row>
    <row r="736" spans="1:21" x14ac:dyDescent="0.25">
      <c r="A736" t="s">
        <v>682</v>
      </c>
      <c r="B736" s="1">
        <v>46175</v>
      </c>
      <c r="C736" s="1">
        <v>46190</v>
      </c>
      <c r="D736" t="s">
        <v>683</v>
      </c>
      <c r="E736" t="s">
        <v>229</v>
      </c>
      <c r="F736" t="s">
        <v>55</v>
      </c>
      <c r="G736" t="s">
        <v>195</v>
      </c>
      <c r="H736" t="s">
        <v>48</v>
      </c>
      <c r="I736" s="2">
        <v>1</v>
      </c>
      <c r="J736" s="3">
        <v>165</v>
      </c>
      <c r="K736" s="4">
        <v>0</v>
      </c>
      <c r="L736" s="3">
        <v>165</v>
      </c>
      <c r="M736" t="b">
        <v>1</v>
      </c>
      <c r="N736" s="2">
        <f>YEAR(B736)</f>
        <v>2026</v>
      </c>
      <c r="O736" t="str">
        <f>INDEX(Agences!$C:$C,MATCH(F736,Agences!$A:$A,0))</f>
        <v>Est</v>
      </c>
      <c r="P736" t="str">
        <f>INDEX(Produits!$C:$C,MATCH(H736,Produits!$A:$A,0))</f>
        <v>Mobilier</v>
      </c>
      <c r="Q736" s="3">
        <f>I736*INDEX(Produits!$E:$E,MATCH(H736,Produits!$A:$A,0))</f>
        <v>107.25</v>
      </c>
      <c r="R736" s="3">
        <f>L736-Q736</f>
        <v>57.75</v>
      </c>
      <c r="S736" s="2">
        <f>NETWORKDAYS(B736,C736)-1</f>
        <v>11</v>
      </c>
      <c r="T736" s="1">
        <f>WORKDAY(B736,5)</f>
        <v>46182</v>
      </c>
      <c r="U736" t="b">
        <f>C736&gt;T736</f>
        <v>1</v>
      </c>
    </row>
    <row r="737" spans="1:21" x14ac:dyDescent="0.25">
      <c r="A737" t="s">
        <v>682</v>
      </c>
      <c r="B737" s="1">
        <v>46175</v>
      </c>
      <c r="C737" s="1">
        <v>46190</v>
      </c>
      <c r="D737" t="s">
        <v>683</v>
      </c>
      <c r="E737" t="s">
        <v>229</v>
      </c>
      <c r="F737" t="s">
        <v>55</v>
      </c>
      <c r="G737" t="s">
        <v>195</v>
      </c>
      <c r="H737" t="s">
        <v>57</v>
      </c>
      <c r="I737" s="2">
        <v>5</v>
      </c>
      <c r="J737" s="3">
        <v>149</v>
      </c>
      <c r="K737" s="4">
        <v>0</v>
      </c>
      <c r="L737" s="3">
        <v>745</v>
      </c>
      <c r="M737" t="b">
        <v>1</v>
      </c>
      <c r="N737" s="2">
        <f>YEAR(B737)</f>
        <v>2026</v>
      </c>
      <c r="O737" t="str">
        <f>INDEX(Agences!$C:$C,MATCH(F737,Agences!$A:$A,0))</f>
        <v>Est</v>
      </c>
      <c r="P737" t="str">
        <f>INDEX(Produits!$C:$C,MATCH(H737,Produits!$A:$A,0))</f>
        <v>Informatique</v>
      </c>
      <c r="Q737" s="3">
        <f>I737*INDEX(Produits!$E:$E,MATCH(H737,Produits!$A:$A,0))</f>
        <v>573.65</v>
      </c>
      <c r="R737" s="3">
        <f>L737-Q737</f>
        <v>171.35000000000002</v>
      </c>
      <c r="S737" s="2">
        <f>NETWORKDAYS(B737,C737)-1</f>
        <v>11</v>
      </c>
      <c r="T737" s="1">
        <f>WORKDAY(B737,5)</f>
        <v>46182</v>
      </c>
      <c r="U737" t="b">
        <f>C737&gt;T737</f>
        <v>1</v>
      </c>
    </row>
    <row r="738" spans="1:21" x14ac:dyDescent="0.25">
      <c r="A738" t="s">
        <v>684</v>
      </c>
      <c r="B738" s="1">
        <v>46174</v>
      </c>
      <c r="C738" s="1">
        <v>46176</v>
      </c>
      <c r="D738" t="s">
        <v>484</v>
      </c>
      <c r="E738" t="s">
        <v>236</v>
      </c>
      <c r="F738" t="s">
        <v>39</v>
      </c>
      <c r="G738" t="s">
        <v>131</v>
      </c>
      <c r="H738" t="s">
        <v>35</v>
      </c>
      <c r="I738" s="2">
        <v>2</v>
      </c>
      <c r="J738" s="3">
        <v>79</v>
      </c>
      <c r="K738" s="4">
        <v>0</v>
      </c>
      <c r="L738" s="3">
        <v>158</v>
      </c>
      <c r="M738" t="b">
        <v>1</v>
      </c>
      <c r="N738" s="2">
        <f>YEAR(B738)</f>
        <v>2026</v>
      </c>
      <c r="O738" t="str">
        <f>INDEX(Agences!$C:$C,MATCH(F738,Agences!$A:$A,0))</f>
        <v>Sud-Ouest</v>
      </c>
      <c r="P738" t="str">
        <f>INDEX(Produits!$C:$C,MATCH(H738,Produits!$A:$A,0))</f>
        <v>Mobilier</v>
      </c>
      <c r="Q738" s="3">
        <f>I738*INDEX(Produits!$E:$E,MATCH(H738,Produits!$A:$A,0))</f>
        <v>93.22</v>
      </c>
      <c r="R738" s="3">
        <f>L738-Q738</f>
        <v>64.78</v>
      </c>
      <c r="S738" s="2">
        <f>NETWORKDAYS(B738,C738)-1</f>
        <v>2</v>
      </c>
      <c r="T738" s="1">
        <f>WORKDAY(B738,5)</f>
        <v>46181</v>
      </c>
      <c r="U738" t="b">
        <f>C738&gt;T738</f>
        <v>0</v>
      </c>
    </row>
    <row r="739" spans="1:21" x14ac:dyDescent="0.25">
      <c r="A739" t="s">
        <v>685</v>
      </c>
      <c r="B739" s="1">
        <v>46174</v>
      </c>
      <c r="C739" s="1">
        <v>46176</v>
      </c>
      <c r="D739" t="s">
        <v>686</v>
      </c>
      <c r="E739" t="s">
        <v>256</v>
      </c>
      <c r="F739" t="s">
        <v>88</v>
      </c>
      <c r="G739" t="s">
        <v>226</v>
      </c>
      <c r="H739" t="s">
        <v>35</v>
      </c>
      <c r="I739" s="2">
        <v>2</v>
      </c>
      <c r="J739" s="3">
        <v>79</v>
      </c>
      <c r="K739" s="4">
        <v>0</v>
      </c>
      <c r="L739" s="3">
        <v>158</v>
      </c>
      <c r="M739" t="b">
        <v>1</v>
      </c>
      <c r="N739" s="2">
        <f>YEAR(B739)</f>
        <v>2026</v>
      </c>
      <c r="O739" t="str">
        <f>INDEX(Agences!$C:$C,MATCH(F739,Agences!$A:$A,0))</f>
        <v>Sud-Ouest</v>
      </c>
      <c r="P739" t="str">
        <f>INDEX(Produits!$C:$C,MATCH(H739,Produits!$A:$A,0))</f>
        <v>Mobilier</v>
      </c>
      <c r="Q739" s="3">
        <f>I739*INDEX(Produits!$E:$E,MATCH(H739,Produits!$A:$A,0))</f>
        <v>93.22</v>
      </c>
      <c r="R739" s="3">
        <f>L739-Q739</f>
        <v>64.78</v>
      </c>
      <c r="S739" s="2">
        <f>NETWORKDAYS(B739,C739)-1</f>
        <v>2</v>
      </c>
      <c r="T739" s="1">
        <f>WORKDAY(B739,5)</f>
        <v>46181</v>
      </c>
      <c r="U739" t="b">
        <f>C739&gt;T739</f>
        <v>0</v>
      </c>
    </row>
    <row r="740" spans="1:21" x14ac:dyDescent="0.25">
      <c r="A740" t="s">
        <v>687</v>
      </c>
      <c r="B740" s="1">
        <v>46171</v>
      </c>
      <c r="C740" s="1">
        <v>46175</v>
      </c>
      <c r="D740" t="s">
        <v>351</v>
      </c>
      <c r="E740" t="s">
        <v>202</v>
      </c>
      <c r="F740" t="s">
        <v>138</v>
      </c>
      <c r="G740" t="s">
        <v>214</v>
      </c>
      <c r="H740" t="s">
        <v>51</v>
      </c>
      <c r="I740" s="2">
        <v>1</v>
      </c>
      <c r="J740" s="3">
        <v>180</v>
      </c>
      <c r="K740" s="4">
        <v>0</v>
      </c>
      <c r="L740" s="3">
        <v>180</v>
      </c>
      <c r="M740" t="b">
        <v>1</v>
      </c>
      <c r="N740" s="2">
        <f>YEAR(B740)</f>
        <v>2026</v>
      </c>
      <c r="O740" t="str">
        <f>INDEX(Agences!$C:$C,MATCH(F740,Agences!$A:$A,0))</f>
        <v>Île-de-France</v>
      </c>
      <c r="P740" t="str">
        <f>INDEX(Produits!$C:$C,MATCH(H740,Produits!$A:$A,0))</f>
        <v>Maintenance</v>
      </c>
      <c r="Q740" s="3">
        <f>I740*INDEX(Produits!$E:$E,MATCH(H740,Produits!$A:$A,0))</f>
        <v>82.8</v>
      </c>
      <c r="R740" s="3">
        <f>L740-Q740</f>
        <v>97.2</v>
      </c>
      <c r="S740" s="2">
        <f>NETWORKDAYS(B740,C740)-1</f>
        <v>2</v>
      </c>
      <c r="T740" s="1">
        <f>WORKDAY(B740,5)</f>
        <v>46178</v>
      </c>
      <c r="U740" t="b">
        <f>C740&gt;T740</f>
        <v>0</v>
      </c>
    </row>
    <row r="741" spans="1:21" x14ac:dyDescent="0.25">
      <c r="A741" t="s">
        <v>687</v>
      </c>
      <c r="B741" s="1">
        <v>46171</v>
      </c>
      <c r="C741" s="1">
        <v>46175</v>
      </c>
      <c r="D741" t="s">
        <v>351</v>
      </c>
      <c r="E741" t="s">
        <v>202</v>
      </c>
      <c r="F741" t="s">
        <v>138</v>
      </c>
      <c r="G741" t="s">
        <v>214</v>
      </c>
      <c r="H741" t="s">
        <v>42</v>
      </c>
      <c r="I741" s="2">
        <v>1</v>
      </c>
      <c r="J741" s="3">
        <v>55</v>
      </c>
      <c r="K741" s="4">
        <v>0.02</v>
      </c>
      <c r="L741" s="3">
        <v>53.9</v>
      </c>
      <c r="M741" t="b">
        <v>1</v>
      </c>
      <c r="N741" s="2">
        <f>YEAR(B741)</f>
        <v>2026</v>
      </c>
      <c r="O741" t="str">
        <f>INDEX(Agences!$C:$C,MATCH(F741,Agences!$A:$A,0))</f>
        <v>Île-de-France</v>
      </c>
      <c r="P741" t="str">
        <f>INDEX(Produits!$C:$C,MATCH(H741,Produits!$A:$A,0))</f>
        <v>Maintenance</v>
      </c>
      <c r="Q741" s="3">
        <f>I741*INDEX(Produits!$E:$E,MATCH(H741,Produits!$A:$A,0))</f>
        <v>24.75</v>
      </c>
      <c r="R741" s="3">
        <f>L741-Q741</f>
        <v>29.15</v>
      </c>
      <c r="S741" s="2">
        <f>NETWORKDAYS(B741,C741)-1</f>
        <v>2</v>
      </c>
      <c r="T741" s="1">
        <f>WORKDAY(B741,5)</f>
        <v>46178</v>
      </c>
      <c r="U741" t="b">
        <f>C741&gt;T741</f>
        <v>0</v>
      </c>
    </row>
    <row r="742" spans="1:21" x14ac:dyDescent="0.25">
      <c r="A742" t="s">
        <v>687</v>
      </c>
      <c r="B742" s="1">
        <v>46171</v>
      </c>
      <c r="C742" s="1">
        <v>46175</v>
      </c>
      <c r="D742" t="s">
        <v>351</v>
      </c>
      <c r="E742" t="s">
        <v>202</v>
      </c>
      <c r="F742" t="s">
        <v>138</v>
      </c>
      <c r="G742" t="s">
        <v>214</v>
      </c>
      <c r="H742" t="s">
        <v>112</v>
      </c>
      <c r="I742" s="2">
        <v>1</v>
      </c>
      <c r="J742" s="3">
        <v>129</v>
      </c>
      <c r="K742" s="4">
        <v>0.08</v>
      </c>
      <c r="L742" s="3">
        <v>118.68</v>
      </c>
      <c r="M742" t="b">
        <v>1</v>
      </c>
      <c r="N742" s="2">
        <f>YEAR(B742)</f>
        <v>2026</v>
      </c>
      <c r="O742" t="str">
        <f>INDEX(Agences!$C:$C,MATCH(F742,Agences!$A:$A,0))</f>
        <v>Île-de-France</v>
      </c>
      <c r="P742" t="str">
        <f>INDEX(Produits!$C:$C,MATCH(H742,Produits!$A:$A,0))</f>
        <v>Mobilier</v>
      </c>
      <c r="Q742" s="3">
        <f>I742*INDEX(Produits!$E:$E,MATCH(H742,Produits!$A:$A,0))</f>
        <v>86.43</v>
      </c>
      <c r="R742" s="3">
        <f>L742-Q742</f>
        <v>32.25</v>
      </c>
      <c r="S742" s="2">
        <f>NETWORKDAYS(B742,C742)-1</f>
        <v>2</v>
      </c>
      <c r="T742" s="1">
        <f>WORKDAY(B742,5)</f>
        <v>46178</v>
      </c>
      <c r="U742" t="b">
        <f>C742&gt;T742</f>
        <v>0</v>
      </c>
    </row>
    <row r="743" spans="1:21" x14ac:dyDescent="0.25">
      <c r="A743" t="s">
        <v>688</v>
      </c>
      <c r="B743" s="1">
        <v>46171</v>
      </c>
      <c r="C743" s="1">
        <v>46174</v>
      </c>
      <c r="D743" t="s">
        <v>689</v>
      </c>
      <c r="E743" t="s">
        <v>270</v>
      </c>
      <c r="F743" t="s">
        <v>76</v>
      </c>
      <c r="G743" t="s">
        <v>77</v>
      </c>
      <c r="H743" t="s">
        <v>51</v>
      </c>
      <c r="I743" s="2">
        <v>1</v>
      </c>
      <c r="J743" s="3">
        <v>180</v>
      </c>
      <c r="K743" s="4">
        <v>0.05</v>
      </c>
      <c r="L743" s="3">
        <v>171</v>
      </c>
      <c r="M743" t="b">
        <v>1</v>
      </c>
      <c r="N743" s="2">
        <f>YEAR(B743)</f>
        <v>2026</v>
      </c>
      <c r="O743" t="str">
        <f>INDEX(Agences!$C:$C,MATCH(F743,Agences!$A:$A,0))</f>
        <v>Île-de-France</v>
      </c>
      <c r="P743" t="str">
        <f>INDEX(Produits!$C:$C,MATCH(H743,Produits!$A:$A,0))</f>
        <v>Maintenance</v>
      </c>
      <c r="Q743" s="3">
        <f>I743*INDEX(Produits!$E:$E,MATCH(H743,Produits!$A:$A,0))</f>
        <v>82.8</v>
      </c>
      <c r="R743" s="3">
        <f>L743-Q743</f>
        <v>88.2</v>
      </c>
      <c r="S743" s="2">
        <f>NETWORKDAYS(B743,C743)-1</f>
        <v>1</v>
      </c>
      <c r="T743" s="1">
        <f>WORKDAY(B743,5)</f>
        <v>46178</v>
      </c>
      <c r="U743" t="b">
        <f>C743&gt;T743</f>
        <v>0</v>
      </c>
    </row>
    <row r="744" spans="1:21" x14ac:dyDescent="0.25">
      <c r="A744" t="s">
        <v>688</v>
      </c>
      <c r="B744" s="1">
        <v>46171</v>
      </c>
      <c r="C744" s="1">
        <v>46174</v>
      </c>
      <c r="D744" t="s">
        <v>689</v>
      </c>
      <c r="E744" t="s">
        <v>270</v>
      </c>
      <c r="F744" t="s">
        <v>76</v>
      </c>
      <c r="G744" t="s">
        <v>77</v>
      </c>
      <c r="H744" t="s">
        <v>83</v>
      </c>
      <c r="I744" s="2">
        <v>1</v>
      </c>
      <c r="J744" s="3">
        <v>49</v>
      </c>
      <c r="K744" s="4">
        <v>0</v>
      </c>
      <c r="L744" s="3">
        <v>49</v>
      </c>
      <c r="M744" t="b">
        <v>1</v>
      </c>
      <c r="N744" s="2">
        <f>YEAR(B744)</f>
        <v>2026</v>
      </c>
      <c r="O744" t="str">
        <f>INDEX(Agences!$C:$C,MATCH(F744,Agences!$A:$A,0))</f>
        <v>Île-de-France</v>
      </c>
      <c r="P744" t="str">
        <f>INDEX(Produits!$C:$C,MATCH(H744,Produits!$A:$A,0))</f>
        <v>Mobilier</v>
      </c>
      <c r="Q744" s="3">
        <f>I744*INDEX(Produits!$E:$E,MATCH(H744,Produits!$A:$A,0))</f>
        <v>28.42</v>
      </c>
      <c r="R744" s="3">
        <f>L744-Q744</f>
        <v>20.58</v>
      </c>
      <c r="S744" s="2">
        <f>NETWORKDAYS(B744,C744)-1</f>
        <v>1</v>
      </c>
      <c r="T744" s="1">
        <f>WORKDAY(B744,5)</f>
        <v>46178</v>
      </c>
      <c r="U744" t="b">
        <f>C744&gt;T744</f>
        <v>0</v>
      </c>
    </row>
    <row r="745" spans="1:21" x14ac:dyDescent="0.25">
      <c r="A745" t="s">
        <v>690</v>
      </c>
      <c r="B745" s="1">
        <v>46171</v>
      </c>
      <c r="C745" s="1">
        <v>46176</v>
      </c>
      <c r="D745" t="s">
        <v>583</v>
      </c>
      <c r="E745" t="s">
        <v>165</v>
      </c>
      <c r="F745" t="s">
        <v>166</v>
      </c>
      <c r="G745" t="s">
        <v>248</v>
      </c>
      <c r="H745" t="s">
        <v>112</v>
      </c>
      <c r="I745" s="2">
        <v>1</v>
      </c>
      <c r="J745" s="3">
        <v>129</v>
      </c>
      <c r="K745" s="4">
        <v>0.02</v>
      </c>
      <c r="L745" s="3">
        <v>126.42</v>
      </c>
      <c r="M745" t="b">
        <v>1</v>
      </c>
      <c r="N745" s="2">
        <f>YEAR(B745)</f>
        <v>2026</v>
      </c>
      <c r="O745" t="str">
        <f>INDEX(Agences!$C:$C,MATCH(F745,Agences!$A:$A,0))</f>
        <v>Ouest</v>
      </c>
      <c r="P745" t="str">
        <f>INDEX(Produits!$C:$C,MATCH(H745,Produits!$A:$A,0))</f>
        <v>Mobilier</v>
      </c>
      <c r="Q745" s="3">
        <f>I745*INDEX(Produits!$E:$E,MATCH(H745,Produits!$A:$A,0))</f>
        <v>86.43</v>
      </c>
      <c r="R745" s="3">
        <f>L745-Q745</f>
        <v>39.989999999999995</v>
      </c>
      <c r="S745" s="2">
        <f>NETWORKDAYS(B745,C745)-1</f>
        <v>3</v>
      </c>
      <c r="T745" s="1">
        <f>WORKDAY(B745,5)</f>
        <v>46178</v>
      </c>
      <c r="U745" t="b">
        <f>C745&gt;T745</f>
        <v>0</v>
      </c>
    </row>
    <row r="746" spans="1:21" x14ac:dyDescent="0.25">
      <c r="A746" t="s">
        <v>691</v>
      </c>
      <c r="B746" s="1">
        <v>46171</v>
      </c>
      <c r="C746" s="1">
        <v>46174</v>
      </c>
      <c r="D746" t="s">
        <v>692</v>
      </c>
      <c r="E746" t="s">
        <v>30</v>
      </c>
      <c r="F746" t="s">
        <v>31</v>
      </c>
      <c r="G746" t="s">
        <v>32</v>
      </c>
      <c r="H746" t="s">
        <v>83</v>
      </c>
      <c r="I746" s="2">
        <v>1</v>
      </c>
      <c r="J746" s="3">
        <v>49</v>
      </c>
      <c r="K746" s="4">
        <v>0</v>
      </c>
      <c r="L746" s="3">
        <v>49</v>
      </c>
      <c r="M746" t="b">
        <v>1</v>
      </c>
      <c r="N746" s="2">
        <f>YEAR(B746)</f>
        <v>2026</v>
      </c>
      <c r="O746" t="str">
        <f>INDEX(Agences!$C:$C,MATCH(F746,Agences!$A:$A,0))</f>
        <v>Ouest</v>
      </c>
      <c r="P746" t="str">
        <f>INDEX(Produits!$C:$C,MATCH(H746,Produits!$A:$A,0))</f>
        <v>Mobilier</v>
      </c>
      <c r="Q746" s="3">
        <f>I746*INDEX(Produits!$E:$E,MATCH(H746,Produits!$A:$A,0))</f>
        <v>28.42</v>
      </c>
      <c r="R746" s="3">
        <f>L746-Q746</f>
        <v>20.58</v>
      </c>
      <c r="S746" s="2">
        <f>NETWORKDAYS(B746,C746)-1</f>
        <v>1</v>
      </c>
      <c r="T746" s="1">
        <f>WORKDAY(B746,5)</f>
        <v>46178</v>
      </c>
      <c r="U746" t="b">
        <f>C746&gt;T746</f>
        <v>0</v>
      </c>
    </row>
    <row r="747" spans="1:21" x14ac:dyDescent="0.25">
      <c r="A747" t="s">
        <v>693</v>
      </c>
      <c r="B747" s="1">
        <v>46170</v>
      </c>
      <c r="C747" s="1">
        <v>46174</v>
      </c>
      <c r="D747" t="s">
        <v>694</v>
      </c>
      <c r="E747" t="s">
        <v>45</v>
      </c>
      <c r="F747" t="s">
        <v>46</v>
      </c>
      <c r="G747" t="s">
        <v>111</v>
      </c>
      <c r="H747" t="s">
        <v>606</v>
      </c>
      <c r="I747" s="2">
        <v>1</v>
      </c>
      <c r="J747" s="3">
        <v>1150</v>
      </c>
      <c r="K747" s="4">
        <v>0.05</v>
      </c>
      <c r="L747" s="3">
        <v>1092.5</v>
      </c>
      <c r="M747" t="b">
        <v>1</v>
      </c>
      <c r="N747" s="2">
        <f>YEAR(B747)</f>
        <v>2026</v>
      </c>
      <c r="O747" t="str">
        <f>INDEX(Agences!$C:$C,MATCH(F747,Agences!$A:$A,0))</f>
        <v>Est</v>
      </c>
      <c r="P747" t="str">
        <f>INDEX(Produits!$C:$C,MATCH(H747,Produits!$A:$A,0))</f>
        <v>Mobilier</v>
      </c>
      <c r="Q747" s="3">
        <f>I747*INDEX(Produits!$E:$E,MATCH(H747,Produits!$A:$A,0))</f>
        <v>713</v>
      </c>
      <c r="R747" s="3">
        <f>L747-Q747</f>
        <v>379.5</v>
      </c>
      <c r="S747" s="2">
        <f>NETWORKDAYS(B747,C747)-1</f>
        <v>2</v>
      </c>
      <c r="T747" s="1">
        <f>WORKDAY(B747,5)</f>
        <v>46177</v>
      </c>
      <c r="U747" t="b">
        <f>C747&gt;T747</f>
        <v>0</v>
      </c>
    </row>
    <row r="748" spans="1:21" x14ac:dyDescent="0.25">
      <c r="A748" t="s">
        <v>693</v>
      </c>
      <c r="B748" s="1">
        <v>46170</v>
      </c>
      <c r="C748" s="1">
        <v>46174</v>
      </c>
      <c r="D748" t="s">
        <v>694</v>
      </c>
      <c r="E748" t="s">
        <v>45</v>
      </c>
      <c r="F748" t="s">
        <v>46</v>
      </c>
      <c r="G748" t="s">
        <v>111</v>
      </c>
      <c r="H748" t="s">
        <v>107</v>
      </c>
      <c r="I748" s="2">
        <v>5</v>
      </c>
      <c r="J748" s="3">
        <v>99</v>
      </c>
      <c r="K748" s="4">
        <v>0.05</v>
      </c>
      <c r="L748" s="3">
        <v>470.25</v>
      </c>
      <c r="M748" t="b">
        <v>1</v>
      </c>
      <c r="N748" s="2">
        <f>YEAR(B748)</f>
        <v>2026</v>
      </c>
      <c r="O748" t="str">
        <f>INDEX(Agences!$C:$C,MATCH(F748,Agences!$A:$A,0))</f>
        <v>Est</v>
      </c>
      <c r="P748" t="str">
        <f>INDEX(Produits!$C:$C,MATCH(H748,Produits!$A:$A,0))</f>
        <v>Informatique</v>
      </c>
      <c r="Q748" s="3">
        <f>I748*INDEX(Produits!$E:$E,MATCH(H748,Produits!$A:$A,0))</f>
        <v>376.2</v>
      </c>
      <c r="R748" s="3">
        <f>L748-Q748</f>
        <v>94.05000000000001</v>
      </c>
      <c r="S748" s="2">
        <f>NETWORKDAYS(B748,C748)-1</f>
        <v>2</v>
      </c>
      <c r="T748" s="1">
        <f>WORKDAY(B748,5)</f>
        <v>46177</v>
      </c>
      <c r="U748" t="b">
        <f>C748&gt;T748</f>
        <v>0</v>
      </c>
    </row>
    <row r="749" spans="1:21" x14ac:dyDescent="0.25">
      <c r="A749" t="s">
        <v>695</v>
      </c>
      <c r="B749" s="1">
        <v>46169</v>
      </c>
      <c r="C749" s="1">
        <v>46176</v>
      </c>
      <c r="D749" t="s">
        <v>696</v>
      </c>
      <c r="E749" t="s">
        <v>202</v>
      </c>
      <c r="F749" t="s">
        <v>138</v>
      </c>
      <c r="G749" t="s">
        <v>139</v>
      </c>
      <c r="H749" t="s">
        <v>123</v>
      </c>
      <c r="I749" s="2">
        <v>10</v>
      </c>
      <c r="J749" s="3">
        <v>39.9</v>
      </c>
      <c r="K749" s="4">
        <v>0</v>
      </c>
      <c r="L749" s="3">
        <v>399</v>
      </c>
      <c r="M749" t="b">
        <v>1</v>
      </c>
      <c r="N749" s="2">
        <f>YEAR(B749)</f>
        <v>2026</v>
      </c>
      <c r="O749" t="str">
        <f>INDEX(Agences!$C:$C,MATCH(F749,Agences!$A:$A,0))</f>
        <v>Île-de-France</v>
      </c>
      <c r="P749" t="str">
        <f>INDEX(Produits!$C:$C,MATCH(H749,Produits!$A:$A,0))</f>
        <v>Fournitures</v>
      </c>
      <c r="Q749" s="3">
        <f>I749*INDEX(Produits!$E:$E,MATCH(H749,Produits!$A:$A,0))</f>
        <v>223.4</v>
      </c>
      <c r="R749" s="3">
        <f>L749-Q749</f>
        <v>175.6</v>
      </c>
      <c r="S749" s="2">
        <f>NETWORKDAYS(B749,C749)-1</f>
        <v>5</v>
      </c>
      <c r="T749" s="1">
        <f>WORKDAY(B749,5)</f>
        <v>46176</v>
      </c>
      <c r="U749" t="b">
        <f>C749&gt;T749</f>
        <v>0</v>
      </c>
    </row>
    <row r="750" spans="1:21" x14ac:dyDescent="0.25">
      <c r="A750" t="s">
        <v>697</v>
      </c>
      <c r="B750" s="1">
        <v>46169</v>
      </c>
      <c r="C750" s="1">
        <v>46174</v>
      </c>
      <c r="D750" t="s">
        <v>269</v>
      </c>
      <c r="E750" t="s">
        <v>270</v>
      </c>
      <c r="F750" t="s">
        <v>76</v>
      </c>
      <c r="G750" t="s">
        <v>176</v>
      </c>
      <c r="H750" t="s">
        <v>196</v>
      </c>
      <c r="I750" s="2">
        <v>10</v>
      </c>
      <c r="J750" s="3">
        <v>18.5</v>
      </c>
      <c r="K750" s="4">
        <v>0</v>
      </c>
      <c r="L750" s="3">
        <v>185</v>
      </c>
      <c r="M750" t="b">
        <v>1</v>
      </c>
      <c r="N750" s="2">
        <f>YEAR(B750)</f>
        <v>2026</v>
      </c>
      <c r="O750" t="str">
        <f>INDEX(Agences!$C:$C,MATCH(F750,Agences!$A:$A,0))</f>
        <v>Île-de-France</v>
      </c>
      <c r="P750" t="str">
        <f>INDEX(Produits!$C:$C,MATCH(H750,Produits!$A:$A,0))</f>
        <v>Fournitures</v>
      </c>
      <c r="Q750" s="3">
        <f>I750*INDEX(Produits!$E:$E,MATCH(H750,Produits!$A:$A,0))</f>
        <v>94.39999999999999</v>
      </c>
      <c r="R750" s="3">
        <f>L750-Q750</f>
        <v>90.60000000000001</v>
      </c>
      <c r="S750" s="2">
        <f>NETWORKDAYS(B750,C750)-1</f>
        <v>3</v>
      </c>
      <c r="T750" s="1">
        <f>WORKDAY(B750,5)</f>
        <v>46176</v>
      </c>
      <c r="U750" t="b">
        <f>C750&gt;T750</f>
        <v>0</v>
      </c>
    </row>
    <row r="751" spans="1:21" x14ac:dyDescent="0.25">
      <c r="A751" t="s">
        <v>698</v>
      </c>
      <c r="B751" s="1">
        <v>46169</v>
      </c>
      <c r="C751" s="1">
        <v>46171</v>
      </c>
      <c r="D751" t="s">
        <v>699</v>
      </c>
      <c r="E751" t="s">
        <v>165</v>
      </c>
      <c r="F751" t="s">
        <v>166</v>
      </c>
      <c r="G751" t="s">
        <v>167</v>
      </c>
      <c r="H751" t="s">
        <v>123</v>
      </c>
      <c r="I751" s="2">
        <v>10</v>
      </c>
      <c r="J751" s="3">
        <v>39.9</v>
      </c>
      <c r="K751" s="4">
        <v>0.08</v>
      </c>
      <c r="L751" s="3">
        <v>367.08</v>
      </c>
      <c r="M751" t="b">
        <v>1</v>
      </c>
      <c r="N751" s="2">
        <f>YEAR(B751)</f>
        <v>2026</v>
      </c>
      <c r="O751" t="str">
        <f>INDEX(Agences!$C:$C,MATCH(F751,Agences!$A:$A,0))</f>
        <v>Ouest</v>
      </c>
      <c r="P751" t="str">
        <f>INDEX(Produits!$C:$C,MATCH(H751,Produits!$A:$A,0))</f>
        <v>Fournitures</v>
      </c>
      <c r="Q751" s="3">
        <f>I751*INDEX(Produits!$E:$E,MATCH(H751,Produits!$A:$A,0))</f>
        <v>223.4</v>
      </c>
      <c r="R751" s="3">
        <f>L751-Q751</f>
        <v>143.67999999999998</v>
      </c>
      <c r="S751" s="2">
        <f>NETWORKDAYS(B751,C751)-1</f>
        <v>2</v>
      </c>
      <c r="T751" s="1">
        <f>WORKDAY(B751,5)</f>
        <v>46176</v>
      </c>
      <c r="U751" t="b">
        <f>C751&gt;T751</f>
        <v>0</v>
      </c>
    </row>
    <row r="752" spans="1:21" x14ac:dyDescent="0.25">
      <c r="A752" t="s">
        <v>698</v>
      </c>
      <c r="B752" s="1">
        <v>46169</v>
      </c>
      <c r="C752" s="1">
        <v>46171</v>
      </c>
      <c r="D752" t="s">
        <v>699</v>
      </c>
      <c r="E752" t="s">
        <v>165</v>
      </c>
      <c r="F752" t="s">
        <v>166</v>
      </c>
      <c r="G752" t="s">
        <v>167</v>
      </c>
      <c r="H752" t="s">
        <v>33</v>
      </c>
      <c r="I752" s="2">
        <v>1</v>
      </c>
      <c r="J752" s="3">
        <v>219</v>
      </c>
      <c r="K752" s="4">
        <v>0</v>
      </c>
      <c r="L752" s="3">
        <v>219</v>
      </c>
      <c r="M752" t="b">
        <v>1</v>
      </c>
      <c r="N752" s="2">
        <f>YEAR(B752)</f>
        <v>2026</v>
      </c>
      <c r="O752" t="str">
        <f>INDEX(Agences!$C:$C,MATCH(F752,Agences!$A:$A,0))</f>
        <v>Ouest</v>
      </c>
      <c r="P752" t="str">
        <f>INDEX(Produits!$C:$C,MATCH(H752,Produits!$A:$A,0))</f>
        <v>Informatique</v>
      </c>
      <c r="Q752" s="3">
        <f>I752*INDEX(Produits!$E:$E,MATCH(H752,Produits!$A:$A,0))</f>
        <v>179.58</v>
      </c>
      <c r="R752" s="3">
        <f>L752-Q752</f>
        <v>39.41999999999999</v>
      </c>
      <c r="S752" s="2">
        <f>NETWORKDAYS(B752,C752)-1</f>
        <v>2</v>
      </c>
      <c r="T752" s="1">
        <f>WORKDAY(B752,5)</f>
        <v>46176</v>
      </c>
      <c r="U752" t="b">
        <f>C752&gt;T752</f>
        <v>0</v>
      </c>
    </row>
    <row r="753" spans="1:21" x14ac:dyDescent="0.25">
      <c r="A753" t="s">
        <v>698</v>
      </c>
      <c r="B753" s="1">
        <v>46169</v>
      </c>
      <c r="C753" s="1">
        <v>46171</v>
      </c>
      <c r="D753" t="s">
        <v>699</v>
      </c>
      <c r="E753" t="s">
        <v>165</v>
      </c>
      <c r="F753" t="s">
        <v>166</v>
      </c>
      <c r="G753" t="s">
        <v>167</v>
      </c>
      <c r="H753" t="s">
        <v>50</v>
      </c>
      <c r="I753" s="2">
        <v>3</v>
      </c>
      <c r="J753" s="3">
        <v>69</v>
      </c>
      <c r="K753" s="4">
        <v>0</v>
      </c>
      <c r="L753" s="3">
        <v>207</v>
      </c>
      <c r="M753" t="b">
        <v>1</v>
      </c>
      <c r="N753" s="2">
        <f>YEAR(B753)</f>
        <v>2026</v>
      </c>
      <c r="O753" t="str">
        <f>INDEX(Agences!$C:$C,MATCH(F753,Agences!$A:$A,0))</f>
        <v>Ouest</v>
      </c>
      <c r="P753" t="str">
        <f>INDEX(Produits!$C:$C,MATCH(H753,Produits!$A:$A,0))</f>
        <v>Informatique</v>
      </c>
      <c r="Q753" s="3">
        <f>I753*INDEX(Produits!$E:$E,MATCH(H753,Produits!$A:$A,0))</f>
        <v>163.53</v>
      </c>
      <c r="R753" s="3">
        <f>L753-Q753</f>
        <v>43.47</v>
      </c>
      <c r="S753" s="2">
        <f>NETWORKDAYS(B753,C753)-1</f>
        <v>2</v>
      </c>
      <c r="T753" s="1">
        <f>WORKDAY(B753,5)</f>
        <v>46176</v>
      </c>
      <c r="U753" t="b">
        <f>C753&gt;T753</f>
        <v>0</v>
      </c>
    </row>
    <row r="754" spans="1:21" x14ac:dyDescent="0.25">
      <c r="A754" t="s">
        <v>700</v>
      </c>
      <c r="B754" s="1">
        <v>46169</v>
      </c>
      <c r="C754" s="1">
        <v>46184</v>
      </c>
      <c r="D754" t="s">
        <v>701</v>
      </c>
      <c r="E754" t="s">
        <v>229</v>
      </c>
      <c r="F754" t="s">
        <v>55</v>
      </c>
      <c r="G754" t="s">
        <v>195</v>
      </c>
      <c r="H754" t="s">
        <v>103</v>
      </c>
      <c r="I754" s="2">
        <v>1</v>
      </c>
      <c r="J754" s="3">
        <v>245</v>
      </c>
      <c r="K754" s="4">
        <v>0</v>
      </c>
      <c r="L754" s="3">
        <v>245</v>
      </c>
      <c r="M754" t="b">
        <v>1</v>
      </c>
      <c r="N754" s="2">
        <f>YEAR(B754)</f>
        <v>2026</v>
      </c>
      <c r="O754" t="str">
        <f>INDEX(Agences!$C:$C,MATCH(F754,Agences!$A:$A,0))</f>
        <v>Est</v>
      </c>
      <c r="P754" t="str">
        <f>INDEX(Produits!$C:$C,MATCH(H754,Produits!$A:$A,0))</f>
        <v>Mobilier</v>
      </c>
      <c r="Q754" s="3">
        <f>I754*INDEX(Produits!$E:$E,MATCH(H754,Produits!$A:$A,0))</f>
        <v>164.15</v>
      </c>
      <c r="R754" s="3">
        <f>L754-Q754</f>
        <v>80.85</v>
      </c>
      <c r="S754" s="2">
        <f>NETWORKDAYS(B754,C754)-1</f>
        <v>11</v>
      </c>
      <c r="T754" s="1">
        <f>WORKDAY(B754,5)</f>
        <v>46176</v>
      </c>
      <c r="U754" t="b">
        <f>C754&gt;T754</f>
        <v>1</v>
      </c>
    </row>
    <row r="755" spans="1:21" x14ac:dyDescent="0.25">
      <c r="A755" t="s">
        <v>702</v>
      </c>
      <c r="B755" s="1">
        <v>46168</v>
      </c>
      <c r="C755" s="1">
        <v>46170</v>
      </c>
      <c r="D755" t="s">
        <v>662</v>
      </c>
      <c r="E755" t="s">
        <v>75</v>
      </c>
      <c r="F755" t="s">
        <v>76</v>
      </c>
      <c r="G755" t="s">
        <v>77</v>
      </c>
      <c r="H755" t="s">
        <v>319</v>
      </c>
      <c r="I755" s="2">
        <v>3</v>
      </c>
      <c r="J755" s="3">
        <v>289</v>
      </c>
      <c r="K755" s="4">
        <v>0.02</v>
      </c>
      <c r="L755" s="3">
        <v>849.66</v>
      </c>
      <c r="M755" t="b">
        <v>1</v>
      </c>
      <c r="N755" s="2">
        <f>YEAR(B755)</f>
        <v>2026</v>
      </c>
      <c r="O755" t="str">
        <f>INDEX(Agences!$C:$C,MATCH(F755,Agences!$A:$A,0))</f>
        <v>Île-de-France</v>
      </c>
      <c r="P755" t="str">
        <f>INDEX(Produits!$C:$C,MATCH(H755,Produits!$A:$A,0))</f>
        <v>Informatique</v>
      </c>
      <c r="Q755" s="3">
        <f>I755*INDEX(Produits!$E:$E,MATCH(H755,Produits!$A:$A,0))</f>
        <v>641.58</v>
      </c>
      <c r="R755" s="3">
        <f>L755-Q755</f>
        <v>208.07999999999993</v>
      </c>
      <c r="S755" s="2">
        <f>NETWORKDAYS(B755,C755)-1</f>
        <v>2</v>
      </c>
      <c r="T755" s="1">
        <f>WORKDAY(B755,5)</f>
        <v>46175</v>
      </c>
      <c r="U755" t="b">
        <f>C755&gt;T755</f>
        <v>0</v>
      </c>
    </row>
    <row r="756" spans="1:21" x14ac:dyDescent="0.25">
      <c r="A756" t="s">
        <v>702</v>
      </c>
      <c r="B756" s="1">
        <v>46168</v>
      </c>
      <c r="C756" s="1">
        <v>46170</v>
      </c>
      <c r="D756" t="s">
        <v>662</v>
      </c>
      <c r="E756" t="s">
        <v>75</v>
      </c>
      <c r="F756" t="s">
        <v>76</v>
      </c>
      <c r="G756" t="s">
        <v>77</v>
      </c>
      <c r="H756" t="s">
        <v>237</v>
      </c>
      <c r="I756" s="2">
        <v>1</v>
      </c>
      <c r="J756" s="3">
        <v>890</v>
      </c>
      <c r="K756" s="4">
        <v>0.05</v>
      </c>
      <c r="L756" s="3">
        <v>845.5</v>
      </c>
      <c r="M756" t="b">
        <v>1</v>
      </c>
      <c r="N756" s="2">
        <f>YEAR(B756)</f>
        <v>2026</v>
      </c>
      <c r="O756" t="str">
        <f>INDEX(Agences!$C:$C,MATCH(F756,Agences!$A:$A,0))</f>
        <v>Île-de-France</v>
      </c>
      <c r="P756" t="str">
        <f>INDEX(Produits!$C:$C,MATCH(H756,Produits!$A:$A,0))</f>
        <v>Mobilier</v>
      </c>
      <c r="Q756" s="3">
        <f>I756*INDEX(Produits!$E:$E,MATCH(H756,Produits!$A:$A,0))</f>
        <v>596.3</v>
      </c>
      <c r="R756" s="3">
        <f>L756-Q756</f>
        <v>249.20000000000005</v>
      </c>
      <c r="S756" s="2">
        <f>NETWORKDAYS(B756,C756)-1</f>
        <v>2</v>
      </c>
      <c r="T756" s="1">
        <f>WORKDAY(B756,5)</f>
        <v>46175</v>
      </c>
      <c r="U756" t="b">
        <f>C756&gt;T756</f>
        <v>0</v>
      </c>
    </row>
    <row r="757" spans="1:21" x14ac:dyDescent="0.25">
      <c r="A757" t="s">
        <v>702</v>
      </c>
      <c r="B757" s="1">
        <v>46168</v>
      </c>
      <c r="C757" s="1">
        <v>46170</v>
      </c>
      <c r="D757" t="s">
        <v>662</v>
      </c>
      <c r="E757" t="s">
        <v>75</v>
      </c>
      <c r="F757" t="s">
        <v>76</v>
      </c>
      <c r="G757" t="s">
        <v>77</v>
      </c>
      <c r="H757" t="s">
        <v>83</v>
      </c>
      <c r="I757" s="2">
        <v>1</v>
      </c>
      <c r="J757" s="3">
        <v>49</v>
      </c>
      <c r="K757" s="4">
        <v>0.05</v>
      </c>
      <c r="L757" s="3">
        <v>46.55</v>
      </c>
      <c r="M757" t="b">
        <v>1</v>
      </c>
      <c r="N757" s="2">
        <f>YEAR(B757)</f>
        <v>2026</v>
      </c>
      <c r="O757" t="str">
        <f>INDEX(Agences!$C:$C,MATCH(F757,Agences!$A:$A,0))</f>
        <v>Île-de-France</v>
      </c>
      <c r="P757" t="str">
        <f>INDEX(Produits!$C:$C,MATCH(H757,Produits!$A:$A,0))</f>
        <v>Mobilier</v>
      </c>
      <c r="Q757" s="3">
        <f>I757*INDEX(Produits!$E:$E,MATCH(H757,Produits!$A:$A,0))</f>
        <v>28.42</v>
      </c>
      <c r="R757" s="3">
        <f>L757-Q757</f>
        <v>18.129999999999995</v>
      </c>
      <c r="S757" s="2">
        <f>NETWORKDAYS(B757,C757)-1</f>
        <v>2</v>
      </c>
      <c r="T757" s="1">
        <f>WORKDAY(B757,5)</f>
        <v>46175</v>
      </c>
      <c r="U757" t="b">
        <f>C757&gt;T757</f>
        <v>0</v>
      </c>
    </row>
    <row r="758" spans="1:21" x14ac:dyDescent="0.25">
      <c r="A758" t="s">
        <v>703</v>
      </c>
      <c r="B758" s="1">
        <v>46168</v>
      </c>
      <c r="C758" s="1">
        <v>46174</v>
      </c>
      <c r="D758" t="s">
        <v>704</v>
      </c>
      <c r="E758" t="s">
        <v>67</v>
      </c>
      <c r="F758" t="s">
        <v>62</v>
      </c>
      <c r="G758" t="s">
        <v>63</v>
      </c>
      <c r="H758" t="s">
        <v>83</v>
      </c>
      <c r="I758" s="2">
        <v>1</v>
      </c>
      <c r="J758" s="3">
        <v>49</v>
      </c>
      <c r="K758" s="4">
        <v>0</v>
      </c>
      <c r="L758" s="3">
        <v>49</v>
      </c>
      <c r="M758" t="b">
        <v>1</v>
      </c>
      <c r="N758" s="2">
        <f>YEAR(B758)</f>
        <v>2026</v>
      </c>
      <c r="O758" t="str">
        <f>INDEX(Agences!$C:$C,MATCH(F758,Agences!$A:$A,0))</f>
        <v>Méditerranée</v>
      </c>
      <c r="P758" t="str">
        <f>INDEX(Produits!$C:$C,MATCH(H758,Produits!$A:$A,0))</f>
        <v>Mobilier</v>
      </c>
      <c r="Q758" s="3">
        <f>I758*INDEX(Produits!$E:$E,MATCH(H758,Produits!$A:$A,0))</f>
        <v>28.42</v>
      </c>
      <c r="R758" s="3">
        <f>L758-Q758</f>
        <v>20.58</v>
      </c>
      <c r="S758" s="2">
        <f>NETWORKDAYS(B758,C758)-1</f>
        <v>4</v>
      </c>
      <c r="T758" s="1">
        <f>WORKDAY(B758,5)</f>
        <v>46175</v>
      </c>
      <c r="U758" t="b">
        <f>C758&gt;T758</f>
        <v>0</v>
      </c>
    </row>
    <row r="759" spans="1:21" x14ac:dyDescent="0.25">
      <c r="A759" t="s">
        <v>703</v>
      </c>
      <c r="B759" s="1">
        <v>46168</v>
      </c>
      <c r="C759" s="1">
        <v>46174</v>
      </c>
      <c r="D759" t="s">
        <v>704</v>
      </c>
      <c r="E759" t="s">
        <v>67</v>
      </c>
      <c r="F759" t="s">
        <v>62</v>
      </c>
      <c r="G759" t="s">
        <v>63</v>
      </c>
      <c r="H759" t="s">
        <v>49</v>
      </c>
      <c r="I759" s="2">
        <v>2</v>
      </c>
      <c r="J759" s="3">
        <v>120</v>
      </c>
      <c r="K759" s="4">
        <v>0.08</v>
      </c>
      <c r="L759" s="3">
        <v>220.8</v>
      </c>
      <c r="M759" t="b">
        <v>1</v>
      </c>
      <c r="N759" s="2">
        <f>YEAR(B759)</f>
        <v>2026</v>
      </c>
      <c r="O759" t="str">
        <f>INDEX(Agences!$C:$C,MATCH(F759,Agences!$A:$A,0))</f>
        <v>Méditerranée</v>
      </c>
      <c r="P759" t="str">
        <f>INDEX(Produits!$C:$C,MATCH(H759,Produits!$A:$A,0))</f>
        <v>Maintenance</v>
      </c>
      <c r="Q759" s="3">
        <f>I759*INDEX(Produits!$E:$E,MATCH(H759,Produits!$A:$A,0))</f>
        <v>110.4</v>
      </c>
      <c r="R759" s="3">
        <f>L759-Q759</f>
        <v>110.4</v>
      </c>
      <c r="S759" s="2">
        <f>NETWORKDAYS(B759,C759)-1</f>
        <v>4</v>
      </c>
      <c r="T759" s="1">
        <f>WORKDAY(B759,5)</f>
        <v>46175</v>
      </c>
      <c r="U759" t="b">
        <f>C759&gt;T759</f>
        <v>0</v>
      </c>
    </row>
    <row r="760" spans="1:21" x14ac:dyDescent="0.25">
      <c r="A760" t="s">
        <v>703</v>
      </c>
      <c r="B760" s="1">
        <v>46168</v>
      </c>
      <c r="C760" s="1">
        <v>46174</v>
      </c>
      <c r="D760" t="s">
        <v>704</v>
      </c>
      <c r="E760" t="s">
        <v>67</v>
      </c>
      <c r="F760" t="s">
        <v>62</v>
      </c>
      <c r="G760" t="s">
        <v>63</v>
      </c>
      <c r="H760" t="s">
        <v>42</v>
      </c>
      <c r="I760" s="2">
        <v>1</v>
      </c>
      <c r="J760" s="3">
        <v>55</v>
      </c>
      <c r="K760" s="4">
        <v>0.05</v>
      </c>
      <c r="L760" s="3">
        <v>52.25</v>
      </c>
      <c r="M760" t="b">
        <v>1</v>
      </c>
      <c r="N760" s="2">
        <f>YEAR(B760)</f>
        <v>2026</v>
      </c>
      <c r="O760" t="str">
        <f>INDEX(Agences!$C:$C,MATCH(F760,Agences!$A:$A,0))</f>
        <v>Méditerranée</v>
      </c>
      <c r="P760" t="str">
        <f>INDEX(Produits!$C:$C,MATCH(H760,Produits!$A:$A,0))</f>
        <v>Maintenance</v>
      </c>
      <c r="Q760" s="3">
        <f>I760*INDEX(Produits!$E:$E,MATCH(H760,Produits!$A:$A,0))</f>
        <v>24.75</v>
      </c>
      <c r="R760" s="3">
        <f>L760-Q760</f>
        <v>27.5</v>
      </c>
      <c r="S760" s="2">
        <f>NETWORKDAYS(B760,C760)-1</f>
        <v>4</v>
      </c>
      <c r="T760" s="1">
        <f>WORKDAY(B760,5)</f>
        <v>46175</v>
      </c>
      <c r="U760" t="b">
        <f>C760&gt;T760</f>
        <v>0</v>
      </c>
    </row>
    <row r="761" spans="1:21" x14ac:dyDescent="0.25">
      <c r="A761" t="s">
        <v>705</v>
      </c>
      <c r="B761" s="1">
        <v>46167</v>
      </c>
      <c r="C761" s="1">
        <v>46168</v>
      </c>
      <c r="D761" t="s">
        <v>477</v>
      </c>
      <c r="E761" t="s">
        <v>122</v>
      </c>
      <c r="F761" t="s">
        <v>24</v>
      </c>
      <c r="G761" t="s">
        <v>116</v>
      </c>
      <c r="H761" t="s">
        <v>83</v>
      </c>
      <c r="I761" s="2">
        <v>4</v>
      </c>
      <c r="J761" s="3">
        <v>49</v>
      </c>
      <c r="K761" s="4">
        <v>0.05</v>
      </c>
      <c r="L761" s="3">
        <v>186.2</v>
      </c>
      <c r="M761" t="b">
        <v>1</v>
      </c>
      <c r="N761" s="2">
        <f>YEAR(B761)</f>
        <v>2026</v>
      </c>
      <c r="O761" t="str">
        <f>INDEX(Agences!$C:$C,MATCH(F761,Agences!$A:$A,0))</f>
        <v>Nord</v>
      </c>
      <c r="P761" t="str">
        <f>INDEX(Produits!$C:$C,MATCH(H761,Produits!$A:$A,0))</f>
        <v>Mobilier</v>
      </c>
      <c r="Q761" s="3">
        <f>I761*INDEX(Produits!$E:$E,MATCH(H761,Produits!$A:$A,0))</f>
        <v>113.68</v>
      </c>
      <c r="R761" s="3">
        <f>L761-Q761</f>
        <v>72.51999999999998</v>
      </c>
      <c r="S761" s="2">
        <f>NETWORKDAYS(B761,C761)-1</f>
        <v>1</v>
      </c>
      <c r="T761" s="1">
        <f>WORKDAY(B761,5)</f>
        <v>46174</v>
      </c>
      <c r="U761" t="b">
        <f>C761&gt;T761</f>
        <v>0</v>
      </c>
    </row>
    <row r="762" spans="1:21" x14ac:dyDescent="0.25">
      <c r="A762" t="s">
        <v>705</v>
      </c>
      <c r="B762" s="1">
        <v>46167</v>
      </c>
      <c r="C762" s="1">
        <v>46168</v>
      </c>
      <c r="D762" t="s">
        <v>477</v>
      </c>
      <c r="E762" t="s">
        <v>122</v>
      </c>
      <c r="F762" t="s">
        <v>24</v>
      </c>
      <c r="G762" t="s">
        <v>116</v>
      </c>
      <c r="H762" t="s">
        <v>42</v>
      </c>
      <c r="I762" s="2">
        <v>2</v>
      </c>
      <c r="J762" s="3">
        <v>55</v>
      </c>
      <c r="K762" s="4">
        <v>0.08</v>
      </c>
      <c r="L762" s="3">
        <v>101.2</v>
      </c>
      <c r="M762" t="b">
        <v>1</v>
      </c>
      <c r="N762" s="2">
        <f>YEAR(B762)</f>
        <v>2026</v>
      </c>
      <c r="O762" t="str">
        <f>INDEX(Agences!$C:$C,MATCH(F762,Agences!$A:$A,0))</f>
        <v>Nord</v>
      </c>
      <c r="P762" t="str">
        <f>INDEX(Produits!$C:$C,MATCH(H762,Produits!$A:$A,0))</f>
        <v>Maintenance</v>
      </c>
      <c r="Q762" s="3">
        <f>I762*INDEX(Produits!$E:$E,MATCH(H762,Produits!$A:$A,0))</f>
        <v>49.5</v>
      </c>
      <c r="R762" s="3">
        <f>L762-Q762</f>
        <v>51.7</v>
      </c>
      <c r="S762" s="2">
        <f>NETWORKDAYS(B762,C762)-1</f>
        <v>1</v>
      </c>
      <c r="T762" s="1">
        <f>WORKDAY(B762,5)</f>
        <v>46174</v>
      </c>
      <c r="U762" t="b">
        <f>C762&gt;T762</f>
        <v>0</v>
      </c>
    </row>
    <row r="763" spans="1:21" x14ac:dyDescent="0.25">
      <c r="A763" t="s">
        <v>706</v>
      </c>
      <c r="B763" s="1">
        <v>46167</v>
      </c>
      <c r="C763" s="1">
        <v>46171</v>
      </c>
      <c r="D763" t="s">
        <v>398</v>
      </c>
      <c r="E763" t="s">
        <v>399</v>
      </c>
      <c r="F763" t="s">
        <v>166</v>
      </c>
      <c r="G763" t="s">
        <v>248</v>
      </c>
      <c r="H763" t="s">
        <v>112</v>
      </c>
      <c r="I763" s="2">
        <v>4</v>
      </c>
      <c r="J763" s="3">
        <v>129</v>
      </c>
      <c r="K763" s="4">
        <v>0.05</v>
      </c>
      <c r="L763" s="3">
        <v>490.2</v>
      </c>
      <c r="M763" t="b">
        <v>1</v>
      </c>
      <c r="N763" s="2">
        <f>YEAR(B763)</f>
        <v>2026</v>
      </c>
      <c r="O763" t="str">
        <f>INDEX(Agences!$C:$C,MATCH(F763,Agences!$A:$A,0))</f>
        <v>Ouest</v>
      </c>
      <c r="P763" t="str">
        <f>INDEX(Produits!$C:$C,MATCH(H763,Produits!$A:$A,0))</f>
        <v>Mobilier</v>
      </c>
      <c r="Q763" s="3">
        <f>I763*INDEX(Produits!$E:$E,MATCH(H763,Produits!$A:$A,0))</f>
        <v>345.72</v>
      </c>
      <c r="R763" s="3">
        <f>L763-Q763</f>
        <v>144.47999999999996</v>
      </c>
      <c r="S763" s="2">
        <f>NETWORKDAYS(B763,C763)-1</f>
        <v>4</v>
      </c>
      <c r="T763" s="1">
        <f>WORKDAY(B763,5)</f>
        <v>46174</v>
      </c>
      <c r="U763" t="b">
        <f>C763&gt;T763</f>
        <v>0</v>
      </c>
    </row>
    <row r="764" spans="1:21" x14ac:dyDescent="0.25">
      <c r="A764" t="s">
        <v>706</v>
      </c>
      <c r="B764" s="1">
        <v>46167</v>
      </c>
      <c r="C764" s="1">
        <v>46171</v>
      </c>
      <c r="D764" t="s">
        <v>398</v>
      </c>
      <c r="E764" t="s">
        <v>399</v>
      </c>
      <c r="F764" t="s">
        <v>166</v>
      </c>
      <c r="G764" t="s">
        <v>248</v>
      </c>
      <c r="H764" t="s">
        <v>42</v>
      </c>
      <c r="I764" s="2">
        <v>1</v>
      </c>
      <c r="J764" s="3">
        <v>55</v>
      </c>
      <c r="K764" s="4">
        <v>0</v>
      </c>
      <c r="L764" s="3">
        <v>55</v>
      </c>
      <c r="M764" t="b">
        <v>1</v>
      </c>
      <c r="N764" s="2">
        <f>YEAR(B764)</f>
        <v>2026</v>
      </c>
      <c r="O764" t="str">
        <f>INDEX(Agences!$C:$C,MATCH(F764,Agences!$A:$A,0))</f>
        <v>Ouest</v>
      </c>
      <c r="P764" t="str">
        <f>INDEX(Produits!$C:$C,MATCH(H764,Produits!$A:$A,0))</f>
        <v>Maintenance</v>
      </c>
      <c r="Q764" s="3">
        <f>I764*INDEX(Produits!$E:$E,MATCH(H764,Produits!$A:$A,0))</f>
        <v>24.75</v>
      </c>
      <c r="R764" s="3">
        <f>L764-Q764</f>
        <v>30.25</v>
      </c>
      <c r="S764" s="2">
        <f>NETWORKDAYS(B764,C764)-1</f>
        <v>4</v>
      </c>
      <c r="T764" s="1">
        <f>WORKDAY(B764,5)</f>
        <v>46174</v>
      </c>
      <c r="U764" t="b">
        <f>C764&gt;T764</f>
        <v>0</v>
      </c>
    </row>
    <row r="765" spans="1:21" x14ac:dyDescent="0.25">
      <c r="A765" t="s">
        <v>707</v>
      </c>
      <c r="B765" s="1">
        <v>46167</v>
      </c>
      <c r="C765" s="1">
        <v>46170</v>
      </c>
      <c r="D765" t="s">
        <v>541</v>
      </c>
      <c r="E765" t="s">
        <v>339</v>
      </c>
      <c r="F765" t="s">
        <v>31</v>
      </c>
      <c r="G765" t="s">
        <v>32</v>
      </c>
      <c r="H765" t="s">
        <v>35</v>
      </c>
      <c r="I765" s="2">
        <v>1</v>
      </c>
      <c r="J765" s="3">
        <v>79</v>
      </c>
      <c r="K765" s="4">
        <v>0</v>
      </c>
      <c r="L765" s="3">
        <v>79</v>
      </c>
      <c r="M765" t="b">
        <v>1</v>
      </c>
      <c r="N765" s="2">
        <f>YEAR(B765)</f>
        <v>2026</v>
      </c>
      <c r="O765" t="str">
        <f>INDEX(Agences!$C:$C,MATCH(F765,Agences!$A:$A,0))</f>
        <v>Ouest</v>
      </c>
      <c r="P765" t="str">
        <f>INDEX(Produits!$C:$C,MATCH(H765,Produits!$A:$A,0))</f>
        <v>Mobilier</v>
      </c>
      <c r="Q765" s="3">
        <f>I765*INDEX(Produits!$E:$E,MATCH(H765,Produits!$A:$A,0))</f>
        <v>46.61</v>
      </c>
      <c r="R765" s="3">
        <f>L765-Q765</f>
        <v>32.39</v>
      </c>
      <c r="S765" s="2">
        <f>NETWORKDAYS(B765,C765)-1</f>
        <v>3</v>
      </c>
      <c r="T765" s="1">
        <f>WORKDAY(B765,5)</f>
        <v>46174</v>
      </c>
      <c r="U765" t="b">
        <f>C765&gt;T765</f>
        <v>0</v>
      </c>
    </row>
    <row r="766" spans="1:21" x14ac:dyDescent="0.25">
      <c r="A766" t="s">
        <v>708</v>
      </c>
      <c r="B766" s="1">
        <v>46167</v>
      </c>
      <c r="C766" s="1">
        <v>46171</v>
      </c>
      <c r="D766" t="s">
        <v>709</v>
      </c>
      <c r="E766" t="s">
        <v>82</v>
      </c>
      <c r="F766" t="s">
        <v>39</v>
      </c>
      <c r="G766" t="s">
        <v>131</v>
      </c>
      <c r="H766" t="s">
        <v>27</v>
      </c>
      <c r="I766" s="2">
        <v>1</v>
      </c>
      <c r="J766" s="3">
        <v>310</v>
      </c>
      <c r="K766" s="4">
        <v>0.05</v>
      </c>
      <c r="L766" s="3">
        <v>294.5</v>
      </c>
      <c r="M766" t="b">
        <v>1</v>
      </c>
      <c r="N766" s="2">
        <f>YEAR(B766)</f>
        <v>2026</v>
      </c>
      <c r="O766" t="str">
        <f>INDEX(Agences!$C:$C,MATCH(F766,Agences!$A:$A,0))</f>
        <v>Sud-Ouest</v>
      </c>
      <c r="P766" t="str">
        <f>INDEX(Produits!$C:$C,MATCH(H766,Produits!$A:$A,0))</f>
        <v>Mobilier</v>
      </c>
      <c r="Q766" s="3">
        <f>I766*INDEX(Produits!$E:$E,MATCH(H766,Produits!$A:$A,0))</f>
        <v>186</v>
      </c>
      <c r="R766" s="3">
        <f>L766-Q766</f>
        <v>108.5</v>
      </c>
      <c r="S766" s="2">
        <f>NETWORKDAYS(B766,C766)-1</f>
        <v>4</v>
      </c>
      <c r="T766" s="1">
        <f>WORKDAY(B766,5)</f>
        <v>46174</v>
      </c>
      <c r="U766" t="b">
        <f>C766&gt;T766</f>
        <v>0</v>
      </c>
    </row>
    <row r="767" spans="1:21" x14ac:dyDescent="0.25">
      <c r="A767" t="s">
        <v>708</v>
      </c>
      <c r="B767" s="1">
        <v>46167</v>
      </c>
      <c r="C767" s="1">
        <v>46171</v>
      </c>
      <c r="D767" t="s">
        <v>709</v>
      </c>
      <c r="E767" t="s">
        <v>82</v>
      </c>
      <c r="F767" t="s">
        <v>39</v>
      </c>
      <c r="G767" t="s">
        <v>131</v>
      </c>
      <c r="H767" t="s">
        <v>33</v>
      </c>
      <c r="I767" s="2">
        <v>2</v>
      </c>
      <c r="J767" s="3">
        <v>219</v>
      </c>
      <c r="K767" s="4">
        <v>0.02</v>
      </c>
      <c r="L767" s="3">
        <v>429.24</v>
      </c>
      <c r="M767" t="b">
        <v>1</v>
      </c>
      <c r="N767" s="2">
        <f>YEAR(B767)</f>
        <v>2026</v>
      </c>
      <c r="O767" t="str">
        <f>INDEX(Agences!$C:$C,MATCH(F767,Agences!$A:$A,0))</f>
        <v>Sud-Ouest</v>
      </c>
      <c r="P767" t="str">
        <f>INDEX(Produits!$C:$C,MATCH(H767,Produits!$A:$A,0))</f>
        <v>Informatique</v>
      </c>
      <c r="Q767" s="3">
        <f>I767*INDEX(Produits!$E:$E,MATCH(H767,Produits!$A:$A,0))</f>
        <v>359.16</v>
      </c>
      <c r="R767" s="3">
        <f>L767-Q767</f>
        <v>70.07999999999998</v>
      </c>
      <c r="S767" s="2">
        <f>NETWORKDAYS(B767,C767)-1</f>
        <v>4</v>
      </c>
      <c r="T767" s="1">
        <f>WORKDAY(B767,5)</f>
        <v>46174</v>
      </c>
      <c r="U767" t="b">
        <f>C767&gt;T767</f>
        <v>0</v>
      </c>
    </row>
    <row r="768" spans="1:21" x14ac:dyDescent="0.25">
      <c r="A768" t="s">
        <v>708</v>
      </c>
      <c r="B768" s="1">
        <v>46167</v>
      </c>
      <c r="C768" s="1">
        <v>46171</v>
      </c>
      <c r="D768" t="s">
        <v>709</v>
      </c>
      <c r="E768" t="s">
        <v>82</v>
      </c>
      <c r="F768" t="s">
        <v>39</v>
      </c>
      <c r="G768" t="s">
        <v>131</v>
      </c>
      <c r="H768" t="s">
        <v>49</v>
      </c>
      <c r="I768" s="2">
        <v>3</v>
      </c>
      <c r="J768" s="3">
        <v>120</v>
      </c>
      <c r="K768" s="4">
        <v>0.05</v>
      </c>
      <c r="L768" s="3">
        <v>342</v>
      </c>
      <c r="M768" t="b">
        <v>1</v>
      </c>
      <c r="N768" s="2">
        <f>YEAR(B768)</f>
        <v>2026</v>
      </c>
      <c r="O768" t="str">
        <f>INDEX(Agences!$C:$C,MATCH(F768,Agences!$A:$A,0))</f>
        <v>Sud-Ouest</v>
      </c>
      <c r="P768" t="str">
        <f>INDEX(Produits!$C:$C,MATCH(H768,Produits!$A:$A,0))</f>
        <v>Maintenance</v>
      </c>
      <c r="Q768" s="3">
        <f>I768*INDEX(Produits!$E:$E,MATCH(H768,Produits!$A:$A,0))</f>
        <v>165.60000000000002</v>
      </c>
      <c r="R768" s="3">
        <f>L768-Q768</f>
        <v>176.39999999999998</v>
      </c>
      <c r="S768" s="2">
        <f>NETWORKDAYS(B768,C768)-1</f>
        <v>4</v>
      </c>
      <c r="T768" s="1">
        <f>WORKDAY(B768,5)</f>
        <v>46174</v>
      </c>
      <c r="U768" t="b">
        <f>C768&gt;T768</f>
        <v>0</v>
      </c>
    </row>
    <row r="769" spans="1:21" x14ac:dyDescent="0.25">
      <c r="A769" t="s">
        <v>710</v>
      </c>
      <c r="B769" s="1">
        <v>46167</v>
      </c>
      <c r="C769" s="1">
        <v>46170</v>
      </c>
      <c r="D769" t="s">
        <v>711</v>
      </c>
      <c r="E769" t="s">
        <v>61</v>
      </c>
      <c r="F769" t="s">
        <v>62</v>
      </c>
      <c r="G769" t="s">
        <v>63</v>
      </c>
      <c r="H769" t="s">
        <v>50</v>
      </c>
      <c r="I769" s="2">
        <v>2</v>
      </c>
      <c r="J769" s="3">
        <v>69</v>
      </c>
      <c r="K769" s="4">
        <v>0</v>
      </c>
      <c r="L769" s="3">
        <v>138</v>
      </c>
      <c r="M769" t="b">
        <v>1</v>
      </c>
      <c r="N769" s="2">
        <f>YEAR(B769)</f>
        <v>2026</v>
      </c>
      <c r="O769" t="str">
        <f>INDEX(Agences!$C:$C,MATCH(F769,Agences!$A:$A,0))</f>
        <v>Méditerranée</v>
      </c>
      <c r="P769" t="str">
        <f>INDEX(Produits!$C:$C,MATCH(H769,Produits!$A:$A,0))</f>
        <v>Informatique</v>
      </c>
      <c r="Q769" s="3">
        <f>I769*INDEX(Produits!$E:$E,MATCH(H769,Produits!$A:$A,0))</f>
        <v>109.02</v>
      </c>
      <c r="R769" s="3">
        <f>L769-Q769</f>
        <v>28.980000000000004</v>
      </c>
      <c r="S769" s="2">
        <f>NETWORKDAYS(B769,C769)-1</f>
        <v>3</v>
      </c>
      <c r="T769" s="1">
        <f>WORKDAY(B769,5)</f>
        <v>46174</v>
      </c>
      <c r="U769" t="b">
        <f>C769&gt;T769</f>
        <v>0</v>
      </c>
    </row>
    <row r="770" spans="1:21" x14ac:dyDescent="0.25">
      <c r="A770" t="s">
        <v>710</v>
      </c>
      <c r="B770" s="1">
        <v>46167</v>
      </c>
      <c r="C770" s="1">
        <v>46170</v>
      </c>
      <c r="D770" t="s">
        <v>711</v>
      </c>
      <c r="E770" t="s">
        <v>61</v>
      </c>
      <c r="F770" t="s">
        <v>62</v>
      </c>
      <c r="G770" t="s">
        <v>63</v>
      </c>
      <c r="H770" t="s">
        <v>57</v>
      </c>
      <c r="I770" s="2">
        <v>1</v>
      </c>
      <c r="J770" s="3">
        <v>149</v>
      </c>
      <c r="K770" s="4">
        <v>0.02</v>
      </c>
      <c r="L770" s="3">
        <v>146.02</v>
      </c>
      <c r="M770" t="b">
        <v>1</v>
      </c>
      <c r="N770" s="2">
        <f>YEAR(B770)</f>
        <v>2026</v>
      </c>
      <c r="O770" t="str">
        <f>INDEX(Agences!$C:$C,MATCH(F770,Agences!$A:$A,0))</f>
        <v>Méditerranée</v>
      </c>
      <c r="P770" t="str">
        <f>INDEX(Produits!$C:$C,MATCH(H770,Produits!$A:$A,0))</f>
        <v>Informatique</v>
      </c>
      <c r="Q770" s="3">
        <f>I770*INDEX(Produits!$E:$E,MATCH(H770,Produits!$A:$A,0))</f>
        <v>114.73</v>
      </c>
      <c r="R770" s="3">
        <f>L770-Q770</f>
        <v>31.290000000000006</v>
      </c>
      <c r="S770" s="2">
        <f>NETWORKDAYS(B770,C770)-1</f>
        <v>3</v>
      </c>
      <c r="T770" s="1">
        <f>WORKDAY(B770,5)</f>
        <v>46174</v>
      </c>
      <c r="U770" t="b">
        <f>C770&gt;T770</f>
        <v>0</v>
      </c>
    </row>
    <row r="771" spans="1:21" x14ac:dyDescent="0.25">
      <c r="A771" t="s">
        <v>710</v>
      </c>
      <c r="B771" s="1">
        <v>46167</v>
      </c>
      <c r="C771" s="1">
        <v>46170</v>
      </c>
      <c r="D771" t="s">
        <v>711</v>
      </c>
      <c r="E771" t="s">
        <v>61</v>
      </c>
      <c r="F771" t="s">
        <v>62</v>
      </c>
      <c r="G771" t="s">
        <v>63</v>
      </c>
      <c r="H771" t="s">
        <v>72</v>
      </c>
      <c r="I771" s="2">
        <v>2</v>
      </c>
      <c r="J771" s="3">
        <v>179</v>
      </c>
      <c r="K771" s="4">
        <v>0</v>
      </c>
      <c r="L771" s="3">
        <v>358</v>
      </c>
      <c r="M771" t="b">
        <v>1</v>
      </c>
      <c r="N771" s="2">
        <f>YEAR(B771)</f>
        <v>2026</v>
      </c>
      <c r="O771" t="str">
        <f>INDEX(Agences!$C:$C,MATCH(F771,Agences!$A:$A,0))</f>
        <v>Méditerranée</v>
      </c>
      <c r="P771" t="str">
        <f>INDEX(Produits!$C:$C,MATCH(H771,Produits!$A:$A,0))</f>
        <v>Informatique</v>
      </c>
      <c r="Q771" s="3">
        <f>I771*INDEX(Produits!$E:$E,MATCH(H771,Produits!$A:$A,0))</f>
        <v>293.56</v>
      </c>
      <c r="R771" s="3">
        <f>L771-Q771</f>
        <v>64.44</v>
      </c>
      <c r="S771" s="2">
        <f>NETWORKDAYS(B771,C771)-1</f>
        <v>3</v>
      </c>
      <c r="T771" s="1">
        <f>WORKDAY(B771,5)</f>
        <v>46174</v>
      </c>
      <c r="U771" t="b">
        <f>C771&gt;T771</f>
        <v>0</v>
      </c>
    </row>
    <row r="772" spans="1:21" x14ac:dyDescent="0.25">
      <c r="A772" t="s">
        <v>712</v>
      </c>
      <c r="B772" s="1">
        <v>46164</v>
      </c>
      <c r="C772" s="1">
        <v>46169</v>
      </c>
      <c r="D772" t="s">
        <v>201</v>
      </c>
      <c r="E772" t="s">
        <v>202</v>
      </c>
      <c r="F772" t="s">
        <v>138</v>
      </c>
      <c r="G772" t="s">
        <v>214</v>
      </c>
      <c r="H772" t="s">
        <v>49</v>
      </c>
      <c r="I772" s="2">
        <v>3</v>
      </c>
      <c r="J772" s="3">
        <v>120</v>
      </c>
      <c r="K772" s="4">
        <v>0.1</v>
      </c>
      <c r="L772" s="3">
        <v>324</v>
      </c>
      <c r="M772" t="b">
        <v>1</v>
      </c>
      <c r="N772" s="2">
        <f>YEAR(B772)</f>
        <v>2026</v>
      </c>
      <c r="O772" t="str">
        <f>INDEX(Agences!$C:$C,MATCH(F772,Agences!$A:$A,0))</f>
        <v>Île-de-France</v>
      </c>
      <c r="P772" t="str">
        <f>INDEX(Produits!$C:$C,MATCH(H772,Produits!$A:$A,0))</f>
        <v>Maintenance</v>
      </c>
      <c r="Q772" s="3">
        <f>I772*INDEX(Produits!$E:$E,MATCH(H772,Produits!$A:$A,0))</f>
        <v>165.60000000000002</v>
      </c>
      <c r="R772" s="3">
        <f>L772-Q772</f>
        <v>158.39999999999998</v>
      </c>
      <c r="S772" s="2">
        <f>NETWORKDAYS(B772,C772)-1</f>
        <v>3</v>
      </c>
      <c r="T772" s="1">
        <f>WORKDAY(B772,5)</f>
        <v>46171</v>
      </c>
      <c r="U772" t="b">
        <f>C772&gt;T772</f>
        <v>0</v>
      </c>
    </row>
    <row r="773" spans="1:21" x14ac:dyDescent="0.25">
      <c r="A773" t="s">
        <v>712</v>
      </c>
      <c r="B773" s="1">
        <v>46164</v>
      </c>
      <c r="C773" s="1">
        <v>46169</v>
      </c>
      <c r="D773" t="s">
        <v>201</v>
      </c>
      <c r="E773" t="s">
        <v>202</v>
      </c>
      <c r="F773" t="s">
        <v>138</v>
      </c>
      <c r="G773" t="s">
        <v>214</v>
      </c>
      <c r="H773" t="s">
        <v>42</v>
      </c>
      <c r="I773" s="2">
        <v>1</v>
      </c>
      <c r="J773" s="3">
        <v>55</v>
      </c>
      <c r="K773" s="4">
        <v>0.02</v>
      </c>
      <c r="L773" s="3">
        <v>53.9</v>
      </c>
      <c r="M773" t="b">
        <v>1</v>
      </c>
      <c r="N773" s="2">
        <f>YEAR(B773)</f>
        <v>2026</v>
      </c>
      <c r="O773" t="str">
        <f>INDEX(Agences!$C:$C,MATCH(F773,Agences!$A:$A,0))</f>
        <v>Île-de-France</v>
      </c>
      <c r="P773" t="str">
        <f>INDEX(Produits!$C:$C,MATCH(H773,Produits!$A:$A,0))</f>
        <v>Maintenance</v>
      </c>
      <c r="Q773" s="3">
        <f>I773*INDEX(Produits!$E:$E,MATCH(H773,Produits!$A:$A,0))</f>
        <v>24.75</v>
      </c>
      <c r="R773" s="3">
        <f>L773-Q773</f>
        <v>29.15</v>
      </c>
      <c r="S773" s="2">
        <f>NETWORKDAYS(B773,C773)-1</f>
        <v>3</v>
      </c>
      <c r="T773" s="1">
        <f>WORKDAY(B773,5)</f>
        <v>46171</v>
      </c>
      <c r="U773" t="b">
        <f>C773&gt;T773</f>
        <v>0</v>
      </c>
    </row>
    <row r="774" spans="1:21" x14ac:dyDescent="0.25">
      <c r="A774" t="s">
        <v>712</v>
      </c>
      <c r="B774" s="1">
        <v>46164</v>
      </c>
      <c r="C774" s="1">
        <v>46169</v>
      </c>
      <c r="D774" t="s">
        <v>201</v>
      </c>
      <c r="E774" t="s">
        <v>202</v>
      </c>
      <c r="F774" t="s">
        <v>138</v>
      </c>
      <c r="G774" t="s">
        <v>214</v>
      </c>
      <c r="H774" t="s">
        <v>112</v>
      </c>
      <c r="I774" s="2">
        <v>2</v>
      </c>
      <c r="J774" s="3">
        <v>129</v>
      </c>
      <c r="K774" s="4">
        <v>0</v>
      </c>
      <c r="L774" s="3">
        <v>258</v>
      </c>
      <c r="M774" t="b">
        <v>1</v>
      </c>
      <c r="N774" s="2">
        <f>YEAR(B774)</f>
        <v>2026</v>
      </c>
      <c r="O774" t="str">
        <f>INDEX(Agences!$C:$C,MATCH(F774,Agences!$A:$A,0))</f>
        <v>Île-de-France</v>
      </c>
      <c r="P774" t="str">
        <f>INDEX(Produits!$C:$C,MATCH(H774,Produits!$A:$A,0))</f>
        <v>Mobilier</v>
      </c>
      <c r="Q774" s="3">
        <f>I774*INDEX(Produits!$E:$E,MATCH(H774,Produits!$A:$A,0))</f>
        <v>172.86</v>
      </c>
      <c r="R774" s="3">
        <f>L774-Q774</f>
        <v>85.13999999999999</v>
      </c>
      <c r="S774" s="2">
        <f>NETWORKDAYS(B774,C774)-1</f>
        <v>3</v>
      </c>
      <c r="T774" s="1">
        <f>WORKDAY(B774,5)</f>
        <v>46171</v>
      </c>
      <c r="U774" t="b">
        <f>C774&gt;T774</f>
        <v>0</v>
      </c>
    </row>
    <row r="775" spans="1:21" x14ac:dyDescent="0.25">
      <c r="A775" t="s">
        <v>712</v>
      </c>
      <c r="B775" s="1">
        <v>46164</v>
      </c>
      <c r="C775" s="1">
        <v>46169</v>
      </c>
      <c r="D775" t="s">
        <v>201</v>
      </c>
      <c r="E775" t="s">
        <v>202</v>
      </c>
      <c r="F775" t="s">
        <v>138</v>
      </c>
      <c r="G775" t="s">
        <v>214</v>
      </c>
      <c r="H775" t="s">
        <v>57</v>
      </c>
      <c r="I775" s="2">
        <v>1</v>
      </c>
      <c r="J775" s="3">
        <v>149</v>
      </c>
      <c r="K775" s="4">
        <v>0</v>
      </c>
      <c r="L775" s="3">
        <v>149</v>
      </c>
      <c r="M775" t="b">
        <v>1</v>
      </c>
      <c r="N775" s="2">
        <f>YEAR(B775)</f>
        <v>2026</v>
      </c>
      <c r="O775" t="str">
        <f>INDEX(Agences!$C:$C,MATCH(F775,Agences!$A:$A,0))</f>
        <v>Île-de-France</v>
      </c>
      <c r="P775" t="str">
        <f>INDEX(Produits!$C:$C,MATCH(H775,Produits!$A:$A,0))</f>
        <v>Informatique</v>
      </c>
      <c r="Q775" s="3">
        <f>I775*INDEX(Produits!$E:$E,MATCH(H775,Produits!$A:$A,0))</f>
        <v>114.73</v>
      </c>
      <c r="R775" s="3">
        <f>L775-Q775</f>
        <v>34.269999999999996</v>
      </c>
      <c r="S775" s="2">
        <f>NETWORKDAYS(B775,C775)-1</f>
        <v>3</v>
      </c>
      <c r="T775" s="1">
        <f>WORKDAY(B775,5)</f>
        <v>46171</v>
      </c>
      <c r="U775" t="b">
        <f>C775&gt;T775</f>
        <v>0</v>
      </c>
    </row>
    <row r="776" spans="1:21" x14ac:dyDescent="0.25">
      <c r="A776" t="s">
        <v>713</v>
      </c>
      <c r="B776" s="1">
        <v>46164</v>
      </c>
      <c r="C776" s="1">
        <v>46169</v>
      </c>
      <c r="D776" t="s">
        <v>714</v>
      </c>
      <c r="E776" t="s">
        <v>175</v>
      </c>
      <c r="F776" t="s">
        <v>76</v>
      </c>
      <c r="G776" t="s">
        <v>232</v>
      </c>
      <c r="H776" t="s">
        <v>27</v>
      </c>
      <c r="I776" s="2">
        <v>1</v>
      </c>
      <c r="J776" s="3">
        <v>310</v>
      </c>
      <c r="K776" s="4">
        <v>0.1</v>
      </c>
      <c r="L776" s="3">
        <v>279</v>
      </c>
      <c r="M776" t="b">
        <v>1</v>
      </c>
      <c r="N776" s="2">
        <f>YEAR(B776)</f>
        <v>2026</v>
      </c>
      <c r="O776" t="str">
        <f>INDEX(Agences!$C:$C,MATCH(F776,Agences!$A:$A,0))</f>
        <v>Île-de-France</v>
      </c>
      <c r="P776" t="str">
        <f>INDEX(Produits!$C:$C,MATCH(H776,Produits!$A:$A,0))</f>
        <v>Mobilier</v>
      </c>
      <c r="Q776" s="3">
        <f>I776*INDEX(Produits!$E:$E,MATCH(H776,Produits!$A:$A,0))</f>
        <v>186</v>
      </c>
      <c r="R776" s="3">
        <f>L776-Q776</f>
        <v>93</v>
      </c>
      <c r="S776" s="2">
        <f>NETWORKDAYS(B776,C776)-1</f>
        <v>3</v>
      </c>
      <c r="T776" s="1">
        <f>WORKDAY(B776,5)</f>
        <v>46171</v>
      </c>
      <c r="U776" t="b">
        <f>C776&gt;T776</f>
        <v>0</v>
      </c>
    </row>
    <row r="777" spans="1:21" x14ac:dyDescent="0.25">
      <c r="A777" t="s">
        <v>713</v>
      </c>
      <c r="B777" s="1">
        <v>46164</v>
      </c>
      <c r="C777" s="1">
        <v>46169</v>
      </c>
      <c r="D777" t="s">
        <v>714</v>
      </c>
      <c r="E777" t="s">
        <v>175</v>
      </c>
      <c r="F777" t="s">
        <v>76</v>
      </c>
      <c r="G777" t="s">
        <v>232</v>
      </c>
      <c r="H777" t="s">
        <v>49</v>
      </c>
      <c r="I777" s="2">
        <v>2</v>
      </c>
      <c r="J777" s="3">
        <v>120</v>
      </c>
      <c r="K777" s="4">
        <v>0.02</v>
      </c>
      <c r="L777" s="3">
        <v>235.2</v>
      </c>
      <c r="M777" t="b">
        <v>1</v>
      </c>
      <c r="N777" s="2">
        <f>YEAR(B777)</f>
        <v>2026</v>
      </c>
      <c r="O777" t="str">
        <f>INDEX(Agences!$C:$C,MATCH(F777,Agences!$A:$A,0))</f>
        <v>Île-de-France</v>
      </c>
      <c r="P777" t="str">
        <f>INDEX(Produits!$C:$C,MATCH(H777,Produits!$A:$A,0))</f>
        <v>Maintenance</v>
      </c>
      <c r="Q777" s="3">
        <f>I777*INDEX(Produits!$E:$E,MATCH(H777,Produits!$A:$A,0))</f>
        <v>110.4</v>
      </c>
      <c r="R777" s="3">
        <f>L777-Q777</f>
        <v>124.79999999999998</v>
      </c>
      <c r="S777" s="2">
        <f>NETWORKDAYS(B777,C777)-1</f>
        <v>3</v>
      </c>
      <c r="T777" s="1">
        <f>WORKDAY(B777,5)</f>
        <v>46171</v>
      </c>
      <c r="U777" t="b">
        <f>C777&gt;T777</f>
        <v>0</v>
      </c>
    </row>
    <row r="778" spans="1:21" x14ac:dyDescent="0.25">
      <c r="A778" t="s">
        <v>715</v>
      </c>
      <c r="B778" s="1">
        <v>46164</v>
      </c>
      <c r="C778" s="1">
        <v>46168</v>
      </c>
      <c r="D778" t="s">
        <v>716</v>
      </c>
      <c r="E778" t="s">
        <v>419</v>
      </c>
      <c r="F778" t="s">
        <v>62</v>
      </c>
      <c r="G778" t="s">
        <v>106</v>
      </c>
      <c r="H778" t="s">
        <v>42</v>
      </c>
      <c r="I778" s="2">
        <v>1</v>
      </c>
      <c r="J778" s="3">
        <v>55</v>
      </c>
      <c r="K778" s="4">
        <v>0.3</v>
      </c>
      <c r="L778" s="3">
        <v>38.5</v>
      </c>
      <c r="M778" t="b">
        <v>1</v>
      </c>
      <c r="N778" s="2">
        <f>YEAR(B778)</f>
        <v>2026</v>
      </c>
      <c r="O778" t="str">
        <f>INDEX(Agences!$C:$C,MATCH(F778,Agences!$A:$A,0))</f>
        <v>Méditerranée</v>
      </c>
      <c r="P778" t="str">
        <f>INDEX(Produits!$C:$C,MATCH(H778,Produits!$A:$A,0))</f>
        <v>Maintenance</v>
      </c>
      <c r="Q778" s="3">
        <f>I778*INDEX(Produits!$E:$E,MATCH(H778,Produits!$A:$A,0))</f>
        <v>24.75</v>
      </c>
      <c r="R778" s="3">
        <f>L778-Q778</f>
        <v>13.75</v>
      </c>
      <c r="S778" s="2">
        <f>NETWORKDAYS(B778,C778)-1</f>
        <v>2</v>
      </c>
      <c r="T778" s="1">
        <f>WORKDAY(B778,5)</f>
        <v>46171</v>
      </c>
      <c r="U778" t="b">
        <f>C778&gt;T778</f>
        <v>0</v>
      </c>
    </row>
    <row r="779" spans="1:21" x14ac:dyDescent="0.25">
      <c r="A779" t="s">
        <v>715</v>
      </c>
      <c r="B779" s="1">
        <v>46164</v>
      </c>
      <c r="C779" s="1">
        <v>46168</v>
      </c>
      <c r="D779" t="s">
        <v>716</v>
      </c>
      <c r="E779" t="s">
        <v>419</v>
      </c>
      <c r="F779" t="s">
        <v>62</v>
      </c>
      <c r="G779" t="s">
        <v>106</v>
      </c>
      <c r="H779" t="s">
        <v>64</v>
      </c>
      <c r="I779" s="2">
        <v>20</v>
      </c>
      <c r="J779" s="3">
        <v>16.8</v>
      </c>
      <c r="K779" s="4">
        <v>0.3</v>
      </c>
      <c r="L779" s="3">
        <v>235.2</v>
      </c>
      <c r="M779" t="b">
        <v>1</v>
      </c>
      <c r="N779" s="2">
        <f>YEAR(B779)</f>
        <v>2026</v>
      </c>
      <c r="O779" t="str">
        <f>INDEX(Agences!$C:$C,MATCH(F779,Agences!$A:$A,0))</f>
        <v>Méditerranée</v>
      </c>
      <c r="P779" t="str">
        <f>INDEX(Produits!$C:$C,MATCH(H779,Produits!$A:$A,0))</f>
        <v>Fournitures</v>
      </c>
      <c r="Q779" s="3">
        <f>I779*INDEX(Produits!$E:$E,MATCH(H779,Produits!$A:$A,0))</f>
        <v>174.8</v>
      </c>
      <c r="R779" s="3">
        <f>L779-Q779</f>
        <v>60.39999999999998</v>
      </c>
      <c r="S779" s="2">
        <f>NETWORKDAYS(B779,C779)-1</f>
        <v>2</v>
      </c>
      <c r="T779" s="1">
        <f>WORKDAY(B779,5)</f>
        <v>46171</v>
      </c>
      <c r="U779" t="b">
        <f>C779&gt;T779</f>
        <v>0</v>
      </c>
    </row>
    <row r="780" spans="1:21" x14ac:dyDescent="0.25">
      <c r="A780" t="s">
        <v>717</v>
      </c>
      <c r="B780" s="1">
        <v>46164</v>
      </c>
      <c r="C780" s="1">
        <v>46168</v>
      </c>
      <c r="D780" t="s">
        <v>311</v>
      </c>
      <c r="E780" t="s">
        <v>93</v>
      </c>
      <c r="F780" t="s">
        <v>94</v>
      </c>
      <c r="G780" t="s">
        <v>154</v>
      </c>
      <c r="H780" t="s">
        <v>51</v>
      </c>
      <c r="I780" s="2">
        <v>2</v>
      </c>
      <c r="J780" s="3">
        <v>180</v>
      </c>
      <c r="K780" s="4">
        <v>0</v>
      </c>
      <c r="L780" s="3">
        <v>360</v>
      </c>
      <c r="M780" t="b">
        <v>1</v>
      </c>
      <c r="N780" s="2">
        <f>YEAR(B780)</f>
        <v>2026</v>
      </c>
      <c r="O780" t="str">
        <f>INDEX(Agences!$C:$C,MATCH(F780,Agences!$A:$A,0))</f>
        <v>Méditerranée</v>
      </c>
      <c r="P780" t="str">
        <f>INDEX(Produits!$C:$C,MATCH(H780,Produits!$A:$A,0))</f>
        <v>Maintenance</v>
      </c>
      <c r="Q780" s="3">
        <f>I780*INDEX(Produits!$E:$E,MATCH(H780,Produits!$A:$A,0))</f>
        <v>165.6</v>
      </c>
      <c r="R780" s="3">
        <f>L780-Q780</f>
        <v>194.4</v>
      </c>
      <c r="S780" s="2">
        <f>NETWORKDAYS(B780,C780)-1</f>
        <v>2</v>
      </c>
      <c r="T780" s="1">
        <f>WORKDAY(B780,5)</f>
        <v>46171</v>
      </c>
      <c r="U780" t="b">
        <f>C780&gt;T780</f>
        <v>0</v>
      </c>
    </row>
    <row r="781" spans="1:21" x14ac:dyDescent="0.25">
      <c r="A781" t="s">
        <v>718</v>
      </c>
      <c r="B781" s="1">
        <v>46164</v>
      </c>
      <c r="C781" s="1">
        <v>46175</v>
      </c>
      <c r="D781" t="s">
        <v>719</v>
      </c>
      <c r="E781" t="s">
        <v>229</v>
      </c>
      <c r="F781" t="s">
        <v>55</v>
      </c>
      <c r="G781" t="s">
        <v>56</v>
      </c>
      <c r="H781" t="s">
        <v>79</v>
      </c>
      <c r="I781" s="2">
        <v>5</v>
      </c>
      <c r="J781" s="3">
        <v>14.9</v>
      </c>
      <c r="K781" s="4">
        <v>0</v>
      </c>
      <c r="L781" s="3">
        <v>74.5</v>
      </c>
      <c r="M781" t="b">
        <v>1</v>
      </c>
      <c r="N781" s="2">
        <f>YEAR(B781)</f>
        <v>2026</v>
      </c>
      <c r="O781" t="str">
        <f>INDEX(Agences!$C:$C,MATCH(F781,Agences!$A:$A,0))</f>
        <v>Est</v>
      </c>
      <c r="P781" t="str">
        <f>INDEX(Produits!$C:$C,MATCH(H781,Produits!$A:$A,0))</f>
        <v>Fournitures</v>
      </c>
      <c r="Q781" s="3">
        <f>I781*INDEX(Produits!$E:$E,MATCH(H781,Produits!$A:$A,0))</f>
        <v>40.25</v>
      </c>
      <c r="R781" s="3">
        <f>L781-Q781</f>
        <v>34.25</v>
      </c>
      <c r="S781" s="2">
        <f>NETWORKDAYS(B781,C781)-1</f>
        <v>7</v>
      </c>
      <c r="T781" s="1">
        <f>WORKDAY(B781,5)</f>
        <v>46171</v>
      </c>
      <c r="U781" t="b">
        <f>C781&gt;T781</f>
        <v>1</v>
      </c>
    </row>
    <row r="782" spans="1:21" x14ac:dyDescent="0.25">
      <c r="A782" t="s">
        <v>718</v>
      </c>
      <c r="B782" s="1">
        <v>46164</v>
      </c>
      <c r="C782" s="1">
        <v>46175</v>
      </c>
      <c r="D782" t="s">
        <v>719</v>
      </c>
      <c r="E782" t="s">
        <v>229</v>
      </c>
      <c r="F782" t="s">
        <v>55</v>
      </c>
      <c r="G782" t="s">
        <v>56</v>
      </c>
      <c r="H782" t="s">
        <v>57</v>
      </c>
      <c r="I782" s="2">
        <v>2</v>
      </c>
      <c r="J782" s="3">
        <v>149</v>
      </c>
      <c r="K782" s="4">
        <v>0</v>
      </c>
      <c r="L782" s="3">
        <v>298</v>
      </c>
      <c r="M782" t="b">
        <v>1</v>
      </c>
      <c r="N782" s="2">
        <f>YEAR(B782)</f>
        <v>2026</v>
      </c>
      <c r="O782" t="str">
        <f>INDEX(Agences!$C:$C,MATCH(F782,Agences!$A:$A,0))</f>
        <v>Est</v>
      </c>
      <c r="P782" t="str">
        <f>INDEX(Produits!$C:$C,MATCH(H782,Produits!$A:$A,0))</f>
        <v>Informatique</v>
      </c>
      <c r="Q782" s="3">
        <f>I782*INDEX(Produits!$E:$E,MATCH(H782,Produits!$A:$A,0))</f>
        <v>229.46</v>
      </c>
      <c r="R782" s="3">
        <f>L782-Q782</f>
        <v>68.53999999999999</v>
      </c>
      <c r="S782" s="2">
        <f>NETWORKDAYS(B782,C782)-1</f>
        <v>7</v>
      </c>
      <c r="T782" s="1">
        <f>WORKDAY(B782,5)</f>
        <v>46171</v>
      </c>
      <c r="U782" t="b">
        <f>C782&gt;T782</f>
        <v>1</v>
      </c>
    </row>
    <row r="783" spans="1:21" x14ac:dyDescent="0.25">
      <c r="A783" t="s">
        <v>718</v>
      </c>
      <c r="B783" s="1">
        <v>46164</v>
      </c>
      <c r="C783" s="1">
        <v>46175</v>
      </c>
      <c r="D783" t="s">
        <v>719</v>
      </c>
      <c r="E783" t="s">
        <v>229</v>
      </c>
      <c r="F783" t="s">
        <v>55</v>
      </c>
      <c r="G783" t="s">
        <v>56</v>
      </c>
      <c r="H783" t="s">
        <v>50</v>
      </c>
      <c r="I783" s="2">
        <v>2</v>
      </c>
      <c r="J783" s="3">
        <v>69</v>
      </c>
      <c r="K783" s="4">
        <v>0.05</v>
      </c>
      <c r="L783" s="3">
        <v>131.1</v>
      </c>
      <c r="M783" t="b">
        <v>1</v>
      </c>
      <c r="N783" s="2">
        <f>YEAR(B783)</f>
        <v>2026</v>
      </c>
      <c r="O783" t="str">
        <f>INDEX(Agences!$C:$C,MATCH(F783,Agences!$A:$A,0))</f>
        <v>Est</v>
      </c>
      <c r="P783" t="str">
        <f>INDEX(Produits!$C:$C,MATCH(H783,Produits!$A:$A,0))</f>
        <v>Informatique</v>
      </c>
      <c r="Q783" s="3">
        <f>I783*INDEX(Produits!$E:$E,MATCH(H783,Produits!$A:$A,0))</f>
        <v>109.02</v>
      </c>
      <c r="R783" s="3">
        <f>L783-Q783</f>
        <v>22.08</v>
      </c>
      <c r="S783" s="2">
        <f>NETWORKDAYS(B783,C783)-1</f>
        <v>7</v>
      </c>
      <c r="T783" s="1">
        <f>WORKDAY(B783,5)</f>
        <v>46171</v>
      </c>
      <c r="U783" t="b">
        <f>C783&gt;T783</f>
        <v>1</v>
      </c>
    </row>
    <row r="784" spans="1:21" x14ac:dyDescent="0.25">
      <c r="A784" t="s">
        <v>718</v>
      </c>
      <c r="B784" s="1">
        <v>46164</v>
      </c>
      <c r="C784" s="1">
        <v>46175</v>
      </c>
      <c r="D784" t="s">
        <v>719</v>
      </c>
      <c r="E784" t="s">
        <v>229</v>
      </c>
      <c r="F784" t="s">
        <v>55</v>
      </c>
      <c r="G784" t="s">
        <v>56</v>
      </c>
      <c r="H784" t="s">
        <v>319</v>
      </c>
      <c r="I784" s="2">
        <v>1</v>
      </c>
      <c r="J784" s="3">
        <v>289</v>
      </c>
      <c r="K784" s="4">
        <v>0.02</v>
      </c>
      <c r="L784" s="3">
        <v>283.22</v>
      </c>
      <c r="M784" t="b">
        <v>1</v>
      </c>
      <c r="N784" s="2">
        <f>YEAR(B784)</f>
        <v>2026</v>
      </c>
      <c r="O784" t="str">
        <f>INDEX(Agences!$C:$C,MATCH(F784,Agences!$A:$A,0))</f>
        <v>Est</v>
      </c>
      <c r="P784" t="str">
        <f>INDEX(Produits!$C:$C,MATCH(H784,Produits!$A:$A,0))</f>
        <v>Informatique</v>
      </c>
      <c r="Q784" s="3">
        <f>I784*INDEX(Produits!$E:$E,MATCH(H784,Produits!$A:$A,0))</f>
        <v>213.86</v>
      </c>
      <c r="R784" s="3">
        <f>L784-Q784</f>
        <v>69.36000000000001</v>
      </c>
      <c r="S784" s="2">
        <f>NETWORKDAYS(B784,C784)-1</f>
        <v>7</v>
      </c>
      <c r="T784" s="1">
        <f>WORKDAY(B784,5)</f>
        <v>46171</v>
      </c>
      <c r="U784" t="b">
        <f>C784&gt;T784</f>
        <v>1</v>
      </c>
    </row>
    <row r="785" spans="1:21" x14ac:dyDescent="0.25">
      <c r="A785" t="s">
        <v>720</v>
      </c>
      <c r="B785" s="1">
        <v>46163</v>
      </c>
      <c r="C785" s="1">
        <v>46167</v>
      </c>
      <c r="D785" t="s">
        <v>721</v>
      </c>
      <c r="E785" t="s">
        <v>307</v>
      </c>
      <c r="F785" t="s">
        <v>76</v>
      </c>
      <c r="G785" t="s">
        <v>176</v>
      </c>
      <c r="H785" t="s">
        <v>48</v>
      </c>
      <c r="I785" s="2">
        <v>1</v>
      </c>
      <c r="J785" s="3">
        <v>165</v>
      </c>
      <c r="K785" s="4">
        <v>0</v>
      </c>
      <c r="L785" s="3">
        <v>165</v>
      </c>
      <c r="M785" t="b">
        <v>1</v>
      </c>
      <c r="N785" s="2">
        <f>YEAR(B785)</f>
        <v>2026</v>
      </c>
      <c r="O785" t="str">
        <f>INDEX(Agences!$C:$C,MATCH(F785,Agences!$A:$A,0))</f>
        <v>Île-de-France</v>
      </c>
      <c r="P785" t="str">
        <f>INDEX(Produits!$C:$C,MATCH(H785,Produits!$A:$A,0))</f>
        <v>Mobilier</v>
      </c>
      <c r="Q785" s="3">
        <f>I785*INDEX(Produits!$E:$E,MATCH(H785,Produits!$A:$A,0))</f>
        <v>107.25</v>
      </c>
      <c r="R785" s="3">
        <f>L785-Q785</f>
        <v>57.75</v>
      </c>
      <c r="S785" s="2">
        <f>NETWORKDAYS(B785,C785)-1</f>
        <v>2</v>
      </c>
      <c r="T785" s="1">
        <f>WORKDAY(B785,5)</f>
        <v>46170</v>
      </c>
      <c r="U785" t="b">
        <f>C785&gt;T785</f>
        <v>0</v>
      </c>
    </row>
    <row r="786" spans="1:21" x14ac:dyDescent="0.25">
      <c r="A786" t="s">
        <v>722</v>
      </c>
      <c r="B786" s="1">
        <v>46163</v>
      </c>
      <c r="C786" s="1">
        <v>46164</v>
      </c>
      <c r="D786" t="s">
        <v>723</v>
      </c>
      <c r="E786" t="s">
        <v>399</v>
      </c>
      <c r="F786" t="s">
        <v>166</v>
      </c>
      <c r="G786" t="s">
        <v>248</v>
      </c>
      <c r="H786" t="s">
        <v>51</v>
      </c>
      <c r="I786" s="2">
        <v>3</v>
      </c>
      <c r="J786" s="3">
        <v>180</v>
      </c>
      <c r="K786" s="4">
        <v>0</v>
      </c>
      <c r="L786" s="3">
        <v>540</v>
      </c>
      <c r="M786" t="b">
        <v>1</v>
      </c>
      <c r="N786" s="2">
        <f>YEAR(B786)</f>
        <v>2026</v>
      </c>
      <c r="O786" t="str">
        <f>INDEX(Agences!$C:$C,MATCH(F786,Agences!$A:$A,0))</f>
        <v>Ouest</v>
      </c>
      <c r="P786" t="str">
        <f>INDEX(Produits!$C:$C,MATCH(H786,Produits!$A:$A,0))</f>
        <v>Maintenance</v>
      </c>
      <c r="Q786" s="3">
        <f>I786*INDEX(Produits!$E:$E,MATCH(H786,Produits!$A:$A,0))</f>
        <v>248.39999999999998</v>
      </c>
      <c r="R786" s="3">
        <f>L786-Q786</f>
        <v>291.6</v>
      </c>
      <c r="S786" s="2">
        <f>NETWORKDAYS(B786,C786)-1</f>
        <v>1</v>
      </c>
      <c r="T786" s="1">
        <f>WORKDAY(B786,5)</f>
        <v>46170</v>
      </c>
      <c r="U786" t="b">
        <f>C786&gt;T786</f>
        <v>0</v>
      </c>
    </row>
    <row r="787" spans="1:21" x14ac:dyDescent="0.25">
      <c r="A787" t="s">
        <v>722</v>
      </c>
      <c r="B787" s="1">
        <v>46163</v>
      </c>
      <c r="C787" s="1">
        <v>46164</v>
      </c>
      <c r="D787" t="s">
        <v>723</v>
      </c>
      <c r="E787" t="s">
        <v>399</v>
      </c>
      <c r="F787" t="s">
        <v>166</v>
      </c>
      <c r="G787" t="s">
        <v>248</v>
      </c>
      <c r="H787" t="s">
        <v>35</v>
      </c>
      <c r="I787" s="2">
        <v>2</v>
      </c>
      <c r="J787" s="3">
        <v>79</v>
      </c>
      <c r="K787" s="4">
        <v>0</v>
      </c>
      <c r="L787" s="3">
        <v>158</v>
      </c>
      <c r="M787" t="b">
        <v>1</v>
      </c>
      <c r="N787" s="2">
        <f>YEAR(B787)</f>
        <v>2026</v>
      </c>
      <c r="O787" t="str">
        <f>INDEX(Agences!$C:$C,MATCH(F787,Agences!$A:$A,0))</f>
        <v>Ouest</v>
      </c>
      <c r="P787" t="str">
        <f>INDEX(Produits!$C:$C,MATCH(H787,Produits!$A:$A,0))</f>
        <v>Mobilier</v>
      </c>
      <c r="Q787" s="3">
        <f>I787*INDEX(Produits!$E:$E,MATCH(H787,Produits!$A:$A,0))</f>
        <v>93.22</v>
      </c>
      <c r="R787" s="3">
        <f>L787-Q787</f>
        <v>64.78</v>
      </c>
      <c r="S787" s="2">
        <f>NETWORKDAYS(B787,C787)-1</f>
        <v>1</v>
      </c>
      <c r="T787" s="1">
        <f>WORKDAY(B787,5)</f>
        <v>46170</v>
      </c>
      <c r="U787" t="b">
        <f>C787&gt;T787</f>
        <v>0</v>
      </c>
    </row>
    <row r="788" spans="1:21" x14ac:dyDescent="0.25">
      <c r="A788" t="s">
        <v>724</v>
      </c>
      <c r="B788" s="1">
        <v>46163</v>
      </c>
      <c r="C788" s="1">
        <v>46169</v>
      </c>
      <c r="D788" t="s">
        <v>627</v>
      </c>
      <c r="E788" t="s">
        <v>242</v>
      </c>
      <c r="F788" t="s">
        <v>94</v>
      </c>
      <c r="G788" t="s">
        <v>182</v>
      </c>
      <c r="H788" t="s">
        <v>83</v>
      </c>
      <c r="I788" s="2">
        <v>1</v>
      </c>
      <c r="J788" s="3">
        <v>49</v>
      </c>
      <c r="K788" s="4">
        <v>0.02</v>
      </c>
      <c r="L788" s="3">
        <v>48.02</v>
      </c>
      <c r="M788" t="b">
        <v>1</v>
      </c>
      <c r="N788" s="2">
        <f>YEAR(B788)</f>
        <v>2026</v>
      </c>
      <c r="O788" t="str">
        <f>INDEX(Agences!$C:$C,MATCH(F788,Agences!$A:$A,0))</f>
        <v>Méditerranée</v>
      </c>
      <c r="P788" t="str">
        <f>INDEX(Produits!$C:$C,MATCH(H788,Produits!$A:$A,0))</f>
        <v>Mobilier</v>
      </c>
      <c r="Q788" s="3">
        <f>I788*INDEX(Produits!$E:$E,MATCH(H788,Produits!$A:$A,0))</f>
        <v>28.42</v>
      </c>
      <c r="R788" s="3">
        <f>L788-Q788</f>
        <v>19.6</v>
      </c>
      <c r="S788" s="2">
        <f>NETWORKDAYS(B788,C788)-1</f>
        <v>4</v>
      </c>
      <c r="T788" s="1">
        <f>WORKDAY(B788,5)</f>
        <v>46170</v>
      </c>
      <c r="U788" t="b">
        <f>C788&gt;T788</f>
        <v>0</v>
      </c>
    </row>
    <row r="789" spans="1:21" x14ac:dyDescent="0.25">
      <c r="A789" t="s">
        <v>724</v>
      </c>
      <c r="B789" s="1">
        <v>46163</v>
      </c>
      <c r="C789" s="1">
        <v>46169</v>
      </c>
      <c r="D789" t="s">
        <v>627</v>
      </c>
      <c r="E789" t="s">
        <v>242</v>
      </c>
      <c r="F789" t="s">
        <v>94</v>
      </c>
      <c r="G789" t="s">
        <v>182</v>
      </c>
      <c r="H789" t="s">
        <v>108</v>
      </c>
      <c r="I789" s="2">
        <v>15</v>
      </c>
      <c r="J789" s="3">
        <v>24.5</v>
      </c>
      <c r="K789" s="4">
        <v>0.08</v>
      </c>
      <c r="L789" s="3">
        <v>338.1</v>
      </c>
      <c r="M789" t="b">
        <v>1</v>
      </c>
      <c r="N789" s="2">
        <f>YEAR(B789)</f>
        <v>2026</v>
      </c>
      <c r="O789" t="str">
        <f>INDEX(Agences!$C:$C,MATCH(F789,Agences!$A:$A,0))</f>
        <v>Méditerranée</v>
      </c>
      <c r="P789" t="str">
        <f>INDEX(Produits!$C:$C,MATCH(H789,Produits!$A:$A,0))</f>
        <v>Fournitures</v>
      </c>
      <c r="Q789" s="3">
        <f>I789*INDEX(Produits!$E:$E,MATCH(H789,Produits!$A:$A,0))</f>
        <v>220.5</v>
      </c>
      <c r="R789" s="3">
        <f>L789-Q789</f>
        <v>117.60000000000002</v>
      </c>
      <c r="S789" s="2">
        <f>NETWORKDAYS(B789,C789)-1</f>
        <v>4</v>
      </c>
      <c r="T789" s="1">
        <f>WORKDAY(B789,5)</f>
        <v>46170</v>
      </c>
      <c r="U789" t="b">
        <f>C789&gt;T789</f>
        <v>0</v>
      </c>
    </row>
    <row r="790" spans="1:21" x14ac:dyDescent="0.25">
      <c r="A790" t="s">
        <v>725</v>
      </c>
      <c r="B790" s="1">
        <v>46162</v>
      </c>
      <c r="C790" s="1">
        <v>46167</v>
      </c>
      <c r="D790" t="s">
        <v>723</v>
      </c>
      <c r="E790" t="s">
        <v>399</v>
      </c>
      <c r="F790" t="s">
        <v>166</v>
      </c>
      <c r="G790" t="s">
        <v>179</v>
      </c>
      <c r="H790" t="s">
        <v>107</v>
      </c>
      <c r="I790" s="2">
        <v>2</v>
      </c>
      <c r="J790" s="3">
        <v>99</v>
      </c>
      <c r="K790" s="4">
        <v>0.05</v>
      </c>
      <c r="L790" s="3">
        <v>188.1</v>
      </c>
      <c r="M790" t="b">
        <v>1</v>
      </c>
      <c r="N790" s="2">
        <f>YEAR(B790)</f>
        <v>2026</v>
      </c>
      <c r="O790" t="str">
        <f>INDEX(Agences!$C:$C,MATCH(F790,Agences!$A:$A,0))</f>
        <v>Ouest</v>
      </c>
      <c r="P790" t="str">
        <f>INDEX(Produits!$C:$C,MATCH(H790,Produits!$A:$A,0))</f>
        <v>Informatique</v>
      </c>
      <c r="Q790" s="3">
        <f>I790*INDEX(Produits!$E:$E,MATCH(H790,Produits!$A:$A,0))</f>
        <v>150.48</v>
      </c>
      <c r="R790" s="3">
        <f>L790-Q790</f>
        <v>37.620000000000005</v>
      </c>
      <c r="S790" s="2">
        <f>NETWORKDAYS(B790,C790)-1</f>
        <v>3</v>
      </c>
      <c r="T790" s="1">
        <f>WORKDAY(B790,5)</f>
        <v>46169</v>
      </c>
      <c r="U790" t="b">
        <f>C790&gt;T790</f>
        <v>0</v>
      </c>
    </row>
    <row r="791" spans="1:21" x14ac:dyDescent="0.25">
      <c r="A791" t="s">
        <v>725</v>
      </c>
      <c r="B791" s="1">
        <v>46162</v>
      </c>
      <c r="C791" s="1">
        <v>46167</v>
      </c>
      <c r="D791" t="s">
        <v>723</v>
      </c>
      <c r="E791" t="s">
        <v>399</v>
      </c>
      <c r="F791" t="s">
        <v>166</v>
      </c>
      <c r="G791" t="s">
        <v>179</v>
      </c>
      <c r="H791" t="s">
        <v>50</v>
      </c>
      <c r="I791" s="2">
        <v>1</v>
      </c>
      <c r="J791" s="3">
        <v>69</v>
      </c>
      <c r="K791" s="4">
        <v>0.02</v>
      </c>
      <c r="L791" s="3">
        <v>67.62</v>
      </c>
      <c r="M791" t="b">
        <v>1</v>
      </c>
      <c r="N791" s="2">
        <f>YEAR(B791)</f>
        <v>2026</v>
      </c>
      <c r="O791" t="str">
        <f>INDEX(Agences!$C:$C,MATCH(F791,Agences!$A:$A,0))</f>
        <v>Ouest</v>
      </c>
      <c r="P791" t="str">
        <f>INDEX(Produits!$C:$C,MATCH(H791,Produits!$A:$A,0))</f>
        <v>Informatique</v>
      </c>
      <c r="Q791" s="3">
        <f>I791*INDEX(Produits!$E:$E,MATCH(H791,Produits!$A:$A,0))</f>
        <v>54.51</v>
      </c>
      <c r="R791" s="3">
        <f>L791-Q791</f>
        <v>13.110000000000007</v>
      </c>
      <c r="S791" s="2">
        <f>NETWORKDAYS(B791,C791)-1</f>
        <v>3</v>
      </c>
      <c r="T791" s="1">
        <f>WORKDAY(B791,5)</f>
        <v>46169</v>
      </c>
      <c r="U791" t="b">
        <f>C791&gt;T791</f>
        <v>0</v>
      </c>
    </row>
    <row r="792" spans="1:21" x14ac:dyDescent="0.25">
      <c r="A792" t="s">
        <v>726</v>
      </c>
      <c r="B792" s="1">
        <v>46162</v>
      </c>
      <c r="C792" s="1">
        <v>46168</v>
      </c>
      <c r="D792" t="s">
        <v>692</v>
      </c>
      <c r="E792" t="s">
        <v>30</v>
      </c>
      <c r="F792" t="s">
        <v>31</v>
      </c>
      <c r="G792" t="s">
        <v>375</v>
      </c>
      <c r="H792" t="s">
        <v>35</v>
      </c>
      <c r="I792" s="2">
        <v>3</v>
      </c>
      <c r="J792" s="3">
        <v>79</v>
      </c>
      <c r="K792" s="4">
        <v>0</v>
      </c>
      <c r="L792" s="3">
        <v>237</v>
      </c>
      <c r="M792" t="b">
        <v>1</v>
      </c>
      <c r="N792" s="2">
        <f>YEAR(B792)</f>
        <v>2026</v>
      </c>
      <c r="O792" t="str">
        <f>INDEX(Agences!$C:$C,MATCH(F792,Agences!$A:$A,0))</f>
        <v>Ouest</v>
      </c>
      <c r="P792" t="str">
        <f>INDEX(Produits!$C:$C,MATCH(H792,Produits!$A:$A,0))</f>
        <v>Mobilier</v>
      </c>
      <c r="Q792" s="3">
        <f>I792*INDEX(Produits!$E:$E,MATCH(H792,Produits!$A:$A,0))</f>
        <v>139.82999999999998</v>
      </c>
      <c r="R792" s="3">
        <f>L792-Q792</f>
        <v>97.17000000000002</v>
      </c>
      <c r="S792" s="2">
        <f>NETWORKDAYS(B792,C792)-1</f>
        <v>4</v>
      </c>
      <c r="T792" s="1">
        <f>WORKDAY(B792,5)</f>
        <v>46169</v>
      </c>
      <c r="U792" t="b">
        <f>C792&gt;T792</f>
        <v>0</v>
      </c>
    </row>
    <row r="793" spans="1:21" x14ac:dyDescent="0.25">
      <c r="A793" t="s">
        <v>726</v>
      </c>
      <c r="B793" s="1">
        <v>46162</v>
      </c>
      <c r="C793" s="1">
        <v>46168</v>
      </c>
      <c r="D793" t="s">
        <v>692</v>
      </c>
      <c r="E793" t="s">
        <v>30</v>
      </c>
      <c r="F793" t="s">
        <v>31</v>
      </c>
      <c r="G793" t="s">
        <v>375</v>
      </c>
      <c r="H793" t="s">
        <v>79</v>
      </c>
      <c r="I793" s="2">
        <v>10</v>
      </c>
      <c r="J793" s="3">
        <v>14.9</v>
      </c>
      <c r="K793" s="4">
        <v>0</v>
      </c>
      <c r="L793" s="3">
        <v>149</v>
      </c>
      <c r="M793" t="b">
        <v>1</v>
      </c>
      <c r="N793" s="2">
        <f>YEAR(B793)</f>
        <v>2026</v>
      </c>
      <c r="O793" t="str">
        <f>INDEX(Agences!$C:$C,MATCH(F793,Agences!$A:$A,0))</f>
        <v>Ouest</v>
      </c>
      <c r="P793" t="str">
        <f>INDEX(Produits!$C:$C,MATCH(H793,Produits!$A:$A,0))</f>
        <v>Fournitures</v>
      </c>
      <c r="Q793" s="3">
        <f>I793*INDEX(Produits!$E:$E,MATCH(H793,Produits!$A:$A,0))</f>
        <v>80.5</v>
      </c>
      <c r="R793" s="3">
        <f>L793-Q793</f>
        <v>68.5</v>
      </c>
      <c r="S793" s="2">
        <f>NETWORKDAYS(B793,C793)-1</f>
        <v>4</v>
      </c>
      <c r="T793" s="1">
        <f>WORKDAY(B793,5)</f>
        <v>46169</v>
      </c>
      <c r="U793" t="b">
        <f>C793&gt;T793</f>
        <v>0</v>
      </c>
    </row>
    <row r="794" spans="1:21" x14ac:dyDescent="0.25">
      <c r="A794" t="s">
        <v>727</v>
      </c>
      <c r="B794" s="1">
        <v>46162</v>
      </c>
      <c r="C794" s="1">
        <v>46169</v>
      </c>
      <c r="D794" t="s">
        <v>391</v>
      </c>
      <c r="E794" t="s">
        <v>61</v>
      </c>
      <c r="F794" t="s">
        <v>62</v>
      </c>
      <c r="G794" t="s">
        <v>106</v>
      </c>
      <c r="H794" t="s">
        <v>123</v>
      </c>
      <c r="I794" s="2">
        <v>5</v>
      </c>
      <c r="J794" s="3">
        <v>39.9</v>
      </c>
      <c r="K794" s="4">
        <v>0.22</v>
      </c>
      <c r="L794" s="3">
        <v>155.61</v>
      </c>
      <c r="M794" t="b">
        <v>1</v>
      </c>
      <c r="N794" s="2">
        <f>YEAR(B794)</f>
        <v>2026</v>
      </c>
      <c r="O794" t="str">
        <f>INDEX(Agences!$C:$C,MATCH(F794,Agences!$A:$A,0))</f>
        <v>Méditerranée</v>
      </c>
      <c r="P794" t="str">
        <f>INDEX(Produits!$C:$C,MATCH(H794,Produits!$A:$A,0))</f>
        <v>Fournitures</v>
      </c>
      <c r="Q794" s="3">
        <f>I794*INDEX(Produits!$E:$E,MATCH(H794,Produits!$A:$A,0))</f>
        <v>111.7</v>
      </c>
      <c r="R794" s="3">
        <f>L794-Q794</f>
        <v>43.91000000000001</v>
      </c>
      <c r="S794" s="2">
        <f>NETWORKDAYS(B794,C794)-1</f>
        <v>5</v>
      </c>
      <c r="T794" s="1">
        <f>WORKDAY(B794,5)</f>
        <v>46169</v>
      </c>
      <c r="U794" t="b">
        <f>C794&gt;T794</f>
        <v>0</v>
      </c>
    </row>
    <row r="795" spans="1:21" x14ac:dyDescent="0.25">
      <c r="A795" t="s">
        <v>727</v>
      </c>
      <c r="B795" s="1">
        <v>46162</v>
      </c>
      <c r="C795" s="1">
        <v>46169</v>
      </c>
      <c r="D795" t="s">
        <v>391</v>
      </c>
      <c r="E795" t="s">
        <v>61</v>
      </c>
      <c r="F795" t="s">
        <v>62</v>
      </c>
      <c r="G795" t="s">
        <v>106</v>
      </c>
      <c r="H795" t="s">
        <v>112</v>
      </c>
      <c r="I795" s="2">
        <v>1</v>
      </c>
      <c r="J795" s="3">
        <v>129</v>
      </c>
      <c r="K795" s="4">
        <v>0.18</v>
      </c>
      <c r="L795" s="3">
        <v>105.78</v>
      </c>
      <c r="M795" t="b">
        <v>1</v>
      </c>
      <c r="N795" s="2">
        <f>YEAR(B795)</f>
        <v>2026</v>
      </c>
      <c r="O795" t="str">
        <f>INDEX(Agences!$C:$C,MATCH(F795,Agences!$A:$A,0))</f>
        <v>Méditerranée</v>
      </c>
      <c r="P795" t="str">
        <f>INDEX(Produits!$C:$C,MATCH(H795,Produits!$A:$A,0))</f>
        <v>Mobilier</v>
      </c>
      <c r="Q795" s="3">
        <f>I795*INDEX(Produits!$E:$E,MATCH(H795,Produits!$A:$A,0))</f>
        <v>86.43</v>
      </c>
      <c r="R795" s="3">
        <f>L795-Q795</f>
        <v>19.349999999999994</v>
      </c>
      <c r="S795" s="2">
        <f>NETWORKDAYS(B795,C795)-1</f>
        <v>5</v>
      </c>
      <c r="T795" s="1">
        <f>WORKDAY(B795,5)</f>
        <v>46169</v>
      </c>
      <c r="U795" t="b">
        <f>C795&gt;T795</f>
        <v>0</v>
      </c>
    </row>
    <row r="796" spans="1:21" x14ac:dyDescent="0.25">
      <c r="A796" t="s">
        <v>727</v>
      </c>
      <c r="B796" s="1">
        <v>46162</v>
      </c>
      <c r="C796" s="1">
        <v>46169</v>
      </c>
      <c r="D796" t="s">
        <v>391</v>
      </c>
      <c r="E796" t="s">
        <v>61</v>
      </c>
      <c r="F796" t="s">
        <v>62</v>
      </c>
      <c r="G796" t="s">
        <v>106</v>
      </c>
      <c r="H796" t="s">
        <v>42</v>
      </c>
      <c r="I796" s="2">
        <v>1</v>
      </c>
      <c r="J796" s="3">
        <v>55</v>
      </c>
      <c r="K796" s="4">
        <v>0.2</v>
      </c>
      <c r="L796" s="3">
        <v>44</v>
      </c>
      <c r="M796" t="b">
        <v>1</v>
      </c>
      <c r="N796" s="2">
        <f>YEAR(B796)</f>
        <v>2026</v>
      </c>
      <c r="O796" t="str">
        <f>INDEX(Agences!$C:$C,MATCH(F796,Agences!$A:$A,0))</f>
        <v>Méditerranée</v>
      </c>
      <c r="P796" t="str">
        <f>INDEX(Produits!$C:$C,MATCH(H796,Produits!$A:$A,0))</f>
        <v>Maintenance</v>
      </c>
      <c r="Q796" s="3">
        <f>I796*INDEX(Produits!$E:$E,MATCH(H796,Produits!$A:$A,0))</f>
        <v>24.75</v>
      </c>
      <c r="R796" s="3">
        <f>L796-Q796</f>
        <v>19.25</v>
      </c>
      <c r="S796" s="2">
        <f>NETWORKDAYS(B796,C796)-1</f>
        <v>5</v>
      </c>
      <c r="T796" s="1">
        <f>WORKDAY(B796,5)</f>
        <v>46169</v>
      </c>
      <c r="U796" t="b">
        <f>C796&gt;T796</f>
        <v>0</v>
      </c>
    </row>
    <row r="797" spans="1:21" x14ac:dyDescent="0.25">
      <c r="A797" t="s">
        <v>728</v>
      </c>
      <c r="B797" s="1">
        <v>46161</v>
      </c>
      <c r="C797" s="1">
        <v>46162</v>
      </c>
      <c r="D797" t="s">
        <v>729</v>
      </c>
      <c r="E797" t="s">
        <v>122</v>
      </c>
      <c r="F797" t="s">
        <v>24</v>
      </c>
      <c r="G797" t="s">
        <v>199</v>
      </c>
      <c r="H797" t="s">
        <v>112</v>
      </c>
      <c r="I797" s="2">
        <v>1</v>
      </c>
      <c r="J797" s="3">
        <v>129</v>
      </c>
      <c r="K797" s="4">
        <v>0</v>
      </c>
      <c r="L797" s="3">
        <v>129</v>
      </c>
      <c r="M797" t="b">
        <v>1</v>
      </c>
      <c r="N797" s="2">
        <f>YEAR(B797)</f>
        <v>2026</v>
      </c>
      <c r="O797" t="str">
        <f>INDEX(Agences!$C:$C,MATCH(F797,Agences!$A:$A,0))</f>
        <v>Nord</v>
      </c>
      <c r="P797" t="str">
        <f>INDEX(Produits!$C:$C,MATCH(H797,Produits!$A:$A,0))</f>
        <v>Mobilier</v>
      </c>
      <c r="Q797" s="3">
        <f>I797*INDEX(Produits!$E:$E,MATCH(H797,Produits!$A:$A,0))</f>
        <v>86.43</v>
      </c>
      <c r="R797" s="3">
        <f>L797-Q797</f>
        <v>42.56999999999999</v>
      </c>
      <c r="S797" s="2">
        <f>NETWORKDAYS(B797,C797)-1</f>
        <v>1</v>
      </c>
      <c r="T797" s="1">
        <f>WORKDAY(B797,5)</f>
        <v>46168</v>
      </c>
      <c r="U797" t="b">
        <f>C797&gt;T797</f>
        <v>0</v>
      </c>
    </row>
    <row r="798" spans="1:21" x14ac:dyDescent="0.25">
      <c r="A798" t="s">
        <v>728</v>
      </c>
      <c r="B798" s="1">
        <v>46161</v>
      </c>
      <c r="C798" s="1">
        <v>46162</v>
      </c>
      <c r="D798" t="s">
        <v>729</v>
      </c>
      <c r="E798" t="s">
        <v>122</v>
      </c>
      <c r="F798" t="s">
        <v>24</v>
      </c>
      <c r="G798" t="s">
        <v>199</v>
      </c>
      <c r="H798" t="s">
        <v>48</v>
      </c>
      <c r="I798" s="2">
        <v>2</v>
      </c>
      <c r="J798" s="3">
        <v>165</v>
      </c>
      <c r="K798" s="4">
        <v>0</v>
      </c>
      <c r="L798" s="3">
        <v>330</v>
      </c>
      <c r="M798" t="b">
        <v>1</v>
      </c>
      <c r="N798" s="2">
        <f>YEAR(B798)</f>
        <v>2026</v>
      </c>
      <c r="O798" t="str">
        <f>INDEX(Agences!$C:$C,MATCH(F798,Agences!$A:$A,0))</f>
        <v>Nord</v>
      </c>
      <c r="P798" t="str">
        <f>INDEX(Produits!$C:$C,MATCH(H798,Produits!$A:$A,0))</f>
        <v>Mobilier</v>
      </c>
      <c r="Q798" s="3">
        <f>I798*INDEX(Produits!$E:$E,MATCH(H798,Produits!$A:$A,0))</f>
        <v>214.5</v>
      </c>
      <c r="R798" s="3">
        <f>L798-Q798</f>
        <v>115.5</v>
      </c>
      <c r="S798" s="2">
        <f>NETWORKDAYS(B798,C798)-1</f>
        <v>1</v>
      </c>
      <c r="T798" s="1">
        <f>WORKDAY(B798,5)</f>
        <v>46168</v>
      </c>
      <c r="U798" t="b">
        <f>C798&gt;T798</f>
        <v>0</v>
      </c>
    </row>
    <row r="799" spans="1:21" x14ac:dyDescent="0.25">
      <c r="A799" t="s">
        <v>728</v>
      </c>
      <c r="B799" s="1">
        <v>46161</v>
      </c>
      <c r="C799" s="1">
        <v>46162</v>
      </c>
      <c r="D799" t="s">
        <v>729</v>
      </c>
      <c r="E799" t="s">
        <v>122</v>
      </c>
      <c r="F799" t="s">
        <v>24</v>
      </c>
      <c r="G799" t="s">
        <v>199</v>
      </c>
      <c r="H799" t="s">
        <v>50</v>
      </c>
      <c r="I799" s="2">
        <v>3</v>
      </c>
      <c r="J799" s="3">
        <v>69</v>
      </c>
      <c r="K799" s="4">
        <v>0</v>
      </c>
      <c r="L799" s="3">
        <v>207</v>
      </c>
      <c r="M799" t="b">
        <v>1</v>
      </c>
      <c r="N799" s="2">
        <f>YEAR(B799)</f>
        <v>2026</v>
      </c>
      <c r="O799" t="str">
        <f>INDEX(Agences!$C:$C,MATCH(F799,Agences!$A:$A,0))</f>
        <v>Nord</v>
      </c>
      <c r="P799" t="str">
        <f>INDEX(Produits!$C:$C,MATCH(H799,Produits!$A:$A,0))</f>
        <v>Informatique</v>
      </c>
      <c r="Q799" s="3">
        <f>I799*INDEX(Produits!$E:$E,MATCH(H799,Produits!$A:$A,0))</f>
        <v>163.53</v>
      </c>
      <c r="R799" s="3">
        <f>L799-Q799</f>
        <v>43.47</v>
      </c>
      <c r="S799" s="2">
        <f>NETWORKDAYS(B799,C799)-1</f>
        <v>1</v>
      </c>
      <c r="T799" s="1">
        <f>WORKDAY(B799,5)</f>
        <v>46168</v>
      </c>
      <c r="U799" t="b">
        <f>C799&gt;T799</f>
        <v>0</v>
      </c>
    </row>
    <row r="800" spans="1:21" x14ac:dyDescent="0.25">
      <c r="A800" t="s">
        <v>728</v>
      </c>
      <c r="B800" s="1">
        <v>46161</v>
      </c>
      <c r="C800" s="1">
        <v>46162</v>
      </c>
      <c r="D800" t="s">
        <v>729</v>
      </c>
      <c r="E800" t="s">
        <v>122</v>
      </c>
      <c r="F800" t="s">
        <v>24</v>
      </c>
      <c r="G800" t="s">
        <v>199</v>
      </c>
      <c r="H800" t="s">
        <v>84</v>
      </c>
      <c r="I800" s="2">
        <v>1</v>
      </c>
      <c r="J800" s="3">
        <v>420</v>
      </c>
      <c r="K800" s="4">
        <v>0.05</v>
      </c>
      <c r="L800" s="3">
        <v>399</v>
      </c>
      <c r="M800" t="b">
        <v>1</v>
      </c>
      <c r="N800" s="2">
        <f>YEAR(B800)</f>
        <v>2026</v>
      </c>
      <c r="O800" t="str">
        <f>INDEX(Agences!$C:$C,MATCH(F800,Agences!$A:$A,0))</f>
        <v>Nord</v>
      </c>
      <c r="P800" t="str">
        <f>INDEX(Produits!$C:$C,MATCH(H800,Produits!$A:$A,0))</f>
        <v>Mobilier</v>
      </c>
      <c r="Q800" s="3">
        <f>I800*INDEX(Produits!$E:$E,MATCH(H800,Produits!$A:$A,0))</f>
        <v>243.6</v>
      </c>
      <c r="R800" s="3">
        <f>L800-Q800</f>
        <v>155.4</v>
      </c>
      <c r="S800" s="2">
        <f>NETWORKDAYS(B800,C800)-1</f>
        <v>1</v>
      </c>
      <c r="T800" s="1">
        <f>WORKDAY(B800,5)</f>
        <v>46168</v>
      </c>
      <c r="U800" t="b">
        <f>C800&gt;T800</f>
        <v>0</v>
      </c>
    </row>
    <row r="801" spans="1:21" x14ac:dyDescent="0.25">
      <c r="A801" t="s">
        <v>730</v>
      </c>
      <c r="B801" s="1">
        <v>46161</v>
      </c>
      <c r="C801" s="1">
        <v>46163</v>
      </c>
      <c r="D801" t="s">
        <v>731</v>
      </c>
      <c r="E801" t="s">
        <v>209</v>
      </c>
      <c r="F801" t="s">
        <v>99</v>
      </c>
      <c r="G801" t="s">
        <v>265</v>
      </c>
      <c r="H801" t="s">
        <v>196</v>
      </c>
      <c r="I801" s="2">
        <v>5</v>
      </c>
      <c r="J801" s="3">
        <v>18.5</v>
      </c>
      <c r="K801" s="4">
        <v>0.08</v>
      </c>
      <c r="L801" s="3">
        <v>85.1</v>
      </c>
      <c r="M801" t="b">
        <v>1</v>
      </c>
      <c r="N801" s="2">
        <f>YEAR(B801)</f>
        <v>2026</v>
      </c>
      <c r="O801" t="str">
        <f>INDEX(Agences!$C:$C,MATCH(F801,Agences!$A:$A,0))</f>
        <v>Nord</v>
      </c>
      <c r="P801" t="str">
        <f>INDEX(Produits!$C:$C,MATCH(H801,Produits!$A:$A,0))</f>
        <v>Fournitures</v>
      </c>
      <c r="Q801" s="3">
        <f>I801*INDEX(Produits!$E:$E,MATCH(H801,Produits!$A:$A,0))</f>
        <v>47.199999999999996</v>
      </c>
      <c r="R801" s="3">
        <f>L801-Q801</f>
        <v>37.9</v>
      </c>
      <c r="S801" s="2">
        <f>NETWORKDAYS(B801,C801)-1</f>
        <v>2</v>
      </c>
      <c r="T801" s="1">
        <f>WORKDAY(B801,5)</f>
        <v>46168</v>
      </c>
      <c r="U801" t="b">
        <f>C801&gt;T801</f>
        <v>0</v>
      </c>
    </row>
    <row r="802" spans="1:21" x14ac:dyDescent="0.25">
      <c r="A802" t="s">
        <v>730</v>
      </c>
      <c r="B802" s="1">
        <v>46161</v>
      </c>
      <c r="C802" s="1">
        <v>46163</v>
      </c>
      <c r="D802" t="s">
        <v>731</v>
      </c>
      <c r="E802" t="s">
        <v>209</v>
      </c>
      <c r="F802" t="s">
        <v>99</v>
      </c>
      <c r="G802" t="s">
        <v>265</v>
      </c>
      <c r="H802" t="s">
        <v>34</v>
      </c>
      <c r="I802" s="2">
        <v>1</v>
      </c>
      <c r="J802" s="3">
        <v>340</v>
      </c>
      <c r="K802" s="4">
        <v>0</v>
      </c>
      <c r="L802" s="3">
        <v>340</v>
      </c>
      <c r="M802" t="b">
        <v>1</v>
      </c>
      <c r="N802" s="2">
        <f>YEAR(B802)</f>
        <v>2026</v>
      </c>
      <c r="O802" t="str">
        <f>INDEX(Agences!$C:$C,MATCH(F802,Agences!$A:$A,0))</f>
        <v>Nord</v>
      </c>
      <c r="P802" t="str">
        <f>INDEX(Produits!$C:$C,MATCH(H802,Produits!$A:$A,0))</f>
        <v>Informatique</v>
      </c>
      <c r="Q802" s="3">
        <f>I802*INDEX(Produits!$E:$E,MATCH(H802,Produits!$A:$A,0))</f>
        <v>275.4</v>
      </c>
      <c r="R802" s="3">
        <f>L802-Q802</f>
        <v>64.60000000000002</v>
      </c>
      <c r="S802" s="2">
        <f>NETWORKDAYS(B802,C802)-1</f>
        <v>2</v>
      </c>
      <c r="T802" s="1">
        <f>WORKDAY(B802,5)</f>
        <v>46168</v>
      </c>
      <c r="U802" t="b">
        <f>C802&gt;T802</f>
        <v>0</v>
      </c>
    </row>
    <row r="803" spans="1:21" x14ac:dyDescent="0.25">
      <c r="A803" t="s">
        <v>732</v>
      </c>
      <c r="B803" s="1">
        <v>46161</v>
      </c>
      <c r="C803" s="1">
        <v>46163</v>
      </c>
      <c r="D803" t="s">
        <v>733</v>
      </c>
      <c r="E803" t="s">
        <v>307</v>
      </c>
      <c r="F803" t="s">
        <v>76</v>
      </c>
      <c r="G803" t="s">
        <v>232</v>
      </c>
      <c r="H803" t="s">
        <v>112</v>
      </c>
      <c r="I803" s="2">
        <v>2</v>
      </c>
      <c r="J803" s="3">
        <v>129</v>
      </c>
      <c r="K803" s="4">
        <v>0</v>
      </c>
      <c r="L803" s="3">
        <v>258</v>
      </c>
      <c r="M803" t="b">
        <v>1</v>
      </c>
      <c r="N803" s="2">
        <f>YEAR(B803)</f>
        <v>2026</v>
      </c>
      <c r="O803" t="str">
        <f>INDEX(Agences!$C:$C,MATCH(F803,Agences!$A:$A,0))</f>
        <v>Île-de-France</v>
      </c>
      <c r="P803" t="str">
        <f>INDEX(Produits!$C:$C,MATCH(H803,Produits!$A:$A,0))</f>
        <v>Mobilier</v>
      </c>
      <c r="Q803" s="3">
        <f>I803*INDEX(Produits!$E:$E,MATCH(H803,Produits!$A:$A,0))</f>
        <v>172.86</v>
      </c>
      <c r="R803" s="3">
        <f>L803-Q803</f>
        <v>85.13999999999999</v>
      </c>
      <c r="S803" s="2">
        <f>NETWORKDAYS(B803,C803)-1</f>
        <v>2</v>
      </c>
      <c r="T803" s="1">
        <f>WORKDAY(B803,5)</f>
        <v>46168</v>
      </c>
      <c r="U803" t="b">
        <f>C803&gt;T803</f>
        <v>0</v>
      </c>
    </row>
    <row r="804" spans="1:21" x14ac:dyDescent="0.25">
      <c r="A804" t="s">
        <v>732</v>
      </c>
      <c r="B804" s="1">
        <v>46161</v>
      </c>
      <c r="C804" s="1">
        <v>46163</v>
      </c>
      <c r="D804" t="s">
        <v>733</v>
      </c>
      <c r="E804" t="s">
        <v>307</v>
      </c>
      <c r="F804" t="s">
        <v>76</v>
      </c>
      <c r="G804" t="s">
        <v>232</v>
      </c>
      <c r="H804" t="s">
        <v>42</v>
      </c>
      <c r="I804" s="2">
        <v>2</v>
      </c>
      <c r="J804" s="3">
        <v>55</v>
      </c>
      <c r="K804" s="4">
        <v>0</v>
      </c>
      <c r="L804" s="3">
        <v>110</v>
      </c>
      <c r="M804" t="b">
        <v>1</v>
      </c>
      <c r="N804" s="2">
        <f>YEAR(B804)</f>
        <v>2026</v>
      </c>
      <c r="O804" t="str">
        <f>INDEX(Agences!$C:$C,MATCH(F804,Agences!$A:$A,0))</f>
        <v>Île-de-France</v>
      </c>
      <c r="P804" t="str">
        <f>INDEX(Produits!$C:$C,MATCH(H804,Produits!$A:$A,0))</f>
        <v>Maintenance</v>
      </c>
      <c r="Q804" s="3">
        <f>I804*INDEX(Produits!$E:$E,MATCH(H804,Produits!$A:$A,0))</f>
        <v>49.5</v>
      </c>
      <c r="R804" s="3">
        <f>L804-Q804</f>
        <v>60.5</v>
      </c>
      <c r="S804" s="2">
        <f>NETWORKDAYS(B804,C804)-1</f>
        <v>2</v>
      </c>
      <c r="T804" s="1">
        <f>WORKDAY(B804,5)</f>
        <v>46168</v>
      </c>
      <c r="U804" t="b">
        <f>C804&gt;T804</f>
        <v>0</v>
      </c>
    </row>
    <row r="805" spans="1:21" x14ac:dyDescent="0.25">
      <c r="A805" t="s">
        <v>732</v>
      </c>
      <c r="B805" s="1">
        <v>46161</v>
      </c>
      <c r="C805" s="1">
        <v>46163</v>
      </c>
      <c r="D805" t="s">
        <v>733</v>
      </c>
      <c r="E805" t="s">
        <v>307</v>
      </c>
      <c r="F805" t="s">
        <v>76</v>
      </c>
      <c r="G805" t="s">
        <v>232</v>
      </c>
      <c r="H805" t="s">
        <v>108</v>
      </c>
      <c r="I805" s="2">
        <v>5</v>
      </c>
      <c r="J805" s="3">
        <v>24.5</v>
      </c>
      <c r="K805" s="4">
        <v>0</v>
      </c>
      <c r="L805" s="3">
        <v>122.5</v>
      </c>
      <c r="M805" t="b">
        <v>1</v>
      </c>
      <c r="N805" s="2">
        <f>YEAR(B805)</f>
        <v>2026</v>
      </c>
      <c r="O805" t="str">
        <f>INDEX(Agences!$C:$C,MATCH(F805,Agences!$A:$A,0))</f>
        <v>Île-de-France</v>
      </c>
      <c r="P805" t="str">
        <f>INDEX(Produits!$C:$C,MATCH(H805,Produits!$A:$A,0))</f>
        <v>Fournitures</v>
      </c>
      <c r="Q805" s="3">
        <f>I805*INDEX(Produits!$E:$E,MATCH(H805,Produits!$A:$A,0))</f>
        <v>73.5</v>
      </c>
      <c r="R805" s="3">
        <f>L805-Q805</f>
        <v>49</v>
      </c>
      <c r="S805" s="2">
        <f>NETWORKDAYS(B805,C805)-1</f>
        <v>2</v>
      </c>
      <c r="T805" s="1">
        <f>WORKDAY(B805,5)</f>
        <v>46168</v>
      </c>
      <c r="U805" t="b">
        <f>C805&gt;T805</f>
        <v>0</v>
      </c>
    </row>
    <row r="806" spans="1:21" x14ac:dyDescent="0.25">
      <c r="A806" t="s">
        <v>732</v>
      </c>
      <c r="B806" s="1">
        <v>46161</v>
      </c>
      <c r="C806" s="1">
        <v>46163</v>
      </c>
      <c r="D806" t="s">
        <v>733</v>
      </c>
      <c r="E806" t="s">
        <v>307</v>
      </c>
      <c r="F806" t="s">
        <v>76</v>
      </c>
      <c r="G806" t="s">
        <v>232</v>
      </c>
      <c r="H806" t="s">
        <v>79</v>
      </c>
      <c r="I806" s="2">
        <v>25</v>
      </c>
      <c r="J806" s="3">
        <v>14.9</v>
      </c>
      <c r="K806" s="4">
        <v>0</v>
      </c>
      <c r="L806" s="3">
        <v>372.5</v>
      </c>
      <c r="M806" t="b">
        <v>1</v>
      </c>
      <c r="N806" s="2">
        <f>YEAR(B806)</f>
        <v>2026</v>
      </c>
      <c r="O806" t="str">
        <f>INDEX(Agences!$C:$C,MATCH(F806,Agences!$A:$A,0))</f>
        <v>Île-de-France</v>
      </c>
      <c r="P806" t="str">
        <f>INDEX(Produits!$C:$C,MATCH(H806,Produits!$A:$A,0))</f>
        <v>Fournitures</v>
      </c>
      <c r="Q806" s="3">
        <f>I806*INDEX(Produits!$E:$E,MATCH(H806,Produits!$A:$A,0))</f>
        <v>201.25000000000003</v>
      </c>
      <c r="R806" s="3">
        <f>L806-Q806</f>
        <v>171.24999999999997</v>
      </c>
      <c r="S806" s="2">
        <f>NETWORKDAYS(B806,C806)-1</f>
        <v>2</v>
      </c>
      <c r="T806" s="1">
        <f>WORKDAY(B806,5)</f>
        <v>46168</v>
      </c>
      <c r="U806" t="b">
        <f>C806&gt;T806</f>
        <v>0</v>
      </c>
    </row>
    <row r="807" spans="1:21" x14ac:dyDescent="0.25">
      <c r="A807" t="s">
        <v>732</v>
      </c>
      <c r="B807" s="1">
        <v>46161</v>
      </c>
      <c r="C807" s="1">
        <v>46163</v>
      </c>
      <c r="D807" t="s">
        <v>733</v>
      </c>
      <c r="E807" t="s">
        <v>307</v>
      </c>
      <c r="F807" t="s">
        <v>76</v>
      </c>
      <c r="G807" t="s">
        <v>232</v>
      </c>
      <c r="H807" t="s">
        <v>107</v>
      </c>
      <c r="I807" s="2">
        <v>1</v>
      </c>
      <c r="J807" s="3">
        <v>99</v>
      </c>
      <c r="K807" s="4">
        <v>0.05</v>
      </c>
      <c r="L807" s="3">
        <v>94.05</v>
      </c>
      <c r="M807" t="b">
        <v>1</v>
      </c>
      <c r="N807" s="2">
        <f>YEAR(B807)</f>
        <v>2026</v>
      </c>
      <c r="O807" t="str">
        <f>INDEX(Agences!$C:$C,MATCH(F807,Agences!$A:$A,0))</f>
        <v>Île-de-France</v>
      </c>
      <c r="P807" t="str">
        <f>INDEX(Produits!$C:$C,MATCH(H807,Produits!$A:$A,0))</f>
        <v>Informatique</v>
      </c>
      <c r="Q807" s="3">
        <f>I807*INDEX(Produits!$E:$E,MATCH(H807,Produits!$A:$A,0))</f>
        <v>75.24</v>
      </c>
      <c r="R807" s="3">
        <f>L807-Q807</f>
        <v>18.810000000000002</v>
      </c>
      <c r="S807" s="2">
        <f>NETWORKDAYS(B807,C807)-1</f>
        <v>2</v>
      </c>
      <c r="T807" s="1">
        <f>WORKDAY(B807,5)</f>
        <v>46168</v>
      </c>
      <c r="U807" t="b">
        <f>C807&gt;T807</f>
        <v>0</v>
      </c>
    </row>
    <row r="808" spans="1:21" x14ac:dyDescent="0.25">
      <c r="A808" t="s">
        <v>734</v>
      </c>
      <c r="B808" s="1">
        <v>46161</v>
      </c>
      <c r="C808" s="1">
        <v>46162</v>
      </c>
      <c r="D808" t="s">
        <v>597</v>
      </c>
      <c r="E808" t="s">
        <v>153</v>
      </c>
      <c r="F808" t="s">
        <v>94</v>
      </c>
      <c r="G808" t="s">
        <v>154</v>
      </c>
      <c r="H808" t="s">
        <v>48</v>
      </c>
      <c r="I808" s="2">
        <v>2</v>
      </c>
      <c r="J808" s="3">
        <v>165</v>
      </c>
      <c r="K808" s="4">
        <v>0</v>
      </c>
      <c r="L808" s="3">
        <v>330</v>
      </c>
      <c r="M808" t="b">
        <v>1</v>
      </c>
      <c r="N808" s="2">
        <f>YEAR(B808)</f>
        <v>2026</v>
      </c>
      <c r="O808" t="str">
        <f>INDEX(Agences!$C:$C,MATCH(F808,Agences!$A:$A,0))</f>
        <v>Méditerranée</v>
      </c>
      <c r="P808" t="str">
        <f>INDEX(Produits!$C:$C,MATCH(H808,Produits!$A:$A,0))</f>
        <v>Mobilier</v>
      </c>
      <c r="Q808" s="3">
        <f>I808*INDEX(Produits!$E:$E,MATCH(H808,Produits!$A:$A,0))</f>
        <v>214.5</v>
      </c>
      <c r="R808" s="3">
        <f>L808-Q808</f>
        <v>115.5</v>
      </c>
      <c r="S808" s="2">
        <f>NETWORKDAYS(B808,C808)-1</f>
        <v>1</v>
      </c>
      <c r="T808" s="1">
        <f>WORKDAY(B808,5)</f>
        <v>46168</v>
      </c>
      <c r="U808" t="b">
        <f>C808&gt;T808</f>
        <v>0</v>
      </c>
    </row>
    <row r="809" spans="1:21" x14ac:dyDescent="0.25">
      <c r="A809" t="s">
        <v>734</v>
      </c>
      <c r="B809" s="1">
        <v>46161</v>
      </c>
      <c r="C809" s="1">
        <v>46162</v>
      </c>
      <c r="D809" t="s">
        <v>597</v>
      </c>
      <c r="E809" t="s">
        <v>153</v>
      </c>
      <c r="F809" t="s">
        <v>94</v>
      </c>
      <c r="G809" t="s">
        <v>154</v>
      </c>
      <c r="H809" t="s">
        <v>41</v>
      </c>
      <c r="I809" s="2">
        <v>2</v>
      </c>
      <c r="J809" s="3">
        <v>790</v>
      </c>
      <c r="K809" s="4">
        <v>0.08</v>
      </c>
      <c r="L809" s="3">
        <v>1453.6</v>
      </c>
      <c r="M809" t="b">
        <v>1</v>
      </c>
      <c r="N809" s="2">
        <f>YEAR(B809)</f>
        <v>2026</v>
      </c>
      <c r="O809" t="str">
        <f>INDEX(Agences!$C:$C,MATCH(F809,Agences!$A:$A,0))</f>
        <v>Méditerranée</v>
      </c>
      <c r="P809" t="str">
        <f>INDEX(Produits!$C:$C,MATCH(H809,Produits!$A:$A,0))</f>
        <v>Informatique</v>
      </c>
      <c r="Q809" s="3">
        <f>I809*INDEX(Produits!$E:$E,MATCH(H809,Produits!$A:$A,0))</f>
        <v>1153.4</v>
      </c>
      <c r="R809" s="3">
        <f>L809-Q809</f>
        <v>300.1999999999998</v>
      </c>
      <c r="S809" s="2">
        <f>NETWORKDAYS(B809,C809)-1</f>
        <v>1</v>
      </c>
      <c r="T809" s="1">
        <f>WORKDAY(B809,5)</f>
        <v>46168</v>
      </c>
      <c r="U809" t="b">
        <f>C809&gt;T809</f>
        <v>0</v>
      </c>
    </row>
    <row r="810" spans="1:21" x14ac:dyDescent="0.25">
      <c r="A810" t="s">
        <v>734</v>
      </c>
      <c r="B810" s="1">
        <v>46161</v>
      </c>
      <c r="C810" s="1">
        <v>46162</v>
      </c>
      <c r="D810" t="s">
        <v>597</v>
      </c>
      <c r="E810" t="s">
        <v>153</v>
      </c>
      <c r="F810" t="s">
        <v>94</v>
      </c>
      <c r="G810" t="s">
        <v>154</v>
      </c>
      <c r="H810" t="s">
        <v>42</v>
      </c>
      <c r="I810" s="2">
        <v>1</v>
      </c>
      <c r="J810" s="3">
        <v>55</v>
      </c>
      <c r="K810" s="4">
        <v>0.05</v>
      </c>
      <c r="L810" s="3">
        <v>52.25</v>
      </c>
      <c r="M810" t="b">
        <v>1</v>
      </c>
      <c r="N810" s="2">
        <f>YEAR(B810)</f>
        <v>2026</v>
      </c>
      <c r="O810" t="str">
        <f>INDEX(Agences!$C:$C,MATCH(F810,Agences!$A:$A,0))</f>
        <v>Méditerranée</v>
      </c>
      <c r="P810" t="str">
        <f>INDEX(Produits!$C:$C,MATCH(H810,Produits!$A:$A,0))</f>
        <v>Maintenance</v>
      </c>
      <c r="Q810" s="3">
        <f>I810*INDEX(Produits!$E:$E,MATCH(H810,Produits!$A:$A,0))</f>
        <v>24.75</v>
      </c>
      <c r="R810" s="3">
        <f>L810-Q810</f>
        <v>27.5</v>
      </c>
      <c r="S810" s="2">
        <f>NETWORKDAYS(B810,C810)-1</f>
        <v>1</v>
      </c>
      <c r="T810" s="1">
        <f>WORKDAY(B810,5)</f>
        <v>46168</v>
      </c>
      <c r="U810" t="b">
        <f>C810&gt;T810</f>
        <v>0</v>
      </c>
    </row>
    <row r="811" spans="1:21" x14ac:dyDescent="0.25">
      <c r="A811" t="s">
        <v>735</v>
      </c>
      <c r="B811" s="1">
        <v>46161</v>
      </c>
      <c r="C811" s="1">
        <v>46162</v>
      </c>
      <c r="D811" t="s">
        <v>736</v>
      </c>
      <c r="E811" t="s">
        <v>316</v>
      </c>
      <c r="F811" t="s">
        <v>46</v>
      </c>
      <c r="G811" t="s">
        <v>158</v>
      </c>
      <c r="H811" t="s">
        <v>35</v>
      </c>
      <c r="I811" s="2">
        <v>4</v>
      </c>
      <c r="J811" s="3">
        <v>79</v>
      </c>
      <c r="K811" s="4">
        <v>0</v>
      </c>
      <c r="L811" s="3">
        <v>316</v>
      </c>
      <c r="M811" t="b">
        <v>1</v>
      </c>
      <c r="N811" s="2">
        <f>YEAR(B811)</f>
        <v>2026</v>
      </c>
      <c r="O811" t="str">
        <f>INDEX(Agences!$C:$C,MATCH(F811,Agences!$A:$A,0))</f>
        <v>Est</v>
      </c>
      <c r="P811" t="str">
        <f>INDEX(Produits!$C:$C,MATCH(H811,Produits!$A:$A,0))</f>
        <v>Mobilier</v>
      </c>
      <c r="Q811" s="3">
        <f>I811*INDEX(Produits!$E:$E,MATCH(H811,Produits!$A:$A,0))</f>
        <v>186.44</v>
      </c>
      <c r="R811" s="3">
        <f>L811-Q811</f>
        <v>129.56</v>
      </c>
      <c r="S811" s="2">
        <f>NETWORKDAYS(B811,C811)-1</f>
        <v>1</v>
      </c>
      <c r="T811" s="1">
        <f>WORKDAY(B811,5)</f>
        <v>46168</v>
      </c>
      <c r="U811" t="b">
        <f>C811&gt;T811</f>
        <v>0</v>
      </c>
    </row>
    <row r="812" spans="1:21" x14ac:dyDescent="0.25">
      <c r="A812" t="s">
        <v>735</v>
      </c>
      <c r="B812" s="1">
        <v>46161</v>
      </c>
      <c r="C812" s="1">
        <v>46162</v>
      </c>
      <c r="D812" t="s">
        <v>736</v>
      </c>
      <c r="E812" t="s">
        <v>316</v>
      </c>
      <c r="F812" t="s">
        <v>46</v>
      </c>
      <c r="G812" t="s">
        <v>158</v>
      </c>
      <c r="H812" t="s">
        <v>112</v>
      </c>
      <c r="I812" s="2">
        <v>1</v>
      </c>
      <c r="J812" s="3">
        <v>129</v>
      </c>
      <c r="K812" s="4">
        <v>0.05</v>
      </c>
      <c r="L812" s="3">
        <v>122.55</v>
      </c>
      <c r="M812" t="b">
        <v>1</v>
      </c>
      <c r="N812" s="2">
        <f>YEAR(B812)</f>
        <v>2026</v>
      </c>
      <c r="O812" t="str">
        <f>INDEX(Agences!$C:$C,MATCH(F812,Agences!$A:$A,0))</f>
        <v>Est</v>
      </c>
      <c r="P812" t="str">
        <f>INDEX(Produits!$C:$C,MATCH(H812,Produits!$A:$A,0))</f>
        <v>Mobilier</v>
      </c>
      <c r="Q812" s="3">
        <f>I812*INDEX(Produits!$E:$E,MATCH(H812,Produits!$A:$A,0))</f>
        <v>86.43</v>
      </c>
      <c r="R812" s="3">
        <f>L812-Q812</f>
        <v>36.11999999999999</v>
      </c>
      <c r="S812" s="2">
        <f>NETWORKDAYS(B812,C812)-1</f>
        <v>1</v>
      </c>
      <c r="T812" s="1">
        <f>WORKDAY(B812,5)</f>
        <v>46168</v>
      </c>
      <c r="U812" t="b">
        <f>C812&gt;T812</f>
        <v>0</v>
      </c>
    </row>
    <row r="813" spans="1:21" x14ac:dyDescent="0.25">
      <c r="A813" t="s">
        <v>735</v>
      </c>
      <c r="B813" s="1">
        <v>46161</v>
      </c>
      <c r="C813" s="1">
        <v>46162</v>
      </c>
      <c r="D813" t="s">
        <v>736</v>
      </c>
      <c r="E813" t="s">
        <v>316</v>
      </c>
      <c r="F813" t="s">
        <v>46</v>
      </c>
      <c r="G813" t="s">
        <v>158</v>
      </c>
      <c r="H813" t="s">
        <v>27</v>
      </c>
      <c r="I813" s="2">
        <v>4</v>
      </c>
      <c r="J813" s="3">
        <v>310</v>
      </c>
      <c r="K813" s="4">
        <v>0.02</v>
      </c>
      <c r="L813" s="3">
        <v>1215.2</v>
      </c>
      <c r="M813" t="b">
        <v>1</v>
      </c>
      <c r="N813" s="2">
        <f>YEAR(B813)</f>
        <v>2026</v>
      </c>
      <c r="O813" t="str">
        <f>INDEX(Agences!$C:$C,MATCH(F813,Agences!$A:$A,0))</f>
        <v>Est</v>
      </c>
      <c r="P813" t="str">
        <f>INDEX(Produits!$C:$C,MATCH(H813,Produits!$A:$A,0))</f>
        <v>Mobilier</v>
      </c>
      <c r="Q813" s="3">
        <f>I813*INDEX(Produits!$E:$E,MATCH(H813,Produits!$A:$A,0))</f>
        <v>744</v>
      </c>
      <c r="R813" s="3">
        <f>L813-Q813</f>
        <v>471.20000000000005</v>
      </c>
      <c r="S813" s="2">
        <f>NETWORKDAYS(B813,C813)-1</f>
        <v>1</v>
      </c>
      <c r="T813" s="1">
        <f>WORKDAY(B813,5)</f>
        <v>46168</v>
      </c>
      <c r="U813" t="b">
        <f>C813&gt;T813</f>
        <v>0</v>
      </c>
    </row>
    <row r="814" spans="1:21" x14ac:dyDescent="0.25">
      <c r="A814" t="s">
        <v>735</v>
      </c>
      <c r="B814" s="1">
        <v>46161</v>
      </c>
      <c r="C814" s="1">
        <v>46162</v>
      </c>
      <c r="D814" t="s">
        <v>736</v>
      </c>
      <c r="E814" t="s">
        <v>316</v>
      </c>
      <c r="F814" t="s">
        <v>46</v>
      </c>
      <c r="G814" t="s">
        <v>158</v>
      </c>
      <c r="H814" t="s">
        <v>49</v>
      </c>
      <c r="I814" s="2">
        <v>1</v>
      </c>
      <c r="J814" s="3">
        <v>120</v>
      </c>
      <c r="K814" s="4">
        <v>0.05</v>
      </c>
      <c r="L814" s="3">
        <v>114</v>
      </c>
      <c r="M814" t="b">
        <v>1</v>
      </c>
      <c r="N814" s="2">
        <f>YEAR(B814)</f>
        <v>2026</v>
      </c>
      <c r="O814" t="str">
        <f>INDEX(Agences!$C:$C,MATCH(F814,Agences!$A:$A,0))</f>
        <v>Est</v>
      </c>
      <c r="P814" t="str">
        <f>INDEX(Produits!$C:$C,MATCH(H814,Produits!$A:$A,0))</f>
        <v>Maintenance</v>
      </c>
      <c r="Q814" s="3">
        <f>I814*INDEX(Produits!$E:$E,MATCH(H814,Produits!$A:$A,0))</f>
        <v>55.2</v>
      </c>
      <c r="R814" s="3">
        <f>L814-Q814</f>
        <v>58.8</v>
      </c>
      <c r="S814" s="2">
        <f>NETWORKDAYS(B814,C814)-1</f>
        <v>1</v>
      </c>
      <c r="T814" s="1">
        <f>WORKDAY(B814,5)</f>
        <v>46168</v>
      </c>
      <c r="U814" t="b">
        <f>C814&gt;T814</f>
        <v>0</v>
      </c>
    </row>
    <row r="815" spans="1:21" x14ac:dyDescent="0.25">
      <c r="A815" t="s">
        <v>737</v>
      </c>
      <c r="B815" s="1">
        <v>46160</v>
      </c>
      <c r="C815" s="1">
        <v>46161</v>
      </c>
      <c r="D815" t="s">
        <v>738</v>
      </c>
      <c r="E815" t="s">
        <v>122</v>
      </c>
      <c r="F815" t="s">
        <v>24</v>
      </c>
      <c r="G815" t="s">
        <v>116</v>
      </c>
      <c r="H815" t="s">
        <v>50</v>
      </c>
      <c r="I815" s="2">
        <v>2</v>
      </c>
      <c r="J815" s="3">
        <v>69</v>
      </c>
      <c r="K815" s="4">
        <v>0.08</v>
      </c>
      <c r="L815" s="3">
        <v>126.96</v>
      </c>
      <c r="M815" t="b">
        <v>1</v>
      </c>
      <c r="N815" s="2">
        <f>YEAR(B815)</f>
        <v>2026</v>
      </c>
      <c r="O815" t="str">
        <f>INDEX(Agences!$C:$C,MATCH(F815,Agences!$A:$A,0))</f>
        <v>Nord</v>
      </c>
      <c r="P815" t="str">
        <f>INDEX(Produits!$C:$C,MATCH(H815,Produits!$A:$A,0))</f>
        <v>Informatique</v>
      </c>
      <c r="Q815" s="3">
        <f>I815*INDEX(Produits!$E:$E,MATCH(H815,Produits!$A:$A,0))</f>
        <v>109.02</v>
      </c>
      <c r="R815" s="3">
        <f>L815-Q815</f>
        <v>17.939999999999998</v>
      </c>
      <c r="S815" s="2">
        <f>NETWORKDAYS(B815,C815)-1</f>
        <v>1</v>
      </c>
      <c r="T815" s="1">
        <f>WORKDAY(B815,5)</f>
        <v>46167</v>
      </c>
      <c r="U815" t="b">
        <f>C815&gt;T815</f>
        <v>0</v>
      </c>
    </row>
    <row r="816" spans="1:21" x14ac:dyDescent="0.25">
      <c r="A816" t="s">
        <v>737</v>
      </c>
      <c r="B816" s="1">
        <v>46160</v>
      </c>
      <c r="C816" s="1">
        <v>46161</v>
      </c>
      <c r="D816" t="s">
        <v>738</v>
      </c>
      <c r="E816" t="s">
        <v>122</v>
      </c>
      <c r="F816" t="s">
        <v>24</v>
      </c>
      <c r="G816" t="s">
        <v>116</v>
      </c>
      <c r="H816" t="s">
        <v>90</v>
      </c>
      <c r="I816" s="2">
        <v>10</v>
      </c>
      <c r="J816" s="3">
        <v>22.9</v>
      </c>
      <c r="K816" s="4">
        <v>0.05</v>
      </c>
      <c r="L816" s="3">
        <v>217.55</v>
      </c>
      <c r="M816" t="b">
        <v>1</v>
      </c>
      <c r="N816" s="2">
        <f>YEAR(B816)</f>
        <v>2026</v>
      </c>
      <c r="O816" t="str">
        <f>INDEX(Agences!$C:$C,MATCH(F816,Agences!$A:$A,0))</f>
        <v>Nord</v>
      </c>
      <c r="P816" t="str">
        <f>INDEX(Produits!$C:$C,MATCH(H816,Produits!$A:$A,0))</f>
        <v>Fournitures</v>
      </c>
      <c r="Q816" s="3">
        <f>I816*INDEX(Produits!$E:$E,MATCH(H816,Produits!$A:$A,0))</f>
        <v>128.2</v>
      </c>
      <c r="R816" s="3">
        <f>L816-Q816</f>
        <v>89.35000000000002</v>
      </c>
      <c r="S816" s="2">
        <f>NETWORKDAYS(B816,C816)-1</f>
        <v>1</v>
      </c>
      <c r="T816" s="1">
        <f>WORKDAY(B816,5)</f>
        <v>46167</v>
      </c>
      <c r="U816" t="b">
        <f>C816&gt;T816</f>
        <v>0</v>
      </c>
    </row>
    <row r="817" spans="1:21" x14ac:dyDescent="0.25">
      <c r="A817" t="s">
        <v>737</v>
      </c>
      <c r="B817" s="1">
        <v>46160</v>
      </c>
      <c r="C817" s="1">
        <v>46161</v>
      </c>
      <c r="D817" t="s">
        <v>738</v>
      </c>
      <c r="E817" t="s">
        <v>122</v>
      </c>
      <c r="F817" t="s">
        <v>24</v>
      </c>
      <c r="G817" t="s">
        <v>116</v>
      </c>
      <c r="H817" t="s">
        <v>27</v>
      </c>
      <c r="I817" s="2">
        <v>4</v>
      </c>
      <c r="J817" s="3">
        <v>310</v>
      </c>
      <c r="K817" s="4">
        <v>0.08</v>
      </c>
      <c r="L817" s="3">
        <v>1140.8</v>
      </c>
      <c r="M817" t="b">
        <v>1</v>
      </c>
      <c r="N817" s="2">
        <f>YEAR(B817)</f>
        <v>2026</v>
      </c>
      <c r="O817" t="str">
        <f>INDEX(Agences!$C:$C,MATCH(F817,Agences!$A:$A,0))</f>
        <v>Nord</v>
      </c>
      <c r="P817" t="str">
        <f>INDEX(Produits!$C:$C,MATCH(H817,Produits!$A:$A,0))</f>
        <v>Mobilier</v>
      </c>
      <c r="Q817" s="3">
        <f>I817*INDEX(Produits!$E:$E,MATCH(H817,Produits!$A:$A,0))</f>
        <v>744</v>
      </c>
      <c r="R817" s="3">
        <f>L817-Q817</f>
        <v>396.79999999999995</v>
      </c>
      <c r="S817" s="2">
        <f>NETWORKDAYS(B817,C817)-1</f>
        <v>1</v>
      </c>
      <c r="T817" s="1">
        <f>WORKDAY(B817,5)</f>
        <v>46167</v>
      </c>
      <c r="U817" t="b">
        <f>C817&gt;T817</f>
        <v>0</v>
      </c>
    </row>
    <row r="818" spans="1:21" x14ac:dyDescent="0.25">
      <c r="A818" t="s">
        <v>739</v>
      </c>
      <c r="B818" s="1">
        <v>46160</v>
      </c>
      <c r="C818" s="1">
        <v>46163</v>
      </c>
      <c r="D818" t="s">
        <v>740</v>
      </c>
      <c r="E818" t="s">
        <v>172</v>
      </c>
      <c r="F818" t="s">
        <v>99</v>
      </c>
      <c r="G818" t="s">
        <v>100</v>
      </c>
      <c r="H818" t="s">
        <v>58</v>
      </c>
      <c r="I818" s="2">
        <v>2</v>
      </c>
      <c r="J818" s="3">
        <v>649</v>
      </c>
      <c r="K818" s="4">
        <v>0.02</v>
      </c>
      <c r="L818" s="3">
        <v>1272.04</v>
      </c>
      <c r="M818" t="b">
        <v>1</v>
      </c>
      <c r="N818" s="2">
        <f>YEAR(B818)</f>
        <v>2026</v>
      </c>
      <c r="O818" t="str">
        <f>INDEX(Agences!$C:$C,MATCH(F818,Agences!$A:$A,0))</f>
        <v>Nord</v>
      </c>
      <c r="P818" t="str">
        <f>INDEX(Produits!$C:$C,MATCH(H818,Produits!$A:$A,0))</f>
        <v>Mobilier</v>
      </c>
      <c r="Q818" s="3">
        <f>I818*INDEX(Produits!$E:$E,MATCH(H818,Produits!$A:$A,0))</f>
        <v>817.74</v>
      </c>
      <c r="R818" s="3">
        <f>L818-Q818</f>
        <v>454.29999999999995</v>
      </c>
      <c r="S818" s="2">
        <f>NETWORKDAYS(B818,C818)-1</f>
        <v>3</v>
      </c>
      <c r="T818" s="1">
        <f>WORKDAY(B818,5)</f>
        <v>46167</v>
      </c>
      <c r="U818" t="b">
        <f>C818&gt;T818</f>
        <v>0</v>
      </c>
    </row>
    <row r="819" spans="1:21" x14ac:dyDescent="0.25">
      <c r="A819" t="s">
        <v>741</v>
      </c>
      <c r="B819" s="1">
        <v>46160</v>
      </c>
      <c r="C819" s="1">
        <v>46162</v>
      </c>
      <c r="D819" t="s">
        <v>742</v>
      </c>
      <c r="E819" t="s">
        <v>98</v>
      </c>
      <c r="F819" t="s">
        <v>99</v>
      </c>
      <c r="G819" t="s">
        <v>265</v>
      </c>
      <c r="H819" t="s">
        <v>90</v>
      </c>
      <c r="I819" s="2">
        <v>10</v>
      </c>
      <c r="J819" s="3">
        <v>22.9</v>
      </c>
      <c r="K819" s="4">
        <v>0</v>
      </c>
      <c r="L819" s="3">
        <v>229</v>
      </c>
      <c r="M819" t="b">
        <v>1</v>
      </c>
      <c r="N819" s="2">
        <f>YEAR(B819)</f>
        <v>2026</v>
      </c>
      <c r="O819" t="str">
        <f>INDEX(Agences!$C:$C,MATCH(F819,Agences!$A:$A,0))</f>
        <v>Nord</v>
      </c>
      <c r="P819" t="str">
        <f>INDEX(Produits!$C:$C,MATCH(H819,Produits!$A:$A,0))</f>
        <v>Fournitures</v>
      </c>
      <c r="Q819" s="3">
        <f>I819*INDEX(Produits!$E:$E,MATCH(H819,Produits!$A:$A,0))</f>
        <v>128.2</v>
      </c>
      <c r="R819" s="3">
        <f>L819-Q819</f>
        <v>100.80000000000001</v>
      </c>
      <c r="S819" s="2">
        <f>NETWORKDAYS(B819,C819)-1</f>
        <v>2</v>
      </c>
      <c r="T819" s="1">
        <f>WORKDAY(B819,5)</f>
        <v>46167</v>
      </c>
      <c r="U819" t="b">
        <f>C819&gt;T819</f>
        <v>0</v>
      </c>
    </row>
    <row r="820" spans="1:21" x14ac:dyDescent="0.25">
      <c r="A820" t="s">
        <v>741</v>
      </c>
      <c r="B820" s="1">
        <v>46160</v>
      </c>
      <c r="C820" s="1">
        <v>46162</v>
      </c>
      <c r="D820" t="s">
        <v>742</v>
      </c>
      <c r="E820" t="s">
        <v>98</v>
      </c>
      <c r="F820" t="s">
        <v>99</v>
      </c>
      <c r="G820" t="s">
        <v>265</v>
      </c>
      <c r="H820" t="s">
        <v>42</v>
      </c>
      <c r="I820" s="2">
        <v>1</v>
      </c>
      <c r="J820" s="3">
        <v>55</v>
      </c>
      <c r="K820" s="4">
        <v>0.05</v>
      </c>
      <c r="L820" s="3">
        <v>52.25</v>
      </c>
      <c r="M820" t="b">
        <v>1</v>
      </c>
      <c r="N820" s="2">
        <f>YEAR(B820)</f>
        <v>2026</v>
      </c>
      <c r="O820" t="str">
        <f>INDEX(Agences!$C:$C,MATCH(F820,Agences!$A:$A,0))</f>
        <v>Nord</v>
      </c>
      <c r="P820" t="str">
        <f>INDEX(Produits!$C:$C,MATCH(H820,Produits!$A:$A,0))</f>
        <v>Maintenance</v>
      </c>
      <c r="Q820" s="3">
        <f>I820*INDEX(Produits!$E:$E,MATCH(H820,Produits!$A:$A,0))</f>
        <v>24.75</v>
      </c>
      <c r="R820" s="3">
        <f>L820-Q820</f>
        <v>27.5</v>
      </c>
      <c r="S820" s="2">
        <f>NETWORKDAYS(B820,C820)-1</f>
        <v>2</v>
      </c>
      <c r="T820" s="1">
        <f>WORKDAY(B820,5)</f>
        <v>46167</v>
      </c>
      <c r="U820" t="b">
        <f>C820&gt;T820</f>
        <v>0</v>
      </c>
    </row>
    <row r="821" spans="1:21" x14ac:dyDescent="0.25">
      <c r="A821" t="s">
        <v>743</v>
      </c>
      <c r="B821" s="1">
        <v>46160</v>
      </c>
      <c r="C821" s="1">
        <v>46161</v>
      </c>
      <c r="D821" t="s">
        <v>552</v>
      </c>
      <c r="E821" t="s">
        <v>137</v>
      </c>
      <c r="F821" t="s">
        <v>138</v>
      </c>
      <c r="G821" t="s">
        <v>214</v>
      </c>
      <c r="H821" t="s">
        <v>107</v>
      </c>
      <c r="I821" s="2">
        <v>1</v>
      </c>
      <c r="J821" s="3">
        <v>99</v>
      </c>
      <c r="K821" s="4">
        <v>0</v>
      </c>
      <c r="L821" s="3">
        <v>99</v>
      </c>
      <c r="M821" t="b">
        <v>1</v>
      </c>
      <c r="N821" s="2">
        <f>YEAR(B821)</f>
        <v>2026</v>
      </c>
      <c r="O821" t="str">
        <f>INDEX(Agences!$C:$C,MATCH(F821,Agences!$A:$A,0))</f>
        <v>Île-de-France</v>
      </c>
      <c r="P821" t="str">
        <f>INDEX(Produits!$C:$C,MATCH(H821,Produits!$A:$A,0))</f>
        <v>Informatique</v>
      </c>
      <c r="Q821" s="3">
        <f>I821*INDEX(Produits!$E:$E,MATCH(H821,Produits!$A:$A,0))</f>
        <v>75.24</v>
      </c>
      <c r="R821" s="3">
        <f>L821-Q821</f>
        <v>23.760000000000005</v>
      </c>
      <c r="S821" s="2">
        <f>NETWORKDAYS(B821,C821)-1</f>
        <v>1</v>
      </c>
      <c r="T821" s="1">
        <f>WORKDAY(B821,5)</f>
        <v>46167</v>
      </c>
      <c r="U821" t="b">
        <f>C821&gt;T821</f>
        <v>0</v>
      </c>
    </row>
    <row r="822" spans="1:21" x14ac:dyDescent="0.25">
      <c r="A822" t="s">
        <v>744</v>
      </c>
      <c r="B822" s="1">
        <v>46160</v>
      </c>
      <c r="C822" s="1">
        <v>46163</v>
      </c>
      <c r="D822" t="s">
        <v>745</v>
      </c>
      <c r="E822" t="s">
        <v>270</v>
      </c>
      <c r="F822" t="s">
        <v>76</v>
      </c>
      <c r="G822" t="s">
        <v>232</v>
      </c>
      <c r="H822" t="s">
        <v>42</v>
      </c>
      <c r="I822" s="2">
        <v>1</v>
      </c>
      <c r="J822" s="3">
        <v>55</v>
      </c>
      <c r="K822" s="4">
        <v>0</v>
      </c>
      <c r="L822" s="3">
        <v>55</v>
      </c>
      <c r="M822" t="b">
        <v>1</v>
      </c>
      <c r="N822" s="2">
        <f>YEAR(B822)</f>
        <v>2026</v>
      </c>
      <c r="O822" t="str">
        <f>INDEX(Agences!$C:$C,MATCH(F822,Agences!$A:$A,0))</f>
        <v>Île-de-France</v>
      </c>
      <c r="P822" t="str">
        <f>INDEX(Produits!$C:$C,MATCH(H822,Produits!$A:$A,0))</f>
        <v>Maintenance</v>
      </c>
      <c r="Q822" s="3">
        <f>I822*INDEX(Produits!$E:$E,MATCH(H822,Produits!$A:$A,0))</f>
        <v>24.75</v>
      </c>
      <c r="R822" s="3">
        <f>L822-Q822</f>
        <v>30.25</v>
      </c>
      <c r="S822" s="2">
        <f>NETWORKDAYS(B822,C822)-1</f>
        <v>3</v>
      </c>
      <c r="T822" s="1">
        <f>WORKDAY(B822,5)</f>
        <v>46167</v>
      </c>
      <c r="U822" t="b">
        <f>C822&gt;T822</f>
        <v>0</v>
      </c>
    </row>
    <row r="823" spans="1:21" x14ac:dyDescent="0.25">
      <c r="A823" t="s">
        <v>744</v>
      </c>
      <c r="B823" s="1">
        <v>46160</v>
      </c>
      <c r="C823" s="1">
        <v>46163</v>
      </c>
      <c r="D823" t="s">
        <v>745</v>
      </c>
      <c r="E823" t="s">
        <v>270</v>
      </c>
      <c r="F823" t="s">
        <v>76</v>
      </c>
      <c r="G823" t="s">
        <v>232</v>
      </c>
      <c r="H823" t="s">
        <v>49</v>
      </c>
      <c r="I823" s="2">
        <v>2</v>
      </c>
      <c r="J823" s="3">
        <v>120</v>
      </c>
      <c r="K823" s="4">
        <v>0</v>
      </c>
      <c r="L823" s="3">
        <v>240</v>
      </c>
      <c r="M823" t="b">
        <v>1</v>
      </c>
      <c r="N823" s="2">
        <f>YEAR(B823)</f>
        <v>2026</v>
      </c>
      <c r="O823" t="str">
        <f>INDEX(Agences!$C:$C,MATCH(F823,Agences!$A:$A,0))</f>
        <v>Île-de-France</v>
      </c>
      <c r="P823" t="str">
        <f>INDEX(Produits!$C:$C,MATCH(H823,Produits!$A:$A,0))</f>
        <v>Maintenance</v>
      </c>
      <c r="Q823" s="3">
        <f>I823*INDEX(Produits!$E:$E,MATCH(H823,Produits!$A:$A,0))</f>
        <v>110.4</v>
      </c>
      <c r="R823" s="3">
        <f>L823-Q823</f>
        <v>129.6</v>
      </c>
      <c r="S823" s="2">
        <f>NETWORKDAYS(B823,C823)-1</f>
        <v>3</v>
      </c>
      <c r="T823" s="1">
        <f>WORKDAY(B823,5)</f>
        <v>46167</v>
      </c>
      <c r="U823" t="b">
        <f>C823&gt;T823</f>
        <v>0</v>
      </c>
    </row>
    <row r="824" spans="1:21" x14ac:dyDescent="0.25">
      <c r="A824" t="s">
        <v>744</v>
      </c>
      <c r="B824" s="1">
        <v>46160</v>
      </c>
      <c r="C824" s="1">
        <v>46163</v>
      </c>
      <c r="D824" t="s">
        <v>745</v>
      </c>
      <c r="E824" t="s">
        <v>270</v>
      </c>
      <c r="F824" t="s">
        <v>76</v>
      </c>
      <c r="G824" t="s">
        <v>232</v>
      </c>
      <c r="H824" t="s">
        <v>237</v>
      </c>
      <c r="I824" s="2">
        <v>1</v>
      </c>
      <c r="J824" s="3">
        <v>890</v>
      </c>
      <c r="K824" s="4">
        <v>0</v>
      </c>
      <c r="L824" s="3">
        <v>890</v>
      </c>
      <c r="M824" t="b">
        <v>1</v>
      </c>
      <c r="N824" s="2">
        <f>YEAR(B824)</f>
        <v>2026</v>
      </c>
      <c r="O824" t="str">
        <f>INDEX(Agences!$C:$C,MATCH(F824,Agences!$A:$A,0))</f>
        <v>Île-de-France</v>
      </c>
      <c r="P824" t="str">
        <f>INDEX(Produits!$C:$C,MATCH(H824,Produits!$A:$A,0))</f>
        <v>Mobilier</v>
      </c>
      <c r="Q824" s="3">
        <f>I824*INDEX(Produits!$E:$E,MATCH(H824,Produits!$A:$A,0))</f>
        <v>596.3</v>
      </c>
      <c r="R824" s="3">
        <f>L824-Q824</f>
        <v>293.70000000000005</v>
      </c>
      <c r="S824" s="2">
        <f>NETWORKDAYS(B824,C824)-1</f>
        <v>3</v>
      </c>
      <c r="T824" s="1">
        <f>WORKDAY(B824,5)</f>
        <v>46167</v>
      </c>
      <c r="U824" t="b">
        <f>C824&gt;T824</f>
        <v>0</v>
      </c>
    </row>
    <row r="825" spans="1:21" x14ac:dyDescent="0.25">
      <c r="A825" t="s">
        <v>744</v>
      </c>
      <c r="B825" s="1">
        <v>46160</v>
      </c>
      <c r="C825" s="1">
        <v>46163</v>
      </c>
      <c r="D825" t="s">
        <v>745</v>
      </c>
      <c r="E825" t="s">
        <v>270</v>
      </c>
      <c r="F825" t="s">
        <v>76</v>
      </c>
      <c r="G825" t="s">
        <v>232</v>
      </c>
      <c r="H825" t="s">
        <v>83</v>
      </c>
      <c r="I825" s="2">
        <v>4</v>
      </c>
      <c r="J825" s="3">
        <v>49</v>
      </c>
      <c r="K825" s="4">
        <v>0.02</v>
      </c>
      <c r="L825" s="3">
        <v>192.08</v>
      </c>
      <c r="M825" t="b">
        <v>1</v>
      </c>
      <c r="N825" s="2">
        <f>YEAR(B825)</f>
        <v>2026</v>
      </c>
      <c r="O825" t="str">
        <f>INDEX(Agences!$C:$C,MATCH(F825,Agences!$A:$A,0))</f>
        <v>Île-de-France</v>
      </c>
      <c r="P825" t="str">
        <f>INDEX(Produits!$C:$C,MATCH(H825,Produits!$A:$A,0))</f>
        <v>Mobilier</v>
      </c>
      <c r="Q825" s="3">
        <f>I825*INDEX(Produits!$E:$E,MATCH(H825,Produits!$A:$A,0))</f>
        <v>113.68</v>
      </c>
      <c r="R825" s="3">
        <f>L825-Q825</f>
        <v>78.4</v>
      </c>
      <c r="S825" s="2">
        <f>NETWORKDAYS(B825,C825)-1</f>
        <v>3</v>
      </c>
      <c r="T825" s="1">
        <f>WORKDAY(B825,5)</f>
        <v>46167</v>
      </c>
      <c r="U825" t="b">
        <f>C825&gt;T825</f>
        <v>0</v>
      </c>
    </row>
    <row r="826" spans="1:21" x14ac:dyDescent="0.25">
      <c r="A826" t="s">
        <v>746</v>
      </c>
      <c r="B826" s="1">
        <v>46160</v>
      </c>
      <c r="C826" s="1">
        <v>46162</v>
      </c>
      <c r="D826" t="s">
        <v>480</v>
      </c>
      <c r="E826" t="s">
        <v>399</v>
      </c>
      <c r="F826" t="s">
        <v>166</v>
      </c>
      <c r="G826" t="s">
        <v>167</v>
      </c>
      <c r="H826" t="s">
        <v>83</v>
      </c>
      <c r="I826" s="2">
        <v>2</v>
      </c>
      <c r="J826" s="3">
        <v>49</v>
      </c>
      <c r="K826" s="4">
        <v>0.05</v>
      </c>
      <c r="L826" s="3">
        <v>93.1</v>
      </c>
      <c r="M826" t="b">
        <v>1</v>
      </c>
      <c r="N826" s="2">
        <f>YEAR(B826)</f>
        <v>2026</v>
      </c>
      <c r="O826" t="str">
        <f>INDEX(Agences!$C:$C,MATCH(F826,Agences!$A:$A,0))</f>
        <v>Ouest</v>
      </c>
      <c r="P826" t="str">
        <f>INDEX(Produits!$C:$C,MATCH(H826,Produits!$A:$A,0))</f>
        <v>Mobilier</v>
      </c>
      <c r="Q826" s="3">
        <f>I826*INDEX(Produits!$E:$E,MATCH(H826,Produits!$A:$A,0))</f>
        <v>56.84</v>
      </c>
      <c r="R826" s="3">
        <f>L826-Q826</f>
        <v>36.25999999999999</v>
      </c>
      <c r="S826" s="2">
        <f>NETWORKDAYS(B826,C826)-1</f>
        <v>2</v>
      </c>
      <c r="T826" s="1">
        <f>WORKDAY(B826,5)</f>
        <v>46167</v>
      </c>
      <c r="U826" t="b">
        <f>C826&gt;T826</f>
        <v>0</v>
      </c>
    </row>
    <row r="827" spans="1:21" x14ac:dyDescent="0.25">
      <c r="A827" t="s">
        <v>746</v>
      </c>
      <c r="B827" s="1">
        <v>46160</v>
      </c>
      <c r="C827" s="1">
        <v>46162</v>
      </c>
      <c r="D827" t="s">
        <v>480</v>
      </c>
      <c r="E827" t="s">
        <v>399</v>
      </c>
      <c r="F827" t="s">
        <v>166</v>
      </c>
      <c r="G827" t="s">
        <v>167</v>
      </c>
      <c r="H827" t="s">
        <v>103</v>
      </c>
      <c r="I827" s="2">
        <v>1</v>
      </c>
      <c r="J827" s="3">
        <v>245</v>
      </c>
      <c r="K827" s="4">
        <v>0</v>
      </c>
      <c r="L827" s="3">
        <v>245</v>
      </c>
      <c r="M827" t="b">
        <v>1</v>
      </c>
      <c r="N827" s="2">
        <f>YEAR(B827)</f>
        <v>2026</v>
      </c>
      <c r="O827" t="str">
        <f>INDEX(Agences!$C:$C,MATCH(F827,Agences!$A:$A,0))</f>
        <v>Ouest</v>
      </c>
      <c r="P827" t="str">
        <f>INDEX(Produits!$C:$C,MATCH(H827,Produits!$A:$A,0))</f>
        <v>Mobilier</v>
      </c>
      <c r="Q827" s="3">
        <f>I827*INDEX(Produits!$E:$E,MATCH(H827,Produits!$A:$A,0))</f>
        <v>164.15</v>
      </c>
      <c r="R827" s="3">
        <f>L827-Q827</f>
        <v>80.85</v>
      </c>
      <c r="S827" s="2">
        <f>NETWORKDAYS(B827,C827)-1</f>
        <v>2</v>
      </c>
      <c r="T827" s="1">
        <f>WORKDAY(B827,5)</f>
        <v>46167</v>
      </c>
      <c r="U827" t="b">
        <f>C827&gt;T827</f>
        <v>0</v>
      </c>
    </row>
    <row r="828" spans="1:21" x14ac:dyDescent="0.25">
      <c r="A828" t="s">
        <v>746</v>
      </c>
      <c r="B828" s="1">
        <v>46160</v>
      </c>
      <c r="C828" s="1">
        <v>46162</v>
      </c>
      <c r="D828" t="s">
        <v>480</v>
      </c>
      <c r="E828" t="s">
        <v>399</v>
      </c>
      <c r="F828" t="s">
        <v>166</v>
      </c>
      <c r="G828" t="s">
        <v>167</v>
      </c>
      <c r="H828" t="s">
        <v>206</v>
      </c>
      <c r="I828" s="2">
        <v>5</v>
      </c>
      <c r="J828" s="3">
        <v>34</v>
      </c>
      <c r="K828" s="4">
        <v>0.05</v>
      </c>
      <c r="L828" s="3">
        <v>161.5</v>
      </c>
      <c r="M828" t="b">
        <v>1</v>
      </c>
      <c r="N828" s="2">
        <f>YEAR(B828)</f>
        <v>2026</v>
      </c>
      <c r="O828" t="str">
        <f>INDEX(Agences!$C:$C,MATCH(F828,Agences!$A:$A,0))</f>
        <v>Ouest</v>
      </c>
      <c r="P828" t="str">
        <f>INDEX(Produits!$C:$C,MATCH(H828,Produits!$A:$A,0))</f>
        <v>Fournitures</v>
      </c>
      <c r="Q828" s="3">
        <f>I828*INDEX(Produits!$E:$E,MATCH(H828,Produits!$A:$A,0))</f>
        <v>96.89999999999999</v>
      </c>
      <c r="R828" s="3">
        <f>L828-Q828</f>
        <v>64.60000000000001</v>
      </c>
      <c r="S828" s="2">
        <f>NETWORKDAYS(B828,C828)-1</f>
        <v>2</v>
      </c>
      <c r="T828" s="1">
        <f>WORKDAY(B828,5)</f>
        <v>46167</v>
      </c>
      <c r="U828" t="b">
        <f>C828&gt;T828</f>
        <v>0</v>
      </c>
    </row>
    <row r="829" spans="1:21" x14ac:dyDescent="0.25">
      <c r="A829" t="s">
        <v>747</v>
      </c>
      <c r="B829" s="1">
        <v>46160</v>
      </c>
      <c r="C829" s="1">
        <v>46162</v>
      </c>
      <c r="D829" t="s">
        <v>748</v>
      </c>
      <c r="E829" t="s">
        <v>336</v>
      </c>
      <c r="F829" t="s">
        <v>166</v>
      </c>
      <c r="G829" t="s">
        <v>179</v>
      </c>
      <c r="H829" t="s">
        <v>27</v>
      </c>
      <c r="I829" s="2">
        <v>3</v>
      </c>
      <c r="J829" s="3">
        <v>310</v>
      </c>
      <c r="K829" s="4">
        <v>0.05</v>
      </c>
      <c r="L829" s="3">
        <v>883.5</v>
      </c>
      <c r="M829" t="b">
        <v>1</v>
      </c>
      <c r="N829" s="2">
        <f>YEAR(B829)</f>
        <v>2026</v>
      </c>
      <c r="O829" t="str">
        <f>INDEX(Agences!$C:$C,MATCH(F829,Agences!$A:$A,0))</f>
        <v>Ouest</v>
      </c>
      <c r="P829" t="str">
        <f>INDEX(Produits!$C:$C,MATCH(H829,Produits!$A:$A,0))</f>
        <v>Mobilier</v>
      </c>
      <c r="Q829" s="3">
        <f>I829*INDEX(Produits!$E:$E,MATCH(H829,Produits!$A:$A,0))</f>
        <v>558</v>
      </c>
      <c r="R829" s="3">
        <f>L829-Q829</f>
        <v>325.5</v>
      </c>
      <c r="S829" s="2">
        <f>NETWORKDAYS(B829,C829)-1</f>
        <v>2</v>
      </c>
      <c r="T829" s="1">
        <f>WORKDAY(B829,5)</f>
        <v>46167</v>
      </c>
      <c r="U829" t="b">
        <f>C829&gt;T829</f>
        <v>0</v>
      </c>
    </row>
    <row r="830" spans="1:21" x14ac:dyDescent="0.25">
      <c r="A830" t="s">
        <v>747</v>
      </c>
      <c r="B830" s="1">
        <v>46160</v>
      </c>
      <c r="C830" s="1">
        <v>46162</v>
      </c>
      <c r="D830" t="s">
        <v>748</v>
      </c>
      <c r="E830" t="s">
        <v>336</v>
      </c>
      <c r="F830" t="s">
        <v>166</v>
      </c>
      <c r="G830" t="s">
        <v>179</v>
      </c>
      <c r="H830" t="s">
        <v>319</v>
      </c>
      <c r="I830" s="2">
        <v>2</v>
      </c>
      <c r="J830" s="3">
        <v>289</v>
      </c>
      <c r="K830" s="4">
        <v>0</v>
      </c>
      <c r="L830" s="3">
        <v>578</v>
      </c>
      <c r="M830" t="b">
        <v>1</v>
      </c>
      <c r="N830" s="2">
        <f>YEAR(B830)</f>
        <v>2026</v>
      </c>
      <c r="O830" t="str">
        <f>INDEX(Agences!$C:$C,MATCH(F830,Agences!$A:$A,0))</f>
        <v>Ouest</v>
      </c>
      <c r="P830" t="str">
        <f>INDEX(Produits!$C:$C,MATCH(H830,Produits!$A:$A,0))</f>
        <v>Informatique</v>
      </c>
      <c r="Q830" s="3">
        <f>I830*INDEX(Produits!$E:$E,MATCH(H830,Produits!$A:$A,0))</f>
        <v>427.72</v>
      </c>
      <c r="R830" s="3">
        <f>L830-Q830</f>
        <v>150.27999999999997</v>
      </c>
      <c r="S830" s="2">
        <f>NETWORKDAYS(B830,C830)-1</f>
        <v>2</v>
      </c>
      <c r="T830" s="1">
        <f>WORKDAY(B830,5)</f>
        <v>46167</v>
      </c>
      <c r="U830" t="b">
        <f>C830&gt;T830</f>
        <v>0</v>
      </c>
    </row>
    <row r="831" spans="1:21" x14ac:dyDescent="0.25">
      <c r="A831" t="s">
        <v>749</v>
      </c>
      <c r="B831" s="1">
        <v>46157</v>
      </c>
      <c r="C831" s="1">
        <v>46170</v>
      </c>
      <c r="D831" t="s">
        <v>750</v>
      </c>
      <c r="E831" t="s">
        <v>229</v>
      </c>
      <c r="F831" t="s">
        <v>55</v>
      </c>
      <c r="G831" t="s">
        <v>56</v>
      </c>
      <c r="H831" t="s">
        <v>42</v>
      </c>
      <c r="I831" s="2">
        <v>2</v>
      </c>
      <c r="J831" s="3">
        <v>55</v>
      </c>
      <c r="K831" s="4">
        <v>0</v>
      </c>
      <c r="L831" s="3">
        <v>110</v>
      </c>
      <c r="M831" t="b">
        <v>1</v>
      </c>
      <c r="N831" s="2">
        <f>YEAR(B831)</f>
        <v>2026</v>
      </c>
      <c r="O831" t="str">
        <f>INDEX(Agences!$C:$C,MATCH(F831,Agences!$A:$A,0))</f>
        <v>Est</v>
      </c>
      <c r="P831" t="str">
        <f>INDEX(Produits!$C:$C,MATCH(H831,Produits!$A:$A,0))</f>
        <v>Maintenance</v>
      </c>
      <c r="Q831" s="3">
        <f>I831*INDEX(Produits!$E:$E,MATCH(H831,Produits!$A:$A,0))</f>
        <v>49.5</v>
      </c>
      <c r="R831" s="3">
        <f>L831-Q831</f>
        <v>60.5</v>
      </c>
      <c r="S831" s="2">
        <f>NETWORKDAYS(B831,C831)-1</f>
        <v>9</v>
      </c>
      <c r="T831" s="1">
        <f>WORKDAY(B831,5)</f>
        <v>46164</v>
      </c>
      <c r="U831" t="b">
        <f>C831&gt;T831</f>
        <v>1</v>
      </c>
    </row>
    <row r="832" spans="1:21" x14ac:dyDescent="0.25">
      <c r="A832" t="s">
        <v>749</v>
      </c>
      <c r="B832" s="1">
        <v>46157</v>
      </c>
      <c r="C832" s="1">
        <v>46170</v>
      </c>
      <c r="D832" t="s">
        <v>750</v>
      </c>
      <c r="E832" t="s">
        <v>229</v>
      </c>
      <c r="F832" t="s">
        <v>55</v>
      </c>
      <c r="G832" t="s">
        <v>56</v>
      </c>
      <c r="H832" t="s">
        <v>123</v>
      </c>
      <c r="I832" s="2">
        <v>5</v>
      </c>
      <c r="J832" s="3">
        <v>39.9</v>
      </c>
      <c r="K832" s="4">
        <v>0</v>
      </c>
      <c r="L832" s="3">
        <v>199.5</v>
      </c>
      <c r="M832" t="b">
        <v>1</v>
      </c>
      <c r="N832" s="2">
        <f>YEAR(B832)</f>
        <v>2026</v>
      </c>
      <c r="O832" t="str">
        <f>INDEX(Agences!$C:$C,MATCH(F832,Agences!$A:$A,0))</f>
        <v>Est</v>
      </c>
      <c r="P832" t="str">
        <f>INDEX(Produits!$C:$C,MATCH(H832,Produits!$A:$A,0))</f>
        <v>Fournitures</v>
      </c>
      <c r="Q832" s="3">
        <f>I832*INDEX(Produits!$E:$E,MATCH(H832,Produits!$A:$A,0))</f>
        <v>111.7</v>
      </c>
      <c r="R832" s="3">
        <f>L832-Q832</f>
        <v>87.8</v>
      </c>
      <c r="S832" s="2">
        <f>NETWORKDAYS(B832,C832)-1</f>
        <v>9</v>
      </c>
      <c r="T832" s="1">
        <f>WORKDAY(B832,5)</f>
        <v>46164</v>
      </c>
      <c r="U832" t="b">
        <f>C832&gt;T832</f>
        <v>1</v>
      </c>
    </row>
    <row r="833" spans="1:21" x14ac:dyDescent="0.25">
      <c r="A833" t="s">
        <v>751</v>
      </c>
      <c r="B833" s="1">
        <v>46156</v>
      </c>
      <c r="C833" s="1">
        <v>46160</v>
      </c>
      <c r="D833" t="s">
        <v>752</v>
      </c>
      <c r="E833" t="s">
        <v>137</v>
      </c>
      <c r="F833" t="s">
        <v>138</v>
      </c>
      <c r="G833" t="s">
        <v>220</v>
      </c>
      <c r="H833" t="s">
        <v>107</v>
      </c>
      <c r="I833" s="2">
        <v>3</v>
      </c>
      <c r="J833" s="3">
        <v>99</v>
      </c>
      <c r="K833" s="4">
        <v>0</v>
      </c>
      <c r="L833" s="3">
        <v>297</v>
      </c>
      <c r="M833" t="b">
        <v>1</v>
      </c>
      <c r="N833" s="2">
        <f>YEAR(B833)</f>
        <v>2026</v>
      </c>
      <c r="O833" t="str">
        <f>INDEX(Agences!$C:$C,MATCH(F833,Agences!$A:$A,0))</f>
        <v>Île-de-France</v>
      </c>
      <c r="P833" t="str">
        <f>INDEX(Produits!$C:$C,MATCH(H833,Produits!$A:$A,0))</f>
        <v>Informatique</v>
      </c>
      <c r="Q833" s="3">
        <f>I833*INDEX(Produits!$E:$E,MATCH(H833,Produits!$A:$A,0))</f>
        <v>225.71999999999997</v>
      </c>
      <c r="R833" s="3">
        <f>L833-Q833</f>
        <v>71.28000000000003</v>
      </c>
      <c r="S833" s="2">
        <f>NETWORKDAYS(B833,C833)-1</f>
        <v>2</v>
      </c>
      <c r="T833" s="1">
        <f>WORKDAY(B833,5)</f>
        <v>46163</v>
      </c>
      <c r="U833" t="b">
        <f>C833&gt;T833</f>
        <v>0</v>
      </c>
    </row>
    <row r="834" spans="1:21" x14ac:dyDescent="0.25">
      <c r="A834" t="s">
        <v>751</v>
      </c>
      <c r="B834" s="1">
        <v>46156</v>
      </c>
      <c r="C834" s="1">
        <v>46160</v>
      </c>
      <c r="D834" t="s">
        <v>752</v>
      </c>
      <c r="E834" t="s">
        <v>137</v>
      </c>
      <c r="F834" t="s">
        <v>138</v>
      </c>
      <c r="G834" t="s">
        <v>220</v>
      </c>
      <c r="H834" t="s">
        <v>237</v>
      </c>
      <c r="I834" s="2">
        <v>3</v>
      </c>
      <c r="J834" s="3">
        <v>890</v>
      </c>
      <c r="K834" s="4">
        <v>0</v>
      </c>
      <c r="L834" s="3">
        <v>2670</v>
      </c>
      <c r="M834" t="b">
        <v>1</v>
      </c>
      <c r="N834" s="2">
        <f>YEAR(B834)</f>
        <v>2026</v>
      </c>
      <c r="O834" t="str">
        <f>INDEX(Agences!$C:$C,MATCH(F834,Agences!$A:$A,0))</f>
        <v>Île-de-France</v>
      </c>
      <c r="P834" t="str">
        <f>INDEX(Produits!$C:$C,MATCH(H834,Produits!$A:$A,0))</f>
        <v>Mobilier</v>
      </c>
      <c r="Q834" s="3">
        <f>I834*INDEX(Produits!$E:$E,MATCH(H834,Produits!$A:$A,0))</f>
        <v>1788.8999999999999</v>
      </c>
      <c r="R834" s="3">
        <f>L834-Q834</f>
        <v>881.1000000000001</v>
      </c>
      <c r="S834" s="2">
        <f>NETWORKDAYS(B834,C834)-1</f>
        <v>2</v>
      </c>
      <c r="T834" s="1">
        <f>WORKDAY(B834,5)</f>
        <v>46163</v>
      </c>
      <c r="U834" t="b">
        <f>C834&gt;T834</f>
        <v>0</v>
      </c>
    </row>
    <row r="835" spans="1:21" x14ac:dyDescent="0.25">
      <c r="A835" t="s">
        <v>753</v>
      </c>
      <c r="B835" s="1">
        <v>46156</v>
      </c>
      <c r="C835" s="1">
        <v>46160</v>
      </c>
      <c r="D835" t="s">
        <v>754</v>
      </c>
      <c r="E835" t="s">
        <v>149</v>
      </c>
      <c r="F835" t="s">
        <v>88</v>
      </c>
      <c r="G835" t="s">
        <v>89</v>
      </c>
      <c r="H835" t="s">
        <v>79</v>
      </c>
      <c r="I835" s="2">
        <v>5</v>
      </c>
      <c r="J835" s="3">
        <v>14.9</v>
      </c>
      <c r="K835" s="4">
        <v>0</v>
      </c>
      <c r="L835" s="3">
        <v>74.5</v>
      </c>
      <c r="M835" t="b">
        <v>1</v>
      </c>
      <c r="N835" s="2">
        <f>YEAR(B835)</f>
        <v>2026</v>
      </c>
      <c r="O835" t="str">
        <f>INDEX(Agences!$C:$C,MATCH(F835,Agences!$A:$A,0))</f>
        <v>Sud-Ouest</v>
      </c>
      <c r="P835" t="str">
        <f>INDEX(Produits!$C:$C,MATCH(H835,Produits!$A:$A,0))</f>
        <v>Fournitures</v>
      </c>
      <c r="Q835" s="3">
        <f>I835*INDEX(Produits!$E:$E,MATCH(H835,Produits!$A:$A,0))</f>
        <v>40.25</v>
      </c>
      <c r="R835" s="3">
        <f>L835-Q835</f>
        <v>34.25</v>
      </c>
      <c r="S835" s="2">
        <f>NETWORKDAYS(B835,C835)-1</f>
        <v>2</v>
      </c>
      <c r="T835" s="1">
        <f>WORKDAY(B835,5)</f>
        <v>46163</v>
      </c>
      <c r="U835" t="b">
        <f>C835&gt;T835</f>
        <v>0</v>
      </c>
    </row>
    <row r="836" spans="1:21" x14ac:dyDescent="0.25">
      <c r="A836" t="s">
        <v>753</v>
      </c>
      <c r="B836" s="1">
        <v>46156</v>
      </c>
      <c r="C836" s="1">
        <v>46160</v>
      </c>
      <c r="D836" t="s">
        <v>754</v>
      </c>
      <c r="E836" t="s">
        <v>149</v>
      </c>
      <c r="F836" t="s">
        <v>88</v>
      </c>
      <c r="G836" t="s">
        <v>89</v>
      </c>
      <c r="H836" t="s">
        <v>83</v>
      </c>
      <c r="I836" s="2">
        <v>2</v>
      </c>
      <c r="J836" s="3">
        <v>49</v>
      </c>
      <c r="K836" s="4">
        <v>0</v>
      </c>
      <c r="L836" s="3">
        <v>98</v>
      </c>
      <c r="M836" t="b">
        <v>1</v>
      </c>
      <c r="N836" s="2">
        <f>YEAR(B836)</f>
        <v>2026</v>
      </c>
      <c r="O836" t="str">
        <f>INDEX(Agences!$C:$C,MATCH(F836,Agences!$A:$A,0))</f>
        <v>Sud-Ouest</v>
      </c>
      <c r="P836" t="str">
        <f>INDEX(Produits!$C:$C,MATCH(H836,Produits!$A:$A,0))</f>
        <v>Mobilier</v>
      </c>
      <c r="Q836" s="3">
        <f>I836*INDEX(Produits!$E:$E,MATCH(H836,Produits!$A:$A,0))</f>
        <v>56.84</v>
      </c>
      <c r="R836" s="3">
        <f>L836-Q836</f>
        <v>41.16</v>
      </c>
      <c r="S836" s="2">
        <f>NETWORKDAYS(B836,C836)-1</f>
        <v>2</v>
      </c>
      <c r="T836" s="1">
        <f>WORKDAY(B836,5)</f>
        <v>46163</v>
      </c>
      <c r="U836" t="b">
        <f>C836&gt;T836</f>
        <v>0</v>
      </c>
    </row>
    <row r="837" spans="1:21" x14ac:dyDescent="0.25">
      <c r="A837" t="s">
        <v>753</v>
      </c>
      <c r="B837" s="1">
        <v>46156</v>
      </c>
      <c r="C837" s="1">
        <v>46160</v>
      </c>
      <c r="D837" t="s">
        <v>754</v>
      </c>
      <c r="E837" t="s">
        <v>149</v>
      </c>
      <c r="F837" t="s">
        <v>88</v>
      </c>
      <c r="G837" t="s">
        <v>89</v>
      </c>
      <c r="H837" t="s">
        <v>49</v>
      </c>
      <c r="I837" s="2">
        <v>2</v>
      </c>
      <c r="J837" s="3">
        <v>120</v>
      </c>
      <c r="K837" s="4">
        <v>0</v>
      </c>
      <c r="L837" s="3">
        <v>240</v>
      </c>
      <c r="M837" t="b">
        <v>1</v>
      </c>
      <c r="N837" s="2">
        <f>YEAR(B837)</f>
        <v>2026</v>
      </c>
      <c r="O837" t="str">
        <f>INDEX(Agences!$C:$C,MATCH(F837,Agences!$A:$A,0))</f>
        <v>Sud-Ouest</v>
      </c>
      <c r="P837" t="str">
        <f>INDEX(Produits!$C:$C,MATCH(H837,Produits!$A:$A,0))</f>
        <v>Maintenance</v>
      </c>
      <c r="Q837" s="3">
        <f>I837*INDEX(Produits!$E:$E,MATCH(H837,Produits!$A:$A,0))</f>
        <v>110.4</v>
      </c>
      <c r="R837" s="3">
        <f>L837-Q837</f>
        <v>129.6</v>
      </c>
      <c r="S837" s="2">
        <f>NETWORKDAYS(B837,C837)-1</f>
        <v>2</v>
      </c>
      <c r="T837" s="1">
        <f>WORKDAY(B837,5)</f>
        <v>46163</v>
      </c>
      <c r="U837" t="b">
        <f>C837&gt;T837</f>
        <v>0</v>
      </c>
    </row>
    <row r="838" spans="1:21" x14ac:dyDescent="0.25">
      <c r="A838" t="s">
        <v>755</v>
      </c>
      <c r="B838" s="1">
        <v>46156</v>
      </c>
      <c r="C838" s="1">
        <v>46213</v>
      </c>
      <c r="D838" t="s">
        <v>70</v>
      </c>
      <c r="E838" t="s">
        <v>54</v>
      </c>
      <c r="F838" t="s">
        <v>55</v>
      </c>
      <c r="G838" t="s">
        <v>71</v>
      </c>
      <c r="H838" t="s">
        <v>35</v>
      </c>
      <c r="I838" s="2">
        <v>1</v>
      </c>
      <c r="J838" s="3">
        <v>79</v>
      </c>
      <c r="K838" s="4">
        <v>0.02</v>
      </c>
      <c r="L838" s="3">
        <v>77.42</v>
      </c>
      <c r="M838" t="b">
        <v>1</v>
      </c>
      <c r="N838" s="2">
        <f>YEAR(B838)</f>
        <v>2026</v>
      </c>
      <c r="O838" t="str">
        <f>INDEX(Agences!$C:$C,MATCH(F838,Agences!$A:$A,0))</f>
        <v>Est</v>
      </c>
      <c r="P838" t="str">
        <f>INDEX(Produits!$C:$C,MATCH(H838,Produits!$A:$A,0))</f>
        <v>Mobilier</v>
      </c>
      <c r="Q838" s="3">
        <f>I838*INDEX(Produits!$E:$E,MATCH(H838,Produits!$A:$A,0))</f>
        <v>46.61</v>
      </c>
      <c r="R838" s="3">
        <f>L838-Q838</f>
        <v>30.810000000000002</v>
      </c>
      <c r="S838" s="2">
        <f>NETWORKDAYS(B838,C838)-1</f>
        <v>41</v>
      </c>
      <c r="T838" s="1">
        <f>WORKDAY(B838,5)</f>
        <v>46163</v>
      </c>
      <c r="U838" t="b">
        <f>C838&gt;T838</f>
        <v>1</v>
      </c>
    </row>
    <row r="839" spans="1:21" x14ac:dyDescent="0.25">
      <c r="A839" t="s">
        <v>755</v>
      </c>
      <c r="B839" s="1">
        <v>46156</v>
      </c>
      <c r="C839" s="1">
        <v>46213</v>
      </c>
      <c r="D839" t="s">
        <v>70</v>
      </c>
      <c r="E839" t="s">
        <v>54</v>
      </c>
      <c r="F839" t="s">
        <v>55</v>
      </c>
      <c r="G839" t="s">
        <v>71</v>
      </c>
      <c r="H839" t="s">
        <v>42</v>
      </c>
      <c r="I839" s="2">
        <v>1</v>
      </c>
      <c r="J839" s="3">
        <v>55</v>
      </c>
      <c r="K839" s="4">
        <v>0.08</v>
      </c>
      <c r="L839" s="3">
        <v>50.6</v>
      </c>
      <c r="M839" t="b">
        <v>1</v>
      </c>
      <c r="N839" s="2">
        <f>YEAR(B839)</f>
        <v>2026</v>
      </c>
      <c r="O839" t="str">
        <f>INDEX(Agences!$C:$C,MATCH(F839,Agences!$A:$A,0))</f>
        <v>Est</v>
      </c>
      <c r="P839" t="str">
        <f>INDEX(Produits!$C:$C,MATCH(H839,Produits!$A:$A,0))</f>
        <v>Maintenance</v>
      </c>
      <c r="Q839" s="3">
        <f>I839*INDEX(Produits!$E:$E,MATCH(H839,Produits!$A:$A,0))</f>
        <v>24.75</v>
      </c>
      <c r="R839" s="3">
        <f>L839-Q839</f>
        <v>25.85</v>
      </c>
      <c r="S839" s="2">
        <f>NETWORKDAYS(B839,C839)-1</f>
        <v>41</v>
      </c>
      <c r="T839" s="1">
        <f>WORKDAY(B839,5)</f>
        <v>46163</v>
      </c>
      <c r="U839" t="b">
        <f>C839&gt;T839</f>
        <v>1</v>
      </c>
    </row>
    <row r="840" spans="1:21" x14ac:dyDescent="0.25">
      <c r="A840" t="s">
        <v>755</v>
      </c>
      <c r="B840" s="1">
        <v>46156</v>
      </c>
      <c r="C840" s="1">
        <v>46213</v>
      </c>
      <c r="D840" t="s">
        <v>70</v>
      </c>
      <c r="E840" t="s">
        <v>54</v>
      </c>
      <c r="F840" t="s">
        <v>55</v>
      </c>
      <c r="G840" t="s">
        <v>71</v>
      </c>
      <c r="H840" t="s">
        <v>112</v>
      </c>
      <c r="I840" s="2">
        <v>6</v>
      </c>
      <c r="J840" s="3">
        <v>129</v>
      </c>
      <c r="K840" s="4">
        <v>0</v>
      </c>
      <c r="L840" s="3">
        <v>774</v>
      </c>
      <c r="M840" t="b">
        <v>1</v>
      </c>
      <c r="N840" s="2">
        <f>YEAR(B840)</f>
        <v>2026</v>
      </c>
      <c r="O840" t="str">
        <f>INDEX(Agences!$C:$C,MATCH(F840,Agences!$A:$A,0))</f>
        <v>Est</v>
      </c>
      <c r="P840" t="str">
        <f>INDEX(Produits!$C:$C,MATCH(H840,Produits!$A:$A,0))</f>
        <v>Mobilier</v>
      </c>
      <c r="Q840" s="3">
        <f>I840*INDEX(Produits!$E:$E,MATCH(H840,Produits!$A:$A,0))</f>
        <v>518.58</v>
      </c>
      <c r="R840" s="3">
        <f>L840-Q840</f>
        <v>255.41999999999996</v>
      </c>
      <c r="S840" s="2">
        <f>NETWORKDAYS(B840,C840)-1</f>
        <v>41</v>
      </c>
      <c r="T840" s="1">
        <f>WORKDAY(B840,5)</f>
        <v>46163</v>
      </c>
      <c r="U840" t="b">
        <f>C840&gt;T840</f>
        <v>1</v>
      </c>
    </row>
    <row r="841" spans="1:21" x14ac:dyDescent="0.25">
      <c r="A841" t="s">
        <v>755</v>
      </c>
      <c r="B841" s="1">
        <v>46156</v>
      </c>
      <c r="C841" s="1">
        <v>46213</v>
      </c>
      <c r="D841" t="s">
        <v>70</v>
      </c>
      <c r="E841" t="s">
        <v>54</v>
      </c>
      <c r="F841" t="s">
        <v>55</v>
      </c>
      <c r="G841" t="s">
        <v>71</v>
      </c>
      <c r="H841" t="s">
        <v>58</v>
      </c>
      <c r="I841" s="2">
        <v>1</v>
      </c>
      <c r="J841" s="3">
        <v>649</v>
      </c>
      <c r="K841" s="4">
        <v>0.02</v>
      </c>
      <c r="L841" s="3">
        <v>636.02</v>
      </c>
      <c r="M841" t="b">
        <v>1</v>
      </c>
      <c r="N841" s="2">
        <f>YEAR(B841)</f>
        <v>2026</v>
      </c>
      <c r="O841" t="str">
        <f>INDEX(Agences!$C:$C,MATCH(F841,Agences!$A:$A,0))</f>
        <v>Est</v>
      </c>
      <c r="P841" t="str">
        <f>INDEX(Produits!$C:$C,MATCH(H841,Produits!$A:$A,0))</f>
        <v>Mobilier</v>
      </c>
      <c r="Q841" s="3">
        <f>I841*INDEX(Produits!$E:$E,MATCH(H841,Produits!$A:$A,0))</f>
        <v>408.87</v>
      </c>
      <c r="R841" s="3">
        <f>L841-Q841</f>
        <v>227.14999999999998</v>
      </c>
      <c r="S841" s="2">
        <f>NETWORKDAYS(B841,C841)-1</f>
        <v>41</v>
      </c>
      <c r="T841" s="1">
        <f>WORKDAY(B841,5)</f>
        <v>46163</v>
      </c>
      <c r="U841" t="b">
        <f>C841&gt;T841</f>
        <v>1</v>
      </c>
    </row>
    <row r="842" spans="1:21" x14ac:dyDescent="0.25">
      <c r="A842" t="s">
        <v>756</v>
      </c>
      <c r="B842" s="1">
        <v>46155</v>
      </c>
      <c r="C842" s="1">
        <v>46156</v>
      </c>
      <c r="D842" t="s">
        <v>509</v>
      </c>
      <c r="E842" t="s">
        <v>333</v>
      </c>
      <c r="F842" t="s">
        <v>138</v>
      </c>
      <c r="G842" t="s">
        <v>220</v>
      </c>
      <c r="H842" t="s">
        <v>127</v>
      </c>
      <c r="I842" s="2">
        <v>3</v>
      </c>
      <c r="J842" s="3">
        <v>649</v>
      </c>
      <c r="K842" s="4">
        <v>0.02</v>
      </c>
      <c r="L842" s="3">
        <v>1908.06</v>
      </c>
      <c r="M842" t="b">
        <v>1</v>
      </c>
      <c r="N842" s="2">
        <f>YEAR(B842)</f>
        <v>2026</v>
      </c>
      <c r="O842" t="str">
        <f>INDEX(Agences!$C:$C,MATCH(F842,Agences!$A:$A,0))</f>
        <v>Île-de-France</v>
      </c>
      <c r="P842" t="str">
        <f>INDEX(Produits!$C:$C,MATCH(H842,Produits!$A:$A,0))</f>
        <v>Informatique</v>
      </c>
      <c r="Q842" s="3">
        <f>I842*INDEX(Produits!$E:$E,MATCH(H842,Produits!$A:$A,0))</f>
        <v>1440.78</v>
      </c>
      <c r="R842" s="3">
        <f>L842-Q842</f>
        <v>467.28</v>
      </c>
      <c r="S842" s="2">
        <f>NETWORKDAYS(B842,C842)-1</f>
        <v>1</v>
      </c>
      <c r="T842" s="1">
        <f>WORKDAY(B842,5)</f>
        <v>46162</v>
      </c>
      <c r="U842" t="b">
        <f>C842&gt;T842</f>
        <v>0</v>
      </c>
    </row>
    <row r="843" spans="1:21" x14ac:dyDescent="0.25">
      <c r="A843" t="s">
        <v>757</v>
      </c>
      <c r="B843" s="1">
        <v>46155</v>
      </c>
      <c r="C843" s="1">
        <v>46160</v>
      </c>
      <c r="D843" t="s">
        <v>758</v>
      </c>
      <c r="E843" t="s">
        <v>307</v>
      </c>
      <c r="F843" t="s">
        <v>76</v>
      </c>
      <c r="G843" t="s">
        <v>77</v>
      </c>
      <c r="H843" t="s">
        <v>33</v>
      </c>
      <c r="I843" s="2">
        <v>1</v>
      </c>
      <c r="J843" s="3">
        <v>219</v>
      </c>
      <c r="K843" s="4">
        <v>0</v>
      </c>
      <c r="L843" s="3">
        <v>219</v>
      </c>
      <c r="M843" t="b">
        <v>1</v>
      </c>
      <c r="N843" s="2">
        <f>YEAR(B843)</f>
        <v>2026</v>
      </c>
      <c r="O843" t="str">
        <f>INDEX(Agences!$C:$C,MATCH(F843,Agences!$A:$A,0))</f>
        <v>Île-de-France</v>
      </c>
      <c r="P843" t="str">
        <f>INDEX(Produits!$C:$C,MATCH(H843,Produits!$A:$A,0))</f>
        <v>Informatique</v>
      </c>
      <c r="Q843" s="3">
        <f>I843*INDEX(Produits!$E:$E,MATCH(H843,Produits!$A:$A,0))</f>
        <v>179.58</v>
      </c>
      <c r="R843" s="3">
        <f>L843-Q843</f>
        <v>39.41999999999999</v>
      </c>
      <c r="S843" s="2">
        <f>NETWORKDAYS(B843,C843)-1</f>
        <v>3</v>
      </c>
      <c r="T843" s="1">
        <f>WORKDAY(B843,5)</f>
        <v>46162</v>
      </c>
      <c r="U843" t="b">
        <f>C843&gt;T843</f>
        <v>0</v>
      </c>
    </row>
    <row r="844" spans="1:21" x14ac:dyDescent="0.25">
      <c r="A844" t="s">
        <v>759</v>
      </c>
      <c r="B844" s="1">
        <v>46155</v>
      </c>
      <c r="C844" s="1">
        <v>46160</v>
      </c>
      <c r="D844" t="s">
        <v>760</v>
      </c>
      <c r="E844" t="s">
        <v>339</v>
      </c>
      <c r="F844" t="s">
        <v>31</v>
      </c>
      <c r="G844" t="s">
        <v>186</v>
      </c>
      <c r="H844" t="s">
        <v>48</v>
      </c>
      <c r="I844" s="2">
        <v>1</v>
      </c>
      <c r="J844" s="3">
        <v>165</v>
      </c>
      <c r="K844" s="4">
        <v>0</v>
      </c>
      <c r="L844" s="3">
        <v>165</v>
      </c>
      <c r="M844" t="b">
        <v>1</v>
      </c>
      <c r="N844" s="2">
        <f>YEAR(B844)</f>
        <v>2026</v>
      </c>
      <c r="O844" t="str">
        <f>INDEX(Agences!$C:$C,MATCH(F844,Agences!$A:$A,0))</f>
        <v>Ouest</v>
      </c>
      <c r="P844" t="str">
        <f>INDEX(Produits!$C:$C,MATCH(H844,Produits!$A:$A,0))</f>
        <v>Mobilier</v>
      </c>
      <c r="Q844" s="3">
        <f>I844*INDEX(Produits!$E:$E,MATCH(H844,Produits!$A:$A,0))</f>
        <v>107.25</v>
      </c>
      <c r="R844" s="3">
        <f>L844-Q844</f>
        <v>57.75</v>
      </c>
      <c r="S844" s="2">
        <f>NETWORKDAYS(B844,C844)-1</f>
        <v>3</v>
      </c>
      <c r="T844" s="1">
        <f>WORKDAY(B844,5)</f>
        <v>46162</v>
      </c>
      <c r="U844" t="b">
        <f>C844&gt;T844</f>
        <v>0</v>
      </c>
    </row>
    <row r="845" spans="1:21" x14ac:dyDescent="0.25">
      <c r="A845" t="s">
        <v>759</v>
      </c>
      <c r="B845" s="1">
        <v>46155</v>
      </c>
      <c r="C845" s="1">
        <v>46160</v>
      </c>
      <c r="D845" t="s">
        <v>760</v>
      </c>
      <c r="E845" t="s">
        <v>339</v>
      </c>
      <c r="F845" t="s">
        <v>31</v>
      </c>
      <c r="G845" t="s">
        <v>186</v>
      </c>
      <c r="H845" t="s">
        <v>319</v>
      </c>
      <c r="I845" s="2">
        <v>2</v>
      </c>
      <c r="J845" s="3">
        <v>289</v>
      </c>
      <c r="K845" s="4">
        <v>0</v>
      </c>
      <c r="L845" s="3">
        <v>578</v>
      </c>
      <c r="M845" t="b">
        <v>1</v>
      </c>
      <c r="N845" s="2">
        <f>YEAR(B845)</f>
        <v>2026</v>
      </c>
      <c r="O845" t="str">
        <f>INDEX(Agences!$C:$C,MATCH(F845,Agences!$A:$A,0))</f>
        <v>Ouest</v>
      </c>
      <c r="P845" t="str">
        <f>INDEX(Produits!$C:$C,MATCH(H845,Produits!$A:$A,0))</f>
        <v>Informatique</v>
      </c>
      <c r="Q845" s="3">
        <f>I845*INDEX(Produits!$E:$E,MATCH(H845,Produits!$A:$A,0))</f>
        <v>427.72</v>
      </c>
      <c r="R845" s="3">
        <f>L845-Q845</f>
        <v>150.27999999999997</v>
      </c>
      <c r="S845" s="2">
        <f>NETWORKDAYS(B845,C845)-1</f>
        <v>3</v>
      </c>
      <c r="T845" s="1">
        <f>WORKDAY(B845,5)</f>
        <v>46162</v>
      </c>
      <c r="U845" t="b">
        <f>C845&gt;T845</f>
        <v>0</v>
      </c>
    </row>
    <row r="846" spans="1:21" x14ac:dyDescent="0.25">
      <c r="A846" t="s">
        <v>759</v>
      </c>
      <c r="B846" s="1">
        <v>46155</v>
      </c>
      <c r="C846" s="1">
        <v>46160</v>
      </c>
      <c r="D846" t="s">
        <v>760</v>
      </c>
      <c r="E846" t="s">
        <v>339</v>
      </c>
      <c r="F846" t="s">
        <v>31</v>
      </c>
      <c r="G846" t="s">
        <v>186</v>
      </c>
      <c r="H846" t="s">
        <v>83</v>
      </c>
      <c r="I846" s="2">
        <v>1</v>
      </c>
      <c r="J846" s="3">
        <v>49</v>
      </c>
      <c r="K846" s="4">
        <v>0.02</v>
      </c>
      <c r="L846" s="3">
        <v>48.02</v>
      </c>
      <c r="M846" t="b">
        <v>1</v>
      </c>
      <c r="N846" s="2">
        <f>YEAR(B846)</f>
        <v>2026</v>
      </c>
      <c r="O846" t="str">
        <f>INDEX(Agences!$C:$C,MATCH(F846,Agences!$A:$A,0))</f>
        <v>Ouest</v>
      </c>
      <c r="P846" t="str">
        <f>INDEX(Produits!$C:$C,MATCH(H846,Produits!$A:$A,0))</f>
        <v>Mobilier</v>
      </c>
      <c r="Q846" s="3">
        <f>I846*INDEX(Produits!$E:$E,MATCH(H846,Produits!$A:$A,0))</f>
        <v>28.42</v>
      </c>
      <c r="R846" s="3">
        <f>L846-Q846</f>
        <v>19.6</v>
      </c>
      <c r="S846" s="2">
        <f>NETWORKDAYS(B846,C846)-1</f>
        <v>3</v>
      </c>
      <c r="T846" s="1">
        <f>WORKDAY(B846,5)</f>
        <v>46162</v>
      </c>
      <c r="U846" t="b">
        <f>C846&gt;T846</f>
        <v>0</v>
      </c>
    </row>
    <row r="847" spans="1:21" x14ac:dyDescent="0.25">
      <c r="A847" t="s">
        <v>759</v>
      </c>
      <c r="B847" s="1">
        <v>46155</v>
      </c>
      <c r="C847" s="1">
        <v>46160</v>
      </c>
      <c r="D847" t="s">
        <v>760</v>
      </c>
      <c r="E847" t="s">
        <v>339</v>
      </c>
      <c r="F847" t="s">
        <v>31</v>
      </c>
      <c r="G847" t="s">
        <v>186</v>
      </c>
      <c r="H847" t="s">
        <v>606</v>
      </c>
      <c r="I847" s="2">
        <v>1</v>
      </c>
      <c r="J847" s="3">
        <v>1150</v>
      </c>
      <c r="K847" s="4">
        <v>0.05</v>
      </c>
      <c r="L847" s="3">
        <v>1092.5</v>
      </c>
      <c r="M847" t="b">
        <v>1</v>
      </c>
      <c r="N847" s="2">
        <f>YEAR(B847)</f>
        <v>2026</v>
      </c>
      <c r="O847" t="str">
        <f>INDEX(Agences!$C:$C,MATCH(F847,Agences!$A:$A,0))</f>
        <v>Ouest</v>
      </c>
      <c r="P847" t="str">
        <f>INDEX(Produits!$C:$C,MATCH(H847,Produits!$A:$A,0))</f>
        <v>Mobilier</v>
      </c>
      <c r="Q847" s="3">
        <f>I847*INDEX(Produits!$E:$E,MATCH(H847,Produits!$A:$A,0))</f>
        <v>713</v>
      </c>
      <c r="R847" s="3">
        <f>L847-Q847</f>
        <v>379.5</v>
      </c>
      <c r="S847" s="2">
        <f>NETWORKDAYS(B847,C847)-1</f>
        <v>3</v>
      </c>
      <c r="T847" s="1">
        <f>WORKDAY(B847,5)</f>
        <v>46162</v>
      </c>
      <c r="U847" t="b">
        <f>C847&gt;T847</f>
        <v>0</v>
      </c>
    </row>
    <row r="848" spans="1:21" x14ac:dyDescent="0.25">
      <c r="A848" t="s">
        <v>761</v>
      </c>
      <c r="B848" s="1">
        <v>46155</v>
      </c>
      <c r="C848" s="1">
        <v>46156</v>
      </c>
      <c r="D848" t="s">
        <v>762</v>
      </c>
      <c r="E848" t="s">
        <v>30</v>
      </c>
      <c r="F848" t="s">
        <v>31</v>
      </c>
      <c r="G848" t="s">
        <v>32</v>
      </c>
      <c r="H848" t="s">
        <v>42</v>
      </c>
      <c r="I848" s="2">
        <v>3</v>
      </c>
      <c r="J848" s="3">
        <v>55</v>
      </c>
      <c r="K848" s="4">
        <v>0</v>
      </c>
      <c r="L848" s="3">
        <v>165</v>
      </c>
      <c r="M848" t="b">
        <v>1</v>
      </c>
      <c r="N848" s="2">
        <f>YEAR(B848)</f>
        <v>2026</v>
      </c>
      <c r="O848" t="str">
        <f>INDEX(Agences!$C:$C,MATCH(F848,Agences!$A:$A,0))</f>
        <v>Ouest</v>
      </c>
      <c r="P848" t="str">
        <f>INDEX(Produits!$C:$C,MATCH(H848,Produits!$A:$A,0))</f>
        <v>Maintenance</v>
      </c>
      <c r="Q848" s="3">
        <f>I848*INDEX(Produits!$E:$E,MATCH(H848,Produits!$A:$A,0))</f>
        <v>74.25</v>
      </c>
      <c r="R848" s="3">
        <f>L848-Q848</f>
        <v>90.75</v>
      </c>
      <c r="S848" s="2">
        <f>NETWORKDAYS(B848,C848)-1</f>
        <v>1</v>
      </c>
      <c r="T848" s="1">
        <f>WORKDAY(B848,5)</f>
        <v>46162</v>
      </c>
      <c r="U848" t="b">
        <f>C848&gt;T848</f>
        <v>0</v>
      </c>
    </row>
    <row r="849" spans="1:21" x14ac:dyDescent="0.25">
      <c r="A849" t="s">
        <v>763</v>
      </c>
      <c r="B849" s="1">
        <v>46155</v>
      </c>
      <c r="C849" s="1">
        <v>46162</v>
      </c>
      <c r="D849" t="s">
        <v>654</v>
      </c>
      <c r="E849" t="s">
        <v>87</v>
      </c>
      <c r="F849" t="s">
        <v>88</v>
      </c>
      <c r="G849" t="s">
        <v>89</v>
      </c>
      <c r="H849" t="s">
        <v>233</v>
      </c>
      <c r="I849" s="2">
        <v>15</v>
      </c>
      <c r="J849" s="3">
        <v>27.5</v>
      </c>
      <c r="K849" s="4">
        <v>0</v>
      </c>
      <c r="L849" s="3">
        <v>412.5</v>
      </c>
      <c r="M849" t="b">
        <v>1</v>
      </c>
      <c r="N849" s="2">
        <f>YEAR(B849)</f>
        <v>2026</v>
      </c>
      <c r="O849" t="str">
        <f>INDEX(Agences!$C:$C,MATCH(F849,Agences!$A:$A,0))</f>
        <v>Sud-Ouest</v>
      </c>
      <c r="P849" t="str">
        <f>INDEX(Produits!$C:$C,MATCH(H849,Produits!$A:$A,0))</f>
        <v>Fournitures</v>
      </c>
      <c r="Q849" s="3">
        <f>I849*INDEX(Produits!$E:$E,MATCH(H849,Produits!$A:$A,0))</f>
        <v>231</v>
      </c>
      <c r="R849" s="3">
        <f>L849-Q849</f>
        <v>181.5</v>
      </c>
      <c r="S849" s="2">
        <f>NETWORKDAYS(B849,C849)-1</f>
        <v>5</v>
      </c>
      <c r="T849" s="1">
        <f>WORKDAY(B849,5)</f>
        <v>46162</v>
      </c>
      <c r="U849" t="b">
        <f>C849&gt;T849</f>
        <v>0</v>
      </c>
    </row>
    <row r="850" spans="1:21" x14ac:dyDescent="0.25">
      <c r="A850" t="s">
        <v>763</v>
      </c>
      <c r="B850" s="1">
        <v>46155</v>
      </c>
      <c r="C850" s="1">
        <v>46162</v>
      </c>
      <c r="D850" t="s">
        <v>654</v>
      </c>
      <c r="E850" t="s">
        <v>87</v>
      </c>
      <c r="F850" t="s">
        <v>88</v>
      </c>
      <c r="G850" t="s">
        <v>89</v>
      </c>
      <c r="H850" t="s">
        <v>107</v>
      </c>
      <c r="I850" s="2">
        <v>1</v>
      </c>
      <c r="J850" s="3">
        <v>99</v>
      </c>
      <c r="K850" s="4">
        <v>0.02</v>
      </c>
      <c r="L850" s="3">
        <v>97.02</v>
      </c>
      <c r="M850" t="b">
        <v>1</v>
      </c>
      <c r="N850" s="2">
        <f>YEAR(B850)</f>
        <v>2026</v>
      </c>
      <c r="O850" t="str">
        <f>INDEX(Agences!$C:$C,MATCH(F850,Agences!$A:$A,0))</f>
        <v>Sud-Ouest</v>
      </c>
      <c r="P850" t="str">
        <f>INDEX(Produits!$C:$C,MATCH(H850,Produits!$A:$A,0))</f>
        <v>Informatique</v>
      </c>
      <c r="Q850" s="3">
        <f>I850*INDEX(Produits!$E:$E,MATCH(H850,Produits!$A:$A,0))</f>
        <v>75.24</v>
      </c>
      <c r="R850" s="3">
        <f>L850-Q850</f>
        <v>21.78</v>
      </c>
      <c r="S850" s="2">
        <f>NETWORKDAYS(B850,C850)-1</f>
        <v>5</v>
      </c>
      <c r="T850" s="1">
        <f>WORKDAY(B850,5)</f>
        <v>46162</v>
      </c>
      <c r="U850" t="b">
        <f>C850&gt;T850</f>
        <v>0</v>
      </c>
    </row>
    <row r="851" spans="1:21" x14ac:dyDescent="0.25">
      <c r="A851" t="s">
        <v>763</v>
      </c>
      <c r="B851" s="1">
        <v>46155</v>
      </c>
      <c r="C851" s="1">
        <v>46162</v>
      </c>
      <c r="D851" t="s">
        <v>654</v>
      </c>
      <c r="E851" t="s">
        <v>87</v>
      </c>
      <c r="F851" t="s">
        <v>88</v>
      </c>
      <c r="G851" t="s">
        <v>89</v>
      </c>
      <c r="H851" t="s">
        <v>42</v>
      </c>
      <c r="I851" s="2">
        <v>1</v>
      </c>
      <c r="J851" s="3">
        <v>55</v>
      </c>
      <c r="K851" s="4">
        <v>0.08</v>
      </c>
      <c r="L851" s="3">
        <v>50.6</v>
      </c>
      <c r="M851" t="b">
        <v>1</v>
      </c>
      <c r="N851" s="2">
        <f>YEAR(B851)</f>
        <v>2026</v>
      </c>
      <c r="O851" t="str">
        <f>INDEX(Agences!$C:$C,MATCH(F851,Agences!$A:$A,0))</f>
        <v>Sud-Ouest</v>
      </c>
      <c r="P851" t="str">
        <f>INDEX(Produits!$C:$C,MATCH(H851,Produits!$A:$A,0))</f>
        <v>Maintenance</v>
      </c>
      <c r="Q851" s="3">
        <f>I851*INDEX(Produits!$E:$E,MATCH(H851,Produits!$A:$A,0))</f>
        <v>24.75</v>
      </c>
      <c r="R851" s="3">
        <f>L851-Q851</f>
        <v>25.85</v>
      </c>
      <c r="S851" s="2">
        <f>NETWORKDAYS(B851,C851)-1</f>
        <v>5</v>
      </c>
      <c r="T851" s="1">
        <f>WORKDAY(B851,5)</f>
        <v>46162</v>
      </c>
      <c r="U851" t="b">
        <f>C851&gt;T851</f>
        <v>0</v>
      </c>
    </row>
    <row r="852" spans="1:21" x14ac:dyDescent="0.25">
      <c r="A852" t="s">
        <v>764</v>
      </c>
      <c r="B852" s="1">
        <v>46155</v>
      </c>
      <c r="C852" s="1">
        <v>46157</v>
      </c>
      <c r="D852" t="s">
        <v>765</v>
      </c>
      <c r="E852" t="s">
        <v>419</v>
      </c>
      <c r="F852" t="s">
        <v>62</v>
      </c>
      <c r="G852" t="s">
        <v>106</v>
      </c>
      <c r="H852" t="s">
        <v>107</v>
      </c>
      <c r="I852" s="2">
        <v>3</v>
      </c>
      <c r="J852" s="3">
        <v>99</v>
      </c>
      <c r="K852" s="4">
        <v>0.28</v>
      </c>
      <c r="L852" s="3">
        <v>213.84</v>
      </c>
      <c r="M852" t="b">
        <v>1</v>
      </c>
      <c r="N852" s="2">
        <f>YEAR(B852)</f>
        <v>2026</v>
      </c>
      <c r="O852" t="str">
        <f>INDEX(Agences!$C:$C,MATCH(F852,Agences!$A:$A,0))</f>
        <v>Méditerranée</v>
      </c>
      <c r="P852" t="str">
        <f>INDEX(Produits!$C:$C,MATCH(H852,Produits!$A:$A,0))</f>
        <v>Informatique</v>
      </c>
      <c r="Q852" s="3">
        <f>I852*INDEX(Produits!$E:$E,MATCH(H852,Produits!$A:$A,0))</f>
        <v>225.71999999999997</v>
      </c>
      <c r="R852" s="3">
        <f>L852-Q852</f>
        <v>-11.879999999999967</v>
      </c>
      <c r="S852" s="2">
        <f>NETWORKDAYS(B852,C852)-1</f>
        <v>2</v>
      </c>
      <c r="T852" s="1">
        <f>WORKDAY(B852,5)</f>
        <v>46162</v>
      </c>
      <c r="U852" t="b">
        <f>C852&gt;T852</f>
        <v>0</v>
      </c>
    </row>
    <row r="853" spans="1:21" x14ac:dyDescent="0.25">
      <c r="A853" t="s">
        <v>764</v>
      </c>
      <c r="B853" s="1">
        <v>46155</v>
      </c>
      <c r="C853" s="1">
        <v>46157</v>
      </c>
      <c r="D853" t="s">
        <v>765</v>
      </c>
      <c r="E853" t="s">
        <v>419</v>
      </c>
      <c r="F853" t="s">
        <v>62</v>
      </c>
      <c r="G853" t="s">
        <v>106</v>
      </c>
      <c r="H853" t="s">
        <v>49</v>
      </c>
      <c r="I853" s="2">
        <v>1</v>
      </c>
      <c r="J853" s="3">
        <v>120</v>
      </c>
      <c r="K853" s="4">
        <v>0.25</v>
      </c>
      <c r="L853" s="3">
        <v>90</v>
      </c>
      <c r="M853" t="b">
        <v>1</v>
      </c>
      <c r="N853" s="2">
        <f>YEAR(B853)</f>
        <v>2026</v>
      </c>
      <c r="O853" t="str">
        <f>INDEX(Agences!$C:$C,MATCH(F853,Agences!$A:$A,0))</f>
        <v>Méditerranée</v>
      </c>
      <c r="P853" t="str">
        <f>INDEX(Produits!$C:$C,MATCH(H853,Produits!$A:$A,0))</f>
        <v>Maintenance</v>
      </c>
      <c r="Q853" s="3">
        <f>I853*INDEX(Produits!$E:$E,MATCH(H853,Produits!$A:$A,0))</f>
        <v>55.2</v>
      </c>
      <c r="R853" s="3">
        <f>L853-Q853</f>
        <v>34.8</v>
      </c>
      <c r="S853" s="2">
        <f>NETWORKDAYS(B853,C853)-1</f>
        <v>2</v>
      </c>
      <c r="T853" s="1">
        <f>WORKDAY(B853,5)</f>
        <v>46162</v>
      </c>
      <c r="U853" t="b">
        <f>C853&gt;T853</f>
        <v>0</v>
      </c>
    </row>
    <row r="854" spans="1:21" x14ac:dyDescent="0.25">
      <c r="A854" t="s">
        <v>764</v>
      </c>
      <c r="B854" s="1">
        <v>46155</v>
      </c>
      <c r="C854" s="1">
        <v>46157</v>
      </c>
      <c r="D854" t="s">
        <v>765</v>
      </c>
      <c r="E854" t="s">
        <v>419</v>
      </c>
      <c r="F854" t="s">
        <v>62</v>
      </c>
      <c r="G854" t="s">
        <v>106</v>
      </c>
      <c r="H854" t="s">
        <v>50</v>
      </c>
      <c r="I854" s="2">
        <v>3</v>
      </c>
      <c r="J854" s="3">
        <v>69</v>
      </c>
      <c r="K854" s="4">
        <v>0.2</v>
      </c>
      <c r="L854" s="3">
        <v>165.6</v>
      </c>
      <c r="M854" t="b">
        <v>1</v>
      </c>
      <c r="N854" s="2">
        <f>YEAR(B854)</f>
        <v>2026</v>
      </c>
      <c r="O854" t="str">
        <f>INDEX(Agences!$C:$C,MATCH(F854,Agences!$A:$A,0))</f>
        <v>Méditerranée</v>
      </c>
      <c r="P854" t="str">
        <f>INDEX(Produits!$C:$C,MATCH(H854,Produits!$A:$A,0))</f>
        <v>Informatique</v>
      </c>
      <c r="Q854" s="3">
        <f>I854*INDEX(Produits!$E:$E,MATCH(H854,Produits!$A:$A,0))</f>
        <v>163.53</v>
      </c>
      <c r="R854" s="3">
        <f>L854-Q854</f>
        <v>2.069999999999993</v>
      </c>
      <c r="S854" s="2">
        <f>NETWORKDAYS(B854,C854)-1</f>
        <v>2</v>
      </c>
      <c r="T854" s="1">
        <f>WORKDAY(B854,5)</f>
        <v>46162</v>
      </c>
      <c r="U854" t="b">
        <f>C854&gt;T854</f>
        <v>0</v>
      </c>
    </row>
    <row r="855" spans="1:21" x14ac:dyDescent="0.25">
      <c r="A855" t="s">
        <v>764</v>
      </c>
      <c r="B855" s="1">
        <v>46155</v>
      </c>
      <c r="C855" s="1">
        <v>46157</v>
      </c>
      <c r="D855" t="s">
        <v>765</v>
      </c>
      <c r="E855" t="s">
        <v>419</v>
      </c>
      <c r="F855" t="s">
        <v>62</v>
      </c>
      <c r="G855" t="s">
        <v>106</v>
      </c>
      <c r="H855" t="s">
        <v>34</v>
      </c>
      <c r="I855" s="2">
        <v>1</v>
      </c>
      <c r="J855" s="3">
        <v>340</v>
      </c>
      <c r="K855" s="4">
        <v>0.18</v>
      </c>
      <c r="L855" s="3">
        <v>278.8</v>
      </c>
      <c r="M855" t="b">
        <v>1</v>
      </c>
      <c r="N855" s="2">
        <f>YEAR(B855)</f>
        <v>2026</v>
      </c>
      <c r="O855" t="str">
        <f>INDEX(Agences!$C:$C,MATCH(F855,Agences!$A:$A,0))</f>
        <v>Méditerranée</v>
      </c>
      <c r="P855" t="str">
        <f>INDEX(Produits!$C:$C,MATCH(H855,Produits!$A:$A,0))</f>
        <v>Informatique</v>
      </c>
      <c r="Q855" s="3">
        <f>I855*INDEX(Produits!$E:$E,MATCH(H855,Produits!$A:$A,0))</f>
        <v>275.4</v>
      </c>
      <c r="R855" s="3">
        <f>L855-Q855</f>
        <v>3.400000000000034</v>
      </c>
      <c r="S855" s="2">
        <f>NETWORKDAYS(B855,C855)-1</f>
        <v>2</v>
      </c>
      <c r="T855" s="1">
        <f>WORKDAY(B855,5)</f>
        <v>46162</v>
      </c>
      <c r="U855" t="b">
        <f>C855&gt;T855</f>
        <v>0</v>
      </c>
    </row>
    <row r="856" spans="1:21" x14ac:dyDescent="0.25">
      <c r="A856" t="s">
        <v>764</v>
      </c>
      <c r="B856" s="1">
        <v>46155</v>
      </c>
      <c r="C856" s="1">
        <v>46157</v>
      </c>
      <c r="D856" t="s">
        <v>765</v>
      </c>
      <c r="E856" t="s">
        <v>419</v>
      </c>
      <c r="F856" t="s">
        <v>62</v>
      </c>
      <c r="G856" t="s">
        <v>106</v>
      </c>
      <c r="H856" t="s">
        <v>42</v>
      </c>
      <c r="I856" s="2">
        <v>1</v>
      </c>
      <c r="J856" s="3">
        <v>55</v>
      </c>
      <c r="K856" s="4">
        <v>0.18</v>
      </c>
      <c r="L856" s="3">
        <v>45.1</v>
      </c>
      <c r="M856" t="b">
        <v>1</v>
      </c>
      <c r="N856" s="2">
        <f>YEAR(B856)</f>
        <v>2026</v>
      </c>
      <c r="O856" t="str">
        <f>INDEX(Agences!$C:$C,MATCH(F856,Agences!$A:$A,0))</f>
        <v>Méditerranée</v>
      </c>
      <c r="P856" t="str">
        <f>INDEX(Produits!$C:$C,MATCH(H856,Produits!$A:$A,0))</f>
        <v>Maintenance</v>
      </c>
      <c r="Q856" s="3">
        <f>I856*INDEX(Produits!$E:$E,MATCH(H856,Produits!$A:$A,0))</f>
        <v>24.75</v>
      </c>
      <c r="R856" s="3">
        <f>L856-Q856</f>
        <v>20.35</v>
      </c>
      <c r="S856" s="2">
        <f>NETWORKDAYS(B856,C856)-1</f>
        <v>2</v>
      </c>
      <c r="T856" s="1">
        <f>WORKDAY(B856,5)</f>
        <v>46162</v>
      </c>
      <c r="U856" t="b">
        <f>C856&gt;T856</f>
        <v>0</v>
      </c>
    </row>
    <row r="857" spans="1:21" x14ac:dyDescent="0.25">
      <c r="A857" t="s">
        <v>766</v>
      </c>
      <c r="B857" s="1">
        <v>46155</v>
      </c>
      <c r="C857" s="1">
        <v>46156</v>
      </c>
      <c r="D857" t="s">
        <v>767</v>
      </c>
      <c r="E857" t="s">
        <v>93</v>
      </c>
      <c r="F857" t="s">
        <v>94</v>
      </c>
      <c r="G857" t="s">
        <v>154</v>
      </c>
      <c r="H857" t="s">
        <v>83</v>
      </c>
      <c r="I857" s="2">
        <v>1</v>
      </c>
      <c r="J857" s="3">
        <v>49</v>
      </c>
      <c r="K857" s="4">
        <v>0.02</v>
      </c>
      <c r="L857" s="3">
        <v>48.02</v>
      </c>
      <c r="M857" t="b">
        <v>1</v>
      </c>
      <c r="N857" s="2">
        <f>YEAR(B857)</f>
        <v>2026</v>
      </c>
      <c r="O857" t="str">
        <f>INDEX(Agences!$C:$C,MATCH(F857,Agences!$A:$A,0))</f>
        <v>Méditerranée</v>
      </c>
      <c r="P857" t="str">
        <f>INDEX(Produits!$C:$C,MATCH(H857,Produits!$A:$A,0))</f>
        <v>Mobilier</v>
      </c>
      <c r="Q857" s="3">
        <f>I857*INDEX(Produits!$E:$E,MATCH(H857,Produits!$A:$A,0))</f>
        <v>28.42</v>
      </c>
      <c r="R857" s="3">
        <f>L857-Q857</f>
        <v>19.6</v>
      </c>
      <c r="S857" s="2">
        <f>NETWORKDAYS(B857,C857)-1</f>
        <v>1</v>
      </c>
      <c r="T857" s="1">
        <f>WORKDAY(B857,5)</f>
        <v>46162</v>
      </c>
      <c r="U857" t="b">
        <f>C857&gt;T857</f>
        <v>0</v>
      </c>
    </row>
    <row r="858" spans="1:21" x14ac:dyDescent="0.25">
      <c r="A858" t="s">
        <v>766</v>
      </c>
      <c r="B858" s="1">
        <v>46155</v>
      </c>
      <c r="C858" s="1">
        <v>46156</v>
      </c>
      <c r="D858" t="s">
        <v>767</v>
      </c>
      <c r="E858" t="s">
        <v>93</v>
      </c>
      <c r="F858" t="s">
        <v>94</v>
      </c>
      <c r="G858" t="s">
        <v>154</v>
      </c>
      <c r="H858" t="s">
        <v>233</v>
      </c>
      <c r="I858" s="2">
        <v>5</v>
      </c>
      <c r="J858" s="3">
        <v>27.5</v>
      </c>
      <c r="K858" s="4">
        <v>0.05</v>
      </c>
      <c r="L858" s="3">
        <v>130.63</v>
      </c>
      <c r="M858" t="b">
        <v>1</v>
      </c>
      <c r="N858" s="2">
        <f>YEAR(B858)</f>
        <v>2026</v>
      </c>
      <c r="O858" t="str">
        <f>INDEX(Agences!$C:$C,MATCH(F858,Agences!$A:$A,0))</f>
        <v>Méditerranée</v>
      </c>
      <c r="P858" t="str">
        <f>INDEX(Produits!$C:$C,MATCH(H858,Produits!$A:$A,0))</f>
        <v>Fournitures</v>
      </c>
      <c r="Q858" s="3">
        <f>I858*INDEX(Produits!$E:$E,MATCH(H858,Produits!$A:$A,0))</f>
        <v>77</v>
      </c>
      <c r="R858" s="3">
        <f>L858-Q858</f>
        <v>53.629999999999995</v>
      </c>
      <c r="S858" s="2">
        <f>NETWORKDAYS(B858,C858)-1</f>
        <v>1</v>
      </c>
      <c r="T858" s="1">
        <f>WORKDAY(B858,5)</f>
        <v>46162</v>
      </c>
      <c r="U858" t="b">
        <f>C858&gt;T858</f>
        <v>0</v>
      </c>
    </row>
    <row r="859" spans="1:21" x14ac:dyDescent="0.25">
      <c r="A859" t="s">
        <v>768</v>
      </c>
      <c r="B859" s="1">
        <v>46154</v>
      </c>
      <c r="C859" s="1">
        <v>46160</v>
      </c>
      <c r="D859" t="s">
        <v>541</v>
      </c>
      <c r="E859" t="s">
        <v>339</v>
      </c>
      <c r="F859" t="s">
        <v>31</v>
      </c>
      <c r="G859" t="s">
        <v>186</v>
      </c>
      <c r="H859" t="s">
        <v>233</v>
      </c>
      <c r="I859" s="2">
        <v>10</v>
      </c>
      <c r="J859" s="3">
        <v>27.5</v>
      </c>
      <c r="K859" s="4">
        <v>0.02</v>
      </c>
      <c r="L859" s="3">
        <v>269.5</v>
      </c>
      <c r="M859" t="b">
        <v>1</v>
      </c>
      <c r="N859" s="2">
        <f>YEAR(B859)</f>
        <v>2026</v>
      </c>
      <c r="O859" t="str">
        <f>INDEX(Agences!$C:$C,MATCH(F859,Agences!$A:$A,0))</f>
        <v>Ouest</v>
      </c>
      <c r="P859" t="str">
        <f>INDEX(Produits!$C:$C,MATCH(H859,Produits!$A:$A,0))</f>
        <v>Fournitures</v>
      </c>
      <c r="Q859" s="3">
        <f>I859*INDEX(Produits!$E:$E,MATCH(H859,Produits!$A:$A,0))</f>
        <v>154</v>
      </c>
      <c r="R859" s="3">
        <f>L859-Q859</f>
        <v>115.5</v>
      </c>
      <c r="S859" s="2">
        <f>NETWORKDAYS(B859,C859)-1</f>
        <v>4</v>
      </c>
      <c r="T859" s="1">
        <f>WORKDAY(B859,5)</f>
        <v>46161</v>
      </c>
      <c r="U859" t="b">
        <f>C859&gt;T859</f>
        <v>0</v>
      </c>
    </row>
    <row r="860" spans="1:21" x14ac:dyDescent="0.25">
      <c r="A860" t="s">
        <v>768</v>
      </c>
      <c r="B860" s="1">
        <v>46154</v>
      </c>
      <c r="C860" s="1">
        <v>46160</v>
      </c>
      <c r="D860" t="s">
        <v>541</v>
      </c>
      <c r="E860" t="s">
        <v>339</v>
      </c>
      <c r="F860" t="s">
        <v>31</v>
      </c>
      <c r="G860" t="s">
        <v>186</v>
      </c>
      <c r="H860" t="s">
        <v>26</v>
      </c>
      <c r="I860" s="2">
        <v>1</v>
      </c>
      <c r="J860" s="3">
        <v>290</v>
      </c>
      <c r="K860" s="4">
        <v>0</v>
      </c>
      <c r="L860" s="3">
        <v>290</v>
      </c>
      <c r="M860" t="b">
        <v>1</v>
      </c>
      <c r="N860" s="2">
        <f>YEAR(B860)</f>
        <v>2026</v>
      </c>
      <c r="O860" t="str">
        <f>INDEX(Agences!$C:$C,MATCH(F860,Agences!$A:$A,0))</f>
        <v>Ouest</v>
      </c>
      <c r="P860" t="str">
        <f>INDEX(Produits!$C:$C,MATCH(H860,Produits!$A:$A,0))</f>
        <v>Maintenance</v>
      </c>
      <c r="Q860" s="3">
        <f>I860*INDEX(Produits!$E:$E,MATCH(H860,Produits!$A:$A,0))</f>
        <v>139.2</v>
      </c>
      <c r="R860" s="3">
        <f>L860-Q860</f>
        <v>150.8</v>
      </c>
      <c r="S860" s="2">
        <f>NETWORKDAYS(B860,C860)-1</f>
        <v>4</v>
      </c>
      <c r="T860" s="1">
        <f>WORKDAY(B860,5)</f>
        <v>46161</v>
      </c>
      <c r="U860" t="b">
        <f>C860&gt;T860</f>
        <v>0</v>
      </c>
    </row>
    <row r="861" spans="1:21" x14ac:dyDescent="0.25">
      <c r="A861" t="s">
        <v>768</v>
      </c>
      <c r="B861" s="1">
        <v>46154</v>
      </c>
      <c r="C861" s="1">
        <v>46160</v>
      </c>
      <c r="D861" t="s">
        <v>541</v>
      </c>
      <c r="E861" t="s">
        <v>339</v>
      </c>
      <c r="F861" t="s">
        <v>31</v>
      </c>
      <c r="G861" t="s">
        <v>186</v>
      </c>
      <c r="H861" t="s">
        <v>72</v>
      </c>
      <c r="I861" s="2">
        <v>1</v>
      </c>
      <c r="J861" s="3">
        <v>179</v>
      </c>
      <c r="K861" s="4">
        <v>0.05</v>
      </c>
      <c r="L861" s="3">
        <v>170.05</v>
      </c>
      <c r="M861" t="b">
        <v>1</v>
      </c>
      <c r="N861" s="2">
        <f>YEAR(B861)</f>
        <v>2026</v>
      </c>
      <c r="O861" t="str">
        <f>INDEX(Agences!$C:$C,MATCH(F861,Agences!$A:$A,0))</f>
        <v>Ouest</v>
      </c>
      <c r="P861" t="str">
        <f>INDEX(Produits!$C:$C,MATCH(H861,Produits!$A:$A,0))</f>
        <v>Informatique</v>
      </c>
      <c r="Q861" s="3">
        <f>I861*INDEX(Produits!$E:$E,MATCH(H861,Produits!$A:$A,0))</f>
        <v>146.78</v>
      </c>
      <c r="R861" s="3">
        <f>L861-Q861</f>
        <v>23.27000000000001</v>
      </c>
      <c r="S861" s="2">
        <f>NETWORKDAYS(B861,C861)-1</f>
        <v>4</v>
      </c>
      <c r="T861" s="1">
        <f>WORKDAY(B861,5)</f>
        <v>46161</v>
      </c>
      <c r="U861" t="b">
        <f>C861&gt;T861</f>
        <v>0</v>
      </c>
    </row>
    <row r="862" spans="1:21" x14ac:dyDescent="0.25">
      <c r="A862" t="s">
        <v>769</v>
      </c>
      <c r="B862" s="1">
        <v>46154</v>
      </c>
      <c r="C862" s="1">
        <v>46155</v>
      </c>
      <c r="D862" t="s">
        <v>770</v>
      </c>
      <c r="E862" t="s">
        <v>38</v>
      </c>
      <c r="F862" t="s">
        <v>39</v>
      </c>
      <c r="G862" t="s">
        <v>40</v>
      </c>
      <c r="H862" t="s">
        <v>50</v>
      </c>
      <c r="I862" s="2">
        <v>1</v>
      </c>
      <c r="J862" s="3">
        <v>69</v>
      </c>
      <c r="K862" s="4">
        <v>0.02</v>
      </c>
      <c r="L862" s="3">
        <v>67.62</v>
      </c>
      <c r="M862" t="b">
        <v>1</v>
      </c>
      <c r="N862" s="2">
        <f>YEAR(B862)</f>
        <v>2026</v>
      </c>
      <c r="O862" t="str">
        <f>INDEX(Agences!$C:$C,MATCH(F862,Agences!$A:$A,0))</f>
        <v>Sud-Ouest</v>
      </c>
      <c r="P862" t="str">
        <f>INDEX(Produits!$C:$C,MATCH(H862,Produits!$A:$A,0))</f>
        <v>Informatique</v>
      </c>
      <c r="Q862" s="3">
        <f>I862*INDEX(Produits!$E:$E,MATCH(H862,Produits!$A:$A,0))</f>
        <v>54.51</v>
      </c>
      <c r="R862" s="3">
        <f>L862-Q862</f>
        <v>13.110000000000007</v>
      </c>
      <c r="S862" s="2">
        <f>NETWORKDAYS(B862,C862)-1</f>
        <v>1</v>
      </c>
      <c r="T862" s="1">
        <f>WORKDAY(B862,5)</f>
        <v>46161</v>
      </c>
      <c r="U862" t="b">
        <f>C862&gt;T862</f>
        <v>0</v>
      </c>
    </row>
    <row r="863" spans="1:21" x14ac:dyDescent="0.25">
      <c r="A863" t="s">
        <v>769</v>
      </c>
      <c r="B863" s="1">
        <v>46154</v>
      </c>
      <c r="C863" s="1">
        <v>46155</v>
      </c>
      <c r="D863" t="s">
        <v>770</v>
      </c>
      <c r="E863" t="s">
        <v>38</v>
      </c>
      <c r="F863" t="s">
        <v>39</v>
      </c>
      <c r="G863" t="s">
        <v>40</v>
      </c>
      <c r="H863" t="s">
        <v>90</v>
      </c>
      <c r="I863" s="2">
        <v>5</v>
      </c>
      <c r="J863" s="3">
        <v>22.9</v>
      </c>
      <c r="K863" s="4">
        <v>0.05</v>
      </c>
      <c r="L863" s="3">
        <v>108.78</v>
      </c>
      <c r="M863" t="b">
        <v>1</v>
      </c>
      <c r="N863" s="2">
        <f>YEAR(B863)</f>
        <v>2026</v>
      </c>
      <c r="O863" t="str">
        <f>INDEX(Agences!$C:$C,MATCH(F863,Agences!$A:$A,0))</f>
        <v>Sud-Ouest</v>
      </c>
      <c r="P863" t="str">
        <f>INDEX(Produits!$C:$C,MATCH(H863,Produits!$A:$A,0))</f>
        <v>Fournitures</v>
      </c>
      <c r="Q863" s="3">
        <f>I863*INDEX(Produits!$E:$E,MATCH(H863,Produits!$A:$A,0))</f>
        <v>64.1</v>
      </c>
      <c r="R863" s="3">
        <f>L863-Q863</f>
        <v>44.68000000000001</v>
      </c>
      <c r="S863" s="2">
        <f>NETWORKDAYS(B863,C863)-1</f>
        <v>1</v>
      </c>
      <c r="T863" s="1">
        <f>WORKDAY(B863,5)</f>
        <v>46161</v>
      </c>
      <c r="U863" t="b">
        <f>C863&gt;T863</f>
        <v>0</v>
      </c>
    </row>
    <row r="864" spans="1:21" x14ac:dyDescent="0.25">
      <c r="A864" t="s">
        <v>769</v>
      </c>
      <c r="B864" s="1">
        <v>46154</v>
      </c>
      <c r="C864" s="1">
        <v>46155</v>
      </c>
      <c r="D864" t="s">
        <v>770</v>
      </c>
      <c r="E864" t="s">
        <v>38</v>
      </c>
      <c r="F864" t="s">
        <v>39</v>
      </c>
      <c r="G864" t="s">
        <v>40</v>
      </c>
      <c r="H864" t="s">
        <v>26</v>
      </c>
      <c r="I864" s="2">
        <v>1</v>
      </c>
      <c r="J864" s="3">
        <v>290</v>
      </c>
      <c r="K864" s="4">
        <v>0.08</v>
      </c>
      <c r="L864" s="3">
        <v>266.8</v>
      </c>
      <c r="M864" t="b">
        <v>1</v>
      </c>
      <c r="N864" s="2">
        <f>YEAR(B864)</f>
        <v>2026</v>
      </c>
      <c r="O864" t="str">
        <f>INDEX(Agences!$C:$C,MATCH(F864,Agences!$A:$A,0))</f>
        <v>Sud-Ouest</v>
      </c>
      <c r="P864" t="str">
        <f>INDEX(Produits!$C:$C,MATCH(H864,Produits!$A:$A,0))</f>
        <v>Maintenance</v>
      </c>
      <c r="Q864" s="3">
        <f>I864*INDEX(Produits!$E:$E,MATCH(H864,Produits!$A:$A,0))</f>
        <v>139.2</v>
      </c>
      <c r="R864" s="3">
        <f>L864-Q864</f>
        <v>127.60000000000002</v>
      </c>
      <c r="S864" s="2">
        <f>NETWORKDAYS(B864,C864)-1</f>
        <v>1</v>
      </c>
      <c r="T864" s="1">
        <f>WORKDAY(B864,5)</f>
        <v>46161</v>
      </c>
      <c r="U864" t="b">
        <f>C864&gt;T864</f>
        <v>0</v>
      </c>
    </row>
    <row r="865" spans="1:21" x14ac:dyDescent="0.25">
      <c r="A865" t="s">
        <v>771</v>
      </c>
      <c r="B865" s="1">
        <v>46154</v>
      </c>
      <c r="C865" s="1">
        <v>46157</v>
      </c>
      <c r="D865" t="s">
        <v>272</v>
      </c>
      <c r="E865" t="s">
        <v>225</v>
      </c>
      <c r="F865" t="s">
        <v>88</v>
      </c>
      <c r="G865" t="s">
        <v>142</v>
      </c>
      <c r="H865" t="s">
        <v>127</v>
      </c>
      <c r="I865" s="2">
        <v>1</v>
      </c>
      <c r="J865" s="3">
        <v>649</v>
      </c>
      <c r="K865" s="4">
        <v>0</v>
      </c>
      <c r="L865" s="3">
        <v>649</v>
      </c>
      <c r="M865" t="b">
        <v>1</v>
      </c>
      <c r="N865" s="2">
        <f>YEAR(B865)</f>
        <v>2026</v>
      </c>
      <c r="O865" t="str">
        <f>INDEX(Agences!$C:$C,MATCH(F865,Agences!$A:$A,0))</f>
        <v>Sud-Ouest</v>
      </c>
      <c r="P865" t="str">
        <f>INDEX(Produits!$C:$C,MATCH(H865,Produits!$A:$A,0))</f>
        <v>Informatique</v>
      </c>
      <c r="Q865" s="3">
        <f>I865*INDEX(Produits!$E:$E,MATCH(H865,Produits!$A:$A,0))</f>
        <v>480.26</v>
      </c>
      <c r="R865" s="3">
        <f>L865-Q865</f>
        <v>168.74</v>
      </c>
      <c r="S865" s="2">
        <f>NETWORKDAYS(B865,C865)-1</f>
        <v>3</v>
      </c>
      <c r="T865" s="1">
        <f>WORKDAY(B865,5)</f>
        <v>46161</v>
      </c>
      <c r="U865" t="b">
        <f>C865&gt;T865</f>
        <v>0</v>
      </c>
    </row>
    <row r="866" spans="1:21" x14ac:dyDescent="0.25">
      <c r="A866" t="s">
        <v>771</v>
      </c>
      <c r="B866" s="1">
        <v>46154</v>
      </c>
      <c r="C866" s="1">
        <v>46157</v>
      </c>
      <c r="D866" t="s">
        <v>272</v>
      </c>
      <c r="E866" t="s">
        <v>225</v>
      </c>
      <c r="F866" t="s">
        <v>88</v>
      </c>
      <c r="G866" t="s">
        <v>142</v>
      </c>
      <c r="H866" t="s">
        <v>42</v>
      </c>
      <c r="I866" s="2">
        <v>2</v>
      </c>
      <c r="J866" s="3">
        <v>55</v>
      </c>
      <c r="K866" s="4">
        <v>0.02</v>
      </c>
      <c r="L866" s="3">
        <v>107.8</v>
      </c>
      <c r="M866" t="b">
        <v>1</v>
      </c>
      <c r="N866" s="2">
        <f>YEAR(B866)</f>
        <v>2026</v>
      </c>
      <c r="O866" t="str">
        <f>INDEX(Agences!$C:$C,MATCH(F866,Agences!$A:$A,0))</f>
        <v>Sud-Ouest</v>
      </c>
      <c r="P866" t="str">
        <f>INDEX(Produits!$C:$C,MATCH(H866,Produits!$A:$A,0))</f>
        <v>Maintenance</v>
      </c>
      <c r="Q866" s="3">
        <f>I866*INDEX(Produits!$E:$E,MATCH(H866,Produits!$A:$A,0))</f>
        <v>49.5</v>
      </c>
      <c r="R866" s="3">
        <f>L866-Q866</f>
        <v>58.3</v>
      </c>
      <c r="S866" s="2">
        <f>NETWORKDAYS(B866,C866)-1</f>
        <v>3</v>
      </c>
      <c r="T866" s="1">
        <f>WORKDAY(B866,5)</f>
        <v>46161</v>
      </c>
      <c r="U866" t="b">
        <f>C866&gt;T866</f>
        <v>0</v>
      </c>
    </row>
    <row r="867" spans="1:21" x14ac:dyDescent="0.25">
      <c r="A867" t="s">
        <v>771</v>
      </c>
      <c r="B867" s="1">
        <v>46154</v>
      </c>
      <c r="C867" s="1">
        <v>46157</v>
      </c>
      <c r="D867" t="s">
        <v>272</v>
      </c>
      <c r="E867" t="s">
        <v>225</v>
      </c>
      <c r="F867" t="s">
        <v>88</v>
      </c>
      <c r="G867" t="s">
        <v>142</v>
      </c>
      <c r="H867" t="s">
        <v>49</v>
      </c>
      <c r="I867" s="2">
        <v>1</v>
      </c>
      <c r="J867" s="3">
        <v>120</v>
      </c>
      <c r="K867" s="4">
        <v>0</v>
      </c>
      <c r="L867" s="3">
        <v>120</v>
      </c>
      <c r="M867" t="b">
        <v>1</v>
      </c>
      <c r="N867" s="2">
        <f>YEAR(B867)</f>
        <v>2026</v>
      </c>
      <c r="O867" t="str">
        <f>INDEX(Agences!$C:$C,MATCH(F867,Agences!$A:$A,0))</f>
        <v>Sud-Ouest</v>
      </c>
      <c r="P867" t="str">
        <f>INDEX(Produits!$C:$C,MATCH(H867,Produits!$A:$A,0))</f>
        <v>Maintenance</v>
      </c>
      <c r="Q867" s="3">
        <f>I867*INDEX(Produits!$E:$E,MATCH(H867,Produits!$A:$A,0))</f>
        <v>55.2</v>
      </c>
      <c r="R867" s="3">
        <f>L867-Q867</f>
        <v>64.8</v>
      </c>
      <c r="S867" s="2">
        <f>NETWORKDAYS(B867,C867)-1</f>
        <v>3</v>
      </c>
      <c r="T867" s="1">
        <f>WORKDAY(B867,5)</f>
        <v>46161</v>
      </c>
      <c r="U867" t="b">
        <f>C867&gt;T867</f>
        <v>0</v>
      </c>
    </row>
    <row r="868" spans="1:21" x14ac:dyDescent="0.25">
      <c r="A868" t="s">
        <v>771</v>
      </c>
      <c r="B868" s="1">
        <v>46154</v>
      </c>
      <c r="C868" s="1">
        <v>46157</v>
      </c>
      <c r="D868" t="s">
        <v>272</v>
      </c>
      <c r="E868" t="s">
        <v>225</v>
      </c>
      <c r="F868" t="s">
        <v>88</v>
      </c>
      <c r="G868" t="s">
        <v>142</v>
      </c>
      <c r="H868" t="s">
        <v>196</v>
      </c>
      <c r="I868" s="2">
        <v>5</v>
      </c>
      <c r="J868" s="3">
        <v>18.5</v>
      </c>
      <c r="K868" s="4">
        <v>0</v>
      </c>
      <c r="L868" s="3">
        <v>92.5</v>
      </c>
      <c r="M868" t="b">
        <v>1</v>
      </c>
      <c r="N868" s="2">
        <f>YEAR(B868)</f>
        <v>2026</v>
      </c>
      <c r="O868" t="str">
        <f>INDEX(Agences!$C:$C,MATCH(F868,Agences!$A:$A,0))</f>
        <v>Sud-Ouest</v>
      </c>
      <c r="P868" t="str">
        <f>INDEX(Produits!$C:$C,MATCH(H868,Produits!$A:$A,0))</f>
        <v>Fournitures</v>
      </c>
      <c r="Q868" s="3">
        <f>I868*INDEX(Produits!$E:$E,MATCH(H868,Produits!$A:$A,0))</f>
        <v>47.199999999999996</v>
      </c>
      <c r="R868" s="3">
        <f>L868-Q868</f>
        <v>45.300000000000004</v>
      </c>
      <c r="S868" s="2">
        <f>NETWORKDAYS(B868,C868)-1</f>
        <v>3</v>
      </c>
      <c r="T868" s="1">
        <f>WORKDAY(B868,5)</f>
        <v>46161</v>
      </c>
      <c r="U868" t="b">
        <f>C868&gt;T868</f>
        <v>0</v>
      </c>
    </row>
    <row r="869" spans="1:21" x14ac:dyDescent="0.25">
      <c r="A869" t="s">
        <v>772</v>
      </c>
      <c r="B869" s="1">
        <v>46154</v>
      </c>
      <c r="C869" s="1">
        <v>46162</v>
      </c>
      <c r="D869" t="s">
        <v>773</v>
      </c>
      <c r="E869" t="s">
        <v>229</v>
      </c>
      <c r="F869" t="s">
        <v>55</v>
      </c>
      <c r="G869" t="s">
        <v>195</v>
      </c>
      <c r="H869" t="s">
        <v>64</v>
      </c>
      <c r="I869" s="2">
        <v>10</v>
      </c>
      <c r="J869" s="3">
        <v>16.8</v>
      </c>
      <c r="K869" s="4">
        <v>0.05</v>
      </c>
      <c r="L869" s="3">
        <v>159.6</v>
      </c>
      <c r="M869" t="b">
        <v>1</v>
      </c>
      <c r="N869" s="2">
        <f>YEAR(B869)</f>
        <v>2026</v>
      </c>
      <c r="O869" t="str">
        <f>INDEX(Agences!$C:$C,MATCH(F869,Agences!$A:$A,0))</f>
        <v>Est</v>
      </c>
      <c r="P869" t="str">
        <f>INDEX(Produits!$C:$C,MATCH(H869,Produits!$A:$A,0))</f>
        <v>Fournitures</v>
      </c>
      <c r="Q869" s="3">
        <f>I869*INDEX(Produits!$E:$E,MATCH(H869,Produits!$A:$A,0))</f>
        <v>87.4</v>
      </c>
      <c r="R869" s="3">
        <f>L869-Q869</f>
        <v>72.19999999999999</v>
      </c>
      <c r="S869" s="2">
        <f>NETWORKDAYS(B869,C869)-1</f>
        <v>6</v>
      </c>
      <c r="T869" s="1">
        <f>WORKDAY(B869,5)</f>
        <v>46161</v>
      </c>
      <c r="U869" t="b">
        <f>C869&gt;T869</f>
        <v>1</v>
      </c>
    </row>
    <row r="870" spans="1:21" x14ac:dyDescent="0.25">
      <c r="A870" t="s">
        <v>772</v>
      </c>
      <c r="B870" s="1">
        <v>46154</v>
      </c>
      <c r="C870" s="1">
        <v>46162</v>
      </c>
      <c r="D870" t="s">
        <v>773</v>
      </c>
      <c r="E870" t="s">
        <v>229</v>
      </c>
      <c r="F870" t="s">
        <v>55</v>
      </c>
      <c r="G870" t="s">
        <v>195</v>
      </c>
      <c r="H870" t="s">
        <v>33</v>
      </c>
      <c r="I870" s="2">
        <v>3</v>
      </c>
      <c r="J870" s="3">
        <v>219</v>
      </c>
      <c r="K870" s="4">
        <v>0</v>
      </c>
      <c r="L870" s="3">
        <v>657</v>
      </c>
      <c r="M870" t="b">
        <v>1</v>
      </c>
      <c r="N870" s="2">
        <f>YEAR(B870)</f>
        <v>2026</v>
      </c>
      <c r="O870" t="str">
        <f>INDEX(Agences!$C:$C,MATCH(F870,Agences!$A:$A,0))</f>
        <v>Est</v>
      </c>
      <c r="P870" t="str">
        <f>INDEX(Produits!$C:$C,MATCH(H870,Produits!$A:$A,0))</f>
        <v>Informatique</v>
      </c>
      <c r="Q870" s="3">
        <f>I870*INDEX(Produits!$E:$E,MATCH(H870,Produits!$A:$A,0))</f>
        <v>538.74</v>
      </c>
      <c r="R870" s="3">
        <f>L870-Q870</f>
        <v>118.25999999999999</v>
      </c>
      <c r="S870" s="2">
        <f>NETWORKDAYS(B870,C870)-1</f>
        <v>6</v>
      </c>
      <c r="T870" s="1">
        <f>WORKDAY(B870,5)</f>
        <v>46161</v>
      </c>
      <c r="U870" t="b">
        <f>C870&gt;T870</f>
        <v>1</v>
      </c>
    </row>
    <row r="871" spans="1:21" x14ac:dyDescent="0.25">
      <c r="A871" t="s">
        <v>774</v>
      </c>
      <c r="B871" s="1">
        <v>46150</v>
      </c>
      <c r="C871" s="1">
        <v>46154</v>
      </c>
      <c r="D871" t="s">
        <v>775</v>
      </c>
      <c r="E871" t="s">
        <v>137</v>
      </c>
      <c r="F871" t="s">
        <v>138</v>
      </c>
      <c r="G871" t="s">
        <v>220</v>
      </c>
      <c r="H871" t="s">
        <v>107</v>
      </c>
      <c r="I871" s="2">
        <v>4</v>
      </c>
      <c r="J871" s="3">
        <v>99</v>
      </c>
      <c r="K871" s="4">
        <v>0</v>
      </c>
      <c r="L871" s="3">
        <v>396</v>
      </c>
      <c r="M871" t="b">
        <v>1</v>
      </c>
      <c r="N871" s="2">
        <f>YEAR(B871)</f>
        <v>2026</v>
      </c>
      <c r="O871" t="str">
        <f>INDEX(Agences!$C:$C,MATCH(F871,Agences!$A:$A,0))</f>
        <v>Île-de-France</v>
      </c>
      <c r="P871" t="str">
        <f>INDEX(Produits!$C:$C,MATCH(H871,Produits!$A:$A,0))</f>
        <v>Informatique</v>
      </c>
      <c r="Q871" s="3">
        <f>I871*INDEX(Produits!$E:$E,MATCH(H871,Produits!$A:$A,0))</f>
        <v>300.96</v>
      </c>
      <c r="R871" s="3">
        <f>L871-Q871</f>
        <v>95.04000000000002</v>
      </c>
      <c r="S871" s="2">
        <f>NETWORKDAYS(B871,C871)-1</f>
        <v>2</v>
      </c>
      <c r="T871" s="1">
        <f>WORKDAY(B871,5)</f>
        <v>46157</v>
      </c>
      <c r="U871" t="b">
        <f>C871&gt;T871</f>
        <v>0</v>
      </c>
    </row>
    <row r="872" spans="1:21" x14ac:dyDescent="0.25">
      <c r="A872" t="s">
        <v>776</v>
      </c>
      <c r="B872" s="1">
        <v>46150</v>
      </c>
      <c r="C872" s="1">
        <v>46154</v>
      </c>
      <c r="D872" t="s">
        <v>777</v>
      </c>
      <c r="E872" t="s">
        <v>256</v>
      </c>
      <c r="F872" t="s">
        <v>88</v>
      </c>
      <c r="G872" t="s">
        <v>226</v>
      </c>
      <c r="H872" t="s">
        <v>205</v>
      </c>
      <c r="I872" s="2">
        <v>6</v>
      </c>
      <c r="J872" s="3">
        <v>359</v>
      </c>
      <c r="K872" s="4">
        <v>0.05</v>
      </c>
      <c r="L872" s="3">
        <v>2046.3</v>
      </c>
      <c r="M872" t="b">
        <v>1</v>
      </c>
      <c r="N872" s="2">
        <f>YEAR(B872)</f>
        <v>2026</v>
      </c>
      <c r="O872" t="str">
        <f>INDEX(Agences!$C:$C,MATCH(F872,Agences!$A:$A,0))</f>
        <v>Sud-Ouest</v>
      </c>
      <c r="P872" t="str">
        <f>INDEX(Produits!$C:$C,MATCH(H872,Produits!$A:$A,0))</f>
        <v>Mobilier</v>
      </c>
      <c r="Q872" s="3">
        <f>I872*INDEX(Produits!$E:$E,MATCH(H872,Produits!$A:$A,0))</f>
        <v>1227.78</v>
      </c>
      <c r="R872" s="3">
        <f>L872-Q872</f>
        <v>818.52</v>
      </c>
      <c r="S872" s="2">
        <f>NETWORKDAYS(B872,C872)-1</f>
        <v>2</v>
      </c>
      <c r="T872" s="1">
        <f>WORKDAY(B872,5)</f>
        <v>46157</v>
      </c>
      <c r="U872" t="b">
        <f>C872&gt;T872</f>
        <v>0</v>
      </c>
    </row>
    <row r="873" spans="1:21" x14ac:dyDescent="0.25">
      <c r="A873" t="s">
        <v>776</v>
      </c>
      <c r="B873" s="1">
        <v>46150</v>
      </c>
      <c r="C873" s="1">
        <v>46154</v>
      </c>
      <c r="D873" t="s">
        <v>777</v>
      </c>
      <c r="E873" t="s">
        <v>256</v>
      </c>
      <c r="F873" t="s">
        <v>88</v>
      </c>
      <c r="G873" t="s">
        <v>226</v>
      </c>
      <c r="H873" t="s">
        <v>107</v>
      </c>
      <c r="I873" s="2">
        <v>1</v>
      </c>
      <c r="J873" s="3">
        <v>99</v>
      </c>
      <c r="K873" s="4">
        <v>0.02</v>
      </c>
      <c r="L873" s="3">
        <v>97.02</v>
      </c>
      <c r="M873" t="b">
        <v>1</v>
      </c>
      <c r="N873" s="2">
        <f>YEAR(B873)</f>
        <v>2026</v>
      </c>
      <c r="O873" t="str">
        <f>INDEX(Agences!$C:$C,MATCH(F873,Agences!$A:$A,0))</f>
        <v>Sud-Ouest</v>
      </c>
      <c r="P873" t="str">
        <f>INDEX(Produits!$C:$C,MATCH(H873,Produits!$A:$A,0))</f>
        <v>Informatique</v>
      </c>
      <c r="Q873" s="3">
        <f>I873*INDEX(Produits!$E:$E,MATCH(H873,Produits!$A:$A,0))</f>
        <v>75.24</v>
      </c>
      <c r="R873" s="3">
        <f>L873-Q873</f>
        <v>21.78</v>
      </c>
      <c r="S873" s="2">
        <f>NETWORKDAYS(B873,C873)-1</f>
        <v>2</v>
      </c>
      <c r="T873" s="1">
        <f>WORKDAY(B873,5)</f>
        <v>46157</v>
      </c>
      <c r="U873" t="b">
        <f>C873&gt;T873</f>
        <v>0</v>
      </c>
    </row>
    <row r="874" spans="1:21" x14ac:dyDescent="0.25">
      <c r="A874" t="s">
        <v>776</v>
      </c>
      <c r="B874" s="1">
        <v>46150</v>
      </c>
      <c r="C874" s="1">
        <v>46154</v>
      </c>
      <c r="D874" t="s">
        <v>777</v>
      </c>
      <c r="E874" t="s">
        <v>256</v>
      </c>
      <c r="F874" t="s">
        <v>88</v>
      </c>
      <c r="G874" t="s">
        <v>226</v>
      </c>
      <c r="H874" t="s">
        <v>42</v>
      </c>
      <c r="I874" s="2">
        <v>1</v>
      </c>
      <c r="J874" s="3">
        <v>55</v>
      </c>
      <c r="K874" s="4">
        <v>0.02</v>
      </c>
      <c r="L874" s="3">
        <v>53.9</v>
      </c>
      <c r="M874" t="b">
        <v>1</v>
      </c>
      <c r="N874" s="2">
        <f>YEAR(B874)</f>
        <v>2026</v>
      </c>
      <c r="O874" t="str">
        <f>INDEX(Agences!$C:$C,MATCH(F874,Agences!$A:$A,0))</f>
        <v>Sud-Ouest</v>
      </c>
      <c r="P874" t="str">
        <f>INDEX(Produits!$C:$C,MATCH(H874,Produits!$A:$A,0))</f>
        <v>Maintenance</v>
      </c>
      <c r="Q874" s="3">
        <f>I874*INDEX(Produits!$E:$E,MATCH(H874,Produits!$A:$A,0))</f>
        <v>24.75</v>
      </c>
      <c r="R874" s="3">
        <f>L874-Q874</f>
        <v>29.15</v>
      </c>
      <c r="S874" s="2">
        <f>NETWORKDAYS(B874,C874)-1</f>
        <v>2</v>
      </c>
      <c r="T874" s="1">
        <f>WORKDAY(B874,5)</f>
        <v>46157</v>
      </c>
      <c r="U874" t="b">
        <f>C874&gt;T874</f>
        <v>0</v>
      </c>
    </row>
    <row r="875" spans="1:21" x14ac:dyDescent="0.25">
      <c r="A875" t="s">
        <v>778</v>
      </c>
      <c r="B875" s="1">
        <v>46150</v>
      </c>
      <c r="C875" s="1">
        <v>46154</v>
      </c>
      <c r="D875" t="s">
        <v>258</v>
      </c>
      <c r="E875" t="s">
        <v>61</v>
      </c>
      <c r="F875" t="s">
        <v>62</v>
      </c>
      <c r="G875" t="s">
        <v>68</v>
      </c>
      <c r="H875" t="s">
        <v>107</v>
      </c>
      <c r="I875" s="2">
        <v>1</v>
      </c>
      <c r="J875" s="3">
        <v>99</v>
      </c>
      <c r="K875" s="4">
        <v>0</v>
      </c>
      <c r="L875" s="3">
        <v>99</v>
      </c>
      <c r="M875" t="b">
        <v>1</v>
      </c>
      <c r="N875" s="2">
        <f>YEAR(B875)</f>
        <v>2026</v>
      </c>
      <c r="O875" t="str">
        <f>INDEX(Agences!$C:$C,MATCH(F875,Agences!$A:$A,0))</f>
        <v>Méditerranée</v>
      </c>
      <c r="P875" t="str">
        <f>INDEX(Produits!$C:$C,MATCH(H875,Produits!$A:$A,0))</f>
        <v>Informatique</v>
      </c>
      <c r="Q875" s="3">
        <f>I875*INDEX(Produits!$E:$E,MATCH(H875,Produits!$A:$A,0))</f>
        <v>75.24</v>
      </c>
      <c r="R875" s="3">
        <f>L875-Q875</f>
        <v>23.760000000000005</v>
      </c>
      <c r="S875" s="2">
        <f>NETWORKDAYS(B875,C875)-1</f>
        <v>2</v>
      </c>
      <c r="T875" s="1">
        <f>WORKDAY(B875,5)</f>
        <v>46157</v>
      </c>
      <c r="U875" t="b">
        <f>C875&gt;T875</f>
        <v>0</v>
      </c>
    </row>
    <row r="876" spans="1:21" x14ac:dyDescent="0.25">
      <c r="A876" t="s">
        <v>778</v>
      </c>
      <c r="B876" s="1">
        <v>46150</v>
      </c>
      <c r="C876" s="1">
        <v>46154</v>
      </c>
      <c r="D876" t="s">
        <v>258</v>
      </c>
      <c r="E876" t="s">
        <v>61</v>
      </c>
      <c r="F876" t="s">
        <v>62</v>
      </c>
      <c r="G876" t="s">
        <v>68</v>
      </c>
      <c r="H876" t="s">
        <v>83</v>
      </c>
      <c r="I876" s="2">
        <v>2</v>
      </c>
      <c r="J876" s="3">
        <v>49</v>
      </c>
      <c r="K876" s="4">
        <v>0.05</v>
      </c>
      <c r="L876" s="3">
        <v>93.1</v>
      </c>
      <c r="M876" t="b">
        <v>1</v>
      </c>
      <c r="N876" s="2">
        <f>YEAR(B876)</f>
        <v>2026</v>
      </c>
      <c r="O876" t="str">
        <f>INDEX(Agences!$C:$C,MATCH(F876,Agences!$A:$A,0))</f>
        <v>Méditerranée</v>
      </c>
      <c r="P876" t="str">
        <f>INDEX(Produits!$C:$C,MATCH(H876,Produits!$A:$A,0))</f>
        <v>Mobilier</v>
      </c>
      <c r="Q876" s="3">
        <f>I876*INDEX(Produits!$E:$E,MATCH(H876,Produits!$A:$A,0))</f>
        <v>56.84</v>
      </c>
      <c r="R876" s="3">
        <f>L876-Q876</f>
        <v>36.25999999999999</v>
      </c>
      <c r="S876" s="2">
        <f>NETWORKDAYS(B876,C876)-1</f>
        <v>2</v>
      </c>
      <c r="T876" s="1">
        <f>WORKDAY(B876,5)</f>
        <v>46157</v>
      </c>
      <c r="U876" t="b">
        <f>C876&gt;T876</f>
        <v>0</v>
      </c>
    </row>
    <row r="877" spans="1:21" x14ac:dyDescent="0.25">
      <c r="A877" t="s">
        <v>779</v>
      </c>
      <c r="B877" s="1">
        <v>46149</v>
      </c>
      <c r="C877" s="1">
        <v>46150</v>
      </c>
      <c r="D877" t="s">
        <v>332</v>
      </c>
      <c r="E877" t="s">
        <v>333</v>
      </c>
      <c r="F877" t="s">
        <v>138</v>
      </c>
      <c r="G877" t="s">
        <v>139</v>
      </c>
      <c r="H877" t="s">
        <v>108</v>
      </c>
      <c r="I877" s="2">
        <v>15</v>
      </c>
      <c r="J877" s="3">
        <v>24.5</v>
      </c>
      <c r="K877" s="4">
        <v>0.05</v>
      </c>
      <c r="L877" s="3">
        <v>349.13</v>
      </c>
      <c r="M877" t="b">
        <v>1</v>
      </c>
      <c r="N877" s="2">
        <f>YEAR(B877)</f>
        <v>2026</v>
      </c>
      <c r="O877" t="str">
        <f>INDEX(Agences!$C:$C,MATCH(F877,Agences!$A:$A,0))</f>
        <v>Île-de-France</v>
      </c>
      <c r="P877" t="str">
        <f>INDEX(Produits!$C:$C,MATCH(H877,Produits!$A:$A,0))</f>
        <v>Fournitures</v>
      </c>
      <c r="Q877" s="3">
        <f>I877*INDEX(Produits!$E:$E,MATCH(H877,Produits!$A:$A,0))</f>
        <v>220.5</v>
      </c>
      <c r="R877" s="3">
        <f>L877-Q877</f>
        <v>128.63</v>
      </c>
      <c r="S877" s="2">
        <f>NETWORKDAYS(B877,C877)-1</f>
        <v>1</v>
      </c>
      <c r="T877" s="1">
        <f>WORKDAY(B877,5)</f>
        <v>46156</v>
      </c>
      <c r="U877" t="b">
        <f>C877&gt;T877</f>
        <v>0</v>
      </c>
    </row>
    <row r="878" spans="1:21" x14ac:dyDescent="0.25">
      <c r="A878" t="s">
        <v>780</v>
      </c>
      <c r="B878" s="1">
        <v>46149</v>
      </c>
      <c r="C878" s="1">
        <v>46154</v>
      </c>
      <c r="D878" t="s">
        <v>781</v>
      </c>
      <c r="E878" t="s">
        <v>256</v>
      </c>
      <c r="F878" t="s">
        <v>88</v>
      </c>
      <c r="G878" t="s">
        <v>142</v>
      </c>
      <c r="H878" t="s">
        <v>319</v>
      </c>
      <c r="I878" s="2">
        <v>1</v>
      </c>
      <c r="J878" s="3">
        <v>289</v>
      </c>
      <c r="K878" s="4">
        <v>0</v>
      </c>
      <c r="L878" s="3">
        <v>289</v>
      </c>
      <c r="M878" t="b">
        <v>1</v>
      </c>
      <c r="N878" s="2">
        <f>YEAR(B878)</f>
        <v>2026</v>
      </c>
      <c r="O878" t="str">
        <f>INDEX(Agences!$C:$C,MATCH(F878,Agences!$A:$A,0))</f>
        <v>Sud-Ouest</v>
      </c>
      <c r="P878" t="str">
        <f>INDEX(Produits!$C:$C,MATCH(H878,Produits!$A:$A,0))</f>
        <v>Informatique</v>
      </c>
      <c r="Q878" s="3">
        <f>I878*INDEX(Produits!$E:$E,MATCH(H878,Produits!$A:$A,0))</f>
        <v>213.86</v>
      </c>
      <c r="R878" s="3">
        <f>L878-Q878</f>
        <v>75.13999999999999</v>
      </c>
      <c r="S878" s="2">
        <f>NETWORKDAYS(B878,C878)-1</f>
        <v>3</v>
      </c>
      <c r="T878" s="1">
        <f>WORKDAY(B878,5)</f>
        <v>46156</v>
      </c>
      <c r="U878" t="b">
        <f>C878&gt;T878</f>
        <v>0</v>
      </c>
    </row>
    <row r="879" spans="1:21" x14ac:dyDescent="0.25">
      <c r="A879" t="s">
        <v>782</v>
      </c>
      <c r="B879" s="1">
        <v>46149</v>
      </c>
      <c r="C879" s="1">
        <v>46155</v>
      </c>
      <c r="D879" t="s">
        <v>619</v>
      </c>
      <c r="E879" t="s">
        <v>191</v>
      </c>
      <c r="F879" t="s">
        <v>62</v>
      </c>
      <c r="G879" t="s">
        <v>106</v>
      </c>
      <c r="H879" t="s">
        <v>205</v>
      </c>
      <c r="I879" s="2">
        <v>3</v>
      </c>
      <c r="J879" s="3">
        <v>359</v>
      </c>
      <c r="K879" s="4">
        <v>0.18</v>
      </c>
      <c r="L879" s="3">
        <v>883.14</v>
      </c>
      <c r="M879" t="b">
        <v>1</v>
      </c>
      <c r="N879" s="2">
        <f>YEAR(B879)</f>
        <v>2026</v>
      </c>
      <c r="O879" t="str">
        <f>INDEX(Agences!$C:$C,MATCH(F879,Agences!$A:$A,0))</f>
        <v>Méditerranée</v>
      </c>
      <c r="P879" t="str">
        <f>INDEX(Produits!$C:$C,MATCH(H879,Produits!$A:$A,0))</f>
        <v>Mobilier</v>
      </c>
      <c r="Q879" s="3">
        <f>I879*INDEX(Produits!$E:$E,MATCH(H879,Produits!$A:$A,0))</f>
        <v>613.89</v>
      </c>
      <c r="R879" s="3">
        <f>L879-Q879</f>
        <v>269.25</v>
      </c>
      <c r="S879" s="2">
        <f>NETWORKDAYS(B879,C879)-1</f>
        <v>4</v>
      </c>
      <c r="T879" s="1">
        <f>WORKDAY(B879,5)</f>
        <v>46156</v>
      </c>
      <c r="U879" t="b">
        <f>C879&gt;T879</f>
        <v>0</v>
      </c>
    </row>
    <row r="880" spans="1:21" x14ac:dyDescent="0.25">
      <c r="A880" t="s">
        <v>782</v>
      </c>
      <c r="B880" s="1">
        <v>46149</v>
      </c>
      <c r="C880" s="1">
        <v>46155</v>
      </c>
      <c r="D880" t="s">
        <v>619</v>
      </c>
      <c r="E880" t="s">
        <v>191</v>
      </c>
      <c r="F880" t="s">
        <v>62</v>
      </c>
      <c r="G880" t="s">
        <v>106</v>
      </c>
      <c r="H880" t="s">
        <v>49</v>
      </c>
      <c r="I880" s="2">
        <v>1</v>
      </c>
      <c r="J880" s="3">
        <v>120</v>
      </c>
      <c r="K880" s="4">
        <v>0.25</v>
      </c>
      <c r="L880" s="3">
        <v>90</v>
      </c>
      <c r="M880" t="b">
        <v>1</v>
      </c>
      <c r="N880" s="2">
        <f>YEAR(B880)</f>
        <v>2026</v>
      </c>
      <c r="O880" t="str">
        <f>INDEX(Agences!$C:$C,MATCH(F880,Agences!$A:$A,0))</f>
        <v>Méditerranée</v>
      </c>
      <c r="P880" t="str">
        <f>INDEX(Produits!$C:$C,MATCH(H880,Produits!$A:$A,0))</f>
        <v>Maintenance</v>
      </c>
      <c r="Q880" s="3">
        <f>I880*INDEX(Produits!$E:$E,MATCH(H880,Produits!$A:$A,0))</f>
        <v>55.2</v>
      </c>
      <c r="R880" s="3">
        <f>L880-Q880</f>
        <v>34.8</v>
      </c>
      <c r="S880" s="2">
        <f>NETWORKDAYS(B880,C880)-1</f>
        <v>4</v>
      </c>
      <c r="T880" s="1">
        <f>WORKDAY(B880,5)</f>
        <v>46156</v>
      </c>
      <c r="U880" t="b">
        <f>C880&gt;T880</f>
        <v>0</v>
      </c>
    </row>
    <row r="881" spans="1:21" x14ac:dyDescent="0.25">
      <c r="A881" t="s">
        <v>783</v>
      </c>
      <c r="B881" s="1">
        <v>46149</v>
      </c>
      <c r="C881" s="1">
        <v>46156</v>
      </c>
      <c r="D881" t="s">
        <v>784</v>
      </c>
      <c r="E881" t="s">
        <v>153</v>
      </c>
      <c r="F881" t="s">
        <v>94</v>
      </c>
      <c r="G881" t="s">
        <v>95</v>
      </c>
      <c r="H881" t="s">
        <v>27</v>
      </c>
      <c r="I881" s="2">
        <v>1</v>
      </c>
      <c r="J881" s="3">
        <v>310</v>
      </c>
      <c r="K881" s="4">
        <v>0</v>
      </c>
      <c r="L881" s="3">
        <v>310</v>
      </c>
      <c r="M881" t="b">
        <v>1</v>
      </c>
      <c r="N881" s="2">
        <f>YEAR(B881)</f>
        <v>2026</v>
      </c>
      <c r="O881" t="str">
        <f>INDEX(Agences!$C:$C,MATCH(F881,Agences!$A:$A,0))</f>
        <v>Méditerranée</v>
      </c>
      <c r="P881" t="str">
        <f>INDEX(Produits!$C:$C,MATCH(H881,Produits!$A:$A,0))</f>
        <v>Mobilier</v>
      </c>
      <c r="Q881" s="3">
        <f>I881*INDEX(Produits!$E:$E,MATCH(H881,Produits!$A:$A,0))</f>
        <v>186</v>
      </c>
      <c r="R881" s="3">
        <f>L881-Q881</f>
        <v>124</v>
      </c>
      <c r="S881" s="2">
        <f>NETWORKDAYS(B881,C881)-1</f>
        <v>5</v>
      </c>
      <c r="T881" s="1">
        <f>WORKDAY(B881,5)</f>
        <v>46156</v>
      </c>
      <c r="U881" t="b">
        <f>C881&gt;T881</f>
        <v>0</v>
      </c>
    </row>
    <row r="882" spans="1:21" x14ac:dyDescent="0.25">
      <c r="A882" t="s">
        <v>783</v>
      </c>
      <c r="B882" s="1">
        <v>46149</v>
      </c>
      <c r="C882" s="1">
        <v>46156</v>
      </c>
      <c r="D882" t="s">
        <v>784</v>
      </c>
      <c r="E882" t="s">
        <v>153</v>
      </c>
      <c r="F882" t="s">
        <v>94</v>
      </c>
      <c r="G882" t="s">
        <v>95</v>
      </c>
      <c r="H882" t="s">
        <v>107</v>
      </c>
      <c r="I882" s="2">
        <v>2</v>
      </c>
      <c r="J882" s="3">
        <v>99</v>
      </c>
      <c r="K882" s="4">
        <v>0</v>
      </c>
      <c r="L882" s="3">
        <v>198</v>
      </c>
      <c r="M882" t="b">
        <v>1</v>
      </c>
      <c r="N882" s="2">
        <f>YEAR(B882)</f>
        <v>2026</v>
      </c>
      <c r="O882" t="str">
        <f>INDEX(Agences!$C:$C,MATCH(F882,Agences!$A:$A,0))</f>
        <v>Méditerranée</v>
      </c>
      <c r="P882" t="str">
        <f>INDEX(Produits!$C:$C,MATCH(H882,Produits!$A:$A,0))</f>
        <v>Informatique</v>
      </c>
      <c r="Q882" s="3">
        <f>I882*INDEX(Produits!$E:$E,MATCH(H882,Produits!$A:$A,0))</f>
        <v>150.48</v>
      </c>
      <c r="R882" s="3">
        <f>L882-Q882</f>
        <v>47.52000000000001</v>
      </c>
      <c r="S882" s="2">
        <f>NETWORKDAYS(B882,C882)-1</f>
        <v>5</v>
      </c>
      <c r="T882" s="1">
        <f>WORKDAY(B882,5)</f>
        <v>46156</v>
      </c>
      <c r="U882" t="b">
        <f>C882&gt;T882</f>
        <v>0</v>
      </c>
    </row>
    <row r="883" spans="1:21" x14ac:dyDescent="0.25">
      <c r="A883" t="s">
        <v>783</v>
      </c>
      <c r="B883" s="1">
        <v>46149</v>
      </c>
      <c r="C883" s="1">
        <v>46156</v>
      </c>
      <c r="D883" t="s">
        <v>784</v>
      </c>
      <c r="E883" t="s">
        <v>153</v>
      </c>
      <c r="F883" t="s">
        <v>94</v>
      </c>
      <c r="G883" t="s">
        <v>95</v>
      </c>
      <c r="H883" t="s">
        <v>162</v>
      </c>
      <c r="I883" s="2">
        <v>4</v>
      </c>
      <c r="J883" s="3">
        <v>289</v>
      </c>
      <c r="K883" s="4">
        <v>0.08</v>
      </c>
      <c r="L883" s="3">
        <v>1063.52</v>
      </c>
      <c r="M883" t="b">
        <v>1</v>
      </c>
      <c r="N883" s="2">
        <f>YEAR(B883)</f>
        <v>2026</v>
      </c>
      <c r="O883" t="str">
        <f>INDEX(Agences!$C:$C,MATCH(F883,Agences!$A:$A,0))</f>
        <v>Méditerranée</v>
      </c>
      <c r="P883" t="str">
        <f>INDEX(Produits!$C:$C,MATCH(H883,Produits!$A:$A,0))</f>
        <v>Mobilier</v>
      </c>
      <c r="Q883" s="3">
        <f>I883*INDEX(Produits!$E:$E,MATCH(H883,Produits!$A:$A,0))</f>
        <v>774.52</v>
      </c>
      <c r="R883" s="3">
        <f>L883-Q883</f>
        <v>289</v>
      </c>
      <c r="S883" s="2">
        <f>NETWORKDAYS(B883,C883)-1</f>
        <v>5</v>
      </c>
      <c r="T883" s="1">
        <f>WORKDAY(B883,5)</f>
        <v>46156</v>
      </c>
      <c r="U883" t="b">
        <f>C883&gt;T883</f>
        <v>0</v>
      </c>
    </row>
    <row r="884" spans="1:21" x14ac:dyDescent="0.25">
      <c r="A884" t="s">
        <v>785</v>
      </c>
      <c r="B884" s="1">
        <v>46149</v>
      </c>
      <c r="C884" s="1">
        <v>46157</v>
      </c>
      <c r="D884" t="s">
        <v>296</v>
      </c>
      <c r="E884" t="s">
        <v>229</v>
      </c>
      <c r="F884" t="s">
        <v>55</v>
      </c>
      <c r="G884" t="s">
        <v>195</v>
      </c>
      <c r="H884" t="s">
        <v>57</v>
      </c>
      <c r="I884" s="2">
        <v>2</v>
      </c>
      <c r="J884" s="3">
        <v>149</v>
      </c>
      <c r="K884" s="4">
        <v>0</v>
      </c>
      <c r="L884" s="3">
        <v>298</v>
      </c>
      <c r="M884" t="b">
        <v>1</v>
      </c>
      <c r="N884" s="2">
        <f>YEAR(B884)</f>
        <v>2026</v>
      </c>
      <c r="O884" t="str">
        <f>INDEX(Agences!$C:$C,MATCH(F884,Agences!$A:$A,0))</f>
        <v>Est</v>
      </c>
      <c r="P884" t="str">
        <f>INDEX(Produits!$C:$C,MATCH(H884,Produits!$A:$A,0))</f>
        <v>Informatique</v>
      </c>
      <c r="Q884" s="3">
        <f>I884*INDEX(Produits!$E:$E,MATCH(H884,Produits!$A:$A,0))</f>
        <v>229.46</v>
      </c>
      <c r="R884" s="3">
        <f>L884-Q884</f>
        <v>68.53999999999999</v>
      </c>
      <c r="S884" s="2">
        <f>NETWORKDAYS(B884,C884)-1</f>
        <v>6</v>
      </c>
      <c r="T884" s="1">
        <f>WORKDAY(B884,5)</f>
        <v>46156</v>
      </c>
      <c r="U884" t="b">
        <f>C884&gt;T884</f>
        <v>1</v>
      </c>
    </row>
    <row r="885" spans="1:21" x14ac:dyDescent="0.25">
      <c r="A885" t="s">
        <v>785</v>
      </c>
      <c r="B885" s="1">
        <v>46149</v>
      </c>
      <c r="C885" s="1">
        <v>46157</v>
      </c>
      <c r="D885" t="s">
        <v>296</v>
      </c>
      <c r="E885" t="s">
        <v>229</v>
      </c>
      <c r="F885" t="s">
        <v>55</v>
      </c>
      <c r="G885" t="s">
        <v>195</v>
      </c>
      <c r="H885" t="s">
        <v>26</v>
      </c>
      <c r="I885" s="2">
        <v>1</v>
      </c>
      <c r="J885" s="3">
        <v>290</v>
      </c>
      <c r="K885" s="4">
        <v>0</v>
      </c>
      <c r="L885" s="3">
        <v>290</v>
      </c>
      <c r="M885" t="b">
        <v>1</v>
      </c>
      <c r="N885" s="2">
        <f>YEAR(B885)</f>
        <v>2026</v>
      </c>
      <c r="O885" t="str">
        <f>INDEX(Agences!$C:$C,MATCH(F885,Agences!$A:$A,0))</f>
        <v>Est</v>
      </c>
      <c r="P885" t="str">
        <f>INDEX(Produits!$C:$C,MATCH(H885,Produits!$A:$A,0))</f>
        <v>Maintenance</v>
      </c>
      <c r="Q885" s="3">
        <f>I885*INDEX(Produits!$E:$E,MATCH(H885,Produits!$A:$A,0))</f>
        <v>139.2</v>
      </c>
      <c r="R885" s="3">
        <f>L885-Q885</f>
        <v>150.8</v>
      </c>
      <c r="S885" s="2">
        <f>NETWORKDAYS(B885,C885)-1</f>
        <v>6</v>
      </c>
      <c r="T885" s="1">
        <f>WORKDAY(B885,5)</f>
        <v>46156</v>
      </c>
      <c r="U885" t="b">
        <f>C885&gt;T885</f>
        <v>1</v>
      </c>
    </row>
    <row r="886" spans="1:21" x14ac:dyDescent="0.25">
      <c r="A886" t="s">
        <v>786</v>
      </c>
      <c r="B886" s="1">
        <v>46148</v>
      </c>
      <c r="C886" s="1">
        <v>46150</v>
      </c>
      <c r="D886" t="s">
        <v>787</v>
      </c>
      <c r="E886" t="s">
        <v>23</v>
      </c>
      <c r="F886" t="s">
        <v>24</v>
      </c>
      <c r="G886" t="s">
        <v>199</v>
      </c>
      <c r="H886" t="s">
        <v>57</v>
      </c>
      <c r="I886" s="2">
        <v>1</v>
      </c>
      <c r="J886" s="3">
        <v>149</v>
      </c>
      <c r="K886" s="4">
        <v>0</v>
      </c>
      <c r="L886" s="3">
        <v>149</v>
      </c>
      <c r="M886" t="b">
        <v>1</v>
      </c>
      <c r="N886" s="2">
        <f>YEAR(B886)</f>
        <v>2026</v>
      </c>
      <c r="O886" t="str">
        <f>INDEX(Agences!$C:$C,MATCH(F886,Agences!$A:$A,0))</f>
        <v>Nord</v>
      </c>
      <c r="P886" t="str">
        <f>INDEX(Produits!$C:$C,MATCH(H886,Produits!$A:$A,0))</f>
        <v>Informatique</v>
      </c>
      <c r="Q886" s="3">
        <f>I886*INDEX(Produits!$E:$E,MATCH(H886,Produits!$A:$A,0))</f>
        <v>114.73</v>
      </c>
      <c r="R886" s="3">
        <f>L886-Q886</f>
        <v>34.269999999999996</v>
      </c>
      <c r="S886" s="2">
        <f>NETWORKDAYS(B886,C886)-1</f>
        <v>2</v>
      </c>
      <c r="T886" s="1">
        <f>WORKDAY(B886,5)</f>
        <v>46155</v>
      </c>
      <c r="U886" t="b">
        <f>C886&gt;T886</f>
        <v>0</v>
      </c>
    </row>
    <row r="887" spans="1:21" x14ac:dyDescent="0.25">
      <c r="A887" t="s">
        <v>786</v>
      </c>
      <c r="B887" s="1">
        <v>46148</v>
      </c>
      <c r="C887" s="1">
        <v>46150</v>
      </c>
      <c r="D887" t="s">
        <v>787</v>
      </c>
      <c r="E887" t="s">
        <v>23</v>
      </c>
      <c r="F887" t="s">
        <v>24</v>
      </c>
      <c r="G887" t="s">
        <v>199</v>
      </c>
      <c r="H887" t="s">
        <v>50</v>
      </c>
      <c r="I887" s="2">
        <v>1</v>
      </c>
      <c r="J887" s="3">
        <v>69</v>
      </c>
      <c r="K887" s="4">
        <v>0.05</v>
      </c>
      <c r="L887" s="3">
        <v>65.55</v>
      </c>
      <c r="M887" t="b">
        <v>1</v>
      </c>
      <c r="N887" s="2">
        <f>YEAR(B887)</f>
        <v>2026</v>
      </c>
      <c r="O887" t="str">
        <f>INDEX(Agences!$C:$C,MATCH(F887,Agences!$A:$A,0))</f>
        <v>Nord</v>
      </c>
      <c r="P887" t="str">
        <f>INDEX(Produits!$C:$C,MATCH(H887,Produits!$A:$A,0))</f>
        <v>Informatique</v>
      </c>
      <c r="Q887" s="3">
        <f>I887*INDEX(Produits!$E:$E,MATCH(H887,Produits!$A:$A,0))</f>
        <v>54.51</v>
      </c>
      <c r="R887" s="3">
        <f>L887-Q887</f>
        <v>11.04</v>
      </c>
      <c r="S887" s="2">
        <f>NETWORKDAYS(B887,C887)-1</f>
        <v>2</v>
      </c>
      <c r="T887" s="1">
        <f>WORKDAY(B887,5)</f>
        <v>46155</v>
      </c>
      <c r="U887" t="b">
        <f>C887&gt;T887</f>
        <v>0</v>
      </c>
    </row>
    <row r="888" spans="1:21" x14ac:dyDescent="0.25">
      <c r="A888" t="s">
        <v>786</v>
      </c>
      <c r="B888" s="1">
        <v>46148</v>
      </c>
      <c r="C888" s="1">
        <v>46150</v>
      </c>
      <c r="D888" t="s">
        <v>787</v>
      </c>
      <c r="E888" t="s">
        <v>23</v>
      </c>
      <c r="F888" t="s">
        <v>24</v>
      </c>
      <c r="G888" t="s">
        <v>199</v>
      </c>
      <c r="H888" t="s">
        <v>33</v>
      </c>
      <c r="I888" s="2">
        <v>2</v>
      </c>
      <c r="J888" s="3">
        <v>219</v>
      </c>
      <c r="K888" s="4">
        <v>0.05</v>
      </c>
      <c r="L888" s="3">
        <v>416.1</v>
      </c>
      <c r="M888" t="b">
        <v>1</v>
      </c>
      <c r="N888" s="2">
        <f>YEAR(B888)</f>
        <v>2026</v>
      </c>
      <c r="O888" t="str">
        <f>INDEX(Agences!$C:$C,MATCH(F888,Agences!$A:$A,0))</f>
        <v>Nord</v>
      </c>
      <c r="P888" t="str">
        <f>INDEX(Produits!$C:$C,MATCH(H888,Produits!$A:$A,0))</f>
        <v>Informatique</v>
      </c>
      <c r="Q888" s="3">
        <f>I888*INDEX(Produits!$E:$E,MATCH(H888,Produits!$A:$A,0))</f>
        <v>359.16</v>
      </c>
      <c r="R888" s="3">
        <f>L888-Q888</f>
        <v>56.94</v>
      </c>
      <c r="S888" s="2">
        <f>NETWORKDAYS(B888,C888)-1</f>
        <v>2</v>
      </c>
      <c r="T888" s="1">
        <f>WORKDAY(B888,5)</f>
        <v>46155</v>
      </c>
      <c r="U888" t="b">
        <f>C888&gt;T888</f>
        <v>0</v>
      </c>
    </row>
    <row r="889" spans="1:21" x14ac:dyDescent="0.25">
      <c r="A889" t="s">
        <v>786</v>
      </c>
      <c r="B889" s="1">
        <v>46148</v>
      </c>
      <c r="C889" s="1">
        <v>46150</v>
      </c>
      <c r="D889" t="s">
        <v>787</v>
      </c>
      <c r="E889" t="s">
        <v>23</v>
      </c>
      <c r="F889" t="s">
        <v>24</v>
      </c>
      <c r="G889" t="s">
        <v>199</v>
      </c>
      <c r="H889" t="s">
        <v>83</v>
      </c>
      <c r="I889" s="2">
        <v>1</v>
      </c>
      <c r="J889" s="3">
        <v>49</v>
      </c>
      <c r="K889" s="4">
        <v>0.02</v>
      </c>
      <c r="L889" s="3">
        <v>48.02</v>
      </c>
      <c r="M889" t="b">
        <v>1</v>
      </c>
      <c r="N889" s="2">
        <f>YEAR(B889)</f>
        <v>2026</v>
      </c>
      <c r="O889" t="str">
        <f>INDEX(Agences!$C:$C,MATCH(F889,Agences!$A:$A,0))</f>
        <v>Nord</v>
      </c>
      <c r="P889" t="str">
        <f>INDEX(Produits!$C:$C,MATCH(H889,Produits!$A:$A,0))</f>
        <v>Mobilier</v>
      </c>
      <c r="Q889" s="3">
        <f>I889*INDEX(Produits!$E:$E,MATCH(H889,Produits!$A:$A,0))</f>
        <v>28.42</v>
      </c>
      <c r="R889" s="3">
        <f>L889-Q889</f>
        <v>19.6</v>
      </c>
      <c r="S889" s="2">
        <f>NETWORKDAYS(B889,C889)-1</f>
        <v>2</v>
      </c>
      <c r="T889" s="1">
        <f>WORKDAY(B889,5)</f>
        <v>46155</v>
      </c>
      <c r="U889" t="b">
        <f>C889&gt;T889</f>
        <v>0</v>
      </c>
    </row>
    <row r="890" spans="1:21" x14ac:dyDescent="0.25">
      <c r="A890" t="s">
        <v>788</v>
      </c>
      <c r="B890" s="1">
        <v>46148</v>
      </c>
      <c r="C890" s="1">
        <v>46153</v>
      </c>
      <c r="D890" t="s">
        <v>789</v>
      </c>
      <c r="E890" t="s">
        <v>115</v>
      </c>
      <c r="F890" t="s">
        <v>24</v>
      </c>
      <c r="G890" t="s">
        <v>116</v>
      </c>
      <c r="H890" t="s">
        <v>26</v>
      </c>
      <c r="I890" s="2">
        <v>2</v>
      </c>
      <c r="J890" s="3">
        <v>290</v>
      </c>
      <c r="K890" s="4">
        <v>0</v>
      </c>
      <c r="L890" s="3">
        <v>580</v>
      </c>
      <c r="M890" t="b">
        <v>1</v>
      </c>
      <c r="N890" s="2">
        <f>YEAR(B890)</f>
        <v>2026</v>
      </c>
      <c r="O890" t="str">
        <f>INDEX(Agences!$C:$C,MATCH(F890,Agences!$A:$A,0))</f>
        <v>Nord</v>
      </c>
      <c r="P890" t="str">
        <f>INDEX(Produits!$C:$C,MATCH(H890,Produits!$A:$A,0))</f>
        <v>Maintenance</v>
      </c>
      <c r="Q890" s="3">
        <f>I890*INDEX(Produits!$E:$E,MATCH(H890,Produits!$A:$A,0))</f>
        <v>278.4</v>
      </c>
      <c r="R890" s="3">
        <f>L890-Q890</f>
        <v>301.6</v>
      </c>
      <c r="S890" s="2">
        <f>NETWORKDAYS(B890,C890)-1</f>
        <v>3</v>
      </c>
      <c r="T890" s="1">
        <f>WORKDAY(B890,5)</f>
        <v>46155</v>
      </c>
      <c r="U890" t="b">
        <f>C890&gt;T890</f>
        <v>0</v>
      </c>
    </row>
    <row r="891" spans="1:21" x14ac:dyDescent="0.25">
      <c r="A891" t="s">
        <v>790</v>
      </c>
      <c r="B891" s="1">
        <v>46148</v>
      </c>
      <c r="C891" s="1">
        <v>46153</v>
      </c>
      <c r="D891" t="s">
        <v>324</v>
      </c>
      <c r="E891" t="s">
        <v>130</v>
      </c>
      <c r="F891" t="s">
        <v>39</v>
      </c>
      <c r="G891" t="s">
        <v>322</v>
      </c>
      <c r="H891" t="s">
        <v>196</v>
      </c>
      <c r="I891" s="2">
        <v>5</v>
      </c>
      <c r="J891" s="3">
        <v>18.5</v>
      </c>
      <c r="K891" s="4">
        <v>0</v>
      </c>
      <c r="L891" s="3">
        <v>92.5</v>
      </c>
      <c r="M891" t="b">
        <v>1</v>
      </c>
      <c r="N891" s="2">
        <f>YEAR(B891)</f>
        <v>2026</v>
      </c>
      <c r="O891" t="str">
        <f>INDEX(Agences!$C:$C,MATCH(F891,Agences!$A:$A,0))</f>
        <v>Sud-Ouest</v>
      </c>
      <c r="P891" t="str">
        <f>INDEX(Produits!$C:$C,MATCH(H891,Produits!$A:$A,0))</f>
        <v>Fournitures</v>
      </c>
      <c r="Q891" s="3">
        <f>I891*INDEX(Produits!$E:$E,MATCH(H891,Produits!$A:$A,0))</f>
        <v>47.199999999999996</v>
      </c>
      <c r="R891" s="3">
        <f>L891-Q891</f>
        <v>45.300000000000004</v>
      </c>
      <c r="S891" s="2">
        <f>NETWORKDAYS(B891,C891)-1</f>
        <v>3</v>
      </c>
      <c r="T891" s="1">
        <f>WORKDAY(B891,5)</f>
        <v>46155</v>
      </c>
      <c r="U891" t="b">
        <f>C891&gt;T891</f>
        <v>0</v>
      </c>
    </row>
    <row r="892" spans="1:21" x14ac:dyDescent="0.25">
      <c r="A892" t="s">
        <v>791</v>
      </c>
      <c r="B892" s="1">
        <v>46147</v>
      </c>
      <c r="C892" s="1">
        <v>46150</v>
      </c>
      <c r="D892" t="s">
        <v>792</v>
      </c>
      <c r="E892" t="s">
        <v>191</v>
      </c>
      <c r="F892" t="s">
        <v>62</v>
      </c>
      <c r="G892" t="s">
        <v>68</v>
      </c>
      <c r="H892" t="s">
        <v>50</v>
      </c>
      <c r="I892" s="2">
        <v>1</v>
      </c>
      <c r="J892" s="3">
        <v>69</v>
      </c>
      <c r="K892" s="4">
        <v>0.08</v>
      </c>
      <c r="L892" s="3">
        <v>63.48</v>
      </c>
      <c r="M892" t="b">
        <v>1</v>
      </c>
      <c r="N892" s="2">
        <f>YEAR(B892)</f>
        <v>2026</v>
      </c>
      <c r="O892" t="str">
        <f>INDEX(Agences!$C:$C,MATCH(F892,Agences!$A:$A,0))</f>
        <v>Méditerranée</v>
      </c>
      <c r="P892" t="str">
        <f>INDEX(Produits!$C:$C,MATCH(H892,Produits!$A:$A,0))</f>
        <v>Informatique</v>
      </c>
      <c r="Q892" s="3">
        <f>I892*INDEX(Produits!$E:$E,MATCH(H892,Produits!$A:$A,0))</f>
        <v>54.51</v>
      </c>
      <c r="R892" s="3">
        <f>L892-Q892</f>
        <v>8.969999999999999</v>
      </c>
      <c r="S892" s="2">
        <f>NETWORKDAYS(B892,C892)-1</f>
        <v>3</v>
      </c>
      <c r="T892" s="1">
        <f>WORKDAY(B892,5)</f>
        <v>46154</v>
      </c>
      <c r="U892" t="b">
        <f>C892&gt;T892</f>
        <v>0</v>
      </c>
    </row>
    <row r="893" spans="1:21" x14ac:dyDescent="0.25">
      <c r="A893" t="s">
        <v>791</v>
      </c>
      <c r="B893" s="1">
        <v>46147</v>
      </c>
      <c r="C893" s="1">
        <v>46150</v>
      </c>
      <c r="D893" t="s">
        <v>792</v>
      </c>
      <c r="E893" t="s">
        <v>191</v>
      </c>
      <c r="F893" t="s">
        <v>62</v>
      </c>
      <c r="G893" t="s">
        <v>68</v>
      </c>
      <c r="H893" t="s">
        <v>90</v>
      </c>
      <c r="I893" s="2">
        <v>5</v>
      </c>
      <c r="J893" s="3">
        <v>22.9</v>
      </c>
      <c r="K893" s="4">
        <v>0</v>
      </c>
      <c r="L893" s="3">
        <v>114.5</v>
      </c>
      <c r="M893" t="b">
        <v>1</v>
      </c>
      <c r="N893" s="2">
        <f>YEAR(B893)</f>
        <v>2026</v>
      </c>
      <c r="O893" t="str">
        <f>INDEX(Agences!$C:$C,MATCH(F893,Agences!$A:$A,0))</f>
        <v>Méditerranée</v>
      </c>
      <c r="P893" t="str">
        <f>INDEX(Produits!$C:$C,MATCH(H893,Produits!$A:$A,0))</f>
        <v>Fournitures</v>
      </c>
      <c r="Q893" s="3">
        <f>I893*INDEX(Produits!$E:$E,MATCH(H893,Produits!$A:$A,0))</f>
        <v>64.1</v>
      </c>
      <c r="R893" s="3">
        <f>L893-Q893</f>
        <v>50.400000000000006</v>
      </c>
      <c r="S893" s="2">
        <f>NETWORKDAYS(B893,C893)-1</f>
        <v>3</v>
      </c>
      <c r="T893" s="1">
        <f>WORKDAY(B893,5)</f>
        <v>46154</v>
      </c>
      <c r="U893" t="b">
        <f>C893&gt;T893</f>
        <v>0</v>
      </c>
    </row>
    <row r="894" spans="1:21" x14ac:dyDescent="0.25">
      <c r="A894" t="s">
        <v>791</v>
      </c>
      <c r="B894" s="1">
        <v>46147</v>
      </c>
      <c r="C894" s="1">
        <v>46150</v>
      </c>
      <c r="D894" t="s">
        <v>792</v>
      </c>
      <c r="E894" t="s">
        <v>191</v>
      </c>
      <c r="F894" t="s">
        <v>62</v>
      </c>
      <c r="G894" t="s">
        <v>68</v>
      </c>
      <c r="H894" t="s">
        <v>606</v>
      </c>
      <c r="I894" s="2">
        <v>1</v>
      </c>
      <c r="J894" s="3">
        <v>1150</v>
      </c>
      <c r="K894" s="4">
        <v>0</v>
      </c>
      <c r="L894" s="3">
        <v>1150</v>
      </c>
      <c r="M894" t="b">
        <v>1</v>
      </c>
      <c r="N894" s="2">
        <f>YEAR(B894)</f>
        <v>2026</v>
      </c>
      <c r="O894" t="str">
        <f>INDEX(Agences!$C:$C,MATCH(F894,Agences!$A:$A,0))</f>
        <v>Méditerranée</v>
      </c>
      <c r="P894" t="str">
        <f>INDEX(Produits!$C:$C,MATCH(H894,Produits!$A:$A,0))</f>
        <v>Mobilier</v>
      </c>
      <c r="Q894" s="3">
        <f>I894*INDEX(Produits!$E:$E,MATCH(H894,Produits!$A:$A,0))</f>
        <v>713</v>
      </c>
      <c r="R894" s="3">
        <f>L894-Q894</f>
        <v>437</v>
      </c>
      <c r="S894" s="2">
        <f>NETWORKDAYS(B894,C894)-1</f>
        <v>3</v>
      </c>
      <c r="T894" s="1">
        <f>WORKDAY(B894,5)</f>
        <v>46154</v>
      </c>
      <c r="U894" t="b">
        <f>C894&gt;T894</f>
        <v>0</v>
      </c>
    </row>
    <row r="895" spans="1:21" x14ac:dyDescent="0.25">
      <c r="A895" t="s">
        <v>793</v>
      </c>
      <c r="B895" s="1">
        <v>46147</v>
      </c>
      <c r="C895" s="1">
        <v>46153</v>
      </c>
      <c r="D895" t="s">
        <v>328</v>
      </c>
      <c r="E895" t="s">
        <v>153</v>
      </c>
      <c r="F895" t="s">
        <v>94</v>
      </c>
      <c r="G895" t="s">
        <v>95</v>
      </c>
      <c r="H895" t="s">
        <v>42</v>
      </c>
      <c r="I895" s="2">
        <v>2</v>
      </c>
      <c r="J895" s="3">
        <v>55</v>
      </c>
      <c r="K895" s="4">
        <v>0</v>
      </c>
      <c r="L895" s="3">
        <v>110</v>
      </c>
      <c r="M895" t="b">
        <v>1</v>
      </c>
      <c r="N895" s="2">
        <f>YEAR(B895)</f>
        <v>2026</v>
      </c>
      <c r="O895" t="str">
        <f>INDEX(Agences!$C:$C,MATCH(F895,Agences!$A:$A,0))</f>
        <v>Méditerranée</v>
      </c>
      <c r="P895" t="str">
        <f>INDEX(Produits!$C:$C,MATCH(H895,Produits!$A:$A,0))</f>
        <v>Maintenance</v>
      </c>
      <c r="Q895" s="3">
        <f>I895*INDEX(Produits!$E:$E,MATCH(H895,Produits!$A:$A,0))</f>
        <v>49.5</v>
      </c>
      <c r="R895" s="3">
        <f>L895-Q895</f>
        <v>60.5</v>
      </c>
      <c r="S895" s="2">
        <f>NETWORKDAYS(B895,C895)-1</f>
        <v>4</v>
      </c>
      <c r="T895" s="1">
        <f>WORKDAY(B895,5)</f>
        <v>46154</v>
      </c>
      <c r="U895" t="b">
        <f>C895&gt;T895</f>
        <v>0</v>
      </c>
    </row>
    <row r="896" spans="1:21" x14ac:dyDescent="0.25">
      <c r="A896" t="s">
        <v>794</v>
      </c>
      <c r="B896" s="1">
        <v>46147</v>
      </c>
      <c r="C896" s="1">
        <v>46150</v>
      </c>
      <c r="D896" t="s">
        <v>267</v>
      </c>
      <c r="E896" t="s">
        <v>157</v>
      </c>
      <c r="F896" t="s">
        <v>46</v>
      </c>
      <c r="G896" t="s">
        <v>111</v>
      </c>
      <c r="H896" t="s">
        <v>34</v>
      </c>
      <c r="I896" s="2">
        <v>6</v>
      </c>
      <c r="J896" s="3">
        <v>340</v>
      </c>
      <c r="K896" s="4">
        <v>0.05</v>
      </c>
      <c r="L896" s="3">
        <v>1938</v>
      </c>
      <c r="M896" t="b">
        <v>1</v>
      </c>
      <c r="N896" s="2">
        <f>YEAR(B896)</f>
        <v>2026</v>
      </c>
      <c r="O896" t="str">
        <f>INDEX(Agences!$C:$C,MATCH(F896,Agences!$A:$A,0))</f>
        <v>Est</v>
      </c>
      <c r="P896" t="str">
        <f>INDEX(Produits!$C:$C,MATCH(H896,Produits!$A:$A,0))</f>
        <v>Informatique</v>
      </c>
      <c r="Q896" s="3">
        <f>I896*INDEX(Produits!$E:$E,MATCH(H896,Produits!$A:$A,0))</f>
        <v>1652.3999999999999</v>
      </c>
      <c r="R896" s="3">
        <f>L896-Q896</f>
        <v>285.60000000000014</v>
      </c>
      <c r="S896" s="2">
        <f>NETWORKDAYS(B896,C896)-1</f>
        <v>3</v>
      </c>
      <c r="T896" s="1">
        <f>WORKDAY(B896,5)</f>
        <v>46154</v>
      </c>
      <c r="U896" t="b">
        <f>C896&gt;T896</f>
        <v>0</v>
      </c>
    </row>
    <row r="897" spans="1:21" x14ac:dyDescent="0.25">
      <c r="A897" t="s">
        <v>794</v>
      </c>
      <c r="B897" s="1">
        <v>46147</v>
      </c>
      <c r="C897" s="1">
        <v>46150</v>
      </c>
      <c r="D897" t="s">
        <v>267</v>
      </c>
      <c r="E897" t="s">
        <v>157</v>
      </c>
      <c r="F897" t="s">
        <v>46</v>
      </c>
      <c r="G897" t="s">
        <v>111</v>
      </c>
      <c r="H897" t="s">
        <v>132</v>
      </c>
      <c r="I897" s="2">
        <v>1</v>
      </c>
      <c r="J897" s="3">
        <v>650</v>
      </c>
      <c r="K897" s="4">
        <v>0.05</v>
      </c>
      <c r="L897" s="3">
        <v>617.5</v>
      </c>
      <c r="M897" t="b">
        <v>1</v>
      </c>
      <c r="N897" s="2">
        <f>YEAR(B897)</f>
        <v>2026</v>
      </c>
      <c r="O897" t="str">
        <f>INDEX(Agences!$C:$C,MATCH(F897,Agences!$A:$A,0))</f>
        <v>Est</v>
      </c>
      <c r="P897" t="str">
        <f>INDEX(Produits!$C:$C,MATCH(H897,Produits!$A:$A,0))</f>
        <v>Maintenance</v>
      </c>
      <c r="Q897" s="3">
        <f>I897*INDEX(Produits!$E:$E,MATCH(H897,Produits!$A:$A,0))</f>
        <v>273</v>
      </c>
      <c r="R897" s="3">
        <f>L897-Q897</f>
        <v>344.5</v>
      </c>
      <c r="S897" s="2">
        <f>NETWORKDAYS(B897,C897)-1</f>
        <v>3</v>
      </c>
      <c r="T897" s="1">
        <f>WORKDAY(B897,5)</f>
        <v>46154</v>
      </c>
      <c r="U897" t="b">
        <f>C897&gt;T897</f>
        <v>0</v>
      </c>
    </row>
    <row r="898" spans="1:21" x14ac:dyDescent="0.25">
      <c r="A898" t="s">
        <v>795</v>
      </c>
      <c r="B898" s="1">
        <v>46147</v>
      </c>
      <c r="C898" s="1">
        <v>46150</v>
      </c>
      <c r="D898" t="s">
        <v>796</v>
      </c>
      <c r="E898" t="s">
        <v>45</v>
      </c>
      <c r="F898" t="s">
        <v>46</v>
      </c>
      <c r="G898" t="s">
        <v>47</v>
      </c>
      <c r="H898" t="s">
        <v>50</v>
      </c>
      <c r="I898" s="2">
        <v>2</v>
      </c>
      <c r="J898" s="3">
        <v>69</v>
      </c>
      <c r="K898" s="4">
        <v>0</v>
      </c>
      <c r="L898" s="3">
        <v>138</v>
      </c>
      <c r="M898" t="b">
        <v>1</v>
      </c>
      <c r="N898" s="2">
        <f>YEAR(B898)</f>
        <v>2026</v>
      </c>
      <c r="O898" t="str">
        <f>INDEX(Agences!$C:$C,MATCH(F898,Agences!$A:$A,0))</f>
        <v>Est</v>
      </c>
      <c r="P898" t="str">
        <f>INDEX(Produits!$C:$C,MATCH(H898,Produits!$A:$A,0))</f>
        <v>Informatique</v>
      </c>
      <c r="Q898" s="3">
        <f>I898*INDEX(Produits!$E:$E,MATCH(H898,Produits!$A:$A,0))</f>
        <v>109.02</v>
      </c>
      <c r="R898" s="3">
        <f>L898-Q898</f>
        <v>28.980000000000004</v>
      </c>
      <c r="S898" s="2">
        <f>NETWORKDAYS(B898,C898)-1</f>
        <v>3</v>
      </c>
      <c r="T898" s="1">
        <f>WORKDAY(B898,5)</f>
        <v>46154</v>
      </c>
      <c r="U898" t="b">
        <f>C898&gt;T898</f>
        <v>0</v>
      </c>
    </row>
    <row r="899" spans="1:21" x14ac:dyDescent="0.25">
      <c r="A899" t="s">
        <v>795</v>
      </c>
      <c r="B899" s="1">
        <v>46147</v>
      </c>
      <c r="C899" s="1">
        <v>46150</v>
      </c>
      <c r="D899" t="s">
        <v>796</v>
      </c>
      <c r="E899" t="s">
        <v>45</v>
      </c>
      <c r="F899" t="s">
        <v>46</v>
      </c>
      <c r="G899" t="s">
        <v>47</v>
      </c>
      <c r="H899" t="s">
        <v>108</v>
      </c>
      <c r="I899" s="2">
        <v>30</v>
      </c>
      <c r="J899" s="3">
        <v>24.5</v>
      </c>
      <c r="K899" s="4">
        <v>0.05</v>
      </c>
      <c r="L899" s="3">
        <v>698.25</v>
      </c>
      <c r="M899" t="b">
        <v>1</v>
      </c>
      <c r="N899" s="2">
        <f>YEAR(B899)</f>
        <v>2026</v>
      </c>
      <c r="O899" t="str">
        <f>INDEX(Agences!$C:$C,MATCH(F899,Agences!$A:$A,0))</f>
        <v>Est</v>
      </c>
      <c r="P899" t="str">
        <f>INDEX(Produits!$C:$C,MATCH(H899,Produits!$A:$A,0))</f>
        <v>Fournitures</v>
      </c>
      <c r="Q899" s="3">
        <f>I899*INDEX(Produits!$E:$E,MATCH(H899,Produits!$A:$A,0))</f>
        <v>441</v>
      </c>
      <c r="R899" s="3">
        <f>L899-Q899</f>
        <v>257.25</v>
      </c>
      <c r="S899" s="2">
        <f>NETWORKDAYS(B899,C899)-1</f>
        <v>3</v>
      </c>
      <c r="T899" s="1">
        <f>WORKDAY(B899,5)</f>
        <v>46154</v>
      </c>
      <c r="U899" t="b">
        <f>C899&gt;T899</f>
        <v>0</v>
      </c>
    </row>
    <row r="900" spans="1:21" x14ac:dyDescent="0.25">
      <c r="A900" t="s">
        <v>797</v>
      </c>
      <c r="B900" s="1">
        <v>46146</v>
      </c>
      <c r="C900" s="1">
        <v>46148</v>
      </c>
      <c r="D900" t="s">
        <v>371</v>
      </c>
      <c r="E900" t="s">
        <v>126</v>
      </c>
      <c r="F900" t="s">
        <v>99</v>
      </c>
      <c r="G900" t="s">
        <v>100</v>
      </c>
      <c r="H900" t="s">
        <v>49</v>
      </c>
      <c r="I900" s="2">
        <v>2</v>
      </c>
      <c r="J900" s="3">
        <v>120</v>
      </c>
      <c r="K900" s="4">
        <v>0</v>
      </c>
      <c r="L900" s="3">
        <v>240</v>
      </c>
      <c r="M900" t="b">
        <v>1</v>
      </c>
      <c r="N900" s="2">
        <f>YEAR(B900)</f>
        <v>2026</v>
      </c>
      <c r="O900" t="str">
        <f>INDEX(Agences!$C:$C,MATCH(F900,Agences!$A:$A,0))</f>
        <v>Nord</v>
      </c>
      <c r="P900" t="str">
        <f>INDEX(Produits!$C:$C,MATCH(H900,Produits!$A:$A,0))</f>
        <v>Maintenance</v>
      </c>
      <c r="Q900" s="3">
        <f>I900*INDEX(Produits!$E:$E,MATCH(H900,Produits!$A:$A,0))</f>
        <v>110.4</v>
      </c>
      <c r="R900" s="3">
        <f>L900-Q900</f>
        <v>129.6</v>
      </c>
      <c r="S900" s="2">
        <f>NETWORKDAYS(B900,C900)-1</f>
        <v>2</v>
      </c>
      <c r="T900" s="1">
        <f>WORKDAY(B900,5)</f>
        <v>46153</v>
      </c>
      <c r="U900" t="b">
        <f>C900&gt;T900</f>
        <v>0</v>
      </c>
    </row>
    <row r="901" spans="1:21" x14ac:dyDescent="0.25">
      <c r="A901" t="s">
        <v>797</v>
      </c>
      <c r="B901" s="1">
        <v>46146</v>
      </c>
      <c r="C901" s="1">
        <v>46148</v>
      </c>
      <c r="D901" t="s">
        <v>371</v>
      </c>
      <c r="E901" t="s">
        <v>126</v>
      </c>
      <c r="F901" t="s">
        <v>99</v>
      </c>
      <c r="G901" t="s">
        <v>100</v>
      </c>
      <c r="H901" t="s">
        <v>150</v>
      </c>
      <c r="I901" s="2">
        <v>1</v>
      </c>
      <c r="J901" s="3">
        <v>790</v>
      </c>
      <c r="K901" s="4">
        <v>0.02</v>
      </c>
      <c r="L901" s="3">
        <v>774.2</v>
      </c>
      <c r="M901" t="b">
        <v>1</v>
      </c>
      <c r="N901" s="2">
        <f>YEAR(B901)</f>
        <v>2026</v>
      </c>
      <c r="O901" t="str">
        <f>INDEX(Agences!$C:$C,MATCH(F901,Agences!$A:$A,0))</f>
        <v>Nord</v>
      </c>
      <c r="P901" t="str">
        <f>INDEX(Produits!$C:$C,MATCH(H901,Produits!$A:$A,0))</f>
        <v>Informatique</v>
      </c>
      <c r="Q901" s="3">
        <f>I901*INDEX(Produits!$E:$E,MATCH(H901,Produits!$A:$A,0))</f>
        <v>584.6</v>
      </c>
      <c r="R901" s="3">
        <f>L901-Q901</f>
        <v>189.60000000000002</v>
      </c>
      <c r="S901" s="2">
        <f>NETWORKDAYS(B901,C901)-1</f>
        <v>2</v>
      </c>
      <c r="T901" s="1">
        <f>WORKDAY(B901,5)</f>
        <v>46153</v>
      </c>
      <c r="U901" t="b">
        <f>C901&gt;T901</f>
        <v>0</v>
      </c>
    </row>
    <row r="902" spans="1:21" x14ac:dyDescent="0.25">
      <c r="A902" t="s">
        <v>797</v>
      </c>
      <c r="B902" s="1">
        <v>46146</v>
      </c>
      <c r="C902" s="1">
        <v>46148</v>
      </c>
      <c r="D902" t="s">
        <v>371</v>
      </c>
      <c r="E902" t="s">
        <v>126</v>
      </c>
      <c r="F902" t="s">
        <v>99</v>
      </c>
      <c r="G902" t="s">
        <v>100</v>
      </c>
      <c r="H902" t="s">
        <v>205</v>
      </c>
      <c r="I902" s="2">
        <v>1</v>
      </c>
      <c r="J902" s="3">
        <v>359</v>
      </c>
      <c r="K902" s="4">
        <v>0.05</v>
      </c>
      <c r="L902" s="3">
        <v>341.05</v>
      </c>
      <c r="M902" t="b">
        <v>1</v>
      </c>
      <c r="N902" s="2">
        <f>YEAR(B902)</f>
        <v>2026</v>
      </c>
      <c r="O902" t="str">
        <f>INDEX(Agences!$C:$C,MATCH(F902,Agences!$A:$A,0))</f>
        <v>Nord</v>
      </c>
      <c r="P902" t="str">
        <f>INDEX(Produits!$C:$C,MATCH(H902,Produits!$A:$A,0))</f>
        <v>Mobilier</v>
      </c>
      <c r="Q902" s="3">
        <f>I902*INDEX(Produits!$E:$E,MATCH(H902,Produits!$A:$A,0))</f>
        <v>204.63</v>
      </c>
      <c r="R902" s="3">
        <f>L902-Q902</f>
        <v>136.42000000000002</v>
      </c>
      <c r="S902" s="2">
        <f>NETWORKDAYS(B902,C902)-1</f>
        <v>2</v>
      </c>
      <c r="T902" s="1">
        <f>WORKDAY(B902,5)</f>
        <v>46153</v>
      </c>
      <c r="U902" t="b">
        <f>C902&gt;T902</f>
        <v>0</v>
      </c>
    </row>
    <row r="903" spans="1:21" x14ac:dyDescent="0.25">
      <c r="A903" t="s">
        <v>797</v>
      </c>
      <c r="B903" s="1">
        <v>46146</v>
      </c>
      <c r="C903" s="1">
        <v>46148</v>
      </c>
      <c r="D903" t="s">
        <v>371</v>
      </c>
      <c r="E903" t="s">
        <v>126</v>
      </c>
      <c r="F903" t="s">
        <v>99</v>
      </c>
      <c r="G903" t="s">
        <v>100</v>
      </c>
      <c r="H903" t="s">
        <v>42</v>
      </c>
      <c r="I903" s="2">
        <v>1</v>
      </c>
      <c r="J903" s="3">
        <v>55</v>
      </c>
      <c r="K903" s="4">
        <v>0.08</v>
      </c>
      <c r="L903" s="3">
        <v>50.6</v>
      </c>
      <c r="M903" t="b">
        <v>1</v>
      </c>
      <c r="N903" s="2">
        <f>YEAR(B903)</f>
        <v>2026</v>
      </c>
      <c r="O903" t="str">
        <f>INDEX(Agences!$C:$C,MATCH(F903,Agences!$A:$A,0))</f>
        <v>Nord</v>
      </c>
      <c r="P903" t="str">
        <f>INDEX(Produits!$C:$C,MATCH(H903,Produits!$A:$A,0))</f>
        <v>Maintenance</v>
      </c>
      <c r="Q903" s="3">
        <f>I903*INDEX(Produits!$E:$E,MATCH(H903,Produits!$A:$A,0))</f>
        <v>24.75</v>
      </c>
      <c r="R903" s="3">
        <f>L903-Q903</f>
        <v>25.85</v>
      </c>
      <c r="S903" s="2">
        <f>NETWORKDAYS(B903,C903)-1</f>
        <v>2</v>
      </c>
      <c r="T903" s="1">
        <f>WORKDAY(B903,5)</f>
        <v>46153</v>
      </c>
      <c r="U903" t="b">
        <f>C903&gt;T903</f>
        <v>0</v>
      </c>
    </row>
    <row r="904" spans="1:21" x14ac:dyDescent="0.25">
      <c r="A904" t="s">
        <v>798</v>
      </c>
      <c r="B904" s="1">
        <v>46146</v>
      </c>
      <c r="C904" s="1">
        <v>46149</v>
      </c>
      <c r="D904" t="s">
        <v>201</v>
      </c>
      <c r="E904" t="s">
        <v>202</v>
      </c>
      <c r="F904" t="s">
        <v>138</v>
      </c>
      <c r="G904" t="s">
        <v>139</v>
      </c>
      <c r="H904" t="s">
        <v>42</v>
      </c>
      <c r="I904" s="2">
        <v>1</v>
      </c>
      <c r="J904" s="3">
        <v>55</v>
      </c>
      <c r="K904" s="4">
        <v>0.02</v>
      </c>
      <c r="L904" s="3">
        <v>53.9</v>
      </c>
      <c r="M904" t="b">
        <v>1</v>
      </c>
      <c r="N904" s="2">
        <f>YEAR(B904)</f>
        <v>2026</v>
      </c>
      <c r="O904" t="str">
        <f>INDEX(Agences!$C:$C,MATCH(F904,Agences!$A:$A,0))</f>
        <v>Île-de-France</v>
      </c>
      <c r="P904" t="str">
        <f>INDEX(Produits!$C:$C,MATCH(H904,Produits!$A:$A,0))</f>
        <v>Maintenance</v>
      </c>
      <c r="Q904" s="3">
        <f>I904*INDEX(Produits!$E:$E,MATCH(H904,Produits!$A:$A,0))</f>
        <v>24.75</v>
      </c>
      <c r="R904" s="3">
        <f>L904-Q904</f>
        <v>29.15</v>
      </c>
      <c r="S904" s="2">
        <f>NETWORKDAYS(B904,C904)-1</f>
        <v>3</v>
      </c>
      <c r="T904" s="1">
        <f>WORKDAY(B904,5)</f>
        <v>46153</v>
      </c>
      <c r="U904" t="b">
        <f>C904&gt;T904</f>
        <v>0</v>
      </c>
    </row>
    <row r="905" spans="1:21" x14ac:dyDescent="0.25">
      <c r="A905" t="s">
        <v>798</v>
      </c>
      <c r="B905" s="1">
        <v>46146</v>
      </c>
      <c r="C905" s="1">
        <v>46149</v>
      </c>
      <c r="D905" t="s">
        <v>201</v>
      </c>
      <c r="E905" t="s">
        <v>202</v>
      </c>
      <c r="F905" t="s">
        <v>138</v>
      </c>
      <c r="G905" t="s">
        <v>139</v>
      </c>
      <c r="H905" t="s">
        <v>64</v>
      </c>
      <c r="I905" s="2">
        <v>5</v>
      </c>
      <c r="J905" s="3">
        <v>16.8</v>
      </c>
      <c r="K905" s="4">
        <v>0</v>
      </c>
      <c r="L905" s="3">
        <v>84</v>
      </c>
      <c r="M905" t="b">
        <v>1</v>
      </c>
      <c r="N905" s="2">
        <f>YEAR(B905)</f>
        <v>2026</v>
      </c>
      <c r="O905" t="str">
        <f>INDEX(Agences!$C:$C,MATCH(F905,Agences!$A:$A,0))</f>
        <v>Île-de-France</v>
      </c>
      <c r="P905" t="str">
        <f>INDEX(Produits!$C:$C,MATCH(H905,Produits!$A:$A,0))</f>
        <v>Fournitures</v>
      </c>
      <c r="Q905" s="3">
        <f>I905*INDEX(Produits!$E:$E,MATCH(H905,Produits!$A:$A,0))</f>
        <v>43.7</v>
      </c>
      <c r="R905" s="3">
        <f>L905-Q905</f>
        <v>40.3</v>
      </c>
      <c r="S905" s="2">
        <f>NETWORKDAYS(B905,C905)-1</f>
        <v>3</v>
      </c>
      <c r="T905" s="1">
        <f>WORKDAY(B905,5)</f>
        <v>46153</v>
      </c>
      <c r="U905" t="b">
        <f>C905&gt;T905</f>
        <v>0</v>
      </c>
    </row>
    <row r="906" spans="1:21" x14ac:dyDescent="0.25">
      <c r="A906" t="s">
        <v>798</v>
      </c>
      <c r="B906" s="1">
        <v>46146</v>
      </c>
      <c r="C906" s="1">
        <v>46149</v>
      </c>
      <c r="D906" t="s">
        <v>201</v>
      </c>
      <c r="E906" t="s">
        <v>202</v>
      </c>
      <c r="F906" t="s">
        <v>138</v>
      </c>
      <c r="G906" t="s">
        <v>139</v>
      </c>
      <c r="H906" t="s">
        <v>49</v>
      </c>
      <c r="I906" s="2">
        <v>1</v>
      </c>
      <c r="J906" s="3">
        <v>120</v>
      </c>
      <c r="K906" s="4">
        <v>0.02</v>
      </c>
      <c r="L906" s="3">
        <v>117.6</v>
      </c>
      <c r="M906" t="b">
        <v>1</v>
      </c>
      <c r="N906" s="2">
        <f>YEAR(B906)</f>
        <v>2026</v>
      </c>
      <c r="O906" t="str">
        <f>INDEX(Agences!$C:$C,MATCH(F906,Agences!$A:$A,0))</f>
        <v>Île-de-France</v>
      </c>
      <c r="P906" t="str">
        <f>INDEX(Produits!$C:$C,MATCH(H906,Produits!$A:$A,0))</f>
        <v>Maintenance</v>
      </c>
      <c r="Q906" s="3">
        <f>I906*INDEX(Produits!$E:$E,MATCH(H906,Produits!$A:$A,0))</f>
        <v>55.2</v>
      </c>
      <c r="R906" s="3">
        <f>L906-Q906</f>
        <v>62.39999999999999</v>
      </c>
      <c r="S906" s="2">
        <f>NETWORKDAYS(B906,C906)-1</f>
        <v>3</v>
      </c>
      <c r="T906" s="1">
        <f>WORKDAY(B906,5)</f>
        <v>46153</v>
      </c>
      <c r="U906" t="b">
        <f>C906&gt;T906</f>
        <v>0</v>
      </c>
    </row>
    <row r="907" spans="1:21" x14ac:dyDescent="0.25">
      <c r="A907" t="s">
        <v>799</v>
      </c>
      <c r="B907" s="1">
        <v>46146</v>
      </c>
      <c r="C907" s="1">
        <v>46148</v>
      </c>
      <c r="D907" t="s">
        <v>800</v>
      </c>
      <c r="E907" t="s">
        <v>165</v>
      </c>
      <c r="F907" t="s">
        <v>166</v>
      </c>
      <c r="G907" t="s">
        <v>167</v>
      </c>
      <c r="H907" t="s">
        <v>48</v>
      </c>
      <c r="I907" s="2">
        <v>1</v>
      </c>
      <c r="J907" s="3">
        <v>165</v>
      </c>
      <c r="K907" s="4">
        <v>0.05</v>
      </c>
      <c r="L907" s="3">
        <v>156.75</v>
      </c>
      <c r="M907" t="b">
        <v>1</v>
      </c>
      <c r="N907" s="2">
        <f>YEAR(B907)</f>
        <v>2026</v>
      </c>
      <c r="O907" t="str">
        <f>INDEX(Agences!$C:$C,MATCH(F907,Agences!$A:$A,0))</f>
        <v>Ouest</v>
      </c>
      <c r="P907" t="str">
        <f>INDEX(Produits!$C:$C,MATCH(H907,Produits!$A:$A,0))</f>
        <v>Mobilier</v>
      </c>
      <c r="Q907" s="3">
        <f>I907*INDEX(Produits!$E:$E,MATCH(H907,Produits!$A:$A,0))</f>
        <v>107.25</v>
      </c>
      <c r="R907" s="3">
        <f>L907-Q907</f>
        <v>49.5</v>
      </c>
      <c r="S907" s="2">
        <f>NETWORKDAYS(B907,C907)-1</f>
        <v>2</v>
      </c>
      <c r="T907" s="1">
        <f>WORKDAY(B907,5)</f>
        <v>46153</v>
      </c>
      <c r="U907" t="b">
        <f>C907&gt;T907</f>
        <v>0</v>
      </c>
    </row>
    <row r="908" spans="1:21" x14ac:dyDescent="0.25">
      <c r="A908" t="s">
        <v>799</v>
      </c>
      <c r="B908" s="1">
        <v>46146</v>
      </c>
      <c r="C908" s="1">
        <v>46148</v>
      </c>
      <c r="D908" t="s">
        <v>800</v>
      </c>
      <c r="E908" t="s">
        <v>165</v>
      </c>
      <c r="F908" t="s">
        <v>166</v>
      </c>
      <c r="G908" t="s">
        <v>167</v>
      </c>
      <c r="H908" t="s">
        <v>72</v>
      </c>
      <c r="I908" s="2">
        <v>1</v>
      </c>
      <c r="J908" s="3">
        <v>179</v>
      </c>
      <c r="K908" s="4">
        <v>0</v>
      </c>
      <c r="L908" s="3">
        <v>179</v>
      </c>
      <c r="M908" t="b">
        <v>1</v>
      </c>
      <c r="N908" s="2">
        <f>YEAR(B908)</f>
        <v>2026</v>
      </c>
      <c r="O908" t="str">
        <f>INDEX(Agences!$C:$C,MATCH(F908,Agences!$A:$A,0))</f>
        <v>Ouest</v>
      </c>
      <c r="P908" t="str">
        <f>INDEX(Produits!$C:$C,MATCH(H908,Produits!$A:$A,0))</f>
        <v>Informatique</v>
      </c>
      <c r="Q908" s="3">
        <f>I908*INDEX(Produits!$E:$E,MATCH(H908,Produits!$A:$A,0))</f>
        <v>146.78</v>
      </c>
      <c r="R908" s="3">
        <f>L908-Q908</f>
        <v>32.22</v>
      </c>
      <c r="S908" s="2">
        <f>NETWORKDAYS(B908,C908)-1</f>
        <v>2</v>
      </c>
      <c r="T908" s="1">
        <f>WORKDAY(B908,5)</f>
        <v>46153</v>
      </c>
      <c r="U908" t="b">
        <f>C908&gt;T908</f>
        <v>0</v>
      </c>
    </row>
    <row r="909" spans="1:21" x14ac:dyDescent="0.25">
      <c r="A909" t="s">
        <v>799</v>
      </c>
      <c r="B909" s="1">
        <v>46146</v>
      </c>
      <c r="C909" s="1">
        <v>46148</v>
      </c>
      <c r="D909" t="s">
        <v>800</v>
      </c>
      <c r="E909" t="s">
        <v>165</v>
      </c>
      <c r="F909" t="s">
        <v>166</v>
      </c>
      <c r="G909" t="s">
        <v>167</v>
      </c>
      <c r="H909" t="s">
        <v>127</v>
      </c>
      <c r="I909" s="2">
        <v>1</v>
      </c>
      <c r="J909" s="3">
        <v>649</v>
      </c>
      <c r="K909" s="4">
        <v>0.1</v>
      </c>
      <c r="L909" s="3">
        <v>584.1</v>
      </c>
      <c r="M909" t="b">
        <v>1</v>
      </c>
      <c r="N909" s="2">
        <f>YEAR(B909)</f>
        <v>2026</v>
      </c>
      <c r="O909" t="str">
        <f>INDEX(Agences!$C:$C,MATCH(F909,Agences!$A:$A,0))</f>
        <v>Ouest</v>
      </c>
      <c r="P909" t="str">
        <f>INDEX(Produits!$C:$C,MATCH(H909,Produits!$A:$A,0))</f>
        <v>Informatique</v>
      </c>
      <c r="Q909" s="3">
        <f>I909*INDEX(Produits!$E:$E,MATCH(H909,Produits!$A:$A,0))</f>
        <v>480.26</v>
      </c>
      <c r="R909" s="3">
        <f>L909-Q909</f>
        <v>103.84000000000003</v>
      </c>
      <c r="S909" s="2">
        <f>NETWORKDAYS(B909,C909)-1</f>
        <v>2</v>
      </c>
      <c r="T909" s="1">
        <f>WORKDAY(B909,5)</f>
        <v>46153</v>
      </c>
      <c r="U909" t="b">
        <f>C909&gt;T909</f>
        <v>0</v>
      </c>
    </row>
    <row r="910" spans="1:21" x14ac:dyDescent="0.25">
      <c r="A910" t="s">
        <v>801</v>
      </c>
      <c r="B910" s="1">
        <v>46146</v>
      </c>
      <c r="C910" s="1">
        <v>46149</v>
      </c>
      <c r="D910" t="s">
        <v>802</v>
      </c>
      <c r="E910" t="s">
        <v>236</v>
      </c>
      <c r="F910" t="s">
        <v>39</v>
      </c>
      <c r="G910" t="s">
        <v>40</v>
      </c>
      <c r="H910" t="s">
        <v>33</v>
      </c>
      <c r="I910" s="2">
        <v>5</v>
      </c>
      <c r="J910" s="3">
        <v>219</v>
      </c>
      <c r="K910" s="4">
        <v>0</v>
      </c>
      <c r="L910" s="3">
        <v>1095</v>
      </c>
      <c r="M910" t="b">
        <v>1</v>
      </c>
      <c r="N910" s="2">
        <f>YEAR(B910)</f>
        <v>2026</v>
      </c>
      <c r="O910" t="str">
        <f>INDEX(Agences!$C:$C,MATCH(F910,Agences!$A:$A,0))</f>
        <v>Sud-Ouest</v>
      </c>
      <c r="P910" t="str">
        <f>INDEX(Produits!$C:$C,MATCH(H910,Produits!$A:$A,0))</f>
        <v>Informatique</v>
      </c>
      <c r="Q910" s="3">
        <f>I910*INDEX(Produits!$E:$E,MATCH(H910,Produits!$A:$A,0))</f>
        <v>897.9000000000001</v>
      </c>
      <c r="R910" s="3">
        <f>L910-Q910</f>
        <v>197.0999999999999</v>
      </c>
      <c r="S910" s="2">
        <f>NETWORKDAYS(B910,C910)-1</f>
        <v>3</v>
      </c>
      <c r="T910" s="1">
        <f>WORKDAY(B910,5)</f>
        <v>46153</v>
      </c>
      <c r="U910" t="b">
        <f>C910&gt;T910</f>
        <v>0</v>
      </c>
    </row>
    <row r="911" spans="1:21" x14ac:dyDescent="0.25">
      <c r="A911" t="s">
        <v>801</v>
      </c>
      <c r="B911" s="1">
        <v>46146</v>
      </c>
      <c r="C911" s="1">
        <v>46149</v>
      </c>
      <c r="D911" t="s">
        <v>802</v>
      </c>
      <c r="E911" t="s">
        <v>236</v>
      </c>
      <c r="F911" t="s">
        <v>39</v>
      </c>
      <c r="G911" t="s">
        <v>40</v>
      </c>
      <c r="H911" t="s">
        <v>48</v>
      </c>
      <c r="I911" s="2">
        <v>5</v>
      </c>
      <c r="J911" s="3">
        <v>165</v>
      </c>
      <c r="K911" s="4">
        <v>0</v>
      </c>
      <c r="L911" s="3">
        <v>825</v>
      </c>
      <c r="M911" t="b">
        <v>1</v>
      </c>
      <c r="N911" s="2">
        <f>YEAR(B911)</f>
        <v>2026</v>
      </c>
      <c r="O911" t="str">
        <f>INDEX(Agences!$C:$C,MATCH(F911,Agences!$A:$A,0))</f>
        <v>Sud-Ouest</v>
      </c>
      <c r="P911" t="str">
        <f>INDEX(Produits!$C:$C,MATCH(H911,Produits!$A:$A,0))</f>
        <v>Mobilier</v>
      </c>
      <c r="Q911" s="3">
        <f>I911*INDEX(Produits!$E:$E,MATCH(H911,Produits!$A:$A,0))</f>
        <v>536.25</v>
      </c>
      <c r="R911" s="3">
        <f>L911-Q911</f>
        <v>288.75</v>
      </c>
      <c r="S911" s="2">
        <f>NETWORKDAYS(B911,C911)-1</f>
        <v>3</v>
      </c>
      <c r="T911" s="1">
        <f>WORKDAY(B911,5)</f>
        <v>46153</v>
      </c>
      <c r="U911" t="b">
        <f>C911&gt;T911</f>
        <v>0</v>
      </c>
    </row>
    <row r="912" spans="1:21" x14ac:dyDescent="0.25">
      <c r="A912" t="s">
        <v>801</v>
      </c>
      <c r="B912" s="1">
        <v>46146</v>
      </c>
      <c r="C912" s="1">
        <v>46149</v>
      </c>
      <c r="D912" t="s">
        <v>802</v>
      </c>
      <c r="E912" t="s">
        <v>236</v>
      </c>
      <c r="F912" t="s">
        <v>39</v>
      </c>
      <c r="G912" t="s">
        <v>40</v>
      </c>
      <c r="H912" t="s">
        <v>803</v>
      </c>
      <c r="I912" s="2">
        <v>5</v>
      </c>
      <c r="J912" s="3">
        <v>89</v>
      </c>
      <c r="K912" s="4">
        <v>0.05</v>
      </c>
      <c r="L912" s="3">
        <v>422.75</v>
      </c>
      <c r="M912" t="b">
        <v>1</v>
      </c>
      <c r="N912" s="2">
        <f>YEAR(B912)</f>
        <v>2026</v>
      </c>
      <c r="O912" t="str">
        <f>INDEX(Agences!$C:$C,MATCH(F912,Agences!$A:$A,0))</f>
        <v>Sud-Ouest</v>
      </c>
      <c r="P912" t="str">
        <f>INDEX(Produits!$C:$C,MATCH(H912,Produits!$A:$A,0))</f>
        <v>Fournitures</v>
      </c>
      <c r="Q912" s="3">
        <f>I912*INDEX(Produits!$E:$E,MATCH(H912,Produits!$A:$A,0))</f>
        <v>222.5</v>
      </c>
      <c r="R912" s="3">
        <f>L912-Q912</f>
        <v>200.25</v>
      </c>
      <c r="S912" s="2">
        <f>NETWORKDAYS(B912,C912)-1</f>
        <v>3</v>
      </c>
      <c r="T912" s="1">
        <f>WORKDAY(B912,5)</f>
        <v>46153</v>
      </c>
      <c r="U912" t="b">
        <f>C912&gt;T912</f>
        <v>0</v>
      </c>
    </row>
    <row r="913" spans="1:21" x14ac:dyDescent="0.25">
      <c r="A913" t="s">
        <v>801</v>
      </c>
      <c r="B913" s="1">
        <v>46146</v>
      </c>
      <c r="C913" s="1">
        <v>46149</v>
      </c>
      <c r="D913" t="s">
        <v>802</v>
      </c>
      <c r="E913" t="s">
        <v>236</v>
      </c>
      <c r="F913" t="s">
        <v>39</v>
      </c>
      <c r="G913" t="s">
        <v>40</v>
      </c>
      <c r="H913" t="s">
        <v>127</v>
      </c>
      <c r="I913" s="2">
        <v>1</v>
      </c>
      <c r="J913" s="3">
        <v>649</v>
      </c>
      <c r="K913" s="4">
        <v>0.05</v>
      </c>
      <c r="L913" s="3">
        <v>616.55</v>
      </c>
      <c r="M913" t="b">
        <v>1</v>
      </c>
      <c r="N913" s="2">
        <f>YEAR(B913)</f>
        <v>2026</v>
      </c>
      <c r="O913" t="str">
        <f>INDEX(Agences!$C:$C,MATCH(F913,Agences!$A:$A,0))</f>
        <v>Sud-Ouest</v>
      </c>
      <c r="P913" t="str">
        <f>INDEX(Produits!$C:$C,MATCH(H913,Produits!$A:$A,0))</f>
        <v>Informatique</v>
      </c>
      <c r="Q913" s="3">
        <f>I913*INDEX(Produits!$E:$E,MATCH(H913,Produits!$A:$A,0))</f>
        <v>480.26</v>
      </c>
      <c r="R913" s="3">
        <f>L913-Q913</f>
        <v>136.28999999999996</v>
      </c>
      <c r="S913" s="2">
        <f>NETWORKDAYS(B913,C913)-1</f>
        <v>3</v>
      </c>
      <c r="T913" s="1">
        <f>WORKDAY(B913,5)</f>
        <v>46153</v>
      </c>
      <c r="U913" t="b">
        <f>C913&gt;T913</f>
        <v>0</v>
      </c>
    </row>
    <row r="914" spans="1:21" x14ac:dyDescent="0.25">
      <c r="A914" t="s">
        <v>801</v>
      </c>
      <c r="B914" s="1">
        <v>46146</v>
      </c>
      <c r="C914" s="1">
        <v>46149</v>
      </c>
      <c r="D914" t="s">
        <v>802</v>
      </c>
      <c r="E914" t="s">
        <v>236</v>
      </c>
      <c r="F914" t="s">
        <v>39</v>
      </c>
      <c r="G914" t="s">
        <v>40</v>
      </c>
      <c r="H914" t="s">
        <v>84</v>
      </c>
      <c r="I914" s="2">
        <v>3</v>
      </c>
      <c r="J914" s="3">
        <v>420</v>
      </c>
      <c r="K914" s="4">
        <v>0</v>
      </c>
      <c r="L914" s="3">
        <v>1260</v>
      </c>
      <c r="M914" t="b">
        <v>1</v>
      </c>
      <c r="N914" s="2">
        <f>YEAR(B914)</f>
        <v>2026</v>
      </c>
      <c r="O914" t="str">
        <f>INDEX(Agences!$C:$C,MATCH(F914,Agences!$A:$A,0))</f>
        <v>Sud-Ouest</v>
      </c>
      <c r="P914" t="str">
        <f>INDEX(Produits!$C:$C,MATCH(H914,Produits!$A:$A,0))</f>
        <v>Mobilier</v>
      </c>
      <c r="Q914" s="3">
        <f>I914*INDEX(Produits!$E:$E,MATCH(H914,Produits!$A:$A,0))</f>
        <v>730.8</v>
      </c>
      <c r="R914" s="3">
        <f>L914-Q914</f>
        <v>529.2</v>
      </c>
      <c r="S914" s="2">
        <f>NETWORKDAYS(B914,C914)-1</f>
        <v>3</v>
      </c>
      <c r="T914" s="1">
        <f>WORKDAY(B914,5)</f>
        <v>46153</v>
      </c>
      <c r="U914" t="b">
        <f>C914&gt;T914</f>
        <v>0</v>
      </c>
    </row>
    <row r="915" spans="1:21" x14ac:dyDescent="0.25">
      <c r="A915" t="s">
        <v>804</v>
      </c>
      <c r="B915" s="1">
        <v>46146</v>
      </c>
      <c r="C915" s="1">
        <v>46153</v>
      </c>
      <c r="D915" t="s">
        <v>444</v>
      </c>
      <c r="E915" t="s">
        <v>225</v>
      </c>
      <c r="F915" t="s">
        <v>88</v>
      </c>
      <c r="G915" t="s">
        <v>89</v>
      </c>
      <c r="H915" t="s">
        <v>41</v>
      </c>
      <c r="I915" s="2">
        <v>1</v>
      </c>
      <c r="J915" s="3">
        <v>790</v>
      </c>
      <c r="K915" s="4">
        <v>0.05</v>
      </c>
      <c r="L915" s="3">
        <v>750.5</v>
      </c>
      <c r="M915" t="b">
        <v>1</v>
      </c>
      <c r="N915" s="2">
        <f>YEAR(B915)</f>
        <v>2026</v>
      </c>
      <c r="O915" t="str">
        <f>INDEX(Agences!$C:$C,MATCH(F915,Agences!$A:$A,0))</f>
        <v>Sud-Ouest</v>
      </c>
      <c r="P915" t="str">
        <f>INDEX(Produits!$C:$C,MATCH(H915,Produits!$A:$A,0))</f>
        <v>Informatique</v>
      </c>
      <c r="Q915" s="3">
        <f>I915*INDEX(Produits!$E:$E,MATCH(H915,Produits!$A:$A,0))</f>
        <v>576.7</v>
      </c>
      <c r="R915" s="3">
        <f>L915-Q915</f>
        <v>173.79999999999995</v>
      </c>
      <c r="S915" s="2">
        <f>NETWORKDAYS(B915,C915)-1</f>
        <v>5</v>
      </c>
      <c r="T915" s="1">
        <f>WORKDAY(B915,5)</f>
        <v>46153</v>
      </c>
      <c r="U915" t="b">
        <f>C915&gt;T915</f>
        <v>0</v>
      </c>
    </row>
    <row r="916" spans="1:21" x14ac:dyDescent="0.25">
      <c r="A916" t="s">
        <v>804</v>
      </c>
      <c r="B916" s="1">
        <v>46146</v>
      </c>
      <c r="C916" s="1">
        <v>46153</v>
      </c>
      <c r="D916" t="s">
        <v>444</v>
      </c>
      <c r="E916" t="s">
        <v>225</v>
      </c>
      <c r="F916" t="s">
        <v>88</v>
      </c>
      <c r="G916" t="s">
        <v>89</v>
      </c>
      <c r="H916" t="s">
        <v>72</v>
      </c>
      <c r="I916" s="2">
        <v>1</v>
      </c>
      <c r="J916" s="3">
        <v>179</v>
      </c>
      <c r="K916" s="4">
        <v>0</v>
      </c>
      <c r="L916" s="3">
        <v>179</v>
      </c>
      <c r="M916" t="b">
        <v>1</v>
      </c>
      <c r="N916" s="2">
        <f>YEAR(B916)</f>
        <v>2026</v>
      </c>
      <c r="O916" t="str">
        <f>INDEX(Agences!$C:$C,MATCH(F916,Agences!$A:$A,0))</f>
        <v>Sud-Ouest</v>
      </c>
      <c r="P916" t="str">
        <f>INDEX(Produits!$C:$C,MATCH(H916,Produits!$A:$A,0))</f>
        <v>Informatique</v>
      </c>
      <c r="Q916" s="3">
        <f>I916*INDEX(Produits!$E:$E,MATCH(H916,Produits!$A:$A,0))</f>
        <v>146.78</v>
      </c>
      <c r="R916" s="3">
        <f>L916-Q916</f>
        <v>32.22</v>
      </c>
      <c r="S916" s="2">
        <f>NETWORKDAYS(B916,C916)-1</f>
        <v>5</v>
      </c>
      <c r="T916" s="1">
        <f>WORKDAY(B916,5)</f>
        <v>46153</v>
      </c>
      <c r="U916" t="b">
        <f>C916&gt;T916</f>
        <v>0</v>
      </c>
    </row>
    <row r="917" spans="1:21" x14ac:dyDescent="0.25">
      <c r="A917" t="s">
        <v>805</v>
      </c>
      <c r="B917" s="1">
        <v>46143</v>
      </c>
      <c r="C917" s="1">
        <v>46148</v>
      </c>
      <c r="D917" t="s">
        <v>656</v>
      </c>
      <c r="E917" t="s">
        <v>122</v>
      </c>
      <c r="F917" t="s">
        <v>24</v>
      </c>
      <c r="G917" t="s">
        <v>116</v>
      </c>
      <c r="H917" t="s">
        <v>206</v>
      </c>
      <c r="I917" s="2">
        <v>10</v>
      </c>
      <c r="J917" s="3">
        <v>34</v>
      </c>
      <c r="K917" s="4">
        <v>0</v>
      </c>
      <c r="L917" s="3">
        <v>340</v>
      </c>
      <c r="M917" t="b">
        <v>1</v>
      </c>
      <c r="N917" s="2">
        <f>YEAR(B917)</f>
        <v>2026</v>
      </c>
      <c r="O917" t="str">
        <f>INDEX(Agences!$C:$C,MATCH(F917,Agences!$A:$A,0))</f>
        <v>Nord</v>
      </c>
      <c r="P917" t="str">
        <f>INDEX(Produits!$C:$C,MATCH(H917,Produits!$A:$A,0))</f>
        <v>Fournitures</v>
      </c>
      <c r="Q917" s="3">
        <f>I917*INDEX(Produits!$E:$E,MATCH(H917,Produits!$A:$A,0))</f>
        <v>193.79999999999998</v>
      </c>
      <c r="R917" s="3">
        <f>L917-Q917</f>
        <v>146.20000000000002</v>
      </c>
      <c r="S917" s="2">
        <f>NETWORKDAYS(B917,C917)-1</f>
        <v>3</v>
      </c>
      <c r="T917" s="1">
        <f>WORKDAY(B917,5)</f>
        <v>46150</v>
      </c>
      <c r="U917" t="b">
        <f>C917&gt;T917</f>
        <v>0</v>
      </c>
    </row>
    <row r="918" spans="1:21" x14ac:dyDescent="0.25">
      <c r="A918" t="s">
        <v>805</v>
      </c>
      <c r="B918" s="1">
        <v>46143</v>
      </c>
      <c r="C918" s="1">
        <v>46148</v>
      </c>
      <c r="D918" t="s">
        <v>656</v>
      </c>
      <c r="E918" t="s">
        <v>122</v>
      </c>
      <c r="F918" t="s">
        <v>24</v>
      </c>
      <c r="G918" t="s">
        <v>116</v>
      </c>
      <c r="H918" t="s">
        <v>72</v>
      </c>
      <c r="I918" s="2">
        <v>4</v>
      </c>
      <c r="J918" s="3">
        <v>179</v>
      </c>
      <c r="K918" s="4">
        <v>0.02</v>
      </c>
      <c r="L918" s="3">
        <v>701.68</v>
      </c>
      <c r="M918" t="b">
        <v>1</v>
      </c>
      <c r="N918" s="2">
        <f>YEAR(B918)</f>
        <v>2026</v>
      </c>
      <c r="O918" t="str">
        <f>INDEX(Agences!$C:$C,MATCH(F918,Agences!$A:$A,0))</f>
        <v>Nord</v>
      </c>
      <c r="P918" t="str">
        <f>INDEX(Produits!$C:$C,MATCH(H918,Produits!$A:$A,0))</f>
        <v>Informatique</v>
      </c>
      <c r="Q918" s="3">
        <f>I918*INDEX(Produits!$E:$E,MATCH(H918,Produits!$A:$A,0))</f>
        <v>587.12</v>
      </c>
      <c r="R918" s="3">
        <f>L918-Q918</f>
        <v>114.55999999999995</v>
      </c>
      <c r="S918" s="2">
        <f>NETWORKDAYS(B918,C918)-1</f>
        <v>3</v>
      </c>
      <c r="T918" s="1">
        <f>WORKDAY(B918,5)</f>
        <v>46150</v>
      </c>
      <c r="U918" t="b">
        <f>C918&gt;T918</f>
        <v>0</v>
      </c>
    </row>
    <row r="919" spans="1:21" x14ac:dyDescent="0.25">
      <c r="A919" t="s">
        <v>805</v>
      </c>
      <c r="B919" s="1">
        <v>46143</v>
      </c>
      <c r="C919" s="1">
        <v>46148</v>
      </c>
      <c r="D919" t="s">
        <v>656</v>
      </c>
      <c r="E919" t="s">
        <v>122</v>
      </c>
      <c r="F919" t="s">
        <v>24</v>
      </c>
      <c r="G919" t="s">
        <v>116</v>
      </c>
      <c r="H919" t="s">
        <v>107</v>
      </c>
      <c r="I919" s="2">
        <v>2</v>
      </c>
      <c r="J919" s="3">
        <v>99</v>
      </c>
      <c r="K919" s="4">
        <v>0.05</v>
      </c>
      <c r="L919" s="3">
        <v>188.1</v>
      </c>
      <c r="M919" t="b">
        <v>1</v>
      </c>
      <c r="N919" s="2">
        <f>YEAR(B919)</f>
        <v>2026</v>
      </c>
      <c r="O919" t="str">
        <f>INDEX(Agences!$C:$C,MATCH(F919,Agences!$A:$A,0))</f>
        <v>Nord</v>
      </c>
      <c r="P919" t="str">
        <f>INDEX(Produits!$C:$C,MATCH(H919,Produits!$A:$A,0))</f>
        <v>Informatique</v>
      </c>
      <c r="Q919" s="3">
        <f>I919*INDEX(Produits!$E:$E,MATCH(H919,Produits!$A:$A,0))</f>
        <v>150.48</v>
      </c>
      <c r="R919" s="3">
        <f>L919-Q919</f>
        <v>37.620000000000005</v>
      </c>
      <c r="S919" s="2">
        <f>NETWORKDAYS(B919,C919)-1</f>
        <v>3</v>
      </c>
      <c r="T919" s="1">
        <f>WORKDAY(B919,5)</f>
        <v>46150</v>
      </c>
      <c r="U919" t="b">
        <f>C919&gt;T919</f>
        <v>0</v>
      </c>
    </row>
    <row r="920" spans="1:21" x14ac:dyDescent="0.25">
      <c r="A920" t="s">
        <v>805</v>
      </c>
      <c r="B920" s="1">
        <v>46143</v>
      </c>
      <c r="C920" s="1">
        <v>46148</v>
      </c>
      <c r="D920" t="s">
        <v>656</v>
      </c>
      <c r="E920" t="s">
        <v>122</v>
      </c>
      <c r="F920" t="s">
        <v>24</v>
      </c>
      <c r="G920" t="s">
        <v>116</v>
      </c>
      <c r="H920" t="s">
        <v>161</v>
      </c>
      <c r="I920" s="2">
        <v>5</v>
      </c>
      <c r="J920" s="3">
        <v>32</v>
      </c>
      <c r="K920" s="4">
        <v>0</v>
      </c>
      <c r="L920" s="3">
        <v>160</v>
      </c>
      <c r="M920" t="b">
        <v>1</v>
      </c>
      <c r="N920" s="2">
        <f>YEAR(B920)</f>
        <v>2026</v>
      </c>
      <c r="O920" t="str">
        <f>INDEX(Agences!$C:$C,MATCH(F920,Agences!$A:$A,0))</f>
        <v>Nord</v>
      </c>
      <c r="P920" t="str">
        <f>INDEX(Produits!$C:$C,MATCH(H920,Produits!$A:$A,0))</f>
        <v>Fournitures</v>
      </c>
      <c r="Q920" s="3">
        <f>I920*INDEX(Produits!$E:$E,MATCH(H920,Produits!$A:$A,0))</f>
        <v>88</v>
      </c>
      <c r="R920" s="3">
        <f>L920-Q920</f>
        <v>72</v>
      </c>
      <c r="S920" s="2">
        <f>NETWORKDAYS(B920,C920)-1</f>
        <v>3</v>
      </c>
      <c r="T920" s="1">
        <f>WORKDAY(B920,5)</f>
        <v>46150</v>
      </c>
      <c r="U920" t="b">
        <f>C920&gt;T920</f>
        <v>0</v>
      </c>
    </row>
    <row r="921" spans="1:21" x14ac:dyDescent="0.25">
      <c r="A921" t="s">
        <v>805</v>
      </c>
      <c r="B921" s="1">
        <v>46143</v>
      </c>
      <c r="C921" s="1">
        <v>46148</v>
      </c>
      <c r="D921" t="s">
        <v>656</v>
      </c>
      <c r="E921" t="s">
        <v>122</v>
      </c>
      <c r="F921" t="s">
        <v>24</v>
      </c>
      <c r="G921" t="s">
        <v>116</v>
      </c>
      <c r="H921" t="s">
        <v>319</v>
      </c>
      <c r="I921" s="2">
        <v>2</v>
      </c>
      <c r="J921" s="3">
        <v>289</v>
      </c>
      <c r="K921" s="4">
        <v>0.08</v>
      </c>
      <c r="L921" s="3">
        <v>531.76</v>
      </c>
      <c r="M921" t="b">
        <v>1</v>
      </c>
      <c r="N921" s="2">
        <f>YEAR(B921)</f>
        <v>2026</v>
      </c>
      <c r="O921" t="str">
        <f>INDEX(Agences!$C:$C,MATCH(F921,Agences!$A:$A,0))</f>
        <v>Nord</v>
      </c>
      <c r="P921" t="str">
        <f>INDEX(Produits!$C:$C,MATCH(H921,Produits!$A:$A,0))</f>
        <v>Informatique</v>
      </c>
      <c r="Q921" s="3">
        <f>I921*INDEX(Produits!$E:$E,MATCH(H921,Produits!$A:$A,0))</f>
        <v>427.72</v>
      </c>
      <c r="R921" s="3">
        <f>L921-Q921</f>
        <v>104.03999999999996</v>
      </c>
      <c r="S921" s="2">
        <f>NETWORKDAYS(B921,C921)-1</f>
        <v>3</v>
      </c>
      <c r="T921" s="1">
        <f>WORKDAY(B921,5)</f>
        <v>46150</v>
      </c>
      <c r="U921" t="b">
        <f>C921&gt;T921</f>
        <v>0</v>
      </c>
    </row>
    <row r="922" spans="1:21" x14ac:dyDescent="0.25">
      <c r="A922" t="s">
        <v>806</v>
      </c>
      <c r="B922" s="1">
        <v>46143</v>
      </c>
      <c r="C922" s="1">
        <v>46147</v>
      </c>
      <c r="D922" t="s">
        <v>592</v>
      </c>
      <c r="E922" t="s">
        <v>98</v>
      </c>
      <c r="F922" t="s">
        <v>99</v>
      </c>
      <c r="G922" t="s">
        <v>265</v>
      </c>
      <c r="H922" t="s">
        <v>108</v>
      </c>
      <c r="I922" s="2">
        <v>5</v>
      </c>
      <c r="J922" s="3">
        <v>24.5</v>
      </c>
      <c r="K922" s="4">
        <v>0.08</v>
      </c>
      <c r="L922" s="3">
        <v>112.7</v>
      </c>
      <c r="M922" t="b">
        <v>1</v>
      </c>
      <c r="N922" s="2">
        <f>YEAR(B922)</f>
        <v>2026</v>
      </c>
      <c r="O922" t="str">
        <f>INDEX(Agences!$C:$C,MATCH(F922,Agences!$A:$A,0))</f>
        <v>Nord</v>
      </c>
      <c r="P922" t="str">
        <f>INDEX(Produits!$C:$C,MATCH(H922,Produits!$A:$A,0))</f>
        <v>Fournitures</v>
      </c>
      <c r="Q922" s="3">
        <f>I922*INDEX(Produits!$E:$E,MATCH(H922,Produits!$A:$A,0))</f>
        <v>73.5</v>
      </c>
      <c r="R922" s="3">
        <f>L922-Q922</f>
        <v>39.2</v>
      </c>
      <c r="S922" s="2">
        <f>NETWORKDAYS(B922,C922)-1</f>
        <v>2</v>
      </c>
      <c r="T922" s="1">
        <f>WORKDAY(B922,5)</f>
        <v>46150</v>
      </c>
      <c r="U922" t="b">
        <f>C922&gt;T922</f>
        <v>0</v>
      </c>
    </row>
    <row r="923" spans="1:21" x14ac:dyDescent="0.25">
      <c r="A923" t="s">
        <v>806</v>
      </c>
      <c r="B923" s="1">
        <v>46143</v>
      </c>
      <c r="C923" s="1">
        <v>46147</v>
      </c>
      <c r="D923" t="s">
        <v>592</v>
      </c>
      <c r="E923" t="s">
        <v>98</v>
      </c>
      <c r="F923" t="s">
        <v>99</v>
      </c>
      <c r="G923" t="s">
        <v>265</v>
      </c>
      <c r="H923" t="s">
        <v>50</v>
      </c>
      <c r="I923" s="2">
        <v>1</v>
      </c>
      <c r="J923" s="3">
        <v>69</v>
      </c>
      <c r="K923" s="4">
        <v>0.02</v>
      </c>
      <c r="L923" s="3">
        <v>67.62</v>
      </c>
      <c r="M923" t="b">
        <v>1</v>
      </c>
      <c r="N923" s="2">
        <f>YEAR(B923)</f>
        <v>2026</v>
      </c>
      <c r="O923" t="str">
        <f>INDEX(Agences!$C:$C,MATCH(F923,Agences!$A:$A,0))</f>
        <v>Nord</v>
      </c>
      <c r="P923" t="str">
        <f>INDEX(Produits!$C:$C,MATCH(H923,Produits!$A:$A,0))</f>
        <v>Informatique</v>
      </c>
      <c r="Q923" s="3">
        <f>I923*INDEX(Produits!$E:$E,MATCH(H923,Produits!$A:$A,0))</f>
        <v>54.51</v>
      </c>
      <c r="R923" s="3">
        <f>L923-Q923</f>
        <v>13.110000000000007</v>
      </c>
      <c r="S923" s="2">
        <f>NETWORKDAYS(B923,C923)-1</f>
        <v>2</v>
      </c>
      <c r="T923" s="1">
        <f>WORKDAY(B923,5)</f>
        <v>46150</v>
      </c>
      <c r="U923" t="b">
        <f>C923&gt;T923</f>
        <v>0</v>
      </c>
    </row>
    <row r="924" spans="1:21" x14ac:dyDescent="0.25">
      <c r="A924" t="s">
        <v>806</v>
      </c>
      <c r="B924" s="1">
        <v>46143</v>
      </c>
      <c r="C924" s="1">
        <v>46147</v>
      </c>
      <c r="D924" t="s">
        <v>592</v>
      </c>
      <c r="E924" t="s">
        <v>98</v>
      </c>
      <c r="F924" t="s">
        <v>99</v>
      </c>
      <c r="G924" t="s">
        <v>265</v>
      </c>
      <c r="H924" t="s">
        <v>72</v>
      </c>
      <c r="I924" s="2">
        <v>2</v>
      </c>
      <c r="J924" s="3">
        <v>179</v>
      </c>
      <c r="K924" s="4">
        <v>0.08</v>
      </c>
      <c r="L924" s="3">
        <v>329.36</v>
      </c>
      <c r="M924" t="b">
        <v>1</v>
      </c>
      <c r="N924" s="2">
        <f>YEAR(B924)</f>
        <v>2026</v>
      </c>
      <c r="O924" t="str">
        <f>INDEX(Agences!$C:$C,MATCH(F924,Agences!$A:$A,0))</f>
        <v>Nord</v>
      </c>
      <c r="P924" t="str">
        <f>INDEX(Produits!$C:$C,MATCH(H924,Produits!$A:$A,0))</f>
        <v>Informatique</v>
      </c>
      <c r="Q924" s="3">
        <f>I924*INDEX(Produits!$E:$E,MATCH(H924,Produits!$A:$A,0))</f>
        <v>293.56</v>
      </c>
      <c r="R924" s="3">
        <f>L924-Q924</f>
        <v>35.80000000000001</v>
      </c>
      <c r="S924" s="2">
        <f>NETWORKDAYS(B924,C924)-1</f>
        <v>2</v>
      </c>
      <c r="T924" s="1">
        <f>WORKDAY(B924,5)</f>
        <v>46150</v>
      </c>
      <c r="U924" t="b">
        <f>C924&gt;T924</f>
        <v>0</v>
      </c>
    </row>
    <row r="925" spans="1:21" x14ac:dyDescent="0.25">
      <c r="A925" t="s">
        <v>806</v>
      </c>
      <c r="B925" s="1">
        <v>46143</v>
      </c>
      <c r="C925" s="1">
        <v>46147</v>
      </c>
      <c r="D925" t="s">
        <v>592</v>
      </c>
      <c r="E925" t="s">
        <v>98</v>
      </c>
      <c r="F925" t="s">
        <v>99</v>
      </c>
      <c r="G925" t="s">
        <v>265</v>
      </c>
      <c r="H925" t="s">
        <v>42</v>
      </c>
      <c r="I925" s="2">
        <v>2</v>
      </c>
      <c r="J925" s="3">
        <v>55</v>
      </c>
      <c r="K925" s="4">
        <v>0.02</v>
      </c>
      <c r="L925" s="3">
        <v>107.8</v>
      </c>
      <c r="M925" t="b">
        <v>1</v>
      </c>
      <c r="N925" s="2">
        <f>YEAR(B925)</f>
        <v>2026</v>
      </c>
      <c r="O925" t="str">
        <f>INDEX(Agences!$C:$C,MATCH(F925,Agences!$A:$A,0))</f>
        <v>Nord</v>
      </c>
      <c r="P925" t="str">
        <f>INDEX(Produits!$C:$C,MATCH(H925,Produits!$A:$A,0))</f>
        <v>Maintenance</v>
      </c>
      <c r="Q925" s="3">
        <f>I925*INDEX(Produits!$E:$E,MATCH(H925,Produits!$A:$A,0))</f>
        <v>49.5</v>
      </c>
      <c r="R925" s="3">
        <f>L925-Q925</f>
        <v>58.3</v>
      </c>
      <c r="S925" s="2">
        <f>NETWORKDAYS(B925,C925)-1</f>
        <v>2</v>
      </c>
      <c r="T925" s="1">
        <f>WORKDAY(B925,5)</f>
        <v>46150</v>
      </c>
      <c r="U925" t="b">
        <f>C925&gt;T925</f>
        <v>0</v>
      </c>
    </row>
    <row r="926" spans="1:21" x14ac:dyDescent="0.25">
      <c r="A926" t="s">
        <v>807</v>
      </c>
      <c r="B926" s="1">
        <v>46143</v>
      </c>
      <c r="C926" s="1">
        <v>46147</v>
      </c>
      <c r="D926" t="s">
        <v>808</v>
      </c>
      <c r="E926" t="s">
        <v>175</v>
      </c>
      <c r="F926" t="s">
        <v>76</v>
      </c>
      <c r="G926" t="s">
        <v>232</v>
      </c>
      <c r="H926" t="s">
        <v>50</v>
      </c>
      <c r="I926" s="2">
        <v>1</v>
      </c>
      <c r="J926" s="3">
        <v>69</v>
      </c>
      <c r="K926" s="4">
        <v>0</v>
      </c>
      <c r="L926" s="3">
        <v>69</v>
      </c>
      <c r="M926" t="b">
        <v>1</v>
      </c>
      <c r="N926" s="2">
        <f>YEAR(B926)</f>
        <v>2026</v>
      </c>
      <c r="O926" t="str">
        <f>INDEX(Agences!$C:$C,MATCH(F926,Agences!$A:$A,0))</f>
        <v>Île-de-France</v>
      </c>
      <c r="P926" t="str">
        <f>INDEX(Produits!$C:$C,MATCH(H926,Produits!$A:$A,0))</f>
        <v>Informatique</v>
      </c>
      <c r="Q926" s="3">
        <f>I926*INDEX(Produits!$E:$E,MATCH(H926,Produits!$A:$A,0))</f>
        <v>54.51</v>
      </c>
      <c r="R926" s="3">
        <f>L926-Q926</f>
        <v>14.490000000000002</v>
      </c>
      <c r="S926" s="2">
        <f>NETWORKDAYS(B926,C926)-1</f>
        <v>2</v>
      </c>
      <c r="T926" s="1">
        <f>WORKDAY(B926,5)</f>
        <v>46150</v>
      </c>
      <c r="U926" t="b">
        <f>C926&gt;T926</f>
        <v>0</v>
      </c>
    </row>
    <row r="927" spans="1:21" x14ac:dyDescent="0.25">
      <c r="A927" t="s">
        <v>807</v>
      </c>
      <c r="B927" s="1">
        <v>46143</v>
      </c>
      <c r="C927" s="1">
        <v>46147</v>
      </c>
      <c r="D927" t="s">
        <v>808</v>
      </c>
      <c r="E927" t="s">
        <v>175</v>
      </c>
      <c r="F927" t="s">
        <v>76</v>
      </c>
      <c r="G927" t="s">
        <v>232</v>
      </c>
      <c r="H927" t="s">
        <v>83</v>
      </c>
      <c r="I927" s="2">
        <v>1</v>
      </c>
      <c r="J927" s="3">
        <v>49</v>
      </c>
      <c r="K927" s="4">
        <v>0.05</v>
      </c>
      <c r="L927" s="3">
        <v>46.55</v>
      </c>
      <c r="M927" t="b">
        <v>1</v>
      </c>
      <c r="N927" s="2">
        <f>YEAR(B927)</f>
        <v>2026</v>
      </c>
      <c r="O927" t="str">
        <f>INDEX(Agences!$C:$C,MATCH(F927,Agences!$A:$A,0))</f>
        <v>Île-de-France</v>
      </c>
      <c r="P927" t="str">
        <f>INDEX(Produits!$C:$C,MATCH(H927,Produits!$A:$A,0))</f>
        <v>Mobilier</v>
      </c>
      <c r="Q927" s="3">
        <f>I927*INDEX(Produits!$E:$E,MATCH(H927,Produits!$A:$A,0))</f>
        <v>28.42</v>
      </c>
      <c r="R927" s="3">
        <f>L927-Q927</f>
        <v>18.129999999999995</v>
      </c>
      <c r="S927" s="2">
        <f>NETWORKDAYS(B927,C927)-1</f>
        <v>2</v>
      </c>
      <c r="T927" s="1">
        <f>WORKDAY(B927,5)</f>
        <v>46150</v>
      </c>
      <c r="U927" t="b">
        <f>C927&gt;T927</f>
        <v>0</v>
      </c>
    </row>
    <row r="928" spans="1:21" x14ac:dyDescent="0.25">
      <c r="A928" t="s">
        <v>807</v>
      </c>
      <c r="B928" s="1">
        <v>46143</v>
      </c>
      <c r="C928" s="1">
        <v>46147</v>
      </c>
      <c r="D928" t="s">
        <v>808</v>
      </c>
      <c r="E928" t="s">
        <v>175</v>
      </c>
      <c r="F928" t="s">
        <v>76</v>
      </c>
      <c r="G928" t="s">
        <v>232</v>
      </c>
      <c r="H928" t="s">
        <v>112</v>
      </c>
      <c r="I928" s="2">
        <v>1</v>
      </c>
      <c r="J928" s="3">
        <v>129</v>
      </c>
      <c r="K928" s="4">
        <v>0</v>
      </c>
      <c r="L928" s="3">
        <v>129</v>
      </c>
      <c r="M928" t="b">
        <v>1</v>
      </c>
      <c r="N928" s="2">
        <f>YEAR(B928)</f>
        <v>2026</v>
      </c>
      <c r="O928" t="str">
        <f>INDEX(Agences!$C:$C,MATCH(F928,Agences!$A:$A,0))</f>
        <v>Île-de-France</v>
      </c>
      <c r="P928" t="str">
        <f>INDEX(Produits!$C:$C,MATCH(H928,Produits!$A:$A,0))</f>
        <v>Mobilier</v>
      </c>
      <c r="Q928" s="3">
        <f>I928*INDEX(Produits!$E:$E,MATCH(H928,Produits!$A:$A,0))</f>
        <v>86.43</v>
      </c>
      <c r="R928" s="3">
        <f>L928-Q928</f>
        <v>42.56999999999999</v>
      </c>
      <c r="S928" s="2">
        <f>NETWORKDAYS(B928,C928)-1</f>
        <v>2</v>
      </c>
      <c r="T928" s="1">
        <f>WORKDAY(B928,5)</f>
        <v>46150</v>
      </c>
      <c r="U928" t="b">
        <f>C928&gt;T928</f>
        <v>0</v>
      </c>
    </row>
    <row r="929" spans="1:21" x14ac:dyDescent="0.25">
      <c r="A929" t="s">
        <v>807</v>
      </c>
      <c r="B929" s="1">
        <v>46143</v>
      </c>
      <c r="C929" s="1">
        <v>46147</v>
      </c>
      <c r="D929" t="s">
        <v>808</v>
      </c>
      <c r="E929" t="s">
        <v>175</v>
      </c>
      <c r="F929" t="s">
        <v>76</v>
      </c>
      <c r="G929" t="s">
        <v>232</v>
      </c>
      <c r="H929" t="s">
        <v>196</v>
      </c>
      <c r="I929" s="2">
        <v>5</v>
      </c>
      <c r="J929" s="3">
        <v>18.5</v>
      </c>
      <c r="K929" s="4">
        <v>0</v>
      </c>
      <c r="L929" s="3">
        <v>92.5</v>
      </c>
      <c r="M929" t="b">
        <v>1</v>
      </c>
      <c r="N929" s="2">
        <f>YEAR(B929)</f>
        <v>2026</v>
      </c>
      <c r="O929" t="str">
        <f>INDEX(Agences!$C:$C,MATCH(F929,Agences!$A:$A,0))</f>
        <v>Île-de-France</v>
      </c>
      <c r="P929" t="str">
        <f>INDEX(Produits!$C:$C,MATCH(H929,Produits!$A:$A,0))</f>
        <v>Fournitures</v>
      </c>
      <c r="Q929" s="3">
        <f>I929*INDEX(Produits!$E:$E,MATCH(H929,Produits!$A:$A,0))</f>
        <v>47.199999999999996</v>
      </c>
      <c r="R929" s="3">
        <f>L929-Q929</f>
        <v>45.300000000000004</v>
      </c>
      <c r="S929" s="2">
        <f>NETWORKDAYS(B929,C929)-1</f>
        <v>2</v>
      </c>
      <c r="T929" s="1">
        <f>WORKDAY(B929,5)</f>
        <v>46150</v>
      </c>
      <c r="U929" t="b">
        <f>C929&gt;T929</f>
        <v>0</v>
      </c>
    </row>
    <row r="930" spans="1:21" x14ac:dyDescent="0.25">
      <c r="A930" t="s">
        <v>809</v>
      </c>
      <c r="B930" s="1">
        <v>46143</v>
      </c>
      <c r="C930" s="1">
        <v>46148</v>
      </c>
      <c r="D930" t="s">
        <v>810</v>
      </c>
      <c r="E930" t="s">
        <v>30</v>
      </c>
      <c r="F930" t="s">
        <v>31</v>
      </c>
      <c r="G930" t="s">
        <v>375</v>
      </c>
      <c r="H930" t="s">
        <v>33</v>
      </c>
      <c r="I930" s="2">
        <v>1</v>
      </c>
      <c r="J930" s="3">
        <v>219</v>
      </c>
      <c r="K930" s="4">
        <v>0</v>
      </c>
      <c r="L930" s="3">
        <v>219</v>
      </c>
      <c r="M930" t="b">
        <v>1</v>
      </c>
      <c r="N930" s="2">
        <f>YEAR(B930)</f>
        <v>2026</v>
      </c>
      <c r="O930" t="str">
        <f>INDEX(Agences!$C:$C,MATCH(F930,Agences!$A:$A,0))</f>
        <v>Ouest</v>
      </c>
      <c r="P930" t="str">
        <f>INDEX(Produits!$C:$C,MATCH(H930,Produits!$A:$A,0))</f>
        <v>Informatique</v>
      </c>
      <c r="Q930" s="3">
        <f>I930*INDEX(Produits!$E:$E,MATCH(H930,Produits!$A:$A,0))</f>
        <v>179.58</v>
      </c>
      <c r="R930" s="3">
        <f>L930-Q930</f>
        <v>39.41999999999999</v>
      </c>
      <c r="S930" s="2">
        <f>NETWORKDAYS(B930,C930)-1</f>
        <v>3</v>
      </c>
      <c r="T930" s="1">
        <f>WORKDAY(B930,5)</f>
        <v>46150</v>
      </c>
      <c r="U930" t="b">
        <f>C930&gt;T930</f>
        <v>0</v>
      </c>
    </row>
    <row r="931" spans="1:21" x14ac:dyDescent="0.25">
      <c r="A931" t="s">
        <v>811</v>
      </c>
      <c r="B931" s="1">
        <v>46142</v>
      </c>
      <c r="C931" s="1">
        <v>46146</v>
      </c>
      <c r="D931" t="s">
        <v>812</v>
      </c>
      <c r="E931" t="s">
        <v>175</v>
      </c>
      <c r="F931" t="s">
        <v>76</v>
      </c>
      <c r="G931" t="s">
        <v>232</v>
      </c>
      <c r="H931" t="s">
        <v>83</v>
      </c>
      <c r="I931" s="2">
        <v>1</v>
      </c>
      <c r="J931" s="3">
        <v>49</v>
      </c>
      <c r="K931" s="4">
        <v>0</v>
      </c>
      <c r="L931" s="3">
        <v>49</v>
      </c>
      <c r="M931" t="b">
        <v>1</v>
      </c>
      <c r="N931" s="2">
        <f>YEAR(B931)</f>
        <v>2026</v>
      </c>
      <c r="O931" t="str">
        <f>INDEX(Agences!$C:$C,MATCH(F931,Agences!$A:$A,0))</f>
        <v>Île-de-France</v>
      </c>
      <c r="P931" t="str">
        <f>INDEX(Produits!$C:$C,MATCH(H931,Produits!$A:$A,0))</f>
        <v>Mobilier</v>
      </c>
      <c r="Q931" s="3">
        <f>I931*INDEX(Produits!$E:$E,MATCH(H931,Produits!$A:$A,0))</f>
        <v>28.42</v>
      </c>
      <c r="R931" s="3">
        <f>L931-Q931</f>
        <v>20.58</v>
      </c>
      <c r="S931" s="2">
        <f>NETWORKDAYS(B931,C931)-1</f>
        <v>2</v>
      </c>
      <c r="T931" s="1">
        <f>WORKDAY(B931,5)</f>
        <v>46149</v>
      </c>
      <c r="U931" t="b">
        <f>C931&gt;T931</f>
        <v>0</v>
      </c>
    </row>
    <row r="932" spans="1:21" x14ac:dyDescent="0.25">
      <c r="A932" t="s">
        <v>813</v>
      </c>
      <c r="B932" s="1">
        <v>46142</v>
      </c>
      <c r="C932" s="1">
        <v>46143</v>
      </c>
      <c r="D932" t="s">
        <v>792</v>
      </c>
      <c r="E932" t="s">
        <v>191</v>
      </c>
      <c r="F932" t="s">
        <v>62</v>
      </c>
      <c r="G932" t="s">
        <v>68</v>
      </c>
      <c r="H932" t="s">
        <v>237</v>
      </c>
      <c r="I932" s="2">
        <v>1</v>
      </c>
      <c r="J932" s="3">
        <v>890</v>
      </c>
      <c r="K932" s="4">
        <v>0</v>
      </c>
      <c r="L932" s="3">
        <v>890</v>
      </c>
      <c r="M932" t="b">
        <v>1</v>
      </c>
      <c r="N932" s="2">
        <f>YEAR(B932)</f>
        <v>2026</v>
      </c>
      <c r="O932" t="str">
        <f>INDEX(Agences!$C:$C,MATCH(F932,Agences!$A:$A,0))</f>
        <v>Méditerranée</v>
      </c>
      <c r="P932" t="str">
        <f>INDEX(Produits!$C:$C,MATCH(H932,Produits!$A:$A,0))</f>
        <v>Mobilier</v>
      </c>
      <c r="Q932" s="3">
        <f>I932*INDEX(Produits!$E:$E,MATCH(H932,Produits!$A:$A,0))</f>
        <v>596.3</v>
      </c>
      <c r="R932" s="3">
        <f>L932-Q932</f>
        <v>293.70000000000005</v>
      </c>
      <c r="S932" s="2">
        <f>NETWORKDAYS(B932,C932)-1</f>
        <v>1</v>
      </c>
      <c r="T932" s="1">
        <f>WORKDAY(B932,5)</f>
        <v>46149</v>
      </c>
      <c r="U932" t="b">
        <f>C932&gt;T932</f>
        <v>0</v>
      </c>
    </row>
    <row r="933" spans="1:21" x14ac:dyDescent="0.25">
      <c r="A933" t="s">
        <v>813</v>
      </c>
      <c r="B933" s="1">
        <v>46142</v>
      </c>
      <c r="C933" s="1">
        <v>46143</v>
      </c>
      <c r="D933" t="s">
        <v>792</v>
      </c>
      <c r="E933" t="s">
        <v>191</v>
      </c>
      <c r="F933" t="s">
        <v>62</v>
      </c>
      <c r="G933" t="s">
        <v>68</v>
      </c>
      <c r="H933" t="s">
        <v>35</v>
      </c>
      <c r="I933" s="2">
        <v>2</v>
      </c>
      <c r="J933" s="3">
        <v>79</v>
      </c>
      <c r="K933" s="4">
        <v>0</v>
      </c>
      <c r="L933" s="3">
        <v>158</v>
      </c>
      <c r="M933" t="b">
        <v>1</v>
      </c>
      <c r="N933" s="2">
        <f>YEAR(B933)</f>
        <v>2026</v>
      </c>
      <c r="O933" t="str">
        <f>INDEX(Agences!$C:$C,MATCH(F933,Agences!$A:$A,0))</f>
        <v>Méditerranée</v>
      </c>
      <c r="P933" t="str">
        <f>INDEX(Produits!$C:$C,MATCH(H933,Produits!$A:$A,0))</f>
        <v>Mobilier</v>
      </c>
      <c r="Q933" s="3">
        <f>I933*INDEX(Produits!$E:$E,MATCH(H933,Produits!$A:$A,0))</f>
        <v>93.22</v>
      </c>
      <c r="R933" s="3">
        <f>L933-Q933</f>
        <v>64.78</v>
      </c>
      <c r="S933" s="2">
        <f>NETWORKDAYS(B933,C933)-1</f>
        <v>1</v>
      </c>
      <c r="T933" s="1">
        <f>WORKDAY(B933,5)</f>
        <v>46149</v>
      </c>
      <c r="U933" t="b">
        <f>C933&gt;T933</f>
        <v>0</v>
      </c>
    </row>
    <row r="934" spans="1:21" x14ac:dyDescent="0.25">
      <c r="A934" t="s">
        <v>813</v>
      </c>
      <c r="B934" s="1">
        <v>46142</v>
      </c>
      <c r="C934" s="1">
        <v>46143</v>
      </c>
      <c r="D934" t="s">
        <v>792</v>
      </c>
      <c r="E934" t="s">
        <v>191</v>
      </c>
      <c r="F934" t="s">
        <v>62</v>
      </c>
      <c r="G934" t="s">
        <v>68</v>
      </c>
      <c r="H934" t="s">
        <v>50</v>
      </c>
      <c r="I934" s="2">
        <v>1</v>
      </c>
      <c r="J934" s="3">
        <v>69</v>
      </c>
      <c r="K934" s="4">
        <v>0</v>
      </c>
      <c r="L934" s="3">
        <v>69</v>
      </c>
      <c r="M934" t="b">
        <v>1</v>
      </c>
      <c r="N934" s="2">
        <f>YEAR(B934)</f>
        <v>2026</v>
      </c>
      <c r="O934" t="str">
        <f>INDEX(Agences!$C:$C,MATCH(F934,Agences!$A:$A,0))</f>
        <v>Méditerranée</v>
      </c>
      <c r="P934" t="str">
        <f>INDEX(Produits!$C:$C,MATCH(H934,Produits!$A:$A,0))</f>
        <v>Informatique</v>
      </c>
      <c r="Q934" s="3">
        <f>I934*INDEX(Produits!$E:$E,MATCH(H934,Produits!$A:$A,0))</f>
        <v>54.51</v>
      </c>
      <c r="R934" s="3">
        <f>L934-Q934</f>
        <v>14.490000000000002</v>
      </c>
      <c r="S934" s="2">
        <f>NETWORKDAYS(B934,C934)-1</f>
        <v>1</v>
      </c>
      <c r="T934" s="1">
        <f>WORKDAY(B934,5)</f>
        <v>46149</v>
      </c>
      <c r="U934" t="b">
        <f>C934&gt;T934</f>
        <v>0</v>
      </c>
    </row>
    <row r="935" spans="1:21" x14ac:dyDescent="0.25">
      <c r="A935" t="s">
        <v>813</v>
      </c>
      <c r="B935" s="1">
        <v>46142</v>
      </c>
      <c r="C935" s="1">
        <v>46143</v>
      </c>
      <c r="D935" t="s">
        <v>792</v>
      </c>
      <c r="E935" t="s">
        <v>191</v>
      </c>
      <c r="F935" t="s">
        <v>62</v>
      </c>
      <c r="G935" t="s">
        <v>68</v>
      </c>
      <c r="H935" t="s">
        <v>206</v>
      </c>
      <c r="I935" s="2">
        <v>10</v>
      </c>
      <c r="J935" s="3">
        <v>34</v>
      </c>
      <c r="K935" s="4">
        <v>0</v>
      </c>
      <c r="L935" s="3">
        <v>340</v>
      </c>
      <c r="M935" t="b">
        <v>1</v>
      </c>
      <c r="N935" s="2">
        <f>YEAR(B935)</f>
        <v>2026</v>
      </c>
      <c r="O935" t="str">
        <f>INDEX(Agences!$C:$C,MATCH(F935,Agences!$A:$A,0))</f>
        <v>Méditerranée</v>
      </c>
      <c r="P935" t="str">
        <f>INDEX(Produits!$C:$C,MATCH(H935,Produits!$A:$A,0))</f>
        <v>Fournitures</v>
      </c>
      <c r="Q935" s="3">
        <f>I935*INDEX(Produits!$E:$E,MATCH(H935,Produits!$A:$A,0))</f>
        <v>193.79999999999998</v>
      </c>
      <c r="R935" s="3">
        <f>L935-Q935</f>
        <v>146.20000000000002</v>
      </c>
      <c r="S935" s="2">
        <f>NETWORKDAYS(B935,C935)-1</f>
        <v>1</v>
      </c>
      <c r="T935" s="1">
        <f>WORKDAY(B935,5)</f>
        <v>46149</v>
      </c>
      <c r="U935" t="b">
        <f>C935&gt;T935</f>
        <v>0</v>
      </c>
    </row>
    <row r="936" spans="1:21" x14ac:dyDescent="0.25">
      <c r="A936" t="s">
        <v>814</v>
      </c>
      <c r="B936" s="1">
        <v>46141</v>
      </c>
      <c r="C936" s="1">
        <v>46147</v>
      </c>
      <c r="D936" t="s">
        <v>815</v>
      </c>
      <c r="E936" t="s">
        <v>119</v>
      </c>
      <c r="F936" t="s">
        <v>24</v>
      </c>
      <c r="G936" t="s">
        <v>199</v>
      </c>
      <c r="H936" t="s">
        <v>83</v>
      </c>
      <c r="I936" s="2">
        <v>4</v>
      </c>
      <c r="J936" s="3">
        <v>49</v>
      </c>
      <c r="K936" s="4">
        <v>0</v>
      </c>
      <c r="L936" s="3">
        <v>196</v>
      </c>
      <c r="M936" t="b">
        <v>1</v>
      </c>
      <c r="N936" s="2">
        <f>YEAR(B936)</f>
        <v>2026</v>
      </c>
      <c r="O936" t="str">
        <f>INDEX(Agences!$C:$C,MATCH(F936,Agences!$A:$A,0))</f>
        <v>Nord</v>
      </c>
      <c r="P936" t="str">
        <f>INDEX(Produits!$C:$C,MATCH(H936,Produits!$A:$A,0))</f>
        <v>Mobilier</v>
      </c>
      <c r="Q936" s="3">
        <f>I936*INDEX(Produits!$E:$E,MATCH(H936,Produits!$A:$A,0))</f>
        <v>113.68</v>
      </c>
      <c r="R936" s="3">
        <f>L936-Q936</f>
        <v>82.32</v>
      </c>
      <c r="S936" s="2">
        <f>NETWORKDAYS(B936,C936)-1</f>
        <v>4</v>
      </c>
      <c r="T936" s="1">
        <f>WORKDAY(B936,5)</f>
        <v>46148</v>
      </c>
      <c r="U936" t="b">
        <f>C936&gt;T936</f>
        <v>0</v>
      </c>
    </row>
    <row r="937" spans="1:21" x14ac:dyDescent="0.25">
      <c r="A937" t="s">
        <v>814</v>
      </c>
      <c r="B937" s="1">
        <v>46141</v>
      </c>
      <c r="C937" s="1">
        <v>46147</v>
      </c>
      <c r="D937" t="s">
        <v>815</v>
      </c>
      <c r="E937" t="s">
        <v>119</v>
      </c>
      <c r="F937" t="s">
        <v>24</v>
      </c>
      <c r="G937" t="s">
        <v>199</v>
      </c>
      <c r="H937" t="s">
        <v>127</v>
      </c>
      <c r="I937" s="2">
        <v>2</v>
      </c>
      <c r="J937" s="3">
        <v>649</v>
      </c>
      <c r="K937" s="4">
        <v>0.1</v>
      </c>
      <c r="L937" s="3">
        <v>1168.2</v>
      </c>
      <c r="M937" t="b">
        <v>1</v>
      </c>
      <c r="N937" s="2">
        <f>YEAR(B937)</f>
        <v>2026</v>
      </c>
      <c r="O937" t="str">
        <f>INDEX(Agences!$C:$C,MATCH(F937,Agences!$A:$A,0))</f>
        <v>Nord</v>
      </c>
      <c r="P937" t="str">
        <f>INDEX(Produits!$C:$C,MATCH(H937,Produits!$A:$A,0))</f>
        <v>Informatique</v>
      </c>
      <c r="Q937" s="3">
        <f>I937*INDEX(Produits!$E:$E,MATCH(H937,Produits!$A:$A,0))</f>
        <v>960.52</v>
      </c>
      <c r="R937" s="3">
        <f>L937-Q937</f>
        <v>207.68000000000006</v>
      </c>
      <c r="S937" s="2">
        <f>NETWORKDAYS(B937,C937)-1</f>
        <v>4</v>
      </c>
      <c r="T937" s="1">
        <f>WORKDAY(B937,5)</f>
        <v>46148</v>
      </c>
      <c r="U937" t="b">
        <f>C937&gt;T937</f>
        <v>0</v>
      </c>
    </row>
    <row r="938" spans="1:21" x14ac:dyDescent="0.25">
      <c r="A938" t="s">
        <v>814</v>
      </c>
      <c r="B938" s="1">
        <v>46141</v>
      </c>
      <c r="C938" s="1">
        <v>46147</v>
      </c>
      <c r="D938" t="s">
        <v>815</v>
      </c>
      <c r="E938" t="s">
        <v>119</v>
      </c>
      <c r="F938" t="s">
        <v>24</v>
      </c>
      <c r="G938" t="s">
        <v>199</v>
      </c>
      <c r="H938" t="s">
        <v>103</v>
      </c>
      <c r="I938" s="2">
        <v>4</v>
      </c>
      <c r="J938" s="3">
        <v>245</v>
      </c>
      <c r="K938" s="4">
        <v>0</v>
      </c>
      <c r="L938" s="3">
        <v>980</v>
      </c>
      <c r="M938" t="b">
        <v>1</v>
      </c>
      <c r="N938" s="2">
        <f>YEAR(B938)</f>
        <v>2026</v>
      </c>
      <c r="O938" t="str">
        <f>INDEX(Agences!$C:$C,MATCH(F938,Agences!$A:$A,0))</f>
        <v>Nord</v>
      </c>
      <c r="P938" t="str">
        <f>INDEX(Produits!$C:$C,MATCH(H938,Produits!$A:$A,0))</f>
        <v>Mobilier</v>
      </c>
      <c r="Q938" s="3">
        <f>I938*INDEX(Produits!$E:$E,MATCH(H938,Produits!$A:$A,0))</f>
        <v>656.6</v>
      </c>
      <c r="R938" s="3">
        <f>L938-Q938</f>
        <v>323.4</v>
      </c>
      <c r="S938" s="2">
        <f>NETWORKDAYS(B938,C938)-1</f>
        <v>4</v>
      </c>
      <c r="T938" s="1">
        <f>WORKDAY(B938,5)</f>
        <v>46148</v>
      </c>
      <c r="U938" t="b">
        <f>C938&gt;T938</f>
        <v>0</v>
      </c>
    </row>
    <row r="939" spans="1:21" x14ac:dyDescent="0.25">
      <c r="A939" t="s">
        <v>816</v>
      </c>
      <c r="B939" s="1">
        <v>46141</v>
      </c>
      <c r="C939" s="1">
        <v>46147</v>
      </c>
      <c r="D939" t="s">
        <v>817</v>
      </c>
      <c r="E939" t="s">
        <v>165</v>
      </c>
      <c r="F939" t="s">
        <v>166</v>
      </c>
      <c r="G939" t="s">
        <v>167</v>
      </c>
      <c r="H939" t="s">
        <v>112</v>
      </c>
      <c r="I939" s="2">
        <v>5</v>
      </c>
      <c r="J939" s="3">
        <v>129</v>
      </c>
      <c r="K939" s="4">
        <v>0.05</v>
      </c>
      <c r="L939" s="3">
        <v>612.75</v>
      </c>
      <c r="M939" t="b">
        <v>1</v>
      </c>
      <c r="N939" s="2">
        <f>YEAR(B939)</f>
        <v>2026</v>
      </c>
      <c r="O939" t="str">
        <f>INDEX(Agences!$C:$C,MATCH(F939,Agences!$A:$A,0))</f>
        <v>Ouest</v>
      </c>
      <c r="P939" t="str">
        <f>INDEX(Produits!$C:$C,MATCH(H939,Produits!$A:$A,0))</f>
        <v>Mobilier</v>
      </c>
      <c r="Q939" s="3">
        <f>I939*INDEX(Produits!$E:$E,MATCH(H939,Produits!$A:$A,0))</f>
        <v>432.15000000000003</v>
      </c>
      <c r="R939" s="3">
        <f>L939-Q939</f>
        <v>180.59999999999997</v>
      </c>
      <c r="S939" s="2">
        <f>NETWORKDAYS(B939,C939)-1</f>
        <v>4</v>
      </c>
      <c r="T939" s="1">
        <f>WORKDAY(B939,5)</f>
        <v>46148</v>
      </c>
      <c r="U939" t="b">
        <f>C939&gt;T939</f>
        <v>0</v>
      </c>
    </row>
    <row r="940" spans="1:21" x14ac:dyDescent="0.25">
      <c r="A940" t="s">
        <v>816</v>
      </c>
      <c r="B940" s="1">
        <v>46141</v>
      </c>
      <c r="C940" s="1">
        <v>46147</v>
      </c>
      <c r="D940" t="s">
        <v>817</v>
      </c>
      <c r="E940" t="s">
        <v>165</v>
      </c>
      <c r="F940" t="s">
        <v>166</v>
      </c>
      <c r="G940" t="s">
        <v>167</v>
      </c>
      <c r="H940" t="s">
        <v>162</v>
      </c>
      <c r="I940" s="2">
        <v>3</v>
      </c>
      <c r="J940" s="3">
        <v>289</v>
      </c>
      <c r="K940" s="4">
        <v>0</v>
      </c>
      <c r="L940" s="3">
        <v>867</v>
      </c>
      <c r="M940" t="b">
        <v>1</v>
      </c>
      <c r="N940" s="2">
        <f>YEAR(B940)</f>
        <v>2026</v>
      </c>
      <c r="O940" t="str">
        <f>INDEX(Agences!$C:$C,MATCH(F940,Agences!$A:$A,0))</f>
        <v>Ouest</v>
      </c>
      <c r="P940" t="str">
        <f>INDEX(Produits!$C:$C,MATCH(H940,Produits!$A:$A,0))</f>
        <v>Mobilier</v>
      </c>
      <c r="Q940" s="3">
        <f>I940*INDEX(Produits!$E:$E,MATCH(H940,Produits!$A:$A,0))</f>
        <v>580.89</v>
      </c>
      <c r="R940" s="3">
        <f>L940-Q940</f>
        <v>286.11</v>
      </c>
      <c r="S940" s="2">
        <f>NETWORKDAYS(B940,C940)-1</f>
        <v>4</v>
      </c>
      <c r="T940" s="1">
        <f>WORKDAY(B940,5)</f>
        <v>46148</v>
      </c>
      <c r="U940" t="b">
        <f>C940&gt;T940</f>
        <v>0</v>
      </c>
    </row>
    <row r="941" spans="1:21" x14ac:dyDescent="0.25">
      <c r="A941" t="s">
        <v>818</v>
      </c>
      <c r="B941" s="1">
        <v>46141</v>
      </c>
      <c r="C941" s="1">
        <v>46148</v>
      </c>
      <c r="D941" t="s">
        <v>819</v>
      </c>
      <c r="E941" t="s">
        <v>236</v>
      </c>
      <c r="F941" t="s">
        <v>39</v>
      </c>
      <c r="G941" t="s">
        <v>131</v>
      </c>
      <c r="H941" t="s">
        <v>42</v>
      </c>
      <c r="I941" s="2">
        <v>2</v>
      </c>
      <c r="J941" s="3">
        <v>55</v>
      </c>
      <c r="K941" s="4">
        <v>0.05</v>
      </c>
      <c r="L941" s="3">
        <v>104.5</v>
      </c>
      <c r="M941" t="b">
        <v>1</v>
      </c>
      <c r="N941" s="2">
        <f>YEAR(B941)</f>
        <v>2026</v>
      </c>
      <c r="O941" t="str">
        <f>INDEX(Agences!$C:$C,MATCH(F941,Agences!$A:$A,0))</f>
        <v>Sud-Ouest</v>
      </c>
      <c r="P941" t="str">
        <f>INDEX(Produits!$C:$C,MATCH(H941,Produits!$A:$A,0))</f>
        <v>Maintenance</v>
      </c>
      <c r="Q941" s="3">
        <f>I941*INDEX(Produits!$E:$E,MATCH(H941,Produits!$A:$A,0))</f>
        <v>49.5</v>
      </c>
      <c r="R941" s="3">
        <f>L941-Q941</f>
        <v>55</v>
      </c>
      <c r="S941" s="2">
        <f>NETWORKDAYS(B941,C941)-1</f>
        <v>5</v>
      </c>
      <c r="T941" s="1">
        <f>WORKDAY(B941,5)</f>
        <v>46148</v>
      </c>
      <c r="U941" t="b">
        <f>C941&gt;T941</f>
        <v>0</v>
      </c>
    </row>
    <row r="942" spans="1:21" x14ac:dyDescent="0.25">
      <c r="A942" t="s">
        <v>820</v>
      </c>
      <c r="B942" s="1">
        <v>46141</v>
      </c>
      <c r="C942" s="1">
        <v>46143</v>
      </c>
      <c r="D942" t="s">
        <v>821</v>
      </c>
      <c r="E942" t="s">
        <v>236</v>
      </c>
      <c r="F942" t="s">
        <v>39</v>
      </c>
      <c r="G942" t="s">
        <v>131</v>
      </c>
      <c r="H942" t="s">
        <v>112</v>
      </c>
      <c r="I942" s="2">
        <v>1</v>
      </c>
      <c r="J942" s="3">
        <v>129</v>
      </c>
      <c r="K942" s="4">
        <v>0.08</v>
      </c>
      <c r="L942" s="3">
        <v>118.68</v>
      </c>
      <c r="M942" t="b">
        <v>1</v>
      </c>
      <c r="N942" s="2">
        <f>YEAR(B942)</f>
        <v>2026</v>
      </c>
      <c r="O942" t="str">
        <f>INDEX(Agences!$C:$C,MATCH(F942,Agences!$A:$A,0))</f>
        <v>Sud-Ouest</v>
      </c>
      <c r="P942" t="str">
        <f>INDEX(Produits!$C:$C,MATCH(H942,Produits!$A:$A,0))</f>
        <v>Mobilier</v>
      </c>
      <c r="Q942" s="3">
        <f>I942*INDEX(Produits!$E:$E,MATCH(H942,Produits!$A:$A,0))</f>
        <v>86.43</v>
      </c>
      <c r="R942" s="3">
        <f>L942-Q942</f>
        <v>32.25</v>
      </c>
      <c r="S942" s="2">
        <f>NETWORKDAYS(B942,C942)-1</f>
        <v>2</v>
      </c>
      <c r="T942" s="1">
        <f>WORKDAY(B942,5)</f>
        <v>46148</v>
      </c>
      <c r="U942" t="b">
        <f>C942&gt;T942</f>
        <v>0</v>
      </c>
    </row>
    <row r="943" spans="1:21" x14ac:dyDescent="0.25">
      <c r="A943" t="s">
        <v>822</v>
      </c>
      <c r="B943" s="1">
        <v>46140</v>
      </c>
      <c r="C943" s="1">
        <v>46142</v>
      </c>
      <c r="D943" t="s">
        <v>823</v>
      </c>
      <c r="E943" t="s">
        <v>399</v>
      </c>
      <c r="F943" t="s">
        <v>166</v>
      </c>
      <c r="G943" t="s">
        <v>167</v>
      </c>
      <c r="H943" t="s">
        <v>83</v>
      </c>
      <c r="I943" s="2">
        <v>1</v>
      </c>
      <c r="J943" s="3">
        <v>49</v>
      </c>
      <c r="K943" s="4">
        <v>0</v>
      </c>
      <c r="L943" s="3">
        <v>49</v>
      </c>
      <c r="M943" t="b">
        <v>1</v>
      </c>
      <c r="N943" s="2">
        <f>YEAR(B943)</f>
        <v>2026</v>
      </c>
      <c r="O943" t="str">
        <f>INDEX(Agences!$C:$C,MATCH(F943,Agences!$A:$A,0))</f>
        <v>Ouest</v>
      </c>
      <c r="P943" t="str">
        <f>INDEX(Produits!$C:$C,MATCH(H943,Produits!$A:$A,0))</f>
        <v>Mobilier</v>
      </c>
      <c r="Q943" s="3">
        <f>I943*INDEX(Produits!$E:$E,MATCH(H943,Produits!$A:$A,0))</f>
        <v>28.42</v>
      </c>
      <c r="R943" s="3">
        <f>L943-Q943</f>
        <v>20.58</v>
      </c>
      <c r="S943" s="2">
        <f>NETWORKDAYS(B943,C943)-1</f>
        <v>2</v>
      </c>
      <c r="T943" s="1">
        <f>WORKDAY(B943,5)</f>
        <v>46147</v>
      </c>
      <c r="U943" t="b">
        <f>C943&gt;T943</f>
        <v>0</v>
      </c>
    </row>
    <row r="944" spans="1:21" x14ac:dyDescent="0.25">
      <c r="A944" t="s">
        <v>822</v>
      </c>
      <c r="B944" s="1">
        <v>46140</v>
      </c>
      <c r="C944" s="1">
        <v>46142</v>
      </c>
      <c r="D944" t="s">
        <v>823</v>
      </c>
      <c r="E944" t="s">
        <v>399</v>
      </c>
      <c r="F944" t="s">
        <v>166</v>
      </c>
      <c r="G944" t="s">
        <v>167</v>
      </c>
      <c r="H944" t="s">
        <v>57</v>
      </c>
      <c r="I944" s="2">
        <v>2</v>
      </c>
      <c r="J944" s="3">
        <v>149</v>
      </c>
      <c r="K944" s="4">
        <v>0</v>
      </c>
      <c r="L944" s="3">
        <v>298</v>
      </c>
      <c r="M944" t="b">
        <v>1</v>
      </c>
      <c r="N944" s="2">
        <f>YEAR(B944)</f>
        <v>2026</v>
      </c>
      <c r="O944" t="str">
        <f>INDEX(Agences!$C:$C,MATCH(F944,Agences!$A:$A,0))</f>
        <v>Ouest</v>
      </c>
      <c r="P944" t="str">
        <f>INDEX(Produits!$C:$C,MATCH(H944,Produits!$A:$A,0))</f>
        <v>Informatique</v>
      </c>
      <c r="Q944" s="3">
        <f>I944*INDEX(Produits!$E:$E,MATCH(H944,Produits!$A:$A,0))</f>
        <v>229.46</v>
      </c>
      <c r="R944" s="3">
        <f>L944-Q944</f>
        <v>68.53999999999999</v>
      </c>
      <c r="S944" s="2">
        <f>NETWORKDAYS(B944,C944)-1</f>
        <v>2</v>
      </c>
      <c r="T944" s="1">
        <f>WORKDAY(B944,5)</f>
        <v>46147</v>
      </c>
      <c r="U944" t="b">
        <f>C944&gt;T944</f>
        <v>0</v>
      </c>
    </row>
    <row r="945" spans="1:21" x14ac:dyDescent="0.25">
      <c r="A945" t="s">
        <v>824</v>
      </c>
      <c r="B945" s="1">
        <v>46140</v>
      </c>
      <c r="C945" s="1">
        <v>46143</v>
      </c>
      <c r="D945" t="s">
        <v>825</v>
      </c>
      <c r="E945" t="s">
        <v>242</v>
      </c>
      <c r="F945" t="s">
        <v>94</v>
      </c>
      <c r="G945" t="s">
        <v>182</v>
      </c>
      <c r="H945" t="s">
        <v>49</v>
      </c>
      <c r="I945" s="2">
        <v>2</v>
      </c>
      <c r="J945" s="3">
        <v>120</v>
      </c>
      <c r="K945" s="4">
        <v>0.05</v>
      </c>
      <c r="L945" s="3">
        <v>228</v>
      </c>
      <c r="M945" t="b">
        <v>1</v>
      </c>
      <c r="N945" s="2">
        <f>YEAR(B945)</f>
        <v>2026</v>
      </c>
      <c r="O945" t="str">
        <f>INDEX(Agences!$C:$C,MATCH(F945,Agences!$A:$A,0))</f>
        <v>Méditerranée</v>
      </c>
      <c r="P945" t="str">
        <f>INDEX(Produits!$C:$C,MATCH(H945,Produits!$A:$A,0))</f>
        <v>Maintenance</v>
      </c>
      <c r="Q945" s="3">
        <f>I945*INDEX(Produits!$E:$E,MATCH(H945,Produits!$A:$A,0))</f>
        <v>110.4</v>
      </c>
      <c r="R945" s="3">
        <f>L945-Q945</f>
        <v>117.6</v>
      </c>
      <c r="S945" s="2">
        <f>NETWORKDAYS(B945,C945)-1</f>
        <v>3</v>
      </c>
      <c r="T945" s="1">
        <f>WORKDAY(B945,5)</f>
        <v>46147</v>
      </c>
      <c r="U945" t="b">
        <f>C945&gt;T945</f>
        <v>0</v>
      </c>
    </row>
    <row r="946" spans="1:21" x14ac:dyDescent="0.25">
      <c r="A946" t="s">
        <v>824</v>
      </c>
      <c r="B946" s="1">
        <v>46140</v>
      </c>
      <c r="C946" s="1">
        <v>46143</v>
      </c>
      <c r="D946" t="s">
        <v>825</v>
      </c>
      <c r="E946" t="s">
        <v>242</v>
      </c>
      <c r="F946" t="s">
        <v>94</v>
      </c>
      <c r="G946" t="s">
        <v>182</v>
      </c>
      <c r="H946" t="s">
        <v>79</v>
      </c>
      <c r="I946" s="2">
        <v>25</v>
      </c>
      <c r="J946" s="3">
        <v>14.9</v>
      </c>
      <c r="K946" s="4">
        <v>0</v>
      </c>
      <c r="L946" s="3">
        <v>372.5</v>
      </c>
      <c r="M946" t="b">
        <v>1</v>
      </c>
      <c r="N946" s="2">
        <f>YEAR(B946)</f>
        <v>2026</v>
      </c>
      <c r="O946" t="str">
        <f>INDEX(Agences!$C:$C,MATCH(F946,Agences!$A:$A,0))</f>
        <v>Méditerranée</v>
      </c>
      <c r="P946" t="str">
        <f>INDEX(Produits!$C:$C,MATCH(H946,Produits!$A:$A,0))</f>
        <v>Fournitures</v>
      </c>
      <c r="Q946" s="3">
        <f>I946*INDEX(Produits!$E:$E,MATCH(H946,Produits!$A:$A,0))</f>
        <v>201.25000000000003</v>
      </c>
      <c r="R946" s="3">
        <f>L946-Q946</f>
        <v>171.24999999999997</v>
      </c>
      <c r="S946" s="2">
        <f>NETWORKDAYS(B946,C946)-1</f>
        <v>3</v>
      </c>
      <c r="T946" s="1">
        <f>WORKDAY(B946,5)</f>
        <v>46147</v>
      </c>
      <c r="U946" t="b">
        <f>C946&gt;T946</f>
        <v>0</v>
      </c>
    </row>
    <row r="947" spans="1:21" x14ac:dyDescent="0.25">
      <c r="A947" t="s">
        <v>824</v>
      </c>
      <c r="B947" s="1">
        <v>46140</v>
      </c>
      <c r="C947" s="1">
        <v>46143</v>
      </c>
      <c r="D947" t="s">
        <v>825</v>
      </c>
      <c r="E947" t="s">
        <v>242</v>
      </c>
      <c r="F947" t="s">
        <v>94</v>
      </c>
      <c r="G947" t="s">
        <v>182</v>
      </c>
      <c r="H947" t="s">
        <v>50</v>
      </c>
      <c r="I947" s="2">
        <v>1</v>
      </c>
      <c r="J947" s="3">
        <v>69</v>
      </c>
      <c r="K947" s="4">
        <v>0.02</v>
      </c>
      <c r="L947" s="3">
        <v>67.62</v>
      </c>
      <c r="M947" t="b">
        <v>1</v>
      </c>
      <c r="N947" s="2">
        <f>YEAR(B947)</f>
        <v>2026</v>
      </c>
      <c r="O947" t="str">
        <f>INDEX(Agences!$C:$C,MATCH(F947,Agences!$A:$A,0))</f>
        <v>Méditerranée</v>
      </c>
      <c r="P947" t="str">
        <f>INDEX(Produits!$C:$C,MATCH(H947,Produits!$A:$A,0))</f>
        <v>Informatique</v>
      </c>
      <c r="Q947" s="3">
        <f>I947*INDEX(Produits!$E:$E,MATCH(H947,Produits!$A:$A,0))</f>
        <v>54.51</v>
      </c>
      <c r="R947" s="3">
        <f>L947-Q947</f>
        <v>13.110000000000007</v>
      </c>
      <c r="S947" s="2">
        <f>NETWORKDAYS(B947,C947)-1</f>
        <v>3</v>
      </c>
      <c r="T947" s="1">
        <f>WORKDAY(B947,5)</f>
        <v>46147</v>
      </c>
      <c r="U947" t="b">
        <f>C947&gt;T947</f>
        <v>0</v>
      </c>
    </row>
    <row r="948" spans="1:21" x14ac:dyDescent="0.25">
      <c r="A948" t="s">
        <v>826</v>
      </c>
      <c r="B948" s="1">
        <v>46140</v>
      </c>
      <c r="C948" s="1">
        <v>46142</v>
      </c>
      <c r="D948" t="s">
        <v>558</v>
      </c>
      <c r="E948" t="s">
        <v>316</v>
      </c>
      <c r="F948" t="s">
        <v>46</v>
      </c>
      <c r="G948" t="s">
        <v>111</v>
      </c>
      <c r="H948" t="s">
        <v>27</v>
      </c>
      <c r="I948" s="2">
        <v>2</v>
      </c>
      <c r="J948" s="3">
        <v>310</v>
      </c>
      <c r="K948" s="4">
        <v>0.05</v>
      </c>
      <c r="L948" s="3">
        <v>589</v>
      </c>
      <c r="M948" t="b">
        <v>1</v>
      </c>
      <c r="N948" s="2">
        <f>YEAR(B948)</f>
        <v>2026</v>
      </c>
      <c r="O948" t="str">
        <f>INDEX(Agences!$C:$C,MATCH(F948,Agences!$A:$A,0))</f>
        <v>Est</v>
      </c>
      <c r="P948" t="str">
        <f>INDEX(Produits!$C:$C,MATCH(H948,Produits!$A:$A,0))</f>
        <v>Mobilier</v>
      </c>
      <c r="Q948" s="3">
        <f>I948*INDEX(Produits!$E:$E,MATCH(H948,Produits!$A:$A,0))</f>
        <v>372</v>
      </c>
      <c r="R948" s="3">
        <f>L948-Q948</f>
        <v>217</v>
      </c>
      <c r="S948" s="2">
        <f>NETWORKDAYS(B948,C948)-1</f>
        <v>2</v>
      </c>
      <c r="T948" s="1">
        <f>WORKDAY(B948,5)</f>
        <v>46147</v>
      </c>
      <c r="U948" t="b">
        <f>C948&gt;T948</f>
        <v>0</v>
      </c>
    </row>
    <row r="949" spans="1:21" x14ac:dyDescent="0.25">
      <c r="A949" t="s">
        <v>826</v>
      </c>
      <c r="B949" s="1">
        <v>46140</v>
      </c>
      <c r="C949" s="1">
        <v>46142</v>
      </c>
      <c r="D949" t="s">
        <v>558</v>
      </c>
      <c r="E949" t="s">
        <v>316</v>
      </c>
      <c r="F949" t="s">
        <v>46</v>
      </c>
      <c r="G949" t="s">
        <v>111</v>
      </c>
      <c r="H949" t="s">
        <v>108</v>
      </c>
      <c r="I949" s="2">
        <v>15</v>
      </c>
      <c r="J949" s="3">
        <v>24.5</v>
      </c>
      <c r="K949" s="4">
        <v>0.05</v>
      </c>
      <c r="L949" s="3">
        <v>349.13</v>
      </c>
      <c r="M949" t="b">
        <v>1</v>
      </c>
      <c r="N949" s="2">
        <f>YEAR(B949)</f>
        <v>2026</v>
      </c>
      <c r="O949" t="str">
        <f>INDEX(Agences!$C:$C,MATCH(F949,Agences!$A:$A,0))</f>
        <v>Est</v>
      </c>
      <c r="P949" t="str">
        <f>INDEX(Produits!$C:$C,MATCH(H949,Produits!$A:$A,0))</f>
        <v>Fournitures</v>
      </c>
      <c r="Q949" s="3">
        <f>I949*INDEX(Produits!$E:$E,MATCH(H949,Produits!$A:$A,0))</f>
        <v>220.5</v>
      </c>
      <c r="R949" s="3">
        <f>L949-Q949</f>
        <v>128.63</v>
      </c>
      <c r="S949" s="2">
        <f>NETWORKDAYS(B949,C949)-1</f>
        <v>2</v>
      </c>
      <c r="T949" s="1">
        <f>WORKDAY(B949,5)</f>
        <v>46147</v>
      </c>
      <c r="U949" t="b">
        <f>C949&gt;T949</f>
        <v>0</v>
      </c>
    </row>
    <row r="950" spans="1:21" x14ac:dyDescent="0.25">
      <c r="A950" t="s">
        <v>826</v>
      </c>
      <c r="B950" s="1">
        <v>46140</v>
      </c>
      <c r="C950" s="1">
        <v>46142</v>
      </c>
      <c r="D950" t="s">
        <v>558</v>
      </c>
      <c r="E950" t="s">
        <v>316</v>
      </c>
      <c r="F950" t="s">
        <v>46</v>
      </c>
      <c r="G950" t="s">
        <v>111</v>
      </c>
      <c r="H950" t="s">
        <v>64</v>
      </c>
      <c r="I950" s="2">
        <v>5</v>
      </c>
      <c r="J950" s="3">
        <v>16.8</v>
      </c>
      <c r="K950" s="4">
        <v>0.08</v>
      </c>
      <c r="L950" s="3">
        <v>77.28</v>
      </c>
      <c r="M950" t="b">
        <v>1</v>
      </c>
      <c r="N950" s="2">
        <f>YEAR(B950)</f>
        <v>2026</v>
      </c>
      <c r="O950" t="str">
        <f>INDEX(Agences!$C:$C,MATCH(F950,Agences!$A:$A,0))</f>
        <v>Est</v>
      </c>
      <c r="P950" t="str">
        <f>INDEX(Produits!$C:$C,MATCH(H950,Produits!$A:$A,0))</f>
        <v>Fournitures</v>
      </c>
      <c r="Q950" s="3">
        <f>I950*INDEX(Produits!$E:$E,MATCH(H950,Produits!$A:$A,0))</f>
        <v>43.7</v>
      </c>
      <c r="R950" s="3">
        <f>L950-Q950</f>
        <v>33.58</v>
      </c>
      <c r="S950" s="2">
        <f>NETWORKDAYS(B950,C950)-1</f>
        <v>2</v>
      </c>
      <c r="T950" s="1">
        <f>WORKDAY(B950,5)</f>
        <v>46147</v>
      </c>
      <c r="U950" t="b">
        <f>C950&gt;T950</f>
        <v>0</v>
      </c>
    </row>
    <row r="951" spans="1:21" x14ac:dyDescent="0.25">
      <c r="A951" t="s">
        <v>826</v>
      </c>
      <c r="B951" s="1">
        <v>46140</v>
      </c>
      <c r="C951" s="1">
        <v>46142</v>
      </c>
      <c r="D951" t="s">
        <v>558</v>
      </c>
      <c r="E951" t="s">
        <v>316</v>
      </c>
      <c r="F951" t="s">
        <v>46</v>
      </c>
      <c r="G951" t="s">
        <v>111</v>
      </c>
      <c r="H951" t="s">
        <v>33</v>
      </c>
      <c r="I951" s="2">
        <v>1</v>
      </c>
      <c r="J951" s="3">
        <v>219</v>
      </c>
      <c r="K951" s="4">
        <v>0</v>
      </c>
      <c r="L951" s="3">
        <v>219</v>
      </c>
      <c r="M951" t="b">
        <v>1</v>
      </c>
      <c r="N951" s="2">
        <f>YEAR(B951)</f>
        <v>2026</v>
      </c>
      <c r="O951" t="str">
        <f>INDEX(Agences!$C:$C,MATCH(F951,Agences!$A:$A,0))</f>
        <v>Est</v>
      </c>
      <c r="P951" t="str">
        <f>INDEX(Produits!$C:$C,MATCH(H951,Produits!$A:$A,0))</f>
        <v>Informatique</v>
      </c>
      <c r="Q951" s="3">
        <f>I951*INDEX(Produits!$E:$E,MATCH(H951,Produits!$A:$A,0))</f>
        <v>179.58</v>
      </c>
      <c r="R951" s="3">
        <f>L951-Q951</f>
        <v>39.41999999999999</v>
      </c>
      <c r="S951" s="2">
        <f>NETWORKDAYS(B951,C951)-1</f>
        <v>2</v>
      </c>
      <c r="T951" s="1">
        <f>WORKDAY(B951,5)</f>
        <v>46147</v>
      </c>
      <c r="U951" t="b">
        <f>C951&gt;T951</f>
        <v>0</v>
      </c>
    </row>
    <row r="952" spans="1:21" x14ac:dyDescent="0.25">
      <c r="A952" t="s">
        <v>827</v>
      </c>
      <c r="B952" s="1">
        <v>46139</v>
      </c>
      <c r="C952" s="1">
        <v>46141</v>
      </c>
      <c r="D952" t="s">
        <v>828</v>
      </c>
      <c r="E952" t="s">
        <v>165</v>
      </c>
      <c r="F952" t="s">
        <v>166</v>
      </c>
      <c r="G952" t="s">
        <v>179</v>
      </c>
      <c r="H952" t="s">
        <v>107</v>
      </c>
      <c r="I952" s="2">
        <v>2</v>
      </c>
      <c r="J952" s="3">
        <v>99</v>
      </c>
      <c r="K952" s="4">
        <v>0</v>
      </c>
      <c r="L952" s="3">
        <v>198</v>
      </c>
      <c r="M952" t="b">
        <v>1</v>
      </c>
      <c r="N952" s="2">
        <f>YEAR(B952)</f>
        <v>2026</v>
      </c>
      <c r="O952" t="str">
        <f>INDEX(Agences!$C:$C,MATCH(F952,Agences!$A:$A,0))</f>
        <v>Ouest</v>
      </c>
      <c r="P952" t="str">
        <f>INDEX(Produits!$C:$C,MATCH(H952,Produits!$A:$A,0))</f>
        <v>Informatique</v>
      </c>
      <c r="Q952" s="3">
        <f>I952*INDEX(Produits!$E:$E,MATCH(H952,Produits!$A:$A,0))</f>
        <v>150.48</v>
      </c>
      <c r="R952" s="3">
        <f>L952-Q952</f>
        <v>47.52000000000001</v>
      </c>
      <c r="S952" s="2">
        <f>NETWORKDAYS(B952,C952)-1</f>
        <v>2</v>
      </c>
      <c r="T952" s="1">
        <f>WORKDAY(B952,5)</f>
        <v>46146</v>
      </c>
      <c r="U952" t="b">
        <f>C952&gt;T952</f>
        <v>0</v>
      </c>
    </row>
    <row r="953" spans="1:21" x14ac:dyDescent="0.25">
      <c r="A953" t="s">
        <v>829</v>
      </c>
      <c r="B953" s="1">
        <v>46139</v>
      </c>
      <c r="C953" s="1">
        <v>46143</v>
      </c>
      <c r="D953" t="s">
        <v>830</v>
      </c>
      <c r="E953" t="s">
        <v>236</v>
      </c>
      <c r="F953" t="s">
        <v>39</v>
      </c>
      <c r="G953" t="s">
        <v>40</v>
      </c>
      <c r="H953" t="s">
        <v>319</v>
      </c>
      <c r="I953" s="2">
        <v>2</v>
      </c>
      <c r="J953" s="3">
        <v>289</v>
      </c>
      <c r="K953" s="4">
        <v>0</v>
      </c>
      <c r="L953" s="3">
        <v>578</v>
      </c>
      <c r="M953" t="b">
        <v>1</v>
      </c>
      <c r="N953" s="2">
        <f>YEAR(B953)</f>
        <v>2026</v>
      </c>
      <c r="O953" t="str">
        <f>INDEX(Agences!$C:$C,MATCH(F953,Agences!$A:$A,0))</f>
        <v>Sud-Ouest</v>
      </c>
      <c r="P953" t="str">
        <f>INDEX(Produits!$C:$C,MATCH(H953,Produits!$A:$A,0))</f>
        <v>Informatique</v>
      </c>
      <c r="Q953" s="3">
        <f>I953*INDEX(Produits!$E:$E,MATCH(H953,Produits!$A:$A,0))</f>
        <v>427.72</v>
      </c>
      <c r="R953" s="3">
        <f>L953-Q953</f>
        <v>150.27999999999997</v>
      </c>
      <c r="S953" s="2">
        <f>NETWORKDAYS(B953,C953)-1</f>
        <v>4</v>
      </c>
      <c r="T953" s="1">
        <f>WORKDAY(B953,5)</f>
        <v>46146</v>
      </c>
      <c r="U953" t="b">
        <f>C953&gt;T953</f>
        <v>0</v>
      </c>
    </row>
    <row r="954" spans="1:21" x14ac:dyDescent="0.25">
      <c r="A954" t="s">
        <v>829</v>
      </c>
      <c r="B954" s="1">
        <v>46139</v>
      </c>
      <c r="C954" s="1">
        <v>46143</v>
      </c>
      <c r="D954" t="s">
        <v>830</v>
      </c>
      <c r="E954" t="s">
        <v>236</v>
      </c>
      <c r="F954" t="s">
        <v>39</v>
      </c>
      <c r="G954" t="s">
        <v>40</v>
      </c>
      <c r="H954" t="s">
        <v>57</v>
      </c>
      <c r="I954" s="2">
        <v>1</v>
      </c>
      <c r="J954" s="3">
        <v>149</v>
      </c>
      <c r="K954" s="4">
        <v>0</v>
      </c>
      <c r="L954" s="3">
        <v>149</v>
      </c>
      <c r="M954" t="b">
        <v>1</v>
      </c>
      <c r="N954" s="2">
        <f>YEAR(B954)</f>
        <v>2026</v>
      </c>
      <c r="O954" t="str">
        <f>INDEX(Agences!$C:$C,MATCH(F954,Agences!$A:$A,0))</f>
        <v>Sud-Ouest</v>
      </c>
      <c r="P954" t="str">
        <f>INDEX(Produits!$C:$C,MATCH(H954,Produits!$A:$A,0))</f>
        <v>Informatique</v>
      </c>
      <c r="Q954" s="3">
        <f>I954*INDEX(Produits!$E:$E,MATCH(H954,Produits!$A:$A,0))</f>
        <v>114.73</v>
      </c>
      <c r="R954" s="3">
        <f>L954-Q954</f>
        <v>34.269999999999996</v>
      </c>
      <c r="S954" s="2">
        <f>NETWORKDAYS(B954,C954)-1</f>
        <v>4</v>
      </c>
      <c r="T954" s="1">
        <f>WORKDAY(B954,5)</f>
        <v>46146</v>
      </c>
      <c r="U954" t="b">
        <f>C954&gt;T954</f>
        <v>0</v>
      </c>
    </row>
    <row r="955" spans="1:21" x14ac:dyDescent="0.25">
      <c r="A955" t="s">
        <v>831</v>
      </c>
      <c r="B955" s="1">
        <v>46139</v>
      </c>
      <c r="C955" s="1">
        <v>46142</v>
      </c>
      <c r="D955" t="s">
        <v>832</v>
      </c>
      <c r="E955" t="s">
        <v>256</v>
      </c>
      <c r="F955" t="s">
        <v>88</v>
      </c>
      <c r="G955" t="s">
        <v>226</v>
      </c>
      <c r="H955" t="s">
        <v>103</v>
      </c>
      <c r="I955" s="2">
        <v>1</v>
      </c>
      <c r="J955" s="3">
        <v>245</v>
      </c>
      <c r="K955" s="4">
        <v>0.02</v>
      </c>
      <c r="L955" s="3">
        <v>240.1</v>
      </c>
      <c r="M955" t="b">
        <v>1</v>
      </c>
      <c r="N955" s="2">
        <f>YEAR(B955)</f>
        <v>2026</v>
      </c>
      <c r="O955" t="str">
        <f>INDEX(Agences!$C:$C,MATCH(F955,Agences!$A:$A,0))</f>
        <v>Sud-Ouest</v>
      </c>
      <c r="P955" t="str">
        <f>INDEX(Produits!$C:$C,MATCH(H955,Produits!$A:$A,0))</f>
        <v>Mobilier</v>
      </c>
      <c r="Q955" s="3">
        <f>I955*INDEX(Produits!$E:$E,MATCH(H955,Produits!$A:$A,0))</f>
        <v>164.15</v>
      </c>
      <c r="R955" s="3">
        <f>L955-Q955</f>
        <v>75.94999999999999</v>
      </c>
      <c r="S955" s="2">
        <f>NETWORKDAYS(B955,C955)-1</f>
        <v>3</v>
      </c>
      <c r="T955" s="1">
        <f>WORKDAY(B955,5)</f>
        <v>46146</v>
      </c>
      <c r="U955" t="b">
        <f>C955&gt;T955</f>
        <v>0</v>
      </c>
    </row>
    <row r="956" spans="1:21" x14ac:dyDescent="0.25">
      <c r="A956" t="s">
        <v>831</v>
      </c>
      <c r="B956" s="1">
        <v>46139</v>
      </c>
      <c r="C956" s="1">
        <v>46142</v>
      </c>
      <c r="D956" t="s">
        <v>832</v>
      </c>
      <c r="E956" t="s">
        <v>256</v>
      </c>
      <c r="F956" t="s">
        <v>88</v>
      </c>
      <c r="G956" t="s">
        <v>226</v>
      </c>
      <c r="H956" t="s">
        <v>35</v>
      </c>
      <c r="I956" s="2">
        <v>2</v>
      </c>
      <c r="J956" s="3">
        <v>79</v>
      </c>
      <c r="K956" s="4">
        <v>0.05</v>
      </c>
      <c r="L956" s="3">
        <v>150.1</v>
      </c>
      <c r="M956" t="b">
        <v>1</v>
      </c>
      <c r="N956" s="2">
        <f>YEAR(B956)</f>
        <v>2026</v>
      </c>
      <c r="O956" t="str">
        <f>INDEX(Agences!$C:$C,MATCH(F956,Agences!$A:$A,0))</f>
        <v>Sud-Ouest</v>
      </c>
      <c r="P956" t="str">
        <f>INDEX(Produits!$C:$C,MATCH(H956,Produits!$A:$A,0))</f>
        <v>Mobilier</v>
      </c>
      <c r="Q956" s="3">
        <f>I956*INDEX(Produits!$E:$E,MATCH(H956,Produits!$A:$A,0))</f>
        <v>93.22</v>
      </c>
      <c r="R956" s="3">
        <f>L956-Q956</f>
        <v>56.879999999999995</v>
      </c>
      <c r="S956" s="2">
        <f>NETWORKDAYS(B956,C956)-1</f>
        <v>3</v>
      </c>
      <c r="T956" s="1">
        <f>WORKDAY(B956,5)</f>
        <v>46146</v>
      </c>
      <c r="U956" t="b">
        <f>C956&gt;T956</f>
        <v>0</v>
      </c>
    </row>
    <row r="957" spans="1:21" x14ac:dyDescent="0.25">
      <c r="A957" t="s">
        <v>831</v>
      </c>
      <c r="B957" s="1">
        <v>46139</v>
      </c>
      <c r="C957" s="1">
        <v>46142</v>
      </c>
      <c r="D957" t="s">
        <v>832</v>
      </c>
      <c r="E957" t="s">
        <v>256</v>
      </c>
      <c r="F957" t="s">
        <v>88</v>
      </c>
      <c r="G957" t="s">
        <v>226</v>
      </c>
      <c r="H957" t="s">
        <v>49</v>
      </c>
      <c r="I957" s="2">
        <v>2</v>
      </c>
      <c r="J957" s="3">
        <v>120</v>
      </c>
      <c r="K957" s="4">
        <v>0.05</v>
      </c>
      <c r="L957" s="3">
        <v>228</v>
      </c>
      <c r="M957" t="b">
        <v>1</v>
      </c>
      <c r="N957" s="2">
        <f>YEAR(B957)</f>
        <v>2026</v>
      </c>
      <c r="O957" t="str">
        <f>INDEX(Agences!$C:$C,MATCH(F957,Agences!$A:$A,0))</f>
        <v>Sud-Ouest</v>
      </c>
      <c r="P957" t="str">
        <f>INDEX(Produits!$C:$C,MATCH(H957,Produits!$A:$A,0))</f>
        <v>Maintenance</v>
      </c>
      <c r="Q957" s="3">
        <f>I957*INDEX(Produits!$E:$E,MATCH(H957,Produits!$A:$A,0))</f>
        <v>110.4</v>
      </c>
      <c r="R957" s="3">
        <f>L957-Q957</f>
        <v>117.6</v>
      </c>
      <c r="S957" s="2">
        <f>NETWORKDAYS(B957,C957)-1</f>
        <v>3</v>
      </c>
      <c r="T957" s="1">
        <f>WORKDAY(B957,5)</f>
        <v>46146</v>
      </c>
      <c r="U957" t="b">
        <f>C957&gt;T957</f>
        <v>0</v>
      </c>
    </row>
    <row r="958" spans="1:21" x14ac:dyDescent="0.25">
      <c r="A958" t="s">
        <v>831</v>
      </c>
      <c r="B958" s="1">
        <v>46139</v>
      </c>
      <c r="C958" s="1">
        <v>46142</v>
      </c>
      <c r="D958" t="s">
        <v>832</v>
      </c>
      <c r="E958" t="s">
        <v>256</v>
      </c>
      <c r="F958" t="s">
        <v>88</v>
      </c>
      <c r="G958" t="s">
        <v>226</v>
      </c>
      <c r="H958" t="s">
        <v>606</v>
      </c>
      <c r="I958" s="2">
        <v>1</v>
      </c>
      <c r="J958" s="3">
        <v>1150</v>
      </c>
      <c r="K958" s="4">
        <v>0.02</v>
      </c>
      <c r="L958" s="3">
        <v>1127</v>
      </c>
      <c r="M958" t="b">
        <v>1</v>
      </c>
      <c r="N958" s="2">
        <f>YEAR(B958)</f>
        <v>2026</v>
      </c>
      <c r="O958" t="str">
        <f>INDEX(Agences!$C:$C,MATCH(F958,Agences!$A:$A,0))</f>
        <v>Sud-Ouest</v>
      </c>
      <c r="P958" t="str">
        <f>INDEX(Produits!$C:$C,MATCH(H958,Produits!$A:$A,0))</f>
        <v>Mobilier</v>
      </c>
      <c r="Q958" s="3">
        <f>I958*INDEX(Produits!$E:$E,MATCH(H958,Produits!$A:$A,0))</f>
        <v>713</v>
      </c>
      <c r="R958" s="3">
        <f>L958-Q958</f>
        <v>414</v>
      </c>
      <c r="S958" s="2">
        <f>NETWORKDAYS(B958,C958)-1</f>
        <v>3</v>
      </c>
      <c r="T958" s="1">
        <f>WORKDAY(B958,5)</f>
        <v>46146</v>
      </c>
      <c r="U958" t="b">
        <f>C958&gt;T958</f>
        <v>0</v>
      </c>
    </row>
    <row r="959" spans="1:21" x14ac:dyDescent="0.25">
      <c r="A959" t="s">
        <v>831</v>
      </c>
      <c r="B959" s="1">
        <v>46139</v>
      </c>
      <c r="C959" s="1">
        <v>46142</v>
      </c>
      <c r="D959" t="s">
        <v>832</v>
      </c>
      <c r="E959" t="s">
        <v>256</v>
      </c>
      <c r="F959" t="s">
        <v>88</v>
      </c>
      <c r="G959" t="s">
        <v>226</v>
      </c>
      <c r="H959" t="s">
        <v>150</v>
      </c>
      <c r="I959" s="2">
        <v>2</v>
      </c>
      <c r="J959" s="3">
        <v>790</v>
      </c>
      <c r="K959" s="4">
        <v>0.05</v>
      </c>
      <c r="L959" s="3">
        <v>1501</v>
      </c>
      <c r="M959" t="b">
        <v>1</v>
      </c>
      <c r="N959" s="2">
        <f>YEAR(B959)</f>
        <v>2026</v>
      </c>
      <c r="O959" t="str">
        <f>INDEX(Agences!$C:$C,MATCH(F959,Agences!$A:$A,0))</f>
        <v>Sud-Ouest</v>
      </c>
      <c r="P959" t="str">
        <f>INDEX(Produits!$C:$C,MATCH(H959,Produits!$A:$A,0))</f>
        <v>Informatique</v>
      </c>
      <c r="Q959" s="3">
        <f>I959*INDEX(Produits!$E:$E,MATCH(H959,Produits!$A:$A,0))</f>
        <v>1169.2</v>
      </c>
      <c r="R959" s="3">
        <f>L959-Q959</f>
        <v>331.79999999999995</v>
      </c>
      <c r="S959" s="2">
        <f>NETWORKDAYS(B959,C959)-1</f>
        <v>3</v>
      </c>
      <c r="T959" s="1">
        <f>WORKDAY(B959,5)</f>
        <v>46146</v>
      </c>
      <c r="U959" t="b">
        <f>C959&gt;T959</f>
        <v>0</v>
      </c>
    </row>
    <row r="960" spans="1:21" x14ac:dyDescent="0.25">
      <c r="A960" t="s">
        <v>833</v>
      </c>
      <c r="B960" s="1">
        <v>46139</v>
      </c>
      <c r="C960" s="1">
        <v>46155</v>
      </c>
      <c r="D960" t="s">
        <v>834</v>
      </c>
      <c r="E960" t="s">
        <v>54</v>
      </c>
      <c r="F960" t="s">
        <v>55</v>
      </c>
      <c r="G960" t="s">
        <v>195</v>
      </c>
      <c r="H960" t="s">
        <v>35</v>
      </c>
      <c r="I960" s="2">
        <v>6</v>
      </c>
      <c r="J960" s="3">
        <v>79</v>
      </c>
      <c r="K960" s="4">
        <v>0</v>
      </c>
      <c r="L960" s="3">
        <v>474</v>
      </c>
      <c r="M960" t="b">
        <v>1</v>
      </c>
      <c r="N960" s="2">
        <f>YEAR(B960)</f>
        <v>2026</v>
      </c>
      <c r="O960" t="str">
        <f>INDEX(Agences!$C:$C,MATCH(F960,Agences!$A:$A,0))</f>
        <v>Est</v>
      </c>
      <c r="P960" t="str">
        <f>INDEX(Produits!$C:$C,MATCH(H960,Produits!$A:$A,0))</f>
        <v>Mobilier</v>
      </c>
      <c r="Q960" s="3">
        <f>I960*INDEX(Produits!$E:$E,MATCH(H960,Produits!$A:$A,0))</f>
        <v>279.65999999999997</v>
      </c>
      <c r="R960" s="3">
        <f>L960-Q960</f>
        <v>194.34000000000003</v>
      </c>
      <c r="S960" s="2">
        <f>NETWORKDAYS(B960,C960)-1</f>
        <v>12</v>
      </c>
      <c r="T960" s="1">
        <f>WORKDAY(B960,5)</f>
        <v>46146</v>
      </c>
      <c r="U960" t="b">
        <f>C960&gt;T960</f>
        <v>1</v>
      </c>
    </row>
    <row r="961" spans="1:21" x14ac:dyDescent="0.25">
      <c r="A961" t="s">
        <v>833</v>
      </c>
      <c r="B961" s="1">
        <v>46139</v>
      </c>
      <c r="C961" s="1">
        <v>46155</v>
      </c>
      <c r="D961" t="s">
        <v>834</v>
      </c>
      <c r="E961" t="s">
        <v>54</v>
      </c>
      <c r="F961" t="s">
        <v>55</v>
      </c>
      <c r="G961" t="s">
        <v>195</v>
      </c>
      <c r="H961" t="s">
        <v>217</v>
      </c>
      <c r="I961" s="2">
        <v>1</v>
      </c>
      <c r="J961" s="3">
        <v>1090</v>
      </c>
      <c r="K961" s="4">
        <v>0</v>
      </c>
      <c r="L961" s="3">
        <v>1090</v>
      </c>
      <c r="M961" t="b">
        <v>1</v>
      </c>
      <c r="N961" s="2">
        <f>YEAR(B961)</f>
        <v>2026</v>
      </c>
      <c r="O961" t="str">
        <f>INDEX(Agences!$C:$C,MATCH(F961,Agences!$A:$A,0))</f>
        <v>Est</v>
      </c>
      <c r="P961" t="str">
        <f>INDEX(Produits!$C:$C,MATCH(H961,Produits!$A:$A,0))</f>
        <v>Informatique</v>
      </c>
      <c r="Q961" s="3">
        <f>I961*INDEX(Produits!$E:$E,MATCH(H961,Produits!$A:$A,0))</f>
        <v>817.5</v>
      </c>
      <c r="R961" s="3">
        <f>L961-Q961</f>
        <v>272.5</v>
      </c>
      <c r="S961" s="2">
        <f>NETWORKDAYS(B961,C961)-1</f>
        <v>12</v>
      </c>
      <c r="T961" s="1">
        <f>WORKDAY(B961,5)</f>
        <v>46146</v>
      </c>
      <c r="U961" t="b">
        <f>C961&gt;T961</f>
        <v>1</v>
      </c>
    </row>
    <row r="962" spans="1:21" x14ac:dyDescent="0.25">
      <c r="A962" t="s">
        <v>833</v>
      </c>
      <c r="B962" s="1">
        <v>46139</v>
      </c>
      <c r="C962" s="1">
        <v>46155</v>
      </c>
      <c r="D962" t="s">
        <v>834</v>
      </c>
      <c r="E962" t="s">
        <v>54</v>
      </c>
      <c r="F962" t="s">
        <v>55</v>
      </c>
      <c r="G962" t="s">
        <v>195</v>
      </c>
      <c r="H962" t="s">
        <v>49</v>
      </c>
      <c r="I962" s="2">
        <v>2</v>
      </c>
      <c r="J962" s="3">
        <v>120</v>
      </c>
      <c r="K962" s="4">
        <v>0.05</v>
      </c>
      <c r="L962" s="3">
        <v>228</v>
      </c>
      <c r="M962" t="b">
        <v>1</v>
      </c>
      <c r="N962" s="2">
        <f>YEAR(B962)</f>
        <v>2026</v>
      </c>
      <c r="O962" t="str">
        <f>INDEX(Agences!$C:$C,MATCH(F962,Agences!$A:$A,0))</f>
        <v>Est</v>
      </c>
      <c r="P962" t="str">
        <f>INDEX(Produits!$C:$C,MATCH(H962,Produits!$A:$A,0))</f>
        <v>Maintenance</v>
      </c>
      <c r="Q962" s="3">
        <f>I962*INDEX(Produits!$E:$E,MATCH(H962,Produits!$A:$A,0))</f>
        <v>110.4</v>
      </c>
      <c r="R962" s="3">
        <f>L962-Q962</f>
        <v>117.6</v>
      </c>
      <c r="S962" s="2">
        <f>NETWORKDAYS(B962,C962)-1</f>
        <v>12</v>
      </c>
      <c r="T962" s="1">
        <f>WORKDAY(B962,5)</f>
        <v>46146</v>
      </c>
      <c r="U962" t="b">
        <f>C962&gt;T962</f>
        <v>1</v>
      </c>
    </row>
    <row r="963" spans="1:21" x14ac:dyDescent="0.25">
      <c r="A963" t="s">
        <v>835</v>
      </c>
      <c r="B963" s="1">
        <v>46136</v>
      </c>
      <c r="C963" s="1">
        <v>46140</v>
      </c>
      <c r="D963" t="s">
        <v>361</v>
      </c>
      <c r="E963" t="s">
        <v>165</v>
      </c>
      <c r="F963" t="s">
        <v>166</v>
      </c>
      <c r="G963" t="s">
        <v>167</v>
      </c>
      <c r="H963" t="s">
        <v>57</v>
      </c>
      <c r="I963" s="2">
        <v>2</v>
      </c>
      <c r="J963" s="3">
        <v>149</v>
      </c>
      <c r="K963" s="4">
        <v>0.05</v>
      </c>
      <c r="L963" s="3">
        <v>283.1</v>
      </c>
      <c r="M963" t="b">
        <v>1</v>
      </c>
      <c r="N963" s="2">
        <f>YEAR(B963)</f>
        <v>2026</v>
      </c>
      <c r="O963" t="str">
        <f>INDEX(Agences!$C:$C,MATCH(F963,Agences!$A:$A,0))</f>
        <v>Ouest</v>
      </c>
      <c r="P963" t="str">
        <f>INDEX(Produits!$C:$C,MATCH(H963,Produits!$A:$A,0))</f>
        <v>Informatique</v>
      </c>
      <c r="Q963" s="3">
        <f>I963*INDEX(Produits!$E:$E,MATCH(H963,Produits!$A:$A,0))</f>
        <v>229.46</v>
      </c>
      <c r="R963" s="3">
        <f>L963-Q963</f>
        <v>53.640000000000015</v>
      </c>
      <c r="S963" s="2">
        <f>NETWORKDAYS(B963,C963)-1</f>
        <v>2</v>
      </c>
      <c r="T963" s="1">
        <f>WORKDAY(B963,5)</f>
        <v>46143</v>
      </c>
      <c r="U963" t="b">
        <f>C963&gt;T963</f>
        <v>0</v>
      </c>
    </row>
    <row r="964" spans="1:21" x14ac:dyDescent="0.25">
      <c r="A964" t="s">
        <v>835</v>
      </c>
      <c r="B964" s="1">
        <v>46136</v>
      </c>
      <c r="C964" s="1">
        <v>46140</v>
      </c>
      <c r="D964" t="s">
        <v>361</v>
      </c>
      <c r="E964" t="s">
        <v>165</v>
      </c>
      <c r="F964" t="s">
        <v>166</v>
      </c>
      <c r="G964" t="s">
        <v>167</v>
      </c>
      <c r="H964" t="s">
        <v>108</v>
      </c>
      <c r="I964" s="2">
        <v>10</v>
      </c>
      <c r="J964" s="3">
        <v>24.5</v>
      </c>
      <c r="K964" s="4">
        <v>0</v>
      </c>
      <c r="L964" s="3">
        <v>245</v>
      </c>
      <c r="M964" t="b">
        <v>1</v>
      </c>
      <c r="N964" s="2">
        <f>YEAR(B964)</f>
        <v>2026</v>
      </c>
      <c r="O964" t="str">
        <f>INDEX(Agences!$C:$C,MATCH(F964,Agences!$A:$A,0))</f>
        <v>Ouest</v>
      </c>
      <c r="P964" t="str">
        <f>INDEX(Produits!$C:$C,MATCH(H964,Produits!$A:$A,0))</f>
        <v>Fournitures</v>
      </c>
      <c r="Q964" s="3">
        <f>I964*INDEX(Produits!$E:$E,MATCH(H964,Produits!$A:$A,0))</f>
        <v>147</v>
      </c>
      <c r="R964" s="3">
        <f>L964-Q964</f>
        <v>98</v>
      </c>
      <c r="S964" s="2">
        <f>NETWORKDAYS(B964,C964)-1</f>
        <v>2</v>
      </c>
      <c r="T964" s="1">
        <f>WORKDAY(B964,5)</f>
        <v>46143</v>
      </c>
      <c r="U964" t="b">
        <f>C964&gt;T964</f>
        <v>0</v>
      </c>
    </row>
    <row r="965" spans="1:21" x14ac:dyDescent="0.25">
      <c r="A965" t="s">
        <v>835</v>
      </c>
      <c r="B965" s="1">
        <v>46136</v>
      </c>
      <c r="C965" s="1">
        <v>46140</v>
      </c>
      <c r="D965" t="s">
        <v>361</v>
      </c>
      <c r="E965" t="s">
        <v>165</v>
      </c>
      <c r="F965" t="s">
        <v>166</v>
      </c>
      <c r="G965" t="s">
        <v>167</v>
      </c>
      <c r="H965" t="s">
        <v>107</v>
      </c>
      <c r="I965" s="2">
        <v>4</v>
      </c>
      <c r="J965" s="3">
        <v>99</v>
      </c>
      <c r="K965" s="4">
        <v>0.02</v>
      </c>
      <c r="L965" s="3">
        <v>388.08</v>
      </c>
      <c r="M965" t="b">
        <v>1</v>
      </c>
      <c r="N965" s="2">
        <f>YEAR(B965)</f>
        <v>2026</v>
      </c>
      <c r="O965" t="str">
        <f>INDEX(Agences!$C:$C,MATCH(F965,Agences!$A:$A,0))</f>
        <v>Ouest</v>
      </c>
      <c r="P965" t="str">
        <f>INDEX(Produits!$C:$C,MATCH(H965,Produits!$A:$A,0))</f>
        <v>Informatique</v>
      </c>
      <c r="Q965" s="3">
        <f>I965*INDEX(Produits!$E:$E,MATCH(H965,Produits!$A:$A,0))</f>
        <v>300.96</v>
      </c>
      <c r="R965" s="3">
        <f>L965-Q965</f>
        <v>87.12</v>
      </c>
      <c r="S965" s="2">
        <f>NETWORKDAYS(B965,C965)-1</f>
        <v>2</v>
      </c>
      <c r="T965" s="1">
        <f>WORKDAY(B965,5)</f>
        <v>46143</v>
      </c>
      <c r="U965" t="b">
        <f>C965&gt;T965</f>
        <v>0</v>
      </c>
    </row>
    <row r="966" spans="1:21" x14ac:dyDescent="0.25">
      <c r="A966" t="s">
        <v>836</v>
      </c>
      <c r="B966" s="1">
        <v>46136</v>
      </c>
      <c r="C966" s="1">
        <v>46139</v>
      </c>
      <c r="D966" t="s">
        <v>810</v>
      </c>
      <c r="E966" t="s">
        <v>30</v>
      </c>
      <c r="F966" t="s">
        <v>31</v>
      </c>
      <c r="G966" t="s">
        <v>32</v>
      </c>
      <c r="H966" t="s">
        <v>196</v>
      </c>
      <c r="I966" s="2">
        <v>20</v>
      </c>
      <c r="J966" s="3">
        <v>18.5</v>
      </c>
      <c r="K966" s="4">
        <v>0.1</v>
      </c>
      <c r="L966" s="3">
        <v>333</v>
      </c>
      <c r="M966" t="b">
        <v>1</v>
      </c>
      <c r="N966" s="2">
        <f>YEAR(B966)</f>
        <v>2026</v>
      </c>
      <c r="O966" t="str">
        <f>INDEX(Agences!$C:$C,MATCH(F966,Agences!$A:$A,0))</f>
        <v>Ouest</v>
      </c>
      <c r="P966" t="str">
        <f>INDEX(Produits!$C:$C,MATCH(H966,Produits!$A:$A,0))</f>
        <v>Fournitures</v>
      </c>
      <c r="Q966" s="3">
        <f>I966*INDEX(Produits!$E:$E,MATCH(H966,Produits!$A:$A,0))</f>
        <v>188.79999999999998</v>
      </c>
      <c r="R966" s="3">
        <f>L966-Q966</f>
        <v>144.20000000000002</v>
      </c>
      <c r="S966" s="2">
        <f>NETWORKDAYS(B966,C966)-1</f>
        <v>1</v>
      </c>
      <c r="T966" s="1">
        <f>WORKDAY(B966,5)</f>
        <v>46143</v>
      </c>
      <c r="U966" t="b">
        <f>C966&gt;T966</f>
        <v>0</v>
      </c>
    </row>
    <row r="967" spans="1:21" x14ac:dyDescent="0.25">
      <c r="A967" t="s">
        <v>836</v>
      </c>
      <c r="B967" s="1">
        <v>46136</v>
      </c>
      <c r="C967" s="1">
        <v>46139</v>
      </c>
      <c r="D967" t="s">
        <v>810</v>
      </c>
      <c r="E967" t="s">
        <v>30</v>
      </c>
      <c r="F967" t="s">
        <v>31</v>
      </c>
      <c r="G967" t="s">
        <v>32</v>
      </c>
      <c r="H967" t="s">
        <v>42</v>
      </c>
      <c r="I967" s="2">
        <v>2</v>
      </c>
      <c r="J967" s="3">
        <v>55</v>
      </c>
      <c r="K967" s="4">
        <v>0</v>
      </c>
      <c r="L967" s="3">
        <v>110</v>
      </c>
      <c r="M967" t="b">
        <v>1</v>
      </c>
      <c r="N967" s="2">
        <f>YEAR(B967)</f>
        <v>2026</v>
      </c>
      <c r="O967" t="str">
        <f>INDEX(Agences!$C:$C,MATCH(F967,Agences!$A:$A,0))</f>
        <v>Ouest</v>
      </c>
      <c r="P967" t="str">
        <f>INDEX(Produits!$C:$C,MATCH(H967,Produits!$A:$A,0))</f>
        <v>Maintenance</v>
      </c>
      <c r="Q967" s="3">
        <f>I967*INDEX(Produits!$E:$E,MATCH(H967,Produits!$A:$A,0))</f>
        <v>49.5</v>
      </c>
      <c r="R967" s="3">
        <f>L967-Q967</f>
        <v>60.5</v>
      </c>
      <c r="S967" s="2">
        <f>NETWORKDAYS(B967,C967)-1</f>
        <v>1</v>
      </c>
      <c r="T967" s="1">
        <f>WORKDAY(B967,5)</f>
        <v>46143</v>
      </c>
      <c r="U967" t="b">
        <f>C967&gt;T967</f>
        <v>0</v>
      </c>
    </row>
    <row r="968" spans="1:21" x14ac:dyDescent="0.25">
      <c r="A968" t="s">
        <v>836</v>
      </c>
      <c r="B968" s="1">
        <v>46136</v>
      </c>
      <c r="C968" s="1">
        <v>46139</v>
      </c>
      <c r="D968" t="s">
        <v>810</v>
      </c>
      <c r="E968" t="s">
        <v>30</v>
      </c>
      <c r="F968" t="s">
        <v>31</v>
      </c>
      <c r="G968" t="s">
        <v>32</v>
      </c>
      <c r="H968" t="s">
        <v>107</v>
      </c>
      <c r="I968" s="2">
        <v>3</v>
      </c>
      <c r="J968" s="3">
        <v>99</v>
      </c>
      <c r="K968" s="4">
        <v>0</v>
      </c>
      <c r="L968" s="3">
        <v>297</v>
      </c>
      <c r="M968" t="b">
        <v>1</v>
      </c>
      <c r="N968" s="2">
        <f>YEAR(B968)</f>
        <v>2026</v>
      </c>
      <c r="O968" t="str">
        <f>INDEX(Agences!$C:$C,MATCH(F968,Agences!$A:$A,0))</f>
        <v>Ouest</v>
      </c>
      <c r="P968" t="str">
        <f>INDEX(Produits!$C:$C,MATCH(H968,Produits!$A:$A,0))</f>
        <v>Informatique</v>
      </c>
      <c r="Q968" s="3">
        <f>I968*INDEX(Produits!$E:$E,MATCH(H968,Produits!$A:$A,0))</f>
        <v>225.71999999999997</v>
      </c>
      <c r="R968" s="3">
        <f>L968-Q968</f>
        <v>71.28000000000003</v>
      </c>
      <c r="S968" s="2">
        <f>NETWORKDAYS(B968,C968)-1</f>
        <v>1</v>
      </c>
      <c r="T968" s="1">
        <f>WORKDAY(B968,5)</f>
        <v>46143</v>
      </c>
      <c r="U968" t="b">
        <f>C968&gt;T968</f>
        <v>0</v>
      </c>
    </row>
    <row r="969" spans="1:21" x14ac:dyDescent="0.25">
      <c r="A969" t="s">
        <v>836</v>
      </c>
      <c r="B969" s="1">
        <v>46136</v>
      </c>
      <c r="C969" s="1">
        <v>46139</v>
      </c>
      <c r="D969" t="s">
        <v>810</v>
      </c>
      <c r="E969" t="s">
        <v>30</v>
      </c>
      <c r="F969" t="s">
        <v>31</v>
      </c>
      <c r="G969" t="s">
        <v>32</v>
      </c>
      <c r="H969" t="s">
        <v>35</v>
      </c>
      <c r="I969" s="2">
        <v>3</v>
      </c>
      <c r="J969" s="3">
        <v>79</v>
      </c>
      <c r="K969" s="4">
        <v>0</v>
      </c>
      <c r="L969" s="3">
        <v>237</v>
      </c>
      <c r="M969" t="b">
        <v>1</v>
      </c>
      <c r="N969" s="2">
        <f>YEAR(B969)</f>
        <v>2026</v>
      </c>
      <c r="O969" t="str">
        <f>INDEX(Agences!$C:$C,MATCH(F969,Agences!$A:$A,0))</f>
        <v>Ouest</v>
      </c>
      <c r="P969" t="str">
        <f>INDEX(Produits!$C:$C,MATCH(H969,Produits!$A:$A,0))</f>
        <v>Mobilier</v>
      </c>
      <c r="Q969" s="3">
        <f>I969*INDEX(Produits!$E:$E,MATCH(H969,Produits!$A:$A,0))</f>
        <v>139.82999999999998</v>
      </c>
      <c r="R969" s="3">
        <f>L969-Q969</f>
        <v>97.17000000000002</v>
      </c>
      <c r="S969" s="2">
        <f>NETWORKDAYS(B969,C969)-1</f>
        <v>1</v>
      </c>
      <c r="T969" s="1">
        <f>WORKDAY(B969,5)</f>
        <v>46143</v>
      </c>
      <c r="U969" t="b">
        <f>C969&gt;T969</f>
        <v>0</v>
      </c>
    </row>
    <row r="970" spans="1:21" x14ac:dyDescent="0.25">
      <c r="A970" t="s">
        <v>837</v>
      </c>
      <c r="B970" s="1">
        <v>46136</v>
      </c>
      <c r="C970" s="1">
        <v>46140</v>
      </c>
      <c r="D970" t="s">
        <v>558</v>
      </c>
      <c r="E970" t="s">
        <v>316</v>
      </c>
      <c r="F970" t="s">
        <v>46</v>
      </c>
      <c r="G970" t="s">
        <v>158</v>
      </c>
      <c r="H970" t="s">
        <v>34</v>
      </c>
      <c r="I970" s="2">
        <v>3</v>
      </c>
      <c r="J970" s="3">
        <v>340</v>
      </c>
      <c r="K970" s="4">
        <v>0</v>
      </c>
      <c r="L970" s="3">
        <v>1020</v>
      </c>
      <c r="M970" t="b">
        <v>1</v>
      </c>
      <c r="N970" s="2">
        <f>YEAR(B970)</f>
        <v>2026</v>
      </c>
      <c r="O970" t="str">
        <f>INDEX(Agences!$C:$C,MATCH(F970,Agences!$A:$A,0))</f>
        <v>Est</v>
      </c>
      <c r="P970" t="str">
        <f>INDEX(Produits!$C:$C,MATCH(H970,Produits!$A:$A,0))</f>
        <v>Informatique</v>
      </c>
      <c r="Q970" s="3">
        <f>I970*INDEX(Produits!$E:$E,MATCH(H970,Produits!$A:$A,0))</f>
        <v>826.1999999999999</v>
      </c>
      <c r="R970" s="3">
        <f>L970-Q970</f>
        <v>193.80000000000007</v>
      </c>
      <c r="S970" s="2">
        <f>NETWORKDAYS(B970,C970)-1</f>
        <v>2</v>
      </c>
      <c r="T970" s="1">
        <f>WORKDAY(B970,5)</f>
        <v>46143</v>
      </c>
      <c r="U970" t="b">
        <f>C970&gt;T970</f>
        <v>0</v>
      </c>
    </row>
    <row r="971" spans="1:21" x14ac:dyDescent="0.25">
      <c r="A971" t="s">
        <v>838</v>
      </c>
      <c r="B971" s="1">
        <v>46136</v>
      </c>
      <c r="C971" s="1">
        <v>46142</v>
      </c>
      <c r="D971" t="s">
        <v>558</v>
      </c>
      <c r="E971" t="s">
        <v>316</v>
      </c>
      <c r="F971" t="s">
        <v>46</v>
      </c>
      <c r="G971" t="s">
        <v>111</v>
      </c>
      <c r="H971" t="s">
        <v>50</v>
      </c>
      <c r="I971" s="2">
        <v>2</v>
      </c>
      <c r="J971" s="3">
        <v>69</v>
      </c>
      <c r="K971" s="4">
        <v>0</v>
      </c>
      <c r="L971" s="3">
        <v>138</v>
      </c>
      <c r="M971" t="b">
        <v>1</v>
      </c>
      <c r="N971" s="2">
        <f>YEAR(B971)</f>
        <v>2026</v>
      </c>
      <c r="O971" t="str">
        <f>INDEX(Agences!$C:$C,MATCH(F971,Agences!$A:$A,0))</f>
        <v>Est</v>
      </c>
      <c r="P971" t="str">
        <f>INDEX(Produits!$C:$C,MATCH(H971,Produits!$A:$A,0))</f>
        <v>Informatique</v>
      </c>
      <c r="Q971" s="3">
        <f>I971*INDEX(Produits!$E:$E,MATCH(H971,Produits!$A:$A,0))</f>
        <v>109.02</v>
      </c>
      <c r="R971" s="3">
        <f>L971-Q971</f>
        <v>28.980000000000004</v>
      </c>
      <c r="S971" s="2">
        <f>NETWORKDAYS(B971,C971)-1</f>
        <v>4</v>
      </c>
      <c r="T971" s="1">
        <f>WORKDAY(B971,5)</f>
        <v>46143</v>
      </c>
      <c r="U971" t="b">
        <f>C971&gt;T971</f>
        <v>0</v>
      </c>
    </row>
    <row r="972" spans="1:21" x14ac:dyDescent="0.25">
      <c r="A972" t="s">
        <v>838</v>
      </c>
      <c r="B972" s="1">
        <v>46136</v>
      </c>
      <c r="C972" s="1">
        <v>46142</v>
      </c>
      <c r="D972" t="s">
        <v>558</v>
      </c>
      <c r="E972" t="s">
        <v>316</v>
      </c>
      <c r="F972" t="s">
        <v>46</v>
      </c>
      <c r="G972" t="s">
        <v>111</v>
      </c>
      <c r="H972" t="s">
        <v>132</v>
      </c>
      <c r="I972" s="2">
        <v>1</v>
      </c>
      <c r="J972" s="3">
        <v>650</v>
      </c>
      <c r="K972" s="4">
        <v>0.02</v>
      </c>
      <c r="L972" s="3">
        <v>637</v>
      </c>
      <c r="M972" t="b">
        <v>1</v>
      </c>
      <c r="N972" s="2">
        <f>YEAR(B972)</f>
        <v>2026</v>
      </c>
      <c r="O972" t="str">
        <f>INDEX(Agences!$C:$C,MATCH(F972,Agences!$A:$A,0))</f>
        <v>Est</v>
      </c>
      <c r="P972" t="str">
        <f>INDEX(Produits!$C:$C,MATCH(H972,Produits!$A:$A,0))</f>
        <v>Maintenance</v>
      </c>
      <c r="Q972" s="3">
        <f>I972*INDEX(Produits!$E:$E,MATCH(H972,Produits!$A:$A,0))</f>
        <v>273</v>
      </c>
      <c r="R972" s="3">
        <f>L972-Q972</f>
        <v>364</v>
      </c>
      <c r="S972" s="2">
        <f>NETWORKDAYS(B972,C972)-1</f>
        <v>4</v>
      </c>
      <c r="T972" s="1">
        <f>WORKDAY(B972,5)</f>
        <v>46143</v>
      </c>
      <c r="U972" t="b">
        <f>C972&gt;T972</f>
        <v>0</v>
      </c>
    </row>
    <row r="973" spans="1:21" x14ac:dyDescent="0.25">
      <c r="A973" t="s">
        <v>838</v>
      </c>
      <c r="B973" s="1">
        <v>46136</v>
      </c>
      <c r="C973" s="1">
        <v>46142</v>
      </c>
      <c r="D973" t="s">
        <v>558</v>
      </c>
      <c r="E973" t="s">
        <v>316</v>
      </c>
      <c r="F973" t="s">
        <v>46</v>
      </c>
      <c r="G973" t="s">
        <v>111</v>
      </c>
      <c r="H973" t="s">
        <v>64</v>
      </c>
      <c r="I973" s="2">
        <v>10</v>
      </c>
      <c r="J973" s="3">
        <v>16.8</v>
      </c>
      <c r="K973" s="4">
        <v>0.02</v>
      </c>
      <c r="L973" s="3">
        <v>164.64</v>
      </c>
      <c r="M973" t="b">
        <v>1</v>
      </c>
      <c r="N973" s="2">
        <f>YEAR(B973)</f>
        <v>2026</v>
      </c>
      <c r="O973" t="str">
        <f>INDEX(Agences!$C:$C,MATCH(F973,Agences!$A:$A,0))</f>
        <v>Est</v>
      </c>
      <c r="P973" t="str">
        <f>INDEX(Produits!$C:$C,MATCH(H973,Produits!$A:$A,0))</f>
        <v>Fournitures</v>
      </c>
      <c r="Q973" s="3">
        <f>I973*INDEX(Produits!$E:$E,MATCH(H973,Produits!$A:$A,0))</f>
        <v>87.4</v>
      </c>
      <c r="R973" s="3">
        <f>L973-Q973</f>
        <v>77.23999999999998</v>
      </c>
      <c r="S973" s="2">
        <f>NETWORKDAYS(B973,C973)-1</f>
        <v>4</v>
      </c>
      <c r="T973" s="1">
        <f>WORKDAY(B973,5)</f>
        <v>46143</v>
      </c>
      <c r="U973" t="b">
        <f>C973&gt;T973</f>
        <v>0</v>
      </c>
    </row>
    <row r="974" spans="1:21" x14ac:dyDescent="0.25">
      <c r="A974" t="s">
        <v>839</v>
      </c>
      <c r="B974" s="1">
        <v>46135</v>
      </c>
      <c r="C974" s="1">
        <v>46139</v>
      </c>
      <c r="D974" t="s">
        <v>840</v>
      </c>
      <c r="E974" t="s">
        <v>98</v>
      </c>
      <c r="F974" t="s">
        <v>99</v>
      </c>
      <c r="G974" t="s">
        <v>100</v>
      </c>
      <c r="H974" t="s">
        <v>150</v>
      </c>
      <c r="I974" s="2">
        <v>1</v>
      </c>
      <c r="J974" s="3">
        <v>790</v>
      </c>
      <c r="K974" s="4">
        <v>0</v>
      </c>
      <c r="L974" s="3">
        <v>790</v>
      </c>
      <c r="M974" t="b">
        <v>1</v>
      </c>
      <c r="N974" s="2">
        <f>YEAR(B974)</f>
        <v>2026</v>
      </c>
      <c r="O974" t="str">
        <f>INDEX(Agences!$C:$C,MATCH(F974,Agences!$A:$A,0))</f>
        <v>Nord</v>
      </c>
      <c r="P974" t="str">
        <f>INDEX(Produits!$C:$C,MATCH(H974,Produits!$A:$A,0))</f>
        <v>Informatique</v>
      </c>
      <c r="Q974" s="3">
        <f>I974*INDEX(Produits!$E:$E,MATCH(H974,Produits!$A:$A,0))</f>
        <v>584.6</v>
      </c>
      <c r="R974" s="3">
        <f>L974-Q974</f>
        <v>205.39999999999998</v>
      </c>
      <c r="S974" s="2">
        <f>NETWORKDAYS(B974,C974)-1</f>
        <v>2</v>
      </c>
      <c r="T974" s="1">
        <f>WORKDAY(B974,5)</f>
        <v>46142</v>
      </c>
      <c r="U974" t="b">
        <f>C974&gt;T974</f>
        <v>0</v>
      </c>
    </row>
    <row r="975" spans="1:21" x14ac:dyDescent="0.25">
      <c r="A975" t="s">
        <v>839</v>
      </c>
      <c r="B975" s="1">
        <v>46135</v>
      </c>
      <c r="C975" s="1">
        <v>46139</v>
      </c>
      <c r="D975" t="s">
        <v>840</v>
      </c>
      <c r="E975" t="s">
        <v>98</v>
      </c>
      <c r="F975" t="s">
        <v>99</v>
      </c>
      <c r="G975" t="s">
        <v>100</v>
      </c>
      <c r="H975" t="s">
        <v>26</v>
      </c>
      <c r="I975" s="2">
        <v>1</v>
      </c>
      <c r="J975" s="3">
        <v>290</v>
      </c>
      <c r="K975" s="4">
        <v>0</v>
      </c>
      <c r="L975" s="3">
        <v>290</v>
      </c>
      <c r="M975" t="b">
        <v>1</v>
      </c>
      <c r="N975" s="2">
        <f>YEAR(B975)</f>
        <v>2026</v>
      </c>
      <c r="O975" t="str">
        <f>INDEX(Agences!$C:$C,MATCH(F975,Agences!$A:$A,0))</f>
        <v>Nord</v>
      </c>
      <c r="P975" t="str">
        <f>INDEX(Produits!$C:$C,MATCH(H975,Produits!$A:$A,0))</f>
        <v>Maintenance</v>
      </c>
      <c r="Q975" s="3">
        <f>I975*INDEX(Produits!$E:$E,MATCH(H975,Produits!$A:$A,0))</f>
        <v>139.2</v>
      </c>
      <c r="R975" s="3">
        <f>L975-Q975</f>
        <v>150.8</v>
      </c>
      <c r="S975" s="2">
        <f>NETWORKDAYS(B975,C975)-1</f>
        <v>2</v>
      </c>
      <c r="T975" s="1">
        <f>WORKDAY(B975,5)</f>
        <v>46142</v>
      </c>
      <c r="U975" t="b">
        <f>C975&gt;T975</f>
        <v>0</v>
      </c>
    </row>
    <row r="976" spans="1:21" x14ac:dyDescent="0.25">
      <c r="A976" t="s">
        <v>839</v>
      </c>
      <c r="B976" s="1">
        <v>46135</v>
      </c>
      <c r="C976" s="1">
        <v>46139</v>
      </c>
      <c r="D976" t="s">
        <v>840</v>
      </c>
      <c r="E976" t="s">
        <v>98</v>
      </c>
      <c r="F976" t="s">
        <v>99</v>
      </c>
      <c r="G976" t="s">
        <v>100</v>
      </c>
      <c r="H976" t="s">
        <v>51</v>
      </c>
      <c r="I976" s="2">
        <v>1</v>
      </c>
      <c r="J976" s="3">
        <v>180</v>
      </c>
      <c r="K976" s="4">
        <v>0</v>
      </c>
      <c r="L976" s="3">
        <v>180</v>
      </c>
      <c r="M976" t="b">
        <v>1</v>
      </c>
      <c r="N976" s="2">
        <f>YEAR(B976)</f>
        <v>2026</v>
      </c>
      <c r="O976" t="str">
        <f>INDEX(Agences!$C:$C,MATCH(F976,Agences!$A:$A,0))</f>
        <v>Nord</v>
      </c>
      <c r="P976" t="str">
        <f>INDEX(Produits!$C:$C,MATCH(H976,Produits!$A:$A,0))</f>
        <v>Maintenance</v>
      </c>
      <c r="Q976" s="3">
        <f>I976*INDEX(Produits!$E:$E,MATCH(H976,Produits!$A:$A,0))</f>
        <v>82.8</v>
      </c>
      <c r="R976" s="3">
        <f>L976-Q976</f>
        <v>97.2</v>
      </c>
      <c r="S976" s="2">
        <f>NETWORKDAYS(B976,C976)-1</f>
        <v>2</v>
      </c>
      <c r="T976" s="1">
        <f>WORKDAY(B976,5)</f>
        <v>46142</v>
      </c>
      <c r="U976" t="b">
        <f>C976&gt;T976</f>
        <v>0</v>
      </c>
    </row>
    <row r="977" spans="1:21" x14ac:dyDescent="0.25">
      <c r="A977" t="s">
        <v>839</v>
      </c>
      <c r="B977" s="1">
        <v>46135</v>
      </c>
      <c r="C977" s="1">
        <v>46139</v>
      </c>
      <c r="D977" t="s">
        <v>840</v>
      </c>
      <c r="E977" t="s">
        <v>98</v>
      </c>
      <c r="F977" t="s">
        <v>99</v>
      </c>
      <c r="G977" t="s">
        <v>100</v>
      </c>
      <c r="H977" t="s">
        <v>48</v>
      </c>
      <c r="I977" s="2">
        <v>2</v>
      </c>
      <c r="J977" s="3">
        <v>165</v>
      </c>
      <c r="K977" s="4">
        <v>0.1</v>
      </c>
      <c r="L977" s="3">
        <v>297</v>
      </c>
      <c r="M977" t="b">
        <v>1</v>
      </c>
      <c r="N977" s="2">
        <f>YEAR(B977)</f>
        <v>2026</v>
      </c>
      <c r="O977" t="str">
        <f>INDEX(Agences!$C:$C,MATCH(F977,Agences!$A:$A,0))</f>
        <v>Nord</v>
      </c>
      <c r="P977" t="str">
        <f>INDEX(Produits!$C:$C,MATCH(H977,Produits!$A:$A,0))</f>
        <v>Mobilier</v>
      </c>
      <c r="Q977" s="3">
        <f>I977*INDEX(Produits!$E:$E,MATCH(H977,Produits!$A:$A,0))</f>
        <v>214.5</v>
      </c>
      <c r="R977" s="3">
        <f>L977-Q977</f>
        <v>82.5</v>
      </c>
      <c r="S977" s="2">
        <f>NETWORKDAYS(B977,C977)-1</f>
        <v>2</v>
      </c>
      <c r="T977" s="1">
        <f>WORKDAY(B977,5)</f>
        <v>46142</v>
      </c>
      <c r="U977" t="b">
        <f>C977&gt;T977</f>
        <v>0</v>
      </c>
    </row>
    <row r="978" spans="1:21" x14ac:dyDescent="0.25">
      <c r="A978" t="s">
        <v>841</v>
      </c>
      <c r="B978" s="1">
        <v>46135</v>
      </c>
      <c r="C978" s="1">
        <v>46141</v>
      </c>
      <c r="D978" t="s">
        <v>842</v>
      </c>
      <c r="E978" t="s">
        <v>30</v>
      </c>
      <c r="F978" t="s">
        <v>31</v>
      </c>
      <c r="G978" t="s">
        <v>32</v>
      </c>
      <c r="H978" t="s">
        <v>108</v>
      </c>
      <c r="I978" s="2">
        <v>5</v>
      </c>
      <c r="J978" s="3">
        <v>24.5</v>
      </c>
      <c r="K978" s="4">
        <v>0</v>
      </c>
      <c r="L978" s="3">
        <v>122.5</v>
      </c>
      <c r="M978" t="b">
        <v>1</v>
      </c>
      <c r="N978" s="2">
        <f>YEAR(B978)</f>
        <v>2026</v>
      </c>
      <c r="O978" t="str">
        <f>INDEX(Agences!$C:$C,MATCH(F978,Agences!$A:$A,0))</f>
        <v>Ouest</v>
      </c>
      <c r="P978" t="str">
        <f>INDEX(Produits!$C:$C,MATCH(H978,Produits!$A:$A,0))</f>
        <v>Fournitures</v>
      </c>
      <c r="Q978" s="3">
        <f>I978*INDEX(Produits!$E:$E,MATCH(H978,Produits!$A:$A,0))</f>
        <v>73.5</v>
      </c>
      <c r="R978" s="3">
        <f>L978-Q978</f>
        <v>49</v>
      </c>
      <c r="S978" s="2">
        <f>NETWORKDAYS(B978,C978)-1</f>
        <v>4</v>
      </c>
      <c r="T978" s="1">
        <f>WORKDAY(B978,5)</f>
        <v>46142</v>
      </c>
      <c r="U978" t="b">
        <f>C978&gt;T978</f>
        <v>0</v>
      </c>
    </row>
    <row r="979" spans="1:21" x14ac:dyDescent="0.25">
      <c r="A979" t="s">
        <v>841</v>
      </c>
      <c r="B979" s="1">
        <v>46135</v>
      </c>
      <c r="C979" s="1">
        <v>46141</v>
      </c>
      <c r="D979" t="s">
        <v>842</v>
      </c>
      <c r="E979" t="s">
        <v>30</v>
      </c>
      <c r="F979" t="s">
        <v>31</v>
      </c>
      <c r="G979" t="s">
        <v>32</v>
      </c>
      <c r="H979" t="s">
        <v>42</v>
      </c>
      <c r="I979" s="2">
        <v>1</v>
      </c>
      <c r="J979" s="3">
        <v>55</v>
      </c>
      <c r="K979" s="4">
        <v>0.02</v>
      </c>
      <c r="L979" s="3">
        <v>53.9</v>
      </c>
      <c r="M979" t="b">
        <v>1</v>
      </c>
      <c r="N979" s="2">
        <f>YEAR(B979)</f>
        <v>2026</v>
      </c>
      <c r="O979" t="str">
        <f>INDEX(Agences!$C:$C,MATCH(F979,Agences!$A:$A,0))</f>
        <v>Ouest</v>
      </c>
      <c r="P979" t="str">
        <f>INDEX(Produits!$C:$C,MATCH(H979,Produits!$A:$A,0))</f>
        <v>Maintenance</v>
      </c>
      <c r="Q979" s="3">
        <f>I979*INDEX(Produits!$E:$E,MATCH(H979,Produits!$A:$A,0))</f>
        <v>24.75</v>
      </c>
      <c r="R979" s="3">
        <f>L979-Q979</f>
        <v>29.15</v>
      </c>
      <c r="S979" s="2">
        <f>NETWORKDAYS(B979,C979)-1</f>
        <v>4</v>
      </c>
      <c r="T979" s="1">
        <f>WORKDAY(B979,5)</f>
        <v>46142</v>
      </c>
      <c r="U979" t="b">
        <f>C979&gt;T979</f>
        <v>0</v>
      </c>
    </row>
    <row r="980" spans="1:21" x14ac:dyDescent="0.25">
      <c r="A980" t="s">
        <v>843</v>
      </c>
      <c r="B980" s="1">
        <v>46135</v>
      </c>
      <c r="C980" s="1">
        <v>46140</v>
      </c>
      <c r="D980" t="s">
        <v>844</v>
      </c>
      <c r="E980" t="s">
        <v>236</v>
      </c>
      <c r="F980" t="s">
        <v>39</v>
      </c>
      <c r="G980" t="s">
        <v>40</v>
      </c>
      <c r="H980" t="s">
        <v>27</v>
      </c>
      <c r="I980" s="2">
        <v>3</v>
      </c>
      <c r="J980" s="3">
        <v>310</v>
      </c>
      <c r="K980" s="4">
        <v>0</v>
      </c>
      <c r="L980" s="3">
        <v>930</v>
      </c>
      <c r="M980" t="b">
        <v>1</v>
      </c>
      <c r="N980" s="2">
        <f>YEAR(B980)</f>
        <v>2026</v>
      </c>
      <c r="O980" t="str">
        <f>INDEX(Agences!$C:$C,MATCH(F980,Agences!$A:$A,0))</f>
        <v>Sud-Ouest</v>
      </c>
      <c r="P980" t="str">
        <f>INDEX(Produits!$C:$C,MATCH(H980,Produits!$A:$A,0))</f>
        <v>Mobilier</v>
      </c>
      <c r="Q980" s="3">
        <f>I980*INDEX(Produits!$E:$E,MATCH(H980,Produits!$A:$A,0))</f>
        <v>558</v>
      </c>
      <c r="R980" s="3">
        <f>L980-Q980</f>
        <v>372</v>
      </c>
      <c r="S980" s="2">
        <f>NETWORKDAYS(B980,C980)-1</f>
        <v>3</v>
      </c>
      <c r="T980" s="1">
        <f>WORKDAY(B980,5)</f>
        <v>46142</v>
      </c>
      <c r="U980" t="b">
        <f>C980&gt;T980</f>
        <v>0</v>
      </c>
    </row>
    <row r="981" spans="1:21" x14ac:dyDescent="0.25">
      <c r="A981" t="s">
        <v>843</v>
      </c>
      <c r="B981" s="1">
        <v>46135</v>
      </c>
      <c r="C981" s="1">
        <v>46140</v>
      </c>
      <c r="D981" t="s">
        <v>844</v>
      </c>
      <c r="E981" t="s">
        <v>236</v>
      </c>
      <c r="F981" t="s">
        <v>39</v>
      </c>
      <c r="G981" t="s">
        <v>40</v>
      </c>
      <c r="H981" t="s">
        <v>205</v>
      </c>
      <c r="I981" s="2">
        <v>1</v>
      </c>
      <c r="J981" s="3">
        <v>359</v>
      </c>
      <c r="K981" s="4">
        <v>0</v>
      </c>
      <c r="L981" s="3">
        <v>359</v>
      </c>
      <c r="M981" t="b">
        <v>1</v>
      </c>
      <c r="N981" s="2">
        <f>YEAR(B981)</f>
        <v>2026</v>
      </c>
      <c r="O981" t="str">
        <f>INDEX(Agences!$C:$C,MATCH(F981,Agences!$A:$A,0))</f>
        <v>Sud-Ouest</v>
      </c>
      <c r="P981" t="str">
        <f>INDEX(Produits!$C:$C,MATCH(H981,Produits!$A:$A,0))</f>
        <v>Mobilier</v>
      </c>
      <c r="Q981" s="3">
        <f>I981*INDEX(Produits!$E:$E,MATCH(H981,Produits!$A:$A,0))</f>
        <v>204.63</v>
      </c>
      <c r="R981" s="3">
        <f>L981-Q981</f>
        <v>154.37</v>
      </c>
      <c r="S981" s="2">
        <f>NETWORKDAYS(B981,C981)-1</f>
        <v>3</v>
      </c>
      <c r="T981" s="1">
        <f>WORKDAY(B981,5)</f>
        <v>46142</v>
      </c>
      <c r="U981" t="b">
        <f>C981&gt;T981</f>
        <v>0</v>
      </c>
    </row>
    <row r="982" spans="1:21" x14ac:dyDescent="0.25">
      <c r="A982" t="s">
        <v>845</v>
      </c>
      <c r="B982" s="1">
        <v>46135</v>
      </c>
      <c r="C982" s="1">
        <v>46141</v>
      </c>
      <c r="D982" t="s">
        <v>643</v>
      </c>
      <c r="E982" t="s">
        <v>242</v>
      </c>
      <c r="F982" t="s">
        <v>94</v>
      </c>
      <c r="G982" t="s">
        <v>95</v>
      </c>
      <c r="H982" t="s">
        <v>112</v>
      </c>
      <c r="I982" s="2">
        <v>2</v>
      </c>
      <c r="J982" s="3">
        <v>129</v>
      </c>
      <c r="K982" s="4">
        <v>0.05</v>
      </c>
      <c r="L982" s="3">
        <v>245.1</v>
      </c>
      <c r="M982" t="b">
        <v>1</v>
      </c>
      <c r="N982" s="2">
        <f>YEAR(B982)</f>
        <v>2026</v>
      </c>
      <c r="O982" t="str">
        <f>INDEX(Agences!$C:$C,MATCH(F982,Agences!$A:$A,0))</f>
        <v>Méditerranée</v>
      </c>
      <c r="P982" t="str">
        <f>INDEX(Produits!$C:$C,MATCH(H982,Produits!$A:$A,0))</f>
        <v>Mobilier</v>
      </c>
      <c r="Q982" s="3">
        <f>I982*INDEX(Produits!$E:$E,MATCH(H982,Produits!$A:$A,0))</f>
        <v>172.86</v>
      </c>
      <c r="R982" s="3">
        <f>L982-Q982</f>
        <v>72.23999999999998</v>
      </c>
      <c r="S982" s="2">
        <f>NETWORKDAYS(B982,C982)-1</f>
        <v>4</v>
      </c>
      <c r="T982" s="1">
        <f>WORKDAY(B982,5)</f>
        <v>46142</v>
      </c>
      <c r="U982" t="b">
        <f>C982&gt;T982</f>
        <v>0</v>
      </c>
    </row>
    <row r="983" spans="1:21" x14ac:dyDescent="0.25">
      <c r="A983" t="s">
        <v>845</v>
      </c>
      <c r="B983" s="1">
        <v>46135</v>
      </c>
      <c r="C983" s="1">
        <v>46141</v>
      </c>
      <c r="D983" t="s">
        <v>643</v>
      </c>
      <c r="E983" t="s">
        <v>242</v>
      </c>
      <c r="F983" t="s">
        <v>94</v>
      </c>
      <c r="G983" t="s">
        <v>95</v>
      </c>
      <c r="H983" t="s">
        <v>49</v>
      </c>
      <c r="I983" s="2">
        <v>1</v>
      </c>
      <c r="J983" s="3">
        <v>120</v>
      </c>
      <c r="K983" s="4">
        <v>0</v>
      </c>
      <c r="L983" s="3">
        <v>120</v>
      </c>
      <c r="M983" t="b">
        <v>1</v>
      </c>
      <c r="N983" s="2">
        <f>YEAR(B983)</f>
        <v>2026</v>
      </c>
      <c r="O983" t="str">
        <f>INDEX(Agences!$C:$C,MATCH(F983,Agences!$A:$A,0))</f>
        <v>Méditerranée</v>
      </c>
      <c r="P983" t="str">
        <f>INDEX(Produits!$C:$C,MATCH(H983,Produits!$A:$A,0))</f>
        <v>Maintenance</v>
      </c>
      <c r="Q983" s="3">
        <f>I983*INDEX(Produits!$E:$E,MATCH(H983,Produits!$A:$A,0))</f>
        <v>55.2</v>
      </c>
      <c r="R983" s="3">
        <f>L983-Q983</f>
        <v>64.8</v>
      </c>
      <c r="S983" s="2">
        <f>NETWORKDAYS(B983,C983)-1</f>
        <v>4</v>
      </c>
      <c r="T983" s="1">
        <f>WORKDAY(B983,5)</f>
        <v>46142</v>
      </c>
      <c r="U983" t="b">
        <f>C983&gt;T983</f>
        <v>0</v>
      </c>
    </row>
    <row r="984" spans="1:21" x14ac:dyDescent="0.25">
      <c r="A984" t="s">
        <v>845</v>
      </c>
      <c r="B984" s="1">
        <v>46135</v>
      </c>
      <c r="C984" s="1">
        <v>46141</v>
      </c>
      <c r="D984" t="s">
        <v>643</v>
      </c>
      <c r="E984" t="s">
        <v>242</v>
      </c>
      <c r="F984" t="s">
        <v>94</v>
      </c>
      <c r="G984" t="s">
        <v>95</v>
      </c>
      <c r="H984" t="s">
        <v>50</v>
      </c>
      <c r="I984" s="2">
        <v>2</v>
      </c>
      <c r="J984" s="3">
        <v>69</v>
      </c>
      <c r="K984" s="4">
        <v>0</v>
      </c>
      <c r="L984" s="3">
        <v>138</v>
      </c>
      <c r="M984" t="b">
        <v>1</v>
      </c>
      <c r="N984" s="2">
        <f>YEAR(B984)</f>
        <v>2026</v>
      </c>
      <c r="O984" t="str">
        <f>INDEX(Agences!$C:$C,MATCH(F984,Agences!$A:$A,0))</f>
        <v>Méditerranée</v>
      </c>
      <c r="P984" t="str">
        <f>INDEX(Produits!$C:$C,MATCH(H984,Produits!$A:$A,0))</f>
        <v>Informatique</v>
      </c>
      <c r="Q984" s="3">
        <f>I984*INDEX(Produits!$E:$E,MATCH(H984,Produits!$A:$A,0))</f>
        <v>109.02</v>
      </c>
      <c r="R984" s="3">
        <f>L984-Q984</f>
        <v>28.980000000000004</v>
      </c>
      <c r="S984" s="2">
        <f>NETWORKDAYS(B984,C984)-1</f>
        <v>4</v>
      </c>
      <c r="T984" s="1">
        <f>WORKDAY(B984,5)</f>
        <v>46142</v>
      </c>
      <c r="U984" t="b">
        <f>C984&gt;T984</f>
        <v>0</v>
      </c>
    </row>
    <row r="985" spans="1:21" x14ac:dyDescent="0.25">
      <c r="A985" t="s">
        <v>846</v>
      </c>
      <c r="B985" s="1">
        <v>46135</v>
      </c>
      <c r="C985" s="1">
        <v>46146</v>
      </c>
      <c r="D985" t="s">
        <v>719</v>
      </c>
      <c r="E985" t="s">
        <v>229</v>
      </c>
      <c r="F985" t="s">
        <v>55</v>
      </c>
      <c r="G985" t="s">
        <v>56</v>
      </c>
      <c r="H985" t="s">
        <v>48</v>
      </c>
      <c r="I985" s="2">
        <v>3</v>
      </c>
      <c r="J985" s="3">
        <v>165</v>
      </c>
      <c r="K985" s="4">
        <v>0.02</v>
      </c>
      <c r="L985" s="3">
        <v>485.1</v>
      </c>
      <c r="M985" t="b">
        <v>1</v>
      </c>
      <c r="N985" s="2">
        <f>YEAR(B985)</f>
        <v>2026</v>
      </c>
      <c r="O985" t="str">
        <f>INDEX(Agences!$C:$C,MATCH(F985,Agences!$A:$A,0))</f>
        <v>Est</v>
      </c>
      <c r="P985" t="str">
        <f>INDEX(Produits!$C:$C,MATCH(H985,Produits!$A:$A,0))</f>
        <v>Mobilier</v>
      </c>
      <c r="Q985" s="3">
        <f>I985*INDEX(Produits!$E:$E,MATCH(H985,Produits!$A:$A,0))</f>
        <v>321.75</v>
      </c>
      <c r="R985" s="3">
        <f>L985-Q985</f>
        <v>163.35000000000002</v>
      </c>
      <c r="S985" s="2">
        <f>NETWORKDAYS(B985,C985)-1</f>
        <v>7</v>
      </c>
      <c r="T985" s="1">
        <f>WORKDAY(B985,5)</f>
        <v>46142</v>
      </c>
      <c r="U985" t="b">
        <f>C985&gt;T985</f>
        <v>1</v>
      </c>
    </row>
    <row r="986" spans="1:21" x14ac:dyDescent="0.25">
      <c r="A986" t="s">
        <v>846</v>
      </c>
      <c r="B986" s="1">
        <v>46135</v>
      </c>
      <c r="C986" s="1">
        <v>46146</v>
      </c>
      <c r="D986" t="s">
        <v>719</v>
      </c>
      <c r="E986" t="s">
        <v>229</v>
      </c>
      <c r="F986" t="s">
        <v>55</v>
      </c>
      <c r="G986" t="s">
        <v>56</v>
      </c>
      <c r="H986" t="s">
        <v>108</v>
      </c>
      <c r="I986" s="2">
        <v>10</v>
      </c>
      <c r="J986" s="3">
        <v>24.5</v>
      </c>
      <c r="K986" s="4">
        <v>0</v>
      </c>
      <c r="L986" s="3">
        <v>245</v>
      </c>
      <c r="M986" t="b">
        <v>1</v>
      </c>
      <c r="N986" s="2">
        <f>YEAR(B986)</f>
        <v>2026</v>
      </c>
      <c r="O986" t="str">
        <f>INDEX(Agences!$C:$C,MATCH(F986,Agences!$A:$A,0))</f>
        <v>Est</v>
      </c>
      <c r="P986" t="str">
        <f>INDEX(Produits!$C:$C,MATCH(H986,Produits!$A:$A,0))</f>
        <v>Fournitures</v>
      </c>
      <c r="Q986" s="3">
        <f>I986*INDEX(Produits!$E:$E,MATCH(H986,Produits!$A:$A,0))</f>
        <v>147</v>
      </c>
      <c r="R986" s="3">
        <f>L986-Q986</f>
        <v>98</v>
      </c>
      <c r="S986" s="2">
        <f>NETWORKDAYS(B986,C986)-1</f>
        <v>7</v>
      </c>
      <c r="T986" s="1">
        <f>WORKDAY(B986,5)</f>
        <v>46142</v>
      </c>
      <c r="U986" t="b">
        <f>C986&gt;T986</f>
        <v>1</v>
      </c>
    </row>
    <row r="987" spans="1:21" x14ac:dyDescent="0.25">
      <c r="A987" t="s">
        <v>847</v>
      </c>
      <c r="B987" s="1">
        <v>46134</v>
      </c>
      <c r="C987" s="1">
        <v>46139</v>
      </c>
      <c r="D987" t="s">
        <v>848</v>
      </c>
      <c r="E987" t="s">
        <v>242</v>
      </c>
      <c r="F987" t="s">
        <v>94</v>
      </c>
      <c r="G987" t="s">
        <v>182</v>
      </c>
      <c r="H987" t="s">
        <v>79</v>
      </c>
      <c r="I987" s="2">
        <v>10</v>
      </c>
      <c r="J987" s="3">
        <v>14.9</v>
      </c>
      <c r="K987" s="4">
        <v>0.05</v>
      </c>
      <c r="L987" s="3">
        <v>141.55</v>
      </c>
      <c r="M987" t="b">
        <v>1</v>
      </c>
      <c r="N987" s="2">
        <f>YEAR(B987)</f>
        <v>2026</v>
      </c>
      <c r="O987" t="str">
        <f>INDEX(Agences!$C:$C,MATCH(F987,Agences!$A:$A,0))</f>
        <v>Méditerranée</v>
      </c>
      <c r="P987" t="str">
        <f>INDEX(Produits!$C:$C,MATCH(H987,Produits!$A:$A,0))</f>
        <v>Fournitures</v>
      </c>
      <c r="Q987" s="3">
        <f>I987*INDEX(Produits!$E:$E,MATCH(H987,Produits!$A:$A,0))</f>
        <v>80.5</v>
      </c>
      <c r="R987" s="3">
        <f>L987-Q987</f>
        <v>61.05000000000001</v>
      </c>
      <c r="S987" s="2">
        <f>NETWORKDAYS(B987,C987)-1</f>
        <v>3</v>
      </c>
      <c r="T987" s="1">
        <f>WORKDAY(B987,5)</f>
        <v>46141</v>
      </c>
      <c r="U987" t="b">
        <f>C987&gt;T987</f>
        <v>0</v>
      </c>
    </row>
    <row r="988" spans="1:21" x14ac:dyDescent="0.25">
      <c r="A988" t="s">
        <v>847</v>
      </c>
      <c r="B988" s="1">
        <v>46134</v>
      </c>
      <c r="C988" s="1">
        <v>46139</v>
      </c>
      <c r="D988" t="s">
        <v>848</v>
      </c>
      <c r="E988" t="s">
        <v>242</v>
      </c>
      <c r="F988" t="s">
        <v>94</v>
      </c>
      <c r="G988" t="s">
        <v>182</v>
      </c>
      <c r="H988" t="s">
        <v>319</v>
      </c>
      <c r="I988" s="2">
        <v>4</v>
      </c>
      <c r="J988" s="3">
        <v>289</v>
      </c>
      <c r="K988" s="4">
        <v>0</v>
      </c>
      <c r="L988" s="3">
        <v>1156</v>
      </c>
      <c r="M988" t="b">
        <v>1</v>
      </c>
      <c r="N988" s="2">
        <f>YEAR(B988)</f>
        <v>2026</v>
      </c>
      <c r="O988" t="str">
        <f>INDEX(Agences!$C:$C,MATCH(F988,Agences!$A:$A,0))</f>
        <v>Méditerranée</v>
      </c>
      <c r="P988" t="str">
        <f>INDEX(Produits!$C:$C,MATCH(H988,Produits!$A:$A,0))</f>
        <v>Informatique</v>
      </c>
      <c r="Q988" s="3">
        <f>I988*INDEX(Produits!$E:$E,MATCH(H988,Produits!$A:$A,0))</f>
        <v>855.44</v>
      </c>
      <c r="R988" s="3">
        <f>L988-Q988</f>
        <v>300.55999999999995</v>
      </c>
      <c r="S988" s="2">
        <f>NETWORKDAYS(B988,C988)-1</f>
        <v>3</v>
      </c>
      <c r="T988" s="1">
        <f>WORKDAY(B988,5)</f>
        <v>46141</v>
      </c>
      <c r="U988" t="b">
        <f>C988&gt;T988</f>
        <v>0</v>
      </c>
    </row>
    <row r="989" spans="1:21" x14ac:dyDescent="0.25">
      <c r="A989" t="s">
        <v>847</v>
      </c>
      <c r="B989" s="1">
        <v>46134</v>
      </c>
      <c r="C989" s="1">
        <v>46139</v>
      </c>
      <c r="D989" t="s">
        <v>848</v>
      </c>
      <c r="E989" t="s">
        <v>242</v>
      </c>
      <c r="F989" t="s">
        <v>94</v>
      </c>
      <c r="G989" t="s">
        <v>182</v>
      </c>
      <c r="H989" t="s">
        <v>51</v>
      </c>
      <c r="I989" s="2">
        <v>1</v>
      </c>
      <c r="J989" s="3">
        <v>180</v>
      </c>
      <c r="K989" s="4">
        <v>0.02</v>
      </c>
      <c r="L989" s="3">
        <v>176.4</v>
      </c>
      <c r="M989" t="b">
        <v>1</v>
      </c>
      <c r="N989" s="2">
        <f>YEAR(B989)</f>
        <v>2026</v>
      </c>
      <c r="O989" t="str">
        <f>INDEX(Agences!$C:$C,MATCH(F989,Agences!$A:$A,0))</f>
        <v>Méditerranée</v>
      </c>
      <c r="P989" t="str">
        <f>INDEX(Produits!$C:$C,MATCH(H989,Produits!$A:$A,0))</f>
        <v>Maintenance</v>
      </c>
      <c r="Q989" s="3">
        <f>I989*INDEX(Produits!$E:$E,MATCH(H989,Produits!$A:$A,0))</f>
        <v>82.8</v>
      </c>
      <c r="R989" s="3">
        <f>L989-Q989</f>
        <v>93.60000000000001</v>
      </c>
      <c r="S989" s="2">
        <f>NETWORKDAYS(B989,C989)-1</f>
        <v>3</v>
      </c>
      <c r="T989" s="1">
        <f>WORKDAY(B989,5)</f>
        <v>46141</v>
      </c>
      <c r="U989" t="b">
        <f>C989&gt;T989</f>
        <v>0</v>
      </c>
    </row>
    <row r="990" spans="1:21" x14ac:dyDescent="0.25">
      <c r="A990" t="s">
        <v>847</v>
      </c>
      <c r="B990" s="1">
        <v>46134</v>
      </c>
      <c r="C990" s="1">
        <v>46139</v>
      </c>
      <c r="D990" t="s">
        <v>848</v>
      </c>
      <c r="E990" t="s">
        <v>242</v>
      </c>
      <c r="F990" t="s">
        <v>94</v>
      </c>
      <c r="G990" t="s">
        <v>182</v>
      </c>
      <c r="H990" t="s">
        <v>112</v>
      </c>
      <c r="I990" s="2">
        <v>1</v>
      </c>
      <c r="J990" s="3">
        <v>129</v>
      </c>
      <c r="K990" s="4">
        <v>0</v>
      </c>
      <c r="L990" s="3">
        <v>129</v>
      </c>
      <c r="M990" t="b">
        <v>1</v>
      </c>
      <c r="N990" s="2">
        <f>YEAR(B990)</f>
        <v>2026</v>
      </c>
      <c r="O990" t="str">
        <f>INDEX(Agences!$C:$C,MATCH(F990,Agences!$A:$A,0))</f>
        <v>Méditerranée</v>
      </c>
      <c r="P990" t="str">
        <f>INDEX(Produits!$C:$C,MATCH(H990,Produits!$A:$A,0))</f>
        <v>Mobilier</v>
      </c>
      <c r="Q990" s="3">
        <f>I990*INDEX(Produits!$E:$E,MATCH(H990,Produits!$A:$A,0))</f>
        <v>86.43</v>
      </c>
      <c r="R990" s="3">
        <f>L990-Q990</f>
        <v>42.56999999999999</v>
      </c>
      <c r="S990" s="2">
        <f>NETWORKDAYS(B990,C990)-1</f>
        <v>3</v>
      </c>
      <c r="T990" s="1">
        <f>WORKDAY(B990,5)</f>
        <v>46141</v>
      </c>
      <c r="U990" t="b">
        <f>C990&gt;T990</f>
        <v>0</v>
      </c>
    </row>
    <row r="991" spans="1:21" x14ac:dyDescent="0.25">
      <c r="A991" t="s">
        <v>847</v>
      </c>
      <c r="B991" s="1">
        <v>46134</v>
      </c>
      <c r="C991" s="1">
        <v>46139</v>
      </c>
      <c r="D991" t="s">
        <v>848</v>
      </c>
      <c r="E991" t="s">
        <v>242</v>
      </c>
      <c r="F991" t="s">
        <v>94</v>
      </c>
      <c r="G991" t="s">
        <v>182</v>
      </c>
      <c r="H991" t="s">
        <v>72</v>
      </c>
      <c r="I991" s="2">
        <v>2</v>
      </c>
      <c r="J991" s="3">
        <v>179</v>
      </c>
      <c r="K991" s="4">
        <v>0.05</v>
      </c>
      <c r="L991" s="3">
        <v>340.1</v>
      </c>
      <c r="M991" t="b">
        <v>1</v>
      </c>
      <c r="N991" s="2">
        <f>YEAR(B991)</f>
        <v>2026</v>
      </c>
      <c r="O991" t="str">
        <f>INDEX(Agences!$C:$C,MATCH(F991,Agences!$A:$A,0))</f>
        <v>Méditerranée</v>
      </c>
      <c r="P991" t="str">
        <f>INDEX(Produits!$C:$C,MATCH(H991,Produits!$A:$A,0))</f>
        <v>Informatique</v>
      </c>
      <c r="Q991" s="3">
        <f>I991*INDEX(Produits!$E:$E,MATCH(H991,Produits!$A:$A,0))</f>
        <v>293.56</v>
      </c>
      <c r="R991" s="3">
        <f>L991-Q991</f>
        <v>46.54000000000002</v>
      </c>
      <c r="S991" s="2">
        <f>NETWORKDAYS(B991,C991)-1</f>
        <v>3</v>
      </c>
      <c r="T991" s="1">
        <f>WORKDAY(B991,5)</f>
        <v>46141</v>
      </c>
      <c r="U991" t="b">
        <f>C991&gt;T991</f>
        <v>0</v>
      </c>
    </row>
    <row r="992" spans="1:21" x14ac:dyDescent="0.25">
      <c r="A992" t="s">
        <v>849</v>
      </c>
      <c r="B992" s="1">
        <v>46134</v>
      </c>
      <c r="C992" s="1">
        <v>46148</v>
      </c>
      <c r="D992" t="s">
        <v>850</v>
      </c>
      <c r="E992" t="s">
        <v>229</v>
      </c>
      <c r="F992" t="s">
        <v>55</v>
      </c>
      <c r="G992" t="s">
        <v>56</v>
      </c>
      <c r="H992" t="s">
        <v>83</v>
      </c>
      <c r="I992" s="2">
        <v>4</v>
      </c>
      <c r="J992" s="3">
        <v>49</v>
      </c>
      <c r="K992" s="4">
        <v>0.08</v>
      </c>
      <c r="L992" s="3">
        <v>180.32</v>
      </c>
      <c r="M992" t="b">
        <v>1</v>
      </c>
      <c r="N992" s="2">
        <f>YEAR(B992)</f>
        <v>2026</v>
      </c>
      <c r="O992" t="str">
        <f>INDEX(Agences!$C:$C,MATCH(F992,Agences!$A:$A,0))</f>
        <v>Est</v>
      </c>
      <c r="P992" t="str">
        <f>INDEX(Produits!$C:$C,MATCH(H992,Produits!$A:$A,0))</f>
        <v>Mobilier</v>
      </c>
      <c r="Q992" s="3">
        <f>I992*INDEX(Produits!$E:$E,MATCH(H992,Produits!$A:$A,0))</f>
        <v>113.68</v>
      </c>
      <c r="R992" s="3">
        <f>L992-Q992</f>
        <v>66.63999999999999</v>
      </c>
      <c r="S992" s="2">
        <f>NETWORKDAYS(B992,C992)-1</f>
        <v>10</v>
      </c>
      <c r="T992" s="1">
        <f>WORKDAY(B992,5)</f>
        <v>46141</v>
      </c>
      <c r="U992" t="b">
        <f>C992&gt;T992</f>
        <v>1</v>
      </c>
    </row>
    <row r="993" spans="1:21" x14ac:dyDescent="0.25">
      <c r="A993" t="s">
        <v>851</v>
      </c>
      <c r="B993" s="1">
        <v>46133</v>
      </c>
      <c r="C993" s="1">
        <v>46136</v>
      </c>
      <c r="D993" t="s">
        <v>330</v>
      </c>
      <c r="E993" t="s">
        <v>23</v>
      </c>
      <c r="F993" t="s">
        <v>24</v>
      </c>
      <c r="G993" t="s">
        <v>25</v>
      </c>
      <c r="H993" t="s">
        <v>48</v>
      </c>
      <c r="I993" s="2">
        <v>1</v>
      </c>
      <c r="J993" s="3">
        <v>165</v>
      </c>
      <c r="K993" s="4">
        <v>0</v>
      </c>
      <c r="L993" s="3">
        <v>165</v>
      </c>
      <c r="M993" t="b">
        <v>1</v>
      </c>
      <c r="N993" s="2">
        <f>YEAR(B993)</f>
        <v>2026</v>
      </c>
      <c r="O993" t="str">
        <f>INDEX(Agences!$C:$C,MATCH(F993,Agences!$A:$A,0))</f>
        <v>Nord</v>
      </c>
      <c r="P993" t="str">
        <f>INDEX(Produits!$C:$C,MATCH(H993,Produits!$A:$A,0))</f>
        <v>Mobilier</v>
      </c>
      <c r="Q993" s="3">
        <f>I993*INDEX(Produits!$E:$E,MATCH(H993,Produits!$A:$A,0))</f>
        <v>107.25</v>
      </c>
      <c r="R993" s="3">
        <f>L993-Q993</f>
        <v>57.75</v>
      </c>
      <c r="S993" s="2">
        <f>NETWORKDAYS(B993,C993)-1</f>
        <v>3</v>
      </c>
      <c r="T993" s="1">
        <f>WORKDAY(B993,5)</f>
        <v>46140</v>
      </c>
      <c r="U993" t="b">
        <f>C993&gt;T993</f>
        <v>0</v>
      </c>
    </row>
    <row r="994" spans="1:21" x14ac:dyDescent="0.25">
      <c r="A994" t="s">
        <v>851</v>
      </c>
      <c r="B994" s="1">
        <v>46133</v>
      </c>
      <c r="C994" s="1">
        <v>46136</v>
      </c>
      <c r="D994" t="s">
        <v>330</v>
      </c>
      <c r="E994" t="s">
        <v>23</v>
      </c>
      <c r="F994" t="s">
        <v>24</v>
      </c>
      <c r="G994" t="s">
        <v>25</v>
      </c>
      <c r="H994" t="s">
        <v>34</v>
      </c>
      <c r="I994" s="2">
        <v>2</v>
      </c>
      <c r="J994" s="3">
        <v>340</v>
      </c>
      <c r="K994" s="4">
        <v>0.1</v>
      </c>
      <c r="L994" s="3">
        <v>612</v>
      </c>
      <c r="M994" t="b">
        <v>1</v>
      </c>
      <c r="N994" s="2">
        <f>YEAR(B994)</f>
        <v>2026</v>
      </c>
      <c r="O994" t="str">
        <f>INDEX(Agences!$C:$C,MATCH(F994,Agences!$A:$A,0))</f>
        <v>Nord</v>
      </c>
      <c r="P994" t="str">
        <f>INDEX(Produits!$C:$C,MATCH(H994,Produits!$A:$A,0))</f>
        <v>Informatique</v>
      </c>
      <c r="Q994" s="3">
        <f>I994*INDEX(Produits!$E:$E,MATCH(H994,Produits!$A:$A,0))</f>
        <v>550.8</v>
      </c>
      <c r="R994" s="3">
        <f>L994-Q994</f>
        <v>61.200000000000045</v>
      </c>
      <c r="S994" s="2">
        <f>NETWORKDAYS(B994,C994)-1</f>
        <v>3</v>
      </c>
      <c r="T994" s="1">
        <f>WORKDAY(B994,5)</f>
        <v>46140</v>
      </c>
      <c r="U994" t="b">
        <f>C994&gt;T994</f>
        <v>0</v>
      </c>
    </row>
    <row r="995" spans="1:21" x14ac:dyDescent="0.25">
      <c r="A995" t="s">
        <v>851</v>
      </c>
      <c r="B995" s="1">
        <v>46133</v>
      </c>
      <c r="C995" s="1">
        <v>46136</v>
      </c>
      <c r="D995" t="s">
        <v>330</v>
      </c>
      <c r="E995" t="s">
        <v>23</v>
      </c>
      <c r="F995" t="s">
        <v>24</v>
      </c>
      <c r="G995" t="s">
        <v>25</v>
      </c>
      <c r="H995" t="s">
        <v>83</v>
      </c>
      <c r="I995" s="2">
        <v>2</v>
      </c>
      <c r="J995" s="3">
        <v>49</v>
      </c>
      <c r="K995" s="4">
        <v>0</v>
      </c>
      <c r="L995" s="3">
        <v>98</v>
      </c>
      <c r="M995" t="b">
        <v>1</v>
      </c>
      <c r="N995" s="2">
        <f>YEAR(B995)</f>
        <v>2026</v>
      </c>
      <c r="O995" t="str">
        <f>INDEX(Agences!$C:$C,MATCH(F995,Agences!$A:$A,0))</f>
        <v>Nord</v>
      </c>
      <c r="P995" t="str">
        <f>INDEX(Produits!$C:$C,MATCH(H995,Produits!$A:$A,0))</f>
        <v>Mobilier</v>
      </c>
      <c r="Q995" s="3">
        <f>I995*INDEX(Produits!$E:$E,MATCH(H995,Produits!$A:$A,0))</f>
        <v>56.84</v>
      </c>
      <c r="R995" s="3">
        <f>L995-Q995</f>
        <v>41.16</v>
      </c>
      <c r="S995" s="2">
        <f>NETWORKDAYS(B995,C995)-1</f>
        <v>3</v>
      </c>
      <c r="T995" s="1">
        <f>WORKDAY(B995,5)</f>
        <v>46140</v>
      </c>
      <c r="U995" t="b">
        <f>C995&gt;T995</f>
        <v>0</v>
      </c>
    </row>
    <row r="996" spans="1:21" x14ac:dyDescent="0.25">
      <c r="A996" t="s">
        <v>852</v>
      </c>
      <c r="B996" s="1">
        <v>46133</v>
      </c>
      <c r="C996" s="1">
        <v>46135</v>
      </c>
      <c r="D996" t="s">
        <v>438</v>
      </c>
      <c r="E996" t="s">
        <v>175</v>
      </c>
      <c r="F996" t="s">
        <v>76</v>
      </c>
      <c r="G996" t="s">
        <v>176</v>
      </c>
      <c r="H996" t="s">
        <v>51</v>
      </c>
      <c r="I996" s="2">
        <v>1</v>
      </c>
      <c r="J996" s="3">
        <v>180</v>
      </c>
      <c r="K996" s="4">
        <v>0</v>
      </c>
      <c r="L996" s="3">
        <v>180</v>
      </c>
      <c r="M996" t="b">
        <v>1</v>
      </c>
      <c r="N996" s="2">
        <f>YEAR(B996)</f>
        <v>2026</v>
      </c>
      <c r="O996" t="str">
        <f>INDEX(Agences!$C:$C,MATCH(F996,Agences!$A:$A,0))</f>
        <v>Île-de-France</v>
      </c>
      <c r="P996" t="str">
        <f>INDEX(Produits!$C:$C,MATCH(H996,Produits!$A:$A,0))</f>
        <v>Maintenance</v>
      </c>
      <c r="Q996" s="3">
        <f>I996*INDEX(Produits!$E:$E,MATCH(H996,Produits!$A:$A,0))</f>
        <v>82.8</v>
      </c>
      <c r="R996" s="3">
        <f>L996-Q996</f>
        <v>97.2</v>
      </c>
      <c r="S996" s="2">
        <f>NETWORKDAYS(B996,C996)-1</f>
        <v>2</v>
      </c>
      <c r="T996" s="1">
        <f>WORKDAY(B996,5)</f>
        <v>46140</v>
      </c>
      <c r="U996" t="b">
        <f>C996&gt;T996</f>
        <v>0</v>
      </c>
    </row>
    <row r="997" spans="1:21" x14ac:dyDescent="0.25">
      <c r="A997" t="s">
        <v>852</v>
      </c>
      <c r="B997" s="1">
        <v>46133</v>
      </c>
      <c r="C997" s="1">
        <v>46135</v>
      </c>
      <c r="D997" t="s">
        <v>438</v>
      </c>
      <c r="E997" t="s">
        <v>175</v>
      </c>
      <c r="F997" t="s">
        <v>76</v>
      </c>
      <c r="G997" t="s">
        <v>176</v>
      </c>
      <c r="H997" t="s">
        <v>27</v>
      </c>
      <c r="I997" s="2">
        <v>2</v>
      </c>
      <c r="J997" s="3">
        <v>310</v>
      </c>
      <c r="K997" s="4">
        <v>0</v>
      </c>
      <c r="L997" s="3">
        <v>620</v>
      </c>
      <c r="M997" t="b">
        <v>1</v>
      </c>
      <c r="N997" s="2">
        <f>YEAR(B997)</f>
        <v>2026</v>
      </c>
      <c r="O997" t="str">
        <f>INDEX(Agences!$C:$C,MATCH(F997,Agences!$A:$A,0))</f>
        <v>Île-de-France</v>
      </c>
      <c r="P997" t="str">
        <f>INDEX(Produits!$C:$C,MATCH(H997,Produits!$A:$A,0))</f>
        <v>Mobilier</v>
      </c>
      <c r="Q997" s="3">
        <f>I997*INDEX(Produits!$E:$E,MATCH(H997,Produits!$A:$A,0))</f>
        <v>372</v>
      </c>
      <c r="R997" s="3">
        <f>L997-Q997</f>
        <v>248</v>
      </c>
      <c r="S997" s="2">
        <f>NETWORKDAYS(B997,C997)-1</f>
        <v>2</v>
      </c>
      <c r="T997" s="1">
        <f>WORKDAY(B997,5)</f>
        <v>46140</v>
      </c>
      <c r="U997" t="b">
        <f>C997&gt;T997</f>
        <v>0</v>
      </c>
    </row>
    <row r="998" spans="1:21" x14ac:dyDescent="0.25">
      <c r="A998" t="s">
        <v>853</v>
      </c>
      <c r="B998" s="1">
        <v>46133</v>
      </c>
      <c r="C998" s="1">
        <v>46134</v>
      </c>
      <c r="D998" t="s">
        <v>854</v>
      </c>
      <c r="E998" t="s">
        <v>236</v>
      </c>
      <c r="F998" t="s">
        <v>39</v>
      </c>
      <c r="G998" t="s">
        <v>40</v>
      </c>
      <c r="H998" t="s">
        <v>162</v>
      </c>
      <c r="I998" s="2">
        <v>2</v>
      </c>
      <c r="J998" s="3">
        <v>289</v>
      </c>
      <c r="K998" s="4">
        <v>0.08</v>
      </c>
      <c r="L998" s="3">
        <v>531.76</v>
      </c>
      <c r="M998" t="b">
        <v>1</v>
      </c>
      <c r="N998" s="2">
        <f>YEAR(B998)</f>
        <v>2026</v>
      </c>
      <c r="O998" t="str">
        <f>INDEX(Agences!$C:$C,MATCH(F998,Agences!$A:$A,0))</f>
        <v>Sud-Ouest</v>
      </c>
      <c r="P998" t="str">
        <f>INDEX(Produits!$C:$C,MATCH(H998,Produits!$A:$A,0))</f>
        <v>Mobilier</v>
      </c>
      <c r="Q998" s="3">
        <f>I998*INDEX(Produits!$E:$E,MATCH(H998,Produits!$A:$A,0))</f>
        <v>387.26</v>
      </c>
      <c r="R998" s="3">
        <f>L998-Q998</f>
        <v>144.5</v>
      </c>
      <c r="S998" s="2">
        <f>NETWORKDAYS(B998,C998)-1</f>
        <v>1</v>
      </c>
      <c r="T998" s="1">
        <f>WORKDAY(B998,5)</f>
        <v>46140</v>
      </c>
      <c r="U998" t="b">
        <f>C998&gt;T998</f>
        <v>0</v>
      </c>
    </row>
    <row r="999" spans="1:21" x14ac:dyDescent="0.25">
      <c r="A999" t="s">
        <v>853</v>
      </c>
      <c r="B999" s="1">
        <v>46133</v>
      </c>
      <c r="C999" s="1">
        <v>46134</v>
      </c>
      <c r="D999" t="s">
        <v>854</v>
      </c>
      <c r="E999" t="s">
        <v>236</v>
      </c>
      <c r="F999" t="s">
        <v>39</v>
      </c>
      <c r="G999" t="s">
        <v>40</v>
      </c>
      <c r="H999" t="s">
        <v>50</v>
      </c>
      <c r="I999" s="2">
        <v>1</v>
      </c>
      <c r="J999" s="3">
        <v>69</v>
      </c>
      <c r="K999" s="4">
        <v>0.05</v>
      </c>
      <c r="L999" s="3">
        <v>65.55</v>
      </c>
      <c r="M999" t="b">
        <v>1</v>
      </c>
      <c r="N999" s="2">
        <f>YEAR(B999)</f>
        <v>2026</v>
      </c>
      <c r="O999" t="str">
        <f>INDEX(Agences!$C:$C,MATCH(F999,Agences!$A:$A,0))</f>
        <v>Sud-Ouest</v>
      </c>
      <c r="P999" t="str">
        <f>INDEX(Produits!$C:$C,MATCH(H999,Produits!$A:$A,0))</f>
        <v>Informatique</v>
      </c>
      <c r="Q999" s="3">
        <f>I999*INDEX(Produits!$E:$E,MATCH(H999,Produits!$A:$A,0))</f>
        <v>54.51</v>
      </c>
      <c r="R999" s="3">
        <f>L999-Q999</f>
        <v>11.04</v>
      </c>
      <c r="S999" s="2">
        <f>NETWORKDAYS(B999,C999)-1</f>
        <v>1</v>
      </c>
      <c r="T999" s="1">
        <f>WORKDAY(B999,5)</f>
        <v>46140</v>
      </c>
      <c r="U999" t="b">
        <f>C999&gt;T999</f>
        <v>0</v>
      </c>
    </row>
    <row r="1000" spans="1:21" x14ac:dyDescent="0.25">
      <c r="A1000" t="s">
        <v>853</v>
      </c>
      <c r="B1000" s="1">
        <v>46133</v>
      </c>
      <c r="C1000" s="1">
        <v>46134</v>
      </c>
      <c r="D1000" t="s">
        <v>854</v>
      </c>
      <c r="E1000" t="s">
        <v>236</v>
      </c>
      <c r="F1000" t="s">
        <v>39</v>
      </c>
      <c r="G1000" t="s">
        <v>40</v>
      </c>
      <c r="H1000" t="s">
        <v>112</v>
      </c>
      <c r="I1000" s="2">
        <v>3</v>
      </c>
      <c r="J1000" s="3">
        <v>129</v>
      </c>
      <c r="K1000" s="4">
        <v>0.1</v>
      </c>
      <c r="L1000" s="3">
        <v>348.3</v>
      </c>
      <c r="M1000" t="b">
        <v>1</v>
      </c>
      <c r="N1000" s="2">
        <f>YEAR(B1000)</f>
        <v>2026</v>
      </c>
      <c r="O1000" t="str">
        <f>INDEX(Agences!$C:$C,MATCH(F1000,Agences!$A:$A,0))</f>
        <v>Sud-Ouest</v>
      </c>
      <c r="P1000" t="str">
        <f>INDEX(Produits!$C:$C,MATCH(H1000,Produits!$A:$A,0))</f>
        <v>Mobilier</v>
      </c>
      <c r="Q1000" s="3">
        <f>I1000*INDEX(Produits!$E:$E,MATCH(H1000,Produits!$A:$A,0))</f>
        <v>259.29</v>
      </c>
      <c r="R1000" s="3">
        <f>L1000-Q1000</f>
        <v>89.00999999999999</v>
      </c>
      <c r="S1000" s="2">
        <f>NETWORKDAYS(B1000,C1000)-1</f>
        <v>1</v>
      </c>
      <c r="T1000" s="1">
        <f>WORKDAY(B1000,5)</f>
        <v>46140</v>
      </c>
      <c r="U1000" t="b">
        <f>C1000&gt;T1000</f>
        <v>0</v>
      </c>
    </row>
    <row r="1001" spans="1:21" x14ac:dyDescent="0.25">
      <c r="A1001" t="s">
        <v>853</v>
      </c>
      <c r="B1001" s="1">
        <v>46133</v>
      </c>
      <c r="C1001" s="1">
        <v>46134</v>
      </c>
      <c r="D1001" t="s">
        <v>854</v>
      </c>
      <c r="E1001" t="s">
        <v>236</v>
      </c>
      <c r="F1001" t="s">
        <v>39</v>
      </c>
      <c r="G1001" t="s">
        <v>40</v>
      </c>
      <c r="H1001" t="s">
        <v>51</v>
      </c>
      <c r="I1001" s="2">
        <v>1</v>
      </c>
      <c r="J1001" s="3">
        <v>180</v>
      </c>
      <c r="K1001" s="4">
        <v>0</v>
      </c>
      <c r="L1001" s="3">
        <v>180</v>
      </c>
      <c r="M1001" t="b">
        <v>1</v>
      </c>
      <c r="N1001" s="2">
        <f>YEAR(B1001)</f>
        <v>2026</v>
      </c>
      <c r="O1001" t="str">
        <f>INDEX(Agences!$C:$C,MATCH(F1001,Agences!$A:$A,0))</f>
        <v>Sud-Ouest</v>
      </c>
      <c r="P1001" t="str">
        <f>INDEX(Produits!$C:$C,MATCH(H1001,Produits!$A:$A,0))</f>
        <v>Maintenance</v>
      </c>
      <c r="Q1001" s="3">
        <f>I1001*INDEX(Produits!$E:$E,MATCH(H1001,Produits!$A:$A,0))</f>
        <v>82.8</v>
      </c>
      <c r="R1001" s="3">
        <f>L1001-Q1001</f>
        <v>97.2</v>
      </c>
      <c r="S1001" s="2">
        <f>NETWORKDAYS(B1001,C1001)-1</f>
        <v>1</v>
      </c>
      <c r="T1001" s="1">
        <f>WORKDAY(B1001,5)</f>
        <v>46140</v>
      </c>
      <c r="U1001" t="b">
        <f>C1001&gt;T1001</f>
        <v>0</v>
      </c>
    </row>
    <row r="1002" spans="1:21" x14ac:dyDescent="0.25">
      <c r="A1002" t="s">
        <v>853</v>
      </c>
      <c r="B1002" s="1">
        <v>46133</v>
      </c>
      <c r="C1002" s="1">
        <v>46134</v>
      </c>
      <c r="D1002" t="s">
        <v>854</v>
      </c>
      <c r="E1002" t="s">
        <v>236</v>
      </c>
      <c r="F1002" t="s">
        <v>39</v>
      </c>
      <c r="G1002" t="s">
        <v>40</v>
      </c>
      <c r="H1002" t="s">
        <v>319</v>
      </c>
      <c r="I1002" s="2">
        <v>1</v>
      </c>
      <c r="J1002" s="3">
        <v>289</v>
      </c>
      <c r="K1002" s="4">
        <v>0</v>
      </c>
      <c r="L1002" s="3">
        <v>289</v>
      </c>
      <c r="M1002" t="b">
        <v>1</v>
      </c>
      <c r="N1002" s="2">
        <f>YEAR(B1002)</f>
        <v>2026</v>
      </c>
      <c r="O1002" t="str">
        <f>INDEX(Agences!$C:$C,MATCH(F1002,Agences!$A:$A,0))</f>
        <v>Sud-Ouest</v>
      </c>
      <c r="P1002" t="str">
        <f>INDEX(Produits!$C:$C,MATCH(H1002,Produits!$A:$A,0))</f>
        <v>Informatique</v>
      </c>
      <c r="Q1002" s="3">
        <f>I1002*INDEX(Produits!$E:$E,MATCH(H1002,Produits!$A:$A,0))</f>
        <v>213.86</v>
      </c>
      <c r="R1002" s="3">
        <f>L1002-Q1002</f>
        <v>75.13999999999999</v>
      </c>
      <c r="S1002" s="2">
        <f>NETWORKDAYS(B1002,C1002)-1</f>
        <v>1</v>
      </c>
      <c r="T1002" s="1">
        <f>WORKDAY(B1002,5)</f>
        <v>46140</v>
      </c>
      <c r="U1002" t="b">
        <f>C1002&gt;T1002</f>
        <v>0</v>
      </c>
    </row>
    <row r="1003" spans="1:21" x14ac:dyDescent="0.25">
      <c r="A1003" t="s">
        <v>855</v>
      </c>
      <c r="B1003" s="1">
        <v>46132</v>
      </c>
      <c r="C1003" s="1">
        <v>46136</v>
      </c>
      <c r="D1003" t="s">
        <v>856</v>
      </c>
      <c r="E1003" t="s">
        <v>175</v>
      </c>
      <c r="F1003" t="s">
        <v>76</v>
      </c>
      <c r="G1003" t="s">
        <v>176</v>
      </c>
      <c r="H1003" t="s">
        <v>112</v>
      </c>
      <c r="I1003" s="2">
        <v>2</v>
      </c>
      <c r="J1003" s="3">
        <v>129</v>
      </c>
      <c r="K1003" s="4">
        <v>0.05</v>
      </c>
      <c r="L1003" s="3">
        <v>245.1</v>
      </c>
      <c r="M1003" t="b">
        <v>1</v>
      </c>
      <c r="N1003" s="2">
        <f>YEAR(B1003)</f>
        <v>2026</v>
      </c>
      <c r="O1003" t="str">
        <f>INDEX(Agences!$C:$C,MATCH(F1003,Agences!$A:$A,0))</f>
        <v>Île-de-France</v>
      </c>
      <c r="P1003" t="str">
        <f>INDEX(Produits!$C:$C,MATCH(H1003,Produits!$A:$A,0))</f>
        <v>Mobilier</v>
      </c>
      <c r="Q1003" s="3">
        <f>I1003*INDEX(Produits!$E:$E,MATCH(H1003,Produits!$A:$A,0))</f>
        <v>172.86</v>
      </c>
      <c r="R1003" s="3">
        <f>L1003-Q1003</f>
        <v>72.23999999999998</v>
      </c>
      <c r="S1003" s="2">
        <f>NETWORKDAYS(B1003,C1003)-1</f>
        <v>4</v>
      </c>
      <c r="T1003" s="1">
        <f>WORKDAY(B1003,5)</f>
        <v>46139</v>
      </c>
      <c r="U1003" t="b">
        <f>C1003&gt;T1003</f>
        <v>0</v>
      </c>
    </row>
    <row r="1004" spans="1:21" x14ac:dyDescent="0.25">
      <c r="A1004" t="s">
        <v>855</v>
      </c>
      <c r="B1004" s="1">
        <v>46132</v>
      </c>
      <c r="C1004" s="1">
        <v>46136</v>
      </c>
      <c r="D1004" t="s">
        <v>856</v>
      </c>
      <c r="E1004" t="s">
        <v>175</v>
      </c>
      <c r="F1004" t="s">
        <v>76</v>
      </c>
      <c r="G1004" t="s">
        <v>176</v>
      </c>
      <c r="H1004" t="s">
        <v>79</v>
      </c>
      <c r="I1004" s="2">
        <v>15</v>
      </c>
      <c r="J1004" s="3">
        <v>14.9</v>
      </c>
      <c r="K1004" s="4">
        <v>0</v>
      </c>
      <c r="L1004" s="3">
        <v>223.5</v>
      </c>
      <c r="M1004" t="b">
        <v>1</v>
      </c>
      <c r="N1004" s="2">
        <f>YEAR(B1004)</f>
        <v>2026</v>
      </c>
      <c r="O1004" t="str">
        <f>INDEX(Agences!$C:$C,MATCH(F1004,Agences!$A:$A,0))</f>
        <v>Île-de-France</v>
      </c>
      <c r="P1004" t="str">
        <f>INDEX(Produits!$C:$C,MATCH(H1004,Produits!$A:$A,0))</f>
        <v>Fournitures</v>
      </c>
      <c r="Q1004" s="3">
        <f>I1004*INDEX(Produits!$E:$E,MATCH(H1004,Produits!$A:$A,0))</f>
        <v>120.75000000000001</v>
      </c>
      <c r="R1004" s="3">
        <f>L1004-Q1004</f>
        <v>102.74999999999999</v>
      </c>
      <c r="S1004" s="2">
        <f>NETWORKDAYS(B1004,C1004)-1</f>
        <v>4</v>
      </c>
      <c r="T1004" s="1">
        <f>WORKDAY(B1004,5)</f>
        <v>46139</v>
      </c>
      <c r="U1004" t="b">
        <f>C1004&gt;T1004</f>
        <v>0</v>
      </c>
    </row>
    <row r="1005" spans="1:21" x14ac:dyDescent="0.25">
      <c r="A1005" t="s">
        <v>857</v>
      </c>
      <c r="B1005" s="1">
        <v>46129</v>
      </c>
      <c r="C1005" s="1">
        <v>46133</v>
      </c>
      <c r="D1005" t="s">
        <v>858</v>
      </c>
      <c r="E1005" t="s">
        <v>75</v>
      </c>
      <c r="F1005" t="s">
        <v>76</v>
      </c>
      <c r="G1005" t="s">
        <v>232</v>
      </c>
      <c r="H1005" t="s">
        <v>50</v>
      </c>
      <c r="I1005" s="2">
        <v>3</v>
      </c>
      <c r="J1005" s="3">
        <v>69</v>
      </c>
      <c r="K1005" s="4">
        <v>0.08</v>
      </c>
      <c r="L1005" s="3">
        <v>190.44</v>
      </c>
      <c r="M1005" t="b">
        <v>1</v>
      </c>
      <c r="N1005" s="2">
        <f>YEAR(B1005)</f>
        <v>2026</v>
      </c>
      <c r="O1005" t="str">
        <f>INDEX(Agences!$C:$C,MATCH(F1005,Agences!$A:$A,0))</f>
        <v>Île-de-France</v>
      </c>
      <c r="P1005" t="str">
        <f>INDEX(Produits!$C:$C,MATCH(H1005,Produits!$A:$A,0))</f>
        <v>Informatique</v>
      </c>
      <c r="Q1005" s="3">
        <f>I1005*INDEX(Produits!$E:$E,MATCH(H1005,Produits!$A:$A,0))</f>
        <v>163.53</v>
      </c>
      <c r="R1005" s="3">
        <f>L1005-Q1005</f>
        <v>26.909999999999997</v>
      </c>
      <c r="S1005" s="2">
        <f>NETWORKDAYS(B1005,C1005)-1</f>
        <v>2</v>
      </c>
      <c r="T1005" s="1">
        <f>WORKDAY(B1005,5)</f>
        <v>46136</v>
      </c>
      <c r="U1005" t="b">
        <f>C1005&gt;T1005</f>
        <v>0</v>
      </c>
    </row>
    <row r="1006" spans="1:21" x14ac:dyDescent="0.25">
      <c r="A1006" t="s">
        <v>857</v>
      </c>
      <c r="B1006" s="1">
        <v>46129</v>
      </c>
      <c r="C1006" s="1">
        <v>46133</v>
      </c>
      <c r="D1006" t="s">
        <v>858</v>
      </c>
      <c r="E1006" t="s">
        <v>75</v>
      </c>
      <c r="F1006" t="s">
        <v>76</v>
      </c>
      <c r="G1006" t="s">
        <v>232</v>
      </c>
      <c r="H1006" t="s">
        <v>35</v>
      </c>
      <c r="I1006" s="2">
        <v>4</v>
      </c>
      <c r="J1006" s="3">
        <v>79</v>
      </c>
      <c r="K1006" s="4">
        <v>0</v>
      </c>
      <c r="L1006" s="3">
        <v>316</v>
      </c>
      <c r="M1006" t="b">
        <v>1</v>
      </c>
      <c r="N1006" s="2">
        <f>YEAR(B1006)</f>
        <v>2026</v>
      </c>
      <c r="O1006" t="str">
        <f>INDEX(Agences!$C:$C,MATCH(F1006,Agences!$A:$A,0))</f>
        <v>Île-de-France</v>
      </c>
      <c r="P1006" t="str">
        <f>INDEX(Produits!$C:$C,MATCH(H1006,Produits!$A:$A,0))</f>
        <v>Mobilier</v>
      </c>
      <c r="Q1006" s="3">
        <f>I1006*INDEX(Produits!$E:$E,MATCH(H1006,Produits!$A:$A,0))</f>
        <v>186.44</v>
      </c>
      <c r="R1006" s="3">
        <f>L1006-Q1006</f>
        <v>129.56</v>
      </c>
      <c r="S1006" s="2">
        <f>NETWORKDAYS(B1006,C1006)-1</f>
        <v>2</v>
      </c>
      <c r="T1006" s="1">
        <f>WORKDAY(B1006,5)</f>
        <v>46136</v>
      </c>
      <c r="U1006" t="b">
        <f>C1006&gt;T1006</f>
        <v>0</v>
      </c>
    </row>
    <row r="1007" spans="1:21" x14ac:dyDescent="0.25">
      <c r="A1007" t="s">
        <v>857</v>
      </c>
      <c r="B1007" s="1">
        <v>46129</v>
      </c>
      <c r="C1007" s="1">
        <v>46133</v>
      </c>
      <c r="D1007" t="s">
        <v>858</v>
      </c>
      <c r="E1007" t="s">
        <v>75</v>
      </c>
      <c r="F1007" t="s">
        <v>76</v>
      </c>
      <c r="G1007" t="s">
        <v>232</v>
      </c>
      <c r="H1007" t="s">
        <v>84</v>
      </c>
      <c r="I1007" s="2">
        <v>2</v>
      </c>
      <c r="J1007" s="3">
        <v>420</v>
      </c>
      <c r="K1007" s="4">
        <v>0.05</v>
      </c>
      <c r="L1007" s="3">
        <v>798</v>
      </c>
      <c r="M1007" t="b">
        <v>1</v>
      </c>
      <c r="N1007" s="2">
        <f>YEAR(B1007)</f>
        <v>2026</v>
      </c>
      <c r="O1007" t="str">
        <f>INDEX(Agences!$C:$C,MATCH(F1007,Agences!$A:$A,0))</f>
        <v>Île-de-France</v>
      </c>
      <c r="P1007" t="str">
        <f>INDEX(Produits!$C:$C,MATCH(H1007,Produits!$A:$A,0))</f>
        <v>Mobilier</v>
      </c>
      <c r="Q1007" s="3">
        <f>I1007*INDEX(Produits!$E:$E,MATCH(H1007,Produits!$A:$A,0))</f>
        <v>487.2</v>
      </c>
      <c r="R1007" s="3">
        <f>L1007-Q1007</f>
        <v>310.8</v>
      </c>
      <c r="S1007" s="2">
        <f>NETWORKDAYS(B1007,C1007)-1</f>
        <v>2</v>
      </c>
      <c r="T1007" s="1">
        <f>WORKDAY(B1007,5)</f>
        <v>46136</v>
      </c>
      <c r="U1007" t="b">
        <f>C1007&gt;T1007</f>
        <v>0</v>
      </c>
    </row>
    <row r="1008" spans="1:21" x14ac:dyDescent="0.25">
      <c r="A1008" t="s">
        <v>857</v>
      </c>
      <c r="B1008" s="1">
        <v>46129</v>
      </c>
      <c r="C1008" s="1">
        <v>46133</v>
      </c>
      <c r="D1008" t="s">
        <v>858</v>
      </c>
      <c r="E1008" t="s">
        <v>75</v>
      </c>
      <c r="F1008" t="s">
        <v>76</v>
      </c>
      <c r="G1008" t="s">
        <v>232</v>
      </c>
      <c r="H1008" t="s">
        <v>42</v>
      </c>
      <c r="I1008" s="2">
        <v>2</v>
      </c>
      <c r="J1008" s="3">
        <v>55</v>
      </c>
      <c r="K1008" s="4">
        <v>0</v>
      </c>
      <c r="L1008" s="3">
        <v>110</v>
      </c>
      <c r="M1008" t="b">
        <v>1</v>
      </c>
      <c r="N1008" s="2">
        <f>YEAR(B1008)</f>
        <v>2026</v>
      </c>
      <c r="O1008" t="str">
        <f>INDEX(Agences!$C:$C,MATCH(F1008,Agences!$A:$A,0))</f>
        <v>Île-de-France</v>
      </c>
      <c r="P1008" t="str">
        <f>INDEX(Produits!$C:$C,MATCH(H1008,Produits!$A:$A,0))</f>
        <v>Maintenance</v>
      </c>
      <c r="Q1008" s="3">
        <f>I1008*INDEX(Produits!$E:$E,MATCH(H1008,Produits!$A:$A,0))</f>
        <v>49.5</v>
      </c>
      <c r="R1008" s="3">
        <f>L1008-Q1008</f>
        <v>60.5</v>
      </c>
      <c r="S1008" s="2">
        <f>NETWORKDAYS(B1008,C1008)-1</f>
        <v>2</v>
      </c>
      <c r="T1008" s="1">
        <f>WORKDAY(B1008,5)</f>
        <v>46136</v>
      </c>
      <c r="U1008" t="b">
        <f>C1008&gt;T1008</f>
        <v>0</v>
      </c>
    </row>
    <row r="1009" spans="1:21" x14ac:dyDescent="0.25">
      <c r="A1009" t="s">
        <v>859</v>
      </c>
      <c r="B1009" s="1">
        <v>46129</v>
      </c>
      <c r="C1009" s="1">
        <v>46135</v>
      </c>
      <c r="D1009" t="s">
        <v>438</v>
      </c>
      <c r="E1009" t="s">
        <v>175</v>
      </c>
      <c r="F1009" t="s">
        <v>76</v>
      </c>
      <c r="G1009" t="s">
        <v>176</v>
      </c>
      <c r="H1009" t="s">
        <v>58</v>
      </c>
      <c r="I1009" s="2">
        <v>1</v>
      </c>
      <c r="J1009" s="3">
        <v>649</v>
      </c>
      <c r="K1009" s="4">
        <v>0</v>
      </c>
      <c r="L1009" s="3">
        <v>649</v>
      </c>
      <c r="M1009" t="b">
        <v>1</v>
      </c>
      <c r="N1009" s="2">
        <f>YEAR(B1009)</f>
        <v>2026</v>
      </c>
      <c r="O1009" t="str">
        <f>INDEX(Agences!$C:$C,MATCH(F1009,Agences!$A:$A,0))</f>
        <v>Île-de-France</v>
      </c>
      <c r="P1009" t="str">
        <f>INDEX(Produits!$C:$C,MATCH(H1009,Produits!$A:$A,0))</f>
        <v>Mobilier</v>
      </c>
      <c r="Q1009" s="3">
        <f>I1009*INDEX(Produits!$E:$E,MATCH(H1009,Produits!$A:$A,0))</f>
        <v>408.87</v>
      </c>
      <c r="R1009" s="3">
        <f>L1009-Q1009</f>
        <v>240.13</v>
      </c>
      <c r="S1009" s="2">
        <f>NETWORKDAYS(B1009,C1009)-1</f>
        <v>4</v>
      </c>
      <c r="T1009" s="1">
        <f>WORKDAY(B1009,5)</f>
        <v>46136</v>
      </c>
      <c r="U1009" t="b">
        <f>C1009&gt;T1009</f>
        <v>0</v>
      </c>
    </row>
    <row r="1010" spans="1:21" x14ac:dyDescent="0.25">
      <c r="A1010" t="s">
        <v>860</v>
      </c>
      <c r="B1010" s="1">
        <v>46129</v>
      </c>
      <c r="C1010" s="1">
        <v>46132</v>
      </c>
      <c r="D1010" t="s">
        <v>861</v>
      </c>
      <c r="E1010" t="s">
        <v>175</v>
      </c>
      <c r="F1010" t="s">
        <v>76</v>
      </c>
      <c r="G1010" t="s">
        <v>232</v>
      </c>
      <c r="H1010" t="s">
        <v>42</v>
      </c>
      <c r="I1010" s="2">
        <v>2</v>
      </c>
      <c r="J1010" s="3">
        <v>55</v>
      </c>
      <c r="K1010" s="4">
        <v>0.02</v>
      </c>
      <c r="L1010" s="3">
        <v>107.8</v>
      </c>
      <c r="M1010" t="b">
        <v>1</v>
      </c>
      <c r="N1010" s="2">
        <f>YEAR(B1010)</f>
        <v>2026</v>
      </c>
      <c r="O1010" t="str">
        <f>INDEX(Agences!$C:$C,MATCH(F1010,Agences!$A:$A,0))</f>
        <v>Île-de-France</v>
      </c>
      <c r="P1010" t="str">
        <f>INDEX(Produits!$C:$C,MATCH(H1010,Produits!$A:$A,0))</f>
        <v>Maintenance</v>
      </c>
      <c r="Q1010" s="3">
        <f>I1010*INDEX(Produits!$E:$E,MATCH(H1010,Produits!$A:$A,0))</f>
        <v>49.5</v>
      </c>
      <c r="R1010" s="3">
        <f>L1010-Q1010</f>
        <v>58.3</v>
      </c>
      <c r="S1010" s="2">
        <f>NETWORKDAYS(B1010,C1010)-1</f>
        <v>1</v>
      </c>
      <c r="T1010" s="1">
        <f>WORKDAY(B1010,5)</f>
        <v>46136</v>
      </c>
      <c r="U1010" t="b">
        <f>C1010&gt;T1010</f>
        <v>0</v>
      </c>
    </row>
    <row r="1011" spans="1:21" x14ac:dyDescent="0.25">
      <c r="A1011" t="s">
        <v>860</v>
      </c>
      <c r="B1011" s="1">
        <v>46129</v>
      </c>
      <c r="C1011" s="1">
        <v>46132</v>
      </c>
      <c r="D1011" t="s">
        <v>861</v>
      </c>
      <c r="E1011" t="s">
        <v>175</v>
      </c>
      <c r="F1011" t="s">
        <v>76</v>
      </c>
      <c r="G1011" t="s">
        <v>232</v>
      </c>
      <c r="H1011" t="s">
        <v>112</v>
      </c>
      <c r="I1011" s="2">
        <v>1</v>
      </c>
      <c r="J1011" s="3">
        <v>129</v>
      </c>
      <c r="K1011" s="4">
        <v>0</v>
      </c>
      <c r="L1011" s="3">
        <v>129</v>
      </c>
      <c r="M1011" t="b">
        <v>1</v>
      </c>
      <c r="N1011" s="2">
        <f>YEAR(B1011)</f>
        <v>2026</v>
      </c>
      <c r="O1011" t="str">
        <f>INDEX(Agences!$C:$C,MATCH(F1011,Agences!$A:$A,0))</f>
        <v>Île-de-France</v>
      </c>
      <c r="P1011" t="str">
        <f>INDEX(Produits!$C:$C,MATCH(H1011,Produits!$A:$A,0))</f>
        <v>Mobilier</v>
      </c>
      <c r="Q1011" s="3">
        <f>I1011*INDEX(Produits!$E:$E,MATCH(H1011,Produits!$A:$A,0))</f>
        <v>86.43</v>
      </c>
      <c r="R1011" s="3">
        <f>L1011-Q1011</f>
        <v>42.56999999999999</v>
      </c>
      <c r="S1011" s="2">
        <f>NETWORKDAYS(B1011,C1011)-1</f>
        <v>1</v>
      </c>
      <c r="T1011" s="1">
        <f>WORKDAY(B1011,5)</f>
        <v>46136</v>
      </c>
      <c r="U1011" t="b">
        <f>C1011&gt;T1011</f>
        <v>0</v>
      </c>
    </row>
    <row r="1012" spans="1:21" x14ac:dyDescent="0.25">
      <c r="A1012" t="s">
        <v>862</v>
      </c>
      <c r="B1012" s="1">
        <v>46129</v>
      </c>
      <c r="C1012" s="1">
        <v>46133</v>
      </c>
      <c r="D1012" t="s">
        <v>821</v>
      </c>
      <c r="E1012" t="s">
        <v>236</v>
      </c>
      <c r="F1012" t="s">
        <v>39</v>
      </c>
      <c r="G1012" t="s">
        <v>40</v>
      </c>
      <c r="H1012" t="s">
        <v>79</v>
      </c>
      <c r="I1012" s="2">
        <v>5</v>
      </c>
      <c r="J1012" s="3">
        <v>14.9</v>
      </c>
      <c r="K1012" s="4">
        <v>0</v>
      </c>
      <c r="L1012" s="3">
        <v>74.5</v>
      </c>
      <c r="M1012" t="b">
        <v>1</v>
      </c>
      <c r="N1012" s="2">
        <f>YEAR(B1012)</f>
        <v>2026</v>
      </c>
      <c r="O1012" t="str">
        <f>INDEX(Agences!$C:$C,MATCH(F1012,Agences!$A:$A,0))</f>
        <v>Sud-Ouest</v>
      </c>
      <c r="P1012" t="str">
        <f>INDEX(Produits!$C:$C,MATCH(H1012,Produits!$A:$A,0))</f>
        <v>Fournitures</v>
      </c>
      <c r="Q1012" s="3">
        <f>I1012*INDEX(Produits!$E:$E,MATCH(H1012,Produits!$A:$A,0))</f>
        <v>40.25</v>
      </c>
      <c r="R1012" s="3">
        <f>L1012-Q1012</f>
        <v>34.25</v>
      </c>
      <c r="S1012" s="2">
        <f>NETWORKDAYS(B1012,C1012)-1</f>
        <v>2</v>
      </c>
      <c r="T1012" s="1">
        <f>WORKDAY(B1012,5)</f>
        <v>46136</v>
      </c>
      <c r="U1012" t="b">
        <f>C1012&gt;T1012</f>
        <v>0</v>
      </c>
    </row>
    <row r="1013" spans="1:21" x14ac:dyDescent="0.25">
      <c r="A1013" t="s">
        <v>863</v>
      </c>
      <c r="B1013" s="1">
        <v>46129</v>
      </c>
      <c r="C1013" s="1">
        <v>46142</v>
      </c>
      <c r="D1013" t="s">
        <v>834</v>
      </c>
      <c r="E1013" t="s">
        <v>54</v>
      </c>
      <c r="F1013" t="s">
        <v>55</v>
      </c>
      <c r="G1013" t="s">
        <v>195</v>
      </c>
      <c r="H1013" t="s">
        <v>83</v>
      </c>
      <c r="I1013" s="2">
        <v>1</v>
      </c>
      <c r="J1013" s="3">
        <v>49</v>
      </c>
      <c r="K1013" s="4">
        <v>0.02</v>
      </c>
      <c r="L1013" s="3">
        <v>48.02</v>
      </c>
      <c r="M1013" t="b">
        <v>1</v>
      </c>
      <c r="N1013" s="2">
        <f>YEAR(B1013)</f>
        <v>2026</v>
      </c>
      <c r="O1013" t="str">
        <f>INDEX(Agences!$C:$C,MATCH(F1013,Agences!$A:$A,0))</f>
        <v>Est</v>
      </c>
      <c r="P1013" t="str">
        <f>INDEX(Produits!$C:$C,MATCH(H1013,Produits!$A:$A,0))</f>
        <v>Mobilier</v>
      </c>
      <c r="Q1013" s="3">
        <f>I1013*INDEX(Produits!$E:$E,MATCH(H1013,Produits!$A:$A,0))</f>
        <v>28.42</v>
      </c>
      <c r="R1013" s="3">
        <f>L1013-Q1013</f>
        <v>19.6</v>
      </c>
      <c r="S1013" s="2">
        <f>NETWORKDAYS(B1013,C1013)-1</f>
        <v>9</v>
      </c>
      <c r="T1013" s="1">
        <f>WORKDAY(B1013,5)</f>
        <v>46136</v>
      </c>
      <c r="U1013" t="b">
        <f>C1013&gt;T1013</f>
        <v>1</v>
      </c>
    </row>
    <row r="1014" spans="1:21" x14ac:dyDescent="0.25">
      <c r="A1014" t="s">
        <v>864</v>
      </c>
      <c r="B1014" s="1">
        <v>46128</v>
      </c>
      <c r="C1014" s="1">
        <v>46132</v>
      </c>
      <c r="D1014" t="s">
        <v>865</v>
      </c>
      <c r="E1014" t="s">
        <v>23</v>
      </c>
      <c r="F1014" t="s">
        <v>24</v>
      </c>
      <c r="G1014" t="s">
        <v>199</v>
      </c>
      <c r="H1014" t="s">
        <v>42</v>
      </c>
      <c r="I1014" s="2">
        <v>4</v>
      </c>
      <c r="J1014" s="3">
        <v>55</v>
      </c>
      <c r="K1014" s="4">
        <v>0</v>
      </c>
      <c r="L1014" s="3">
        <v>220</v>
      </c>
      <c r="M1014" t="b">
        <v>1</v>
      </c>
      <c r="N1014" s="2">
        <f>YEAR(B1014)</f>
        <v>2026</v>
      </c>
      <c r="O1014" t="str">
        <f>INDEX(Agences!$C:$C,MATCH(F1014,Agences!$A:$A,0))</f>
        <v>Nord</v>
      </c>
      <c r="P1014" t="str">
        <f>INDEX(Produits!$C:$C,MATCH(H1014,Produits!$A:$A,0))</f>
        <v>Maintenance</v>
      </c>
      <c r="Q1014" s="3">
        <f>I1014*INDEX(Produits!$E:$E,MATCH(H1014,Produits!$A:$A,0))</f>
        <v>99</v>
      </c>
      <c r="R1014" s="3">
        <f>L1014-Q1014</f>
        <v>121</v>
      </c>
      <c r="S1014" s="2">
        <f>NETWORKDAYS(B1014,C1014)-1</f>
        <v>2</v>
      </c>
      <c r="T1014" s="1">
        <f>WORKDAY(B1014,5)</f>
        <v>46135</v>
      </c>
      <c r="U1014" t="b">
        <f>C1014&gt;T1014</f>
        <v>0</v>
      </c>
    </row>
    <row r="1015" spans="1:21" x14ac:dyDescent="0.25">
      <c r="A1015" t="s">
        <v>866</v>
      </c>
      <c r="B1015" s="1">
        <v>46128</v>
      </c>
      <c r="C1015" s="1">
        <v>46133</v>
      </c>
      <c r="D1015" t="s">
        <v>867</v>
      </c>
      <c r="E1015" t="s">
        <v>202</v>
      </c>
      <c r="F1015" t="s">
        <v>138</v>
      </c>
      <c r="G1015" t="s">
        <v>214</v>
      </c>
      <c r="H1015" t="s">
        <v>233</v>
      </c>
      <c r="I1015" s="2">
        <v>15</v>
      </c>
      <c r="J1015" s="3">
        <v>27.5</v>
      </c>
      <c r="K1015" s="4">
        <v>0.05</v>
      </c>
      <c r="L1015" s="3">
        <v>391.88</v>
      </c>
      <c r="M1015" t="b">
        <v>1</v>
      </c>
      <c r="N1015" s="2">
        <f>YEAR(B1015)</f>
        <v>2026</v>
      </c>
      <c r="O1015" t="str">
        <f>INDEX(Agences!$C:$C,MATCH(F1015,Agences!$A:$A,0))</f>
        <v>Île-de-France</v>
      </c>
      <c r="P1015" t="str">
        <f>INDEX(Produits!$C:$C,MATCH(H1015,Produits!$A:$A,0))</f>
        <v>Fournitures</v>
      </c>
      <c r="Q1015" s="3">
        <f>I1015*INDEX(Produits!$E:$E,MATCH(H1015,Produits!$A:$A,0))</f>
        <v>231</v>
      </c>
      <c r="R1015" s="3">
        <f>L1015-Q1015</f>
        <v>160.88</v>
      </c>
      <c r="S1015" s="2">
        <f>NETWORKDAYS(B1015,C1015)-1</f>
        <v>3</v>
      </c>
      <c r="T1015" s="1">
        <f>WORKDAY(B1015,5)</f>
        <v>46135</v>
      </c>
      <c r="U1015" t="b">
        <f>C1015&gt;T1015</f>
        <v>0</v>
      </c>
    </row>
    <row r="1016" spans="1:21" x14ac:dyDescent="0.25">
      <c r="A1016" t="s">
        <v>866</v>
      </c>
      <c r="B1016" s="1">
        <v>46128</v>
      </c>
      <c r="C1016" s="1">
        <v>46133</v>
      </c>
      <c r="D1016" t="s">
        <v>867</v>
      </c>
      <c r="E1016" t="s">
        <v>202</v>
      </c>
      <c r="F1016" t="s">
        <v>138</v>
      </c>
      <c r="G1016" t="s">
        <v>214</v>
      </c>
      <c r="H1016" t="s">
        <v>33</v>
      </c>
      <c r="I1016" s="2">
        <v>1</v>
      </c>
      <c r="J1016" s="3">
        <v>219</v>
      </c>
      <c r="K1016" s="4">
        <v>0</v>
      </c>
      <c r="L1016" s="3">
        <v>219</v>
      </c>
      <c r="M1016" t="b">
        <v>1</v>
      </c>
      <c r="N1016" s="2">
        <f>YEAR(B1016)</f>
        <v>2026</v>
      </c>
      <c r="O1016" t="str">
        <f>INDEX(Agences!$C:$C,MATCH(F1016,Agences!$A:$A,0))</f>
        <v>Île-de-France</v>
      </c>
      <c r="P1016" t="str">
        <f>INDEX(Produits!$C:$C,MATCH(H1016,Produits!$A:$A,0))</f>
        <v>Informatique</v>
      </c>
      <c r="Q1016" s="3">
        <f>I1016*INDEX(Produits!$E:$E,MATCH(H1016,Produits!$A:$A,0))</f>
        <v>179.58</v>
      </c>
      <c r="R1016" s="3">
        <f>L1016-Q1016</f>
        <v>39.41999999999999</v>
      </c>
      <c r="S1016" s="2">
        <f>NETWORKDAYS(B1016,C1016)-1</f>
        <v>3</v>
      </c>
      <c r="T1016" s="1">
        <f>WORKDAY(B1016,5)</f>
        <v>46135</v>
      </c>
      <c r="U1016" t="b">
        <f>C1016&gt;T1016</f>
        <v>0</v>
      </c>
    </row>
    <row r="1017" spans="1:21" x14ac:dyDescent="0.25">
      <c r="A1017" t="s">
        <v>866</v>
      </c>
      <c r="B1017" s="1">
        <v>46128</v>
      </c>
      <c r="C1017" s="1">
        <v>46133</v>
      </c>
      <c r="D1017" t="s">
        <v>867</v>
      </c>
      <c r="E1017" t="s">
        <v>202</v>
      </c>
      <c r="F1017" t="s">
        <v>138</v>
      </c>
      <c r="G1017" t="s">
        <v>214</v>
      </c>
      <c r="H1017" t="s">
        <v>48</v>
      </c>
      <c r="I1017" s="2">
        <v>3</v>
      </c>
      <c r="J1017" s="3">
        <v>165</v>
      </c>
      <c r="K1017" s="4">
        <v>0</v>
      </c>
      <c r="L1017" s="3">
        <v>495</v>
      </c>
      <c r="M1017" t="b">
        <v>1</v>
      </c>
      <c r="N1017" s="2">
        <f>YEAR(B1017)</f>
        <v>2026</v>
      </c>
      <c r="O1017" t="str">
        <f>INDEX(Agences!$C:$C,MATCH(F1017,Agences!$A:$A,0))</f>
        <v>Île-de-France</v>
      </c>
      <c r="P1017" t="str">
        <f>INDEX(Produits!$C:$C,MATCH(H1017,Produits!$A:$A,0))</f>
        <v>Mobilier</v>
      </c>
      <c r="Q1017" s="3">
        <f>I1017*INDEX(Produits!$E:$E,MATCH(H1017,Produits!$A:$A,0))</f>
        <v>321.75</v>
      </c>
      <c r="R1017" s="3">
        <f>L1017-Q1017</f>
        <v>173.25</v>
      </c>
      <c r="S1017" s="2">
        <f>NETWORKDAYS(B1017,C1017)-1</f>
        <v>3</v>
      </c>
      <c r="T1017" s="1">
        <f>WORKDAY(B1017,5)</f>
        <v>46135</v>
      </c>
      <c r="U1017" t="b">
        <f>C1017&gt;T1017</f>
        <v>0</v>
      </c>
    </row>
    <row r="1018" spans="1:21" x14ac:dyDescent="0.25">
      <c r="A1018" t="s">
        <v>868</v>
      </c>
      <c r="B1018" s="1">
        <v>46128</v>
      </c>
      <c r="C1018" s="1">
        <v>46133</v>
      </c>
      <c r="D1018" t="s">
        <v>869</v>
      </c>
      <c r="E1018" t="s">
        <v>175</v>
      </c>
      <c r="F1018" t="s">
        <v>76</v>
      </c>
      <c r="G1018" t="s">
        <v>232</v>
      </c>
      <c r="H1018" t="s">
        <v>35</v>
      </c>
      <c r="I1018" s="2">
        <v>1</v>
      </c>
      <c r="J1018" s="3">
        <v>79</v>
      </c>
      <c r="K1018" s="4">
        <v>0</v>
      </c>
      <c r="L1018" s="3">
        <v>79</v>
      </c>
      <c r="M1018" t="b">
        <v>1</v>
      </c>
      <c r="N1018" s="2">
        <f>YEAR(B1018)</f>
        <v>2026</v>
      </c>
      <c r="O1018" t="str">
        <f>INDEX(Agences!$C:$C,MATCH(F1018,Agences!$A:$A,0))</f>
        <v>Île-de-France</v>
      </c>
      <c r="P1018" t="str">
        <f>INDEX(Produits!$C:$C,MATCH(H1018,Produits!$A:$A,0))</f>
        <v>Mobilier</v>
      </c>
      <c r="Q1018" s="3">
        <f>I1018*INDEX(Produits!$E:$E,MATCH(H1018,Produits!$A:$A,0))</f>
        <v>46.61</v>
      </c>
      <c r="R1018" s="3">
        <f>L1018-Q1018</f>
        <v>32.39</v>
      </c>
      <c r="S1018" s="2">
        <f>NETWORKDAYS(B1018,C1018)-1</f>
        <v>3</v>
      </c>
      <c r="T1018" s="1">
        <f>WORKDAY(B1018,5)</f>
        <v>46135</v>
      </c>
      <c r="U1018" t="b">
        <f>C1018&gt;T1018</f>
        <v>0</v>
      </c>
    </row>
    <row r="1019" spans="1:21" x14ac:dyDescent="0.25">
      <c r="A1019" t="s">
        <v>868</v>
      </c>
      <c r="B1019" s="1">
        <v>46128</v>
      </c>
      <c r="C1019" s="1">
        <v>46133</v>
      </c>
      <c r="D1019" t="s">
        <v>869</v>
      </c>
      <c r="E1019" t="s">
        <v>175</v>
      </c>
      <c r="F1019" t="s">
        <v>76</v>
      </c>
      <c r="G1019" t="s">
        <v>232</v>
      </c>
      <c r="H1019" t="s">
        <v>161</v>
      </c>
      <c r="I1019" s="2">
        <v>10</v>
      </c>
      <c r="J1019" s="3">
        <v>32</v>
      </c>
      <c r="K1019" s="4">
        <v>0.05</v>
      </c>
      <c r="L1019" s="3">
        <v>304</v>
      </c>
      <c r="M1019" t="b">
        <v>1</v>
      </c>
      <c r="N1019" s="2">
        <f>YEAR(B1019)</f>
        <v>2026</v>
      </c>
      <c r="O1019" t="str">
        <f>INDEX(Agences!$C:$C,MATCH(F1019,Agences!$A:$A,0))</f>
        <v>Île-de-France</v>
      </c>
      <c r="P1019" t="str">
        <f>INDEX(Produits!$C:$C,MATCH(H1019,Produits!$A:$A,0))</f>
        <v>Fournitures</v>
      </c>
      <c r="Q1019" s="3">
        <f>I1019*INDEX(Produits!$E:$E,MATCH(H1019,Produits!$A:$A,0))</f>
        <v>176</v>
      </c>
      <c r="R1019" s="3">
        <f>L1019-Q1019</f>
        <v>128</v>
      </c>
      <c r="S1019" s="2">
        <f>NETWORKDAYS(B1019,C1019)-1</f>
        <v>3</v>
      </c>
      <c r="T1019" s="1">
        <f>WORKDAY(B1019,5)</f>
        <v>46135</v>
      </c>
      <c r="U1019" t="b">
        <f>C1019&gt;T1019</f>
        <v>0</v>
      </c>
    </row>
    <row r="1020" spans="1:21" x14ac:dyDescent="0.25">
      <c r="A1020" t="s">
        <v>868</v>
      </c>
      <c r="B1020" s="1">
        <v>46128</v>
      </c>
      <c r="C1020" s="1">
        <v>46133</v>
      </c>
      <c r="D1020" t="s">
        <v>869</v>
      </c>
      <c r="E1020" t="s">
        <v>175</v>
      </c>
      <c r="F1020" t="s">
        <v>76</v>
      </c>
      <c r="G1020" t="s">
        <v>232</v>
      </c>
      <c r="H1020" t="s">
        <v>108</v>
      </c>
      <c r="I1020" s="2">
        <v>10</v>
      </c>
      <c r="J1020" s="3">
        <v>24.5</v>
      </c>
      <c r="K1020" s="4">
        <v>0.08</v>
      </c>
      <c r="L1020" s="3">
        <v>225.4</v>
      </c>
      <c r="M1020" t="b">
        <v>1</v>
      </c>
      <c r="N1020" s="2">
        <f>YEAR(B1020)</f>
        <v>2026</v>
      </c>
      <c r="O1020" t="str">
        <f>INDEX(Agences!$C:$C,MATCH(F1020,Agences!$A:$A,0))</f>
        <v>Île-de-France</v>
      </c>
      <c r="P1020" t="str">
        <f>INDEX(Produits!$C:$C,MATCH(H1020,Produits!$A:$A,0))</f>
        <v>Fournitures</v>
      </c>
      <c r="Q1020" s="3">
        <f>I1020*INDEX(Produits!$E:$E,MATCH(H1020,Produits!$A:$A,0))</f>
        <v>147</v>
      </c>
      <c r="R1020" s="3">
        <f>L1020-Q1020</f>
        <v>78.4</v>
      </c>
      <c r="S1020" s="2">
        <f>NETWORKDAYS(B1020,C1020)-1</f>
        <v>3</v>
      </c>
      <c r="T1020" s="1">
        <f>WORKDAY(B1020,5)</f>
        <v>46135</v>
      </c>
      <c r="U1020" t="b">
        <f>C1020&gt;T1020</f>
        <v>0</v>
      </c>
    </row>
    <row r="1021" spans="1:21" x14ac:dyDescent="0.25">
      <c r="A1021" t="s">
        <v>868</v>
      </c>
      <c r="B1021" s="1">
        <v>46128</v>
      </c>
      <c r="C1021" s="1">
        <v>46133</v>
      </c>
      <c r="D1021" t="s">
        <v>869</v>
      </c>
      <c r="E1021" t="s">
        <v>175</v>
      </c>
      <c r="F1021" t="s">
        <v>76</v>
      </c>
      <c r="G1021" t="s">
        <v>232</v>
      </c>
      <c r="H1021" t="s">
        <v>107</v>
      </c>
      <c r="I1021" s="2">
        <v>1</v>
      </c>
      <c r="J1021" s="3">
        <v>99</v>
      </c>
      <c r="K1021" s="4">
        <v>0.1</v>
      </c>
      <c r="L1021" s="3">
        <v>89.1</v>
      </c>
      <c r="M1021" t="b">
        <v>1</v>
      </c>
      <c r="N1021" s="2">
        <f>YEAR(B1021)</f>
        <v>2026</v>
      </c>
      <c r="O1021" t="str">
        <f>INDEX(Agences!$C:$C,MATCH(F1021,Agences!$A:$A,0))</f>
        <v>Île-de-France</v>
      </c>
      <c r="P1021" t="str">
        <f>INDEX(Produits!$C:$C,MATCH(H1021,Produits!$A:$A,0))</f>
        <v>Informatique</v>
      </c>
      <c r="Q1021" s="3">
        <f>I1021*INDEX(Produits!$E:$E,MATCH(H1021,Produits!$A:$A,0))</f>
        <v>75.24</v>
      </c>
      <c r="R1021" s="3">
        <f>L1021-Q1021</f>
        <v>13.86</v>
      </c>
      <c r="S1021" s="2">
        <f>NETWORKDAYS(B1021,C1021)-1</f>
        <v>3</v>
      </c>
      <c r="T1021" s="1">
        <f>WORKDAY(B1021,5)</f>
        <v>46135</v>
      </c>
      <c r="U1021" t="b">
        <f>C1021&gt;T1021</f>
        <v>0</v>
      </c>
    </row>
    <row r="1022" spans="1:21" x14ac:dyDescent="0.25">
      <c r="A1022" t="s">
        <v>868</v>
      </c>
      <c r="B1022" s="1">
        <v>46128</v>
      </c>
      <c r="C1022" s="1">
        <v>46133</v>
      </c>
      <c r="D1022" t="s">
        <v>869</v>
      </c>
      <c r="E1022" t="s">
        <v>175</v>
      </c>
      <c r="F1022" t="s">
        <v>76</v>
      </c>
      <c r="G1022" t="s">
        <v>232</v>
      </c>
      <c r="H1022" t="s">
        <v>83</v>
      </c>
      <c r="I1022" s="2">
        <v>1</v>
      </c>
      <c r="J1022" s="3">
        <v>49</v>
      </c>
      <c r="K1022" s="4">
        <v>0.05</v>
      </c>
      <c r="L1022" s="3">
        <v>46.55</v>
      </c>
      <c r="M1022" t="b">
        <v>1</v>
      </c>
      <c r="N1022" s="2">
        <f>YEAR(B1022)</f>
        <v>2026</v>
      </c>
      <c r="O1022" t="str">
        <f>INDEX(Agences!$C:$C,MATCH(F1022,Agences!$A:$A,0))</f>
        <v>Île-de-France</v>
      </c>
      <c r="P1022" t="str">
        <f>INDEX(Produits!$C:$C,MATCH(H1022,Produits!$A:$A,0))</f>
        <v>Mobilier</v>
      </c>
      <c r="Q1022" s="3">
        <f>I1022*INDEX(Produits!$E:$E,MATCH(H1022,Produits!$A:$A,0))</f>
        <v>28.42</v>
      </c>
      <c r="R1022" s="3">
        <f>L1022-Q1022</f>
        <v>18.129999999999995</v>
      </c>
      <c r="S1022" s="2">
        <f>NETWORKDAYS(B1022,C1022)-1</f>
        <v>3</v>
      </c>
      <c r="T1022" s="1">
        <f>WORKDAY(B1022,5)</f>
        <v>46135</v>
      </c>
      <c r="U1022" t="b">
        <f>C1022&gt;T1022</f>
        <v>0</v>
      </c>
    </row>
    <row r="1023" spans="1:21" x14ac:dyDescent="0.25">
      <c r="A1023" t="s">
        <v>870</v>
      </c>
      <c r="B1023" s="1">
        <v>46128</v>
      </c>
      <c r="C1023" s="1">
        <v>46133</v>
      </c>
      <c r="D1023" t="s">
        <v>745</v>
      </c>
      <c r="E1023" t="s">
        <v>270</v>
      </c>
      <c r="F1023" t="s">
        <v>76</v>
      </c>
      <c r="G1023" t="s">
        <v>77</v>
      </c>
      <c r="H1023" t="s">
        <v>33</v>
      </c>
      <c r="I1023" s="2">
        <v>1</v>
      </c>
      <c r="J1023" s="3">
        <v>219</v>
      </c>
      <c r="K1023" s="4">
        <v>0.05</v>
      </c>
      <c r="L1023" s="3">
        <v>208.05</v>
      </c>
      <c r="M1023" t="b">
        <v>1</v>
      </c>
      <c r="N1023" s="2">
        <f>YEAR(B1023)</f>
        <v>2026</v>
      </c>
      <c r="O1023" t="str">
        <f>INDEX(Agences!$C:$C,MATCH(F1023,Agences!$A:$A,0))</f>
        <v>Île-de-France</v>
      </c>
      <c r="P1023" t="str">
        <f>INDEX(Produits!$C:$C,MATCH(H1023,Produits!$A:$A,0))</f>
        <v>Informatique</v>
      </c>
      <c r="Q1023" s="3">
        <f>I1023*INDEX(Produits!$E:$E,MATCH(H1023,Produits!$A:$A,0))</f>
        <v>179.58</v>
      </c>
      <c r="R1023" s="3">
        <f>L1023-Q1023</f>
        <v>28.47</v>
      </c>
      <c r="S1023" s="2">
        <f>NETWORKDAYS(B1023,C1023)-1</f>
        <v>3</v>
      </c>
      <c r="T1023" s="1">
        <f>WORKDAY(B1023,5)</f>
        <v>46135</v>
      </c>
      <c r="U1023" t="b">
        <f>C1023&gt;T1023</f>
        <v>0</v>
      </c>
    </row>
    <row r="1024" spans="1:21" x14ac:dyDescent="0.25">
      <c r="A1024" t="s">
        <v>871</v>
      </c>
      <c r="B1024" s="1">
        <v>46128</v>
      </c>
      <c r="C1024" s="1">
        <v>46134</v>
      </c>
      <c r="D1024" t="s">
        <v>427</v>
      </c>
      <c r="E1024" t="s">
        <v>236</v>
      </c>
      <c r="F1024" t="s">
        <v>39</v>
      </c>
      <c r="G1024" t="s">
        <v>131</v>
      </c>
      <c r="H1024" t="s">
        <v>319</v>
      </c>
      <c r="I1024" s="2">
        <v>4</v>
      </c>
      <c r="J1024" s="3">
        <v>289</v>
      </c>
      <c r="K1024" s="4">
        <v>0.02</v>
      </c>
      <c r="L1024" s="3">
        <v>1132.88</v>
      </c>
      <c r="M1024" t="b">
        <v>1</v>
      </c>
      <c r="N1024" s="2">
        <f>YEAR(B1024)</f>
        <v>2026</v>
      </c>
      <c r="O1024" t="str">
        <f>INDEX(Agences!$C:$C,MATCH(F1024,Agences!$A:$A,0))</f>
        <v>Sud-Ouest</v>
      </c>
      <c r="P1024" t="str">
        <f>INDEX(Produits!$C:$C,MATCH(H1024,Produits!$A:$A,0))</f>
        <v>Informatique</v>
      </c>
      <c r="Q1024" s="3">
        <f>I1024*INDEX(Produits!$E:$E,MATCH(H1024,Produits!$A:$A,0))</f>
        <v>855.44</v>
      </c>
      <c r="R1024" s="3">
        <f>L1024-Q1024</f>
        <v>277.44000000000005</v>
      </c>
      <c r="S1024" s="2">
        <f>NETWORKDAYS(B1024,C1024)-1</f>
        <v>4</v>
      </c>
      <c r="T1024" s="1">
        <f>WORKDAY(B1024,5)</f>
        <v>46135</v>
      </c>
      <c r="U1024" t="b">
        <f>C1024&gt;T1024</f>
        <v>0</v>
      </c>
    </row>
    <row r="1025" spans="1:21" x14ac:dyDescent="0.25">
      <c r="A1025" t="s">
        <v>872</v>
      </c>
      <c r="B1025" s="1">
        <v>46127</v>
      </c>
      <c r="C1025" s="1">
        <v>46132</v>
      </c>
      <c r="D1025" t="s">
        <v>873</v>
      </c>
      <c r="E1025" t="s">
        <v>122</v>
      </c>
      <c r="F1025" t="s">
        <v>24</v>
      </c>
      <c r="G1025" t="s">
        <v>25</v>
      </c>
      <c r="H1025" t="s">
        <v>34</v>
      </c>
      <c r="I1025" s="2">
        <v>1</v>
      </c>
      <c r="J1025" s="3">
        <v>340</v>
      </c>
      <c r="K1025" s="4">
        <v>0</v>
      </c>
      <c r="L1025" s="3">
        <v>340</v>
      </c>
      <c r="M1025" t="b">
        <v>1</v>
      </c>
      <c r="N1025" s="2">
        <f>YEAR(B1025)</f>
        <v>2026</v>
      </c>
      <c r="O1025" t="str">
        <f>INDEX(Agences!$C:$C,MATCH(F1025,Agences!$A:$A,0))</f>
        <v>Nord</v>
      </c>
      <c r="P1025" t="str">
        <f>INDEX(Produits!$C:$C,MATCH(H1025,Produits!$A:$A,0))</f>
        <v>Informatique</v>
      </c>
      <c r="Q1025" s="3">
        <f>I1025*INDEX(Produits!$E:$E,MATCH(H1025,Produits!$A:$A,0))</f>
        <v>275.4</v>
      </c>
      <c r="R1025" s="3">
        <f>L1025-Q1025</f>
        <v>64.60000000000002</v>
      </c>
      <c r="S1025" s="2">
        <f>NETWORKDAYS(B1025,C1025)-1</f>
        <v>3</v>
      </c>
      <c r="T1025" s="1">
        <f>WORKDAY(B1025,5)</f>
        <v>46134</v>
      </c>
      <c r="U1025" t="b">
        <f>C1025&gt;T1025</f>
        <v>0</v>
      </c>
    </row>
    <row r="1026" spans="1:21" x14ac:dyDescent="0.25">
      <c r="A1026" t="s">
        <v>872</v>
      </c>
      <c r="B1026" s="1">
        <v>46127</v>
      </c>
      <c r="C1026" s="1">
        <v>46132</v>
      </c>
      <c r="D1026" t="s">
        <v>873</v>
      </c>
      <c r="E1026" t="s">
        <v>122</v>
      </c>
      <c r="F1026" t="s">
        <v>24</v>
      </c>
      <c r="G1026" t="s">
        <v>25</v>
      </c>
      <c r="H1026" t="s">
        <v>35</v>
      </c>
      <c r="I1026" s="2">
        <v>2</v>
      </c>
      <c r="J1026" s="3">
        <v>79</v>
      </c>
      <c r="K1026" s="4">
        <v>0</v>
      </c>
      <c r="L1026" s="3">
        <v>158</v>
      </c>
      <c r="M1026" t="b">
        <v>1</v>
      </c>
      <c r="N1026" s="2">
        <f>YEAR(B1026)</f>
        <v>2026</v>
      </c>
      <c r="O1026" t="str">
        <f>INDEX(Agences!$C:$C,MATCH(F1026,Agences!$A:$A,0))</f>
        <v>Nord</v>
      </c>
      <c r="P1026" t="str">
        <f>INDEX(Produits!$C:$C,MATCH(H1026,Produits!$A:$A,0))</f>
        <v>Mobilier</v>
      </c>
      <c r="Q1026" s="3">
        <f>I1026*INDEX(Produits!$E:$E,MATCH(H1026,Produits!$A:$A,0))</f>
        <v>93.22</v>
      </c>
      <c r="R1026" s="3">
        <f>L1026-Q1026</f>
        <v>64.78</v>
      </c>
      <c r="S1026" s="2">
        <f>NETWORKDAYS(B1026,C1026)-1</f>
        <v>3</v>
      </c>
      <c r="T1026" s="1">
        <f>WORKDAY(B1026,5)</f>
        <v>46134</v>
      </c>
      <c r="U1026" t="b">
        <f>C1026&gt;T1026</f>
        <v>0</v>
      </c>
    </row>
    <row r="1027" spans="1:21" x14ac:dyDescent="0.25">
      <c r="A1027" t="s">
        <v>874</v>
      </c>
      <c r="B1027" s="1">
        <v>46127</v>
      </c>
      <c r="C1027" s="1">
        <v>46133</v>
      </c>
      <c r="D1027" t="s">
        <v>875</v>
      </c>
      <c r="E1027" t="s">
        <v>137</v>
      </c>
      <c r="F1027" t="s">
        <v>138</v>
      </c>
      <c r="G1027" t="s">
        <v>139</v>
      </c>
      <c r="H1027" t="s">
        <v>33</v>
      </c>
      <c r="I1027" s="2">
        <v>1</v>
      </c>
      <c r="J1027" s="3">
        <v>219</v>
      </c>
      <c r="K1027" s="4">
        <v>0.02</v>
      </c>
      <c r="L1027" s="3">
        <v>214.62</v>
      </c>
      <c r="M1027" t="b">
        <v>1</v>
      </c>
      <c r="N1027" s="2">
        <f>YEAR(B1027)</f>
        <v>2026</v>
      </c>
      <c r="O1027" t="str">
        <f>INDEX(Agences!$C:$C,MATCH(F1027,Agences!$A:$A,0))</f>
        <v>Île-de-France</v>
      </c>
      <c r="P1027" t="str">
        <f>INDEX(Produits!$C:$C,MATCH(H1027,Produits!$A:$A,0))</f>
        <v>Informatique</v>
      </c>
      <c r="Q1027" s="3">
        <f>I1027*INDEX(Produits!$E:$E,MATCH(H1027,Produits!$A:$A,0))</f>
        <v>179.58</v>
      </c>
      <c r="R1027" s="3">
        <f>L1027-Q1027</f>
        <v>35.03999999999999</v>
      </c>
      <c r="S1027" s="2">
        <f>NETWORKDAYS(B1027,C1027)-1</f>
        <v>4</v>
      </c>
      <c r="T1027" s="1">
        <f>WORKDAY(B1027,5)</f>
        <v>46134</v>
      </c>
      <c r="U1027" t="b">
        <f>C1027&gt;T1027</f>
        <v>0</v>
      </c>
    </row>
    <row r="1028" spans="1:21" x14ac:dyDescent="0.25">
      <c r="A1028" t="s">
        <v>874</v>
      </c>
      <c r="B1028" s="1">
        <v>46127</v>
      </c>
      <c r="C1028" s="1">
        <v>46133</v>
      </c>
      <c r="D1028" t="s">
        <v>875</v>
      </c>
      <c r="E1028" t="s">
        <v>137</v>
      </c>
      <c r="F1028" t="s">
        <v>138</v>
      </c>
      <c r="G1028" t="s">
        <v>139</v>
      </c>
      <c r="H1028" t="s">
        <v>83</v>
      </c>
      <c r="I1028" s="2">
        <v>2</v>
      </c>
      <c r="J1028" s="3">
        <v>49</v>
      </c>
      <c r="K1028" s="4">
        <v>0</v>
      </c>
      <c r="L1028" s="3">
        <v>98</v>
      </c>
      <c r="M1028" t="b">
        <v>1</v>
      </c>
      <c r="N1028" s="2">
        <f>YEAR(B1028)</f>
        <v>2026</v>
      </c>
      <c r="O1028" t="str">
        <f>INDEX(Agences!$C:$C,MATCH(F1028,Agences!$A:$A,0))</f>
        <v>Île-de-France</v>
      </c>
      <c r="P1028" t="str">
        <f>INDEX(Produits!$C:$C,MATCH(H1028,Produits!$A:$A,0))</f>
        <v>Mobilier</v>
      </c>
      <c r="Q1028" s="3">
        <f>I1028*INDEX(Produits!$E:$E,MATCH(H1028,Produits!$A:$A,0))</f>
        <v>56.84</v>
      </c>
      <c r="R1028" s="3">
        <f>L1028-Q1028</f>
        <v>41.16</v>
      </c>
      <c r="S1028" s="2">
        <f>NETWORKDAYS(B1028,C1028)-1</f>
        <v>4</v>
      </c>
      <c r="T1028" s="1">
        <f>WORKDAY(B1028,5)</f>
        <v>46134</v>
      </c>
      <c r="U1028" t="b">
        <f>C1028&gt;T1028</f>
        <v>0</v>
      </c>
    </row>
    <row r="1029" spans="1:21" x14ac:dyDescent="0.25">
      <c r="A1029" t="s">
        <v>874</v>
      </c>
      <c r="B1029" s="1">
        <v>46127</v>
      </c>
      <c r="C1029" s="1">
        <v>46133</v>
      </c>
      <c r="D1029" t="s">
        <v>875</v>
      </c>
      <c r="E1029" t="s">
        <v>137</v>
      </c>
      <c r="F1029" t="s">
        <v>138</v>
      </c>
      <c r="G1029" t="s">
        <v>139</v>
      </c>
      <c r="H1029" t="s">
        <v>803</v>
      </c>
      <c r="I1029" s="2">
        <v>5</v>
      </c>
      <c r="J1029" s="3">
        <v>89</v>
      </c>
      <c r="K1029" s="4">
        <v>0.05</v>
      </c>
      <c r="L1029" s="3">
        <v>422.75</v>
      </c>
      <c r="M1029" t="b">
        <v>1</v>
      </c>
      <c r="N1029" s="2">
        <f>YEAR(B1029)</f>
        <v>2026</v>
      </c>
      <c r="O1029" t="str">
        <f>INDEX(Agences!$C:$C,MATCH(F1029,Agences!$A:$A,0))</f>
        <v>Île-de-France</v>
      </c>
      <c r="P1029" t="str">
        <f>INDEX(Produits!$C:$C,MATCH(H1029,Produits!$A:$A,0))</f>
        <v>Fournitures</v>
      </c>
      <c r="Q1029" s="3">
        <f>I1029*INDEX(Produits!$E:$E,MATCH(H1029,Produits!$A:$A,0))</f>
        <v>222.5</v>
      </c>
      <c r="R1029" s="3">
        <f>L1029-Q1029</f>
        <v>200.25</v>
      </c>
      <c r="S1029" s="2">
        <f>NETWORKDAYS(B1029,C1029)-1</f>
        <v>4</v>
      </c>
      <c r="T1029" s="1">
        <f>WORKDAY(B1029,5)</f>
        <v>46134</v>
      </c>
      <c r="U1029" t="b">
        <f>C1029&gt;T1029</f>
        <v>0</v>
      </c>
    </row>
    <row r="1030" spans="1:21" x14ac:dyDescent="0.25">
      <c r="A1030" t="s">
        <v>874</v>
      </c>
      <c r="B1030" s="1">
        <v>46127</v>
      </c>
      <c r="C1030" s="1">
        <v>46133</v>
      </c>
      <c r="D1030" t="s">
        <v>875</v>
      </c>
      <c r="E1030" t="s">
        <v>137</v>
      </c>
      <c r="F1030" t="s">
        <v>138</v>
      </c>
      <c r="G1030" t="s">
        <v>139</v>
      </c>
      <c r="H1030" t="s">
        <v>132</v>
      </c>
      <c r="I1030" s="2">
        <v>1</v>
      </c>
      <c r="J1030" s="3">
        <v>650</v>
      </c>
      <c r="K1030" s="4">
        <v>0</v>
      </c>
      <c r="L1030" s="3">
        <v>650</v>
      </c>
      <c r="M1030" t="b">
        <v>1</v>
      </c>
      <c r="N1030" s="2">
        <f>YEAR(B1030)</f>
        <v>2026</v>
      </c>
      <c r="O1030" t="str">
        <f>INDEX(Agences!$C:$C,MATCH(F1030,Agences!$A:$A,0))</f>
        <v>Île-de-France</v>
      </c>
      <c r="P1030" t="str">
        <f>INDEX(Produits!$C:$C,MATCH(H1030,Produits!$A:$A,0))</f>
        <v>Maintenance</v>
      </c>
      <c r="Q1030" s="3">
        <f>I1030*INDEX(Produits!$E:$E,MATCH(H1030,Produits!$A:$A,0))</f>
        <v>273</v>
      </c>
      <c r="R1030" s="3">
        <f>L1030-Q1030</f>
        <v>377</v>
      </c>
      <c r="S1030" s="2">
        <f>NETWORKDAYS(B1030,C1030)-1</f>
        <v>4</v>
      </c>
      <c r="T1030" s="1">
        <f>WORKDAY(B1030,5)</f>
        <v>46134</v>
      </c>
      <c r="U1030" t="b">
        <f>C1030&gt;T1030</f>
        <v>0</v>
      </c>
    </row>
    <row r="1031" spans="1:21" x14ac:dyDescent="0.25">
      <c r="A1031" t="s">
        <v>876</v>
      </c>
      <c r="B1031" s="1">
        <v>46127</v>
      </c>
      <c r="C1031" s="1">
        <v>46142</v>
      </c>
      <c r="D1031" t="s">
        <v>877</v>
      </c>
      <c r="E1031" t="s">
        <v>229</v>
      </c>
      <c r="F1031" t="s">
        <v>55</v>
      </c>
      <c r="G1031" t="s">
        <v>71</v>
      </c>
      <c r="H1031" t="s">
        <v>319</v>
      </c>
      <c r="I1031" s="2">
        <v>1</v>
      </c>
      <c r="J1031" s="3">
        <v>289</v>
      </c>
      <c r="K1031" s="4">
        <v>0.08</v>
      </c>
      <c r="L1031" s="3">
        <v>265.88</v>
      </c>
      <c r="M1031" t="b">
        <v>1</v>
      </c>
      <c r="N1031" s="2">
        <f>YEAR(B1031)</f>
        <v>2026</v>
      </c>
      <c r="O1031" t="str">
        <f>INDEX(Agences!$C:$C,MATCH(F1031,Agences!$A:$A,0))</f>
        <v>Est</v>
      </c>
      <c r="P1031" t="str">
        <f>INDEX(Produits!$C:$C,MATCH(H1031,Produits!$A:$A,0))</f>
        <v>Informatique</v>
      </c>
      <c r="Q1031" s="3">
        <f>I1031*INDEX(Produits!$E:$E,MATCH(H1031,Produits!$A:$A,0))</f>
        <v>213.86</v>
      </c>
      <c r="R1031" s="3">
        <f>L1031-Q1031</f>
        <v>52.01999999999998</v>
      </c>
      <c r="S1031" s="2">
        <f>NETWORKDAYS(B1031,C1031)-1</f>
        <v>11</v>
      </c>
      <c r="T1031" s="1">
        <f>WORKDAY(B1031,5)</f>
        <v>46134</v>
      </c>
      <c r="U1031" t="b">
        <f>C1031&gt;T1031</f>
        <v>1</v>
      </c>
    </row>
    <row r="1032" spans="1:21" x14ac:dyDescent="0.25">
      <c r="A1032" t="s">
        <v>876</v>
      </c>
      <c r="B1032" s="1">
        <v>46127</v>
      </c>
      <c r="C1032" s="1">
        <v>46142</v>
      </c>
      <c r="D1032" t="s">
        <v>877</v>
      </c>
      <c r="E1032" t="s">
        <v>229</v>
      </c>
      <c r="F1032" t="s">
        <v>55</v>
      </c>
      <c r="G1032" t="s">
        <v>71</v>
      </c>
      <c r="H1032" t="s">
        <v>162</v>
      </c>
      <c r="I1032" s="2">
        <v>2</v>
      </c>
      <c r="J1032" s="3">
        <v>289</v>
      </c>
      <c r="K1032" s="4">
        <v>0</v>
      </c>
      <c r="L1032" s="3">
        <v>578</v>
      </c>
      <c r="M1032" t="b">
        <v>1</v>
      </c>
      <c r="N1032" s="2">
        <f>YEAR(B1032)</f>
        <v>2026</v>
      </c>
      <c r="O1032" t="str">
        <f>INDEX(Agences!$C:$C,MATCH(F1032,Agences!$A:$A,0))</f>
        <v>Est</v>
      </c>
      <c r="P1032" t="str">
        <f>INDEX(Produits!$C:$C,MATCH(H1032,Produits!$A:$A,0))</f>
        <v>Mobilier</v>
      </c>
      <c r="Q1032" s="3">
        <f>I1032*INDEX(Produits!$E:$E,MATCH(H1032,Produits!$A:$A,0))</f>
        <v>387.26</v>
      </c>
      <c r="R1032" s="3">
        <f>L1032-Q1032</f>
        <v>190.74</v>
      </c>
      <c r="S1032" s="2">
        <f>NETWORKDAYS(B1032,C1032)-1</f>
        <v>11</v>
      </c>
      <c r="T1032" s="1">
        <f>WORKDAY(B1032,5)</f>
        <v>46134</v>
      </c>
      <c r="U1032" t="b">
        <f>C1032&gt;T1032</f>
        <v>1</v>
      </c>
    </row>
    <row r="1033" spans="1:21" x14ac:dyDescent="0.25">
      <c r="A1033" t="s">
        <v>876</v>
      </c>
      <c r="B1033" s="1">
        <v>46127</v>
      </c>
      <c r="C1033" s="1">
        <v>46142</v>
      </c>
      <c r="D1033" t="s">
        <v>877</v>
      </c>
      <c r="E1033" t="s">
        <v>229</v>
      </c>
      <c r="F1033" t="s">
        <v>55</v>
      </c>
      <c r="G1033" t="s">
        <v>71</v>
      </c>
      <c r="H1033" t="s">
        <v>50</v>
      </c>
      <c r="I1033" s="2">
        <v>1</v>
      </c>
      <c r="J1033" s="3">
        <v>69</v>
      </c>
      <c r="K1033" s="4">
        <v>0</v>
      </c>
      <c r="L1033" s="3">
        <v>69</v>
      </c>
      <c r="M1033" t="b">
        <v>1</v>
      </c>
      <c r="N1033" s="2">
        <f>YEAR(B1033)</f>
        <v>2026</v>
      </c>
      <c r="O1033" t="str">
        <f>INDEX(Agences!$C:$C,MATCH(F1033,Agences!$A:$A,0))</f>
        <v>Est</v>
      </c>
      <c r="P1033" t="str">
        <f>INDEX(Produits!$C:$C,MATCH(H1033,Produits!$A:$A,0))</f>
        <v>Informatique</v>
      </c>
      <c r="Q1033" s="3">
        <f>I1033*INDEX(Produits!$E:$E,MATCH(H1033,Produits!$A:$A,0))</f>
        <v>54.51</v>
      </c>
      <c r="R1033" s="3">
        <f>L1033-Q1033</f>
        <v>14.490000000000002</v>
      </c>
      <c r="S1033" s="2">
        <f>NETWORKDAYS(B1033,C1033)-1</f>
        <v>11</v>
      </c>
      <c r="T1033" s="1">
        <f>WORKDAY(B1033,5)</f>
        <v>46134</v>
      </c>
      <c r="U1033" t="b">
        <f>C1033&gt;T1033</f>
        <v>1</v>
      </c>
    </row>
    <row r="1034" spans="1:21" x14ac:dyDescent="0.25">
      <c r="A1034" t="s">
        <v>876</v>
      </c>
      <c r="B1034" s="1">
        <v>46127</v>
      </c>
      <c r="C1034" s="1">
        <v>46142</v>
      </c>
      <c r="D1034" t="s">
        <v>877</v>
      </c>
      <c r="E1034" t="s">
        <v>229</v>
      </c>
      <c r="F1034" t="s">
        <v>55</v>
      </c>
      <c r="G1034" t="s">
        <v>71</v>
      </c>
      <c r="H1034" t="s">
        <v>49</v>
      </c>
      <c r="I1034" s="2">
        <v>2</v>
      </c>
      <c r="J1034" s="3">
        <v>120</v>
      </c>
      <c r="K1034" s="4">
        <v>0.1</v>
      </c>
      <c r="L1034" s="3">
        <v>216</v>
      </c>
      <c r="M1034" t="b">
        <v>1</v>
      </c>
      <c r="N1034" s="2">
        <f>YEAR(B1034)</f>
        <v>2026</v>
      </c>
      <c r="O1034" t="str">
        <f>INDEX(Agences!$C:$C,MATCH(F1034,Agences!$A:$A,0))</f>
        <v>Est</v>
      </c>
      <c r="P1034" t="str">
        <f>INDEX(Produits!$C:$C,MATCH(H1034,Produits!$A:$A,0))</f>
        <v>Maintenance</v>
      </c>
      <c r="Q1034" s="3">
        <f>I1034*INDEX(Produits!$E:$E,MATCH(H1034,Produits!$A:$A,0))</f>
        <v>110.4</v>
      </c>
      <c r="R1034" s="3">
        <f>L1034-Q1034</f>
        <v>105.6</v>
      </c>
      <c r="S1034" s="2">
        <f>NETWORKDAYS(B1034,C1034)-1</f>
        <v>11</v>
      </c>
      <c r="T1034" s="1">
        <f>WORKDAY(B1034,5)</f>
        <v>46134</v>
      </c>
      <c r="U1034" t="b">
        <f>C1034&gt;T1034</f>
        <v>1</v>
      </c>
    </row>
    <row r="1035" spans="1:21" x14ac:dyDescent="0.25">
      <c r="A1035" t="s">
        <v>878</v>
      </c>
      <c r="B1035" s="1">
        <v>46126</v>
      </c>
      <c r="C1035" s="1">
        <v>46128</v>
      </c>
      <c r="D1035" t="s">
        <v>879</v>
      </c>
      <c r="E1035" t="s">
        <v>126</v>
      </c>
      <c r="F1035" t="s">
        <v>99</v>
      </c>
      <c r="G1035" t="s">
        <v>210</v>
      </c>
      <c r="H1035" t="s">
        <v>35</v>
      </c>
      <c r="I1035" s="2">
        <v>1</v>
      </c>
      <c r="J1035" s="3">
        <v>79</v>
      </c>
      <c r="K1035" s="4">
        <v>0</v>
      </c>
      <c r="L1035" s="3">
        <v>79</v>
      </c>
      <c r="M1035" t="b">
        <v>1</v>
      </c>
      <c r="N1035" s="2">
        <f>YEAR(B1035)</f>
        <v>2026</v>
      </c>
      <c r="O1035" t="str">
        <f>INDEX(Agences!$C:$C,MATCH(F1035,Agences!$A:$A,0))</f>
        <v>Nord</v>
      </c>
      <c r="P1035" t="str">
        <f>INDEX(Produits!$C:$C,MATCH(H1035,Produits!$A:$A,0))</f>
        <v>Mobilier</v>
      </c>
      <c r="Q1035" s="3">
        <f>I1035*INDEX(Produits!$E:$E,MATCH(H1035,Produits!$A:$A,0))</f>
        <v>46.61</v>
      </c>
      <c r="R1035" s="3">
        <f>L1035-Q1035</f>
        <v>32.39</v>
      </c>
      <c r="S1035" s="2">
        <f>NETWORKDAYS(B1035,C1035)-1</f>
        <v>2</v>
      </c>
      <c r="T1035" s="1">
        <f>WORKDAY(B1035,5)</f>
        <v>46133</v>
      </c>
      <c r="U1035" t="b">
        <f>C1035&gt;T1035</f>
        <v>0</v>
      </c>
    </row>
    <row r="1036" spans="1:21" x14ac:dyDescent="0.25">
      <c r="A1036" t="s">
        <v>878</v>
      </c>
      <c r="B1036" s="1">
        <v>46126</v>
      </c>
      <c r="C1036" s="1">
        <v>46128</v>
      </c>
      <c r="D1036" t="s">
        <v>879</v>
      </c>
      <c r="E1036" t="s">
        <v>126</v>
      </c>
      <c r="F1036" t="s">
        <v>99</v>
      </c>
      <c r="G1036" t="s">
        <v>210</v>
      </c>
      <c r="H1036" t="s">
        <v>48</v>
      </c>
      <c r="I1036" s="2">
        <v>1</v>
      </c>
      <c r="J1036" s="3">
        <v>165</v>
      </c>
      <c r="K1036" s="4">
        <v>0.02</v>
      </c>
      <c r="L1036" s="3">
        <v>161.7</v>
      </c>
      <c r="M1036" t="b">
        <v>1</v>
      </c>
      <c r="N1036" s="2">
        <f>YEAR(B1036)</f>
        <v>2026</v>
      </c>
      <c r="O1036" t="str">
        <f>INDEX(Agences!$C:$C,MATCH(F1036,Agences!$A:$A,0))</f>
        <v>Nord</v>
      </c>
      <c r="P1036" t="str">
        <f>INDEX(Produits!$C:$C,MATCH(H1036,Produits!$A:$A,0))</f>
        <v>Mobilier</v>
      </c>
      <c r="Q1036" s="3">
        <f>I1036*INDEX(Produits!$E:$E,MATCH(H1036,Produits!$A:$A,0))</f>
        <v>107.25</v>
      </c>
      <c r="R1036" s="3">
        <f>L1036-Q1036</f>
        <v>54.44999999999999</v>
      </c>
      <c r="S1036" s="2">
        <f>NETWORKDAYS(B1036,C1036)-1</f>
        <v>2</v>
      </c>
      <c r="T1036" s="1">
        <f>WORKDAY(B1036,5)</f>
        <v>46133</v>
      </c>
      <c r="U1036" t="b">
        <f>C1036&gt;T1036</f>
        <v>0</v>
      </c>
    </row>
    <row r="1037" spans="1:21" x14ac:dyDescent="0.25">
      <c r="A1037" t="s">
        <v>878</v>
      </c>
      <c r="B1037" s="1">
        <v>46126</v>
      </c>
      <c r="C1037" s="1">
        <v>46128</v>
      </c>
      <c r="D1037" t="s">
        <v>879</v>
      </c>
      <c r="E1037" t="s">
        <v>126</v>
      </c>
      <c r="F1037" t="s">
        <v>99</v>
      </c>
      <c r="G1037" t="s">
        <v>210</v>
      </c>
      <c r="H1037" t="s">
        <v>79</v>
      </c>
      <c r="I1037" s="2">
        <v>5</v>
      </c>
      <c r="J1037" s="3">
        <v>14.9</v>
      </c>
      <c r="K1037" s="4">
        <v>0</v>
      </c>
      <c r="L1037" s="3">
        <v>74.5</v>
      </c>
      <c r="M1037" t="b">
        <v>1</v>
      </c>
      <c r="N1037" s="2">
        <f>YEAR(B1037)</f>
        <v>2026</v>
      </c>
      <c r="O1037" t="str">
        <f>INDEX(Agences!$C:$C,MATCH(F1037,Agences!$A:$A,0))</f>
        <v>Nord</v>
      </c>
      <c r="P1037" t="str">
        <f>INDEX(Produits!$C:$C,MATCH(H1037,Produits!$A:$A,0))</f>
        <v>Fournitures</v>
      </c>
      <c r="Q1037" s="3">
        <f>I1037*INDEX(Produits!$E:$E,MATCH(H1037,Produits!$A:$A,0))</f>
        <v>40.25</v>
      </c>
      <c r="R1037" s="3">
        <f>L1037-Q1037</f>
        <v>34.25</v>
      </c>
      <c r="S1037" s="2">
        <f>NETWORKDAYS(B1037,C1037)-1</f>
        <v>2</v>
      </c>
      <c r="T1037" s="1">
        <f>WORKDAY(B1037,5)</f>
        <v>46133</v>
      </c>
      <c r="U1037" t="b">
        <f>C1037&gt;T1037</f>
        <v>0</v>
      </c>
    </row>
    <row r="1038" spans="1:21" x14ac:dyDescent="0.25">
      <c r="A1038" t="s">
        <v>880</v>
      </c>
      <c r="B1038" s="1">
        <v>46126</v>
      </c>
      <c r="C1038" s="1">
        <v>46129</v>
      </c>
      <c r="D1038" t="s">
        <v>488</v>
      </c>
      <c r="E1038" t="s">
        <v>333</v>
      </c>
      <c r="F1038" t="s">
        <v>138</v>
      </c>
      <c r="G1038" t="s">
        <v>214</v>
      </c>
      <c r="H1038" t="s">
        <v>319</v>
      </c>
      <c r="I1038" s="2">
        <v>1</v>
      </c>
      <c r="J1038" s="3">
        <v>289</v>
      </c>
      <c r="K1038" s="4">
        <v>0.1</v>
      </c>
      <c r="L1038" s="3">
        <v>260.1</v>
      </c>
      <c r="M1038" t="b">
        <v>1</v>
      </c>
      <c r="N1038" s="2">
        <f>YEAR(B1038)</f>
        <v>2026</v>
      </c>
      <c r="O1038" t="str">
        <f>INDEX(Agences!$C:$C,MATCH(F1038,Agences!$A:$A,0))</f>
        <v>Île-de-France</v>
      </c>
      <c r="P1038" t="str">
        <f>INDEX(Produits!$C:$C,MATCH(H1038,Produits!$A:$A,0))</f>
        <v>Informatique</v>
      </c>
      <c r="Q1038" s="3">
        <f>I1038*INDEX(Produits!$E:$E,MATCH(H1038,Produits!$A:$A,0))</f>
        <v>213.86</v>
      </c>
      <c r="R1038" s="3">
        <f>L1038-Q1038</f>
        <v>46.24000000000001</v>
      </c>
      <c r="S1038" s="2">
        <f>NETWORKDAYS(B1038,C1038)-1</f>
        <v>3</v>
      </c>
      <c r="T1038" s="1">
        <f>WORKDAY(B1038,5)</f>
        <v>46133</v>
      </c>
      <c r="U1038" t="b">
        <f>C1038&gt;T1038</f>
        <v>0</v>
      </c>
    </row>
    <row r="1039" spans="1:21" x14ac:dyDescent="0.25">
      <c r="A1039" t="s">
        <v>880</v>
      </c>
      <c r="B1039" s="1">
        <v>46126</v>
      </c>
      <c r="C1039" s="1">
        <v>46129</v>
      </c>
      <c r="D1039" t="s">
        <v>488</v>
      </c>
      <c r="E1039" t="s">
        <v>333</v>
      </c>
      <c r="F1039" t="s">
        <v>138</v>
      </c>
      <c r="G1039" t="s">
        <v>214</v>
      </c>
      <c r="H1039" t="s">
        <v>103</v>
      </c>
      <c r="I1039" s="2">
        <v>6</v>
      </c>
      <c r="J1039" s="3">
        <v>245</v>
      </c>
      <c r="K1039" s="4">
        <v>0</v>
      </c>
      <c r="L1039" s="3">
        <v>1470</v>
      </c>
      <c r="M1039" t="b">
        <v>1</v>
      </c>
      <c r="N1039" s="2">
        <f>YEAR(B1039)</f>
        <v>2026</v>
      </c>
      <c r="O1039" t="str">
        <f>INDEX(Agences!$C:$C,MATCH(F1039,Agences!$A:$A,0))</f>
        <v>Île-de-France</v>
      </c>
      <c r="P1039" t="str">
        <f>INDEX(Produits!$C:$C,MATCH(H1039,Produits!$A:$A,0))</f>
        <v>Mobilier</v>
      </c>
      <c r="Q1039" s="3">
        <f>I1039*INDEX(Produits!$E:$E,MATCH(H1039,Produits!$A:$A,0))</f>
        <v>984.9000000000001</v>
      </c>
      <c r="R1039" s="3">
        <f>L1039-Q1039</f>
        <v>485.0999999999999</v>
      </c>
      <c r="S1039" s="2">
        <f>NETWORKDAYS(B1039,C1039)-1</f>
        <v>3</v>
      </c>
      <c r="T1039" s="1">
        <f>WORKDAY(B1039,5)</f>
        <v>46133</v>
      </c>
      <c r="U1039" t="b">
        <f>C1039&gt;T1039</f>
        <v>0</v>
      </c>
    </row>
    <row r="1040" spans="1:21" x14ac:dyDescent="0.25">
      <c r="A1040" t="s">
        <v>881</v>
      </c>
      <c r="B1040" s="1">
        <v>46126</v>
      </c>
      <c r="C1040" s="1">
        <v>46128</v>
      </c>
      <c r="D1040" t="s">
        <v>882</v>
      </c>
      <c r="E1040" t="s">
        <v>333</v>
      </c>
      <c r="F1040" t="s">
        <v>138</v>
      </c>
      <c r="G1040" t="s">
        <v>214</v>
      </c>
      <c r="H1040" t="s">
        <v>112</v>
      </c>
      <c r="I1040" s="2">
        <v>2</v>
      </c>
      <c r="J1040" s="3">
        <v>129</v>
      </c>
      <c r="K1040" s="4">
        <v>0</v>
      </c>
      <c r="L1040" s="3">
        <v>258</v>
      </c>
      <c r="M1040" t="b">
        <v>1</v>
      </c>
      <c r="N1040" s="2">
        <f>YEAR(B1040)</f>
        <v>2026</v>
      </c>
      <c r="O1040" t="str">
        <f>INDEX(Agences!$C:$C,MATCH(F1040,Agences!$A:$A,0))</f>
        <v>Île-de-France</v>
      </c>
      <c r="P1040" t="str">
        <f>INDEX(Produits!$C:$C,MATCH(H1040,Produits!$A:$A,0))</f>
        <v>Mobilier</v>
      </c>
      <c r="Q1040" s="3">
        <f>I1040*INDEX(Produits!$E:$E,MATCH(H1040,Produits!$A:$A,0))</f>
        <v>172.86</v>
      </c>
      <c r="R1040" s="3">
        <f>L1040-Q1040</f>
        <v>85.13999999999999</v>
      </c>
      <c r="S1040" s="2">
        <f>NETWORKDAYS(B1040,C1040)-1</f>
        <v>2</v>
      </c>
      <c r="T1040" s="1">
        <f>WORKDAY(B1040,5)</f>
        <v>46133</v>
      </c>
      <c r="U1040" t="b">
        <f>C1040&gt;T1040</f>
        <v>0</v>
      </c>
    </row>
    <row r="1041" spans="1:21" x14ac:dyDescent="0.25">
      <c r="A1041" t="s">
        <v>881</v>
      </c>
      <c r="B1041" s="1">
        <v>46126</v>
      </c>
      <c r="C1041" s="1">
        <v>46128</v>
      </c>
      <c r="D1041" t="s">
        <v>882</v>
      </c>
      <c r="E1041" t="s">
        <v>333</v>
      </c>
      <c r="F1041" t="s">
        <v>138</v>
      </c>
      <c r="G1041" t="s">
        <v>214</v>
      </c>
      <c r="H1041" t="s">
        <v>319</v>
      </c>
      <c r="I1041" s="2">
        <v>3</v>
      </c>
      <c r="J1041" s="3">
        <v>289</v>
      </c>
      <c r="K1041" s="4">
        <v>0.1</v>
      </c>
      <c r="L1041" s="3">
        <v>780.3</v>
      </c>
      <c r="M1041" t="b">
        <v>1</v>
      </c>
      <c r="N1041" s="2">
        <f>YEAR(B1041)</f>
        <v>2026</v>
      </c>
      <c r="O1041" t="str">
        <f>INDEX(Agences!$C:$C,MATCH(F1041,Agences!$A:$A,0))</f>
        <v>Île-de-France</v>
      </c>
      <c r="P1041" t="str">
        <f>INDEX(Produits!$C:$C,MATCH(H1041,Produits!$A:$A,0))</f>
        <v>Informatique</v>
      </c>
      <c r="Q1041" s="3">
        <f>I1041*INDEX(Produits!$E:$E,MATCH(H1041,Produits!$A:$A,0))</f>
        <v>641.58</v>
      </c>
      <c r="R1041" s="3">
        <f>L1041-Q1041</f>
        <v>138.7199999999999</v>
      </c>
      <c r="S1041" s="2">
        <f>NETWORKDAYS(B1041,C1041)-1</f>
        <v>2</v>
      </c>
      <c r="T1041" s="1">
        <f>WORKDAY(B1041,5)</f>
        <v>46133</v>
      </c>
      <c r="U1041" t="b">
        <f>C1041&gt;T1041</f>
        <v>0</v>
      </c>
    </row>
    <row r="1042" spans="1:21" x14ac:dyDescent="0.25">
      <c r="A1042" t="s">
        <v>881</v>
      </c>
      <c r="B1042" s="1">
        <v>46126</v>
      </c>
      <c r="C1042" s="1">
        <v>46128</v>
      </c>
      <c r="D1042" t="s">
        <v>882</v>
      </c>
      <c r="E1042" t="s">
        <v>333</v>
      </c>
      <c r="F1042" t="s">
        <v>138</v>
      </c>
      <c r="G1042" t="s">
        <v>214</v>
      </c>
      <c r="H1042" t="s">
        <v>83</v>
      </c>
      <c r="I1042" s="2">
        <v>7</v>
      </c>
      <c r="J1042" s="3">
        <v>49</v>
      </c>
      <c r="K1042" s="4">
        <v>0</v>
      </c>
      <c r="L1042" s="3">
        <v>343</v>
      </c>
      <c r="M1042" t="b">
        <v>1</v>
      </c>
      <c r="N1042" s="2">
        <f>YEAR(B1042)</f>
        <v>2026</v>
      </c>
      <c r="O1042" t="str">
        <f>INDEX(Agences!$C:$C,MATCH(F1042,Agences!$A:$A,0))</f>
        <v>Île-de-France</v>
      </c>
      <c r="P1042" t="str">
        <f>INDEX(Produits!$C:$C,MATCH(H1042,Produits!$A:$A,0))</f>
        <v>Mobilier</v>
      </c>
      <c r="Q1042" s="3">
        <f>I1042*INDEX(Produits!$E:$E,MATCH(H1042,Produits!$A:$A,0))</f>
        <v>198.94</v>
      </c>
      <c r="R1042" s="3">
        <f>L1042-Q1042</f>
        <v>144.06</v>
      </c>
      <c r="S1042" s="2">
        <f>NETWORKDAYS(B1042,C1042)-1</f>
        <v>2</v>
      </c>
      <c r="T1042" s="1">
        <f>WORKDAY(B1042,5)</f>
        <v>46133</v>
      </c>
      <c r="U1042" t="b">
        <f>C1042&gt;T1042</f>
        <v>0</v>
      </c>
    </row>
    <row r="1043" spans="1:21" x14ac:dyDescent="0.25">
      <c r="A1043" t="s">
        <v>883</v>
      </c>
      <c r="B1043" s="1">
        <v>46126</v>
      </c>
      <c r="C1043" s="1">
        <v>46127</v>
      </c>
      <c r="D1043" t="s">
        <v>884</v>
      </c>
      <c r="E1043" t="s">
        <v>384</v>
      </c>
      <c r="F1043" t="s">
        <v>46</v>
      </c>
      <c r="G1043" t="s">
        <v>158</v>
      </c>
      <c r="H1043" t="s">
        <v>42</v>
      </c>
      <c r="I1043" s="2">
        <v>1</v>
      </c>
      <c r="J1043" s="3">
        <v>55</v>
      </c>
      <c r="K1043" s="4">
        <v>0.05</v>
      </c>
      <c r="L1043" s="3">
        <v>52.25</v>
      </c>
      <c r="M1043" t="b">
        <v>1</v>
      </c>
      <c r="N1043" s="2">
        <f>YEAR(B1043)</f>
        <v>2026</v>
      </c>
      <c r="O1043" t="str">
        <f>INDEX(Agences!$C:$C,MATCH(F1043,Agences!$A:$A,0))</f>
        <v>Est</v>
      </c>
      <c r="P1043" t="str">
        <f>INDEX(Produits!$C:$C,MATCH(H1043,Produits!$A:$A,0))</f>
        <v>Maintenance</v>
      </c>
      <c r="Q1043" s="3">
        <f>I1043*INDEX(Produits!$E:$E,MATCH(H1043,Produits!$A:$A,0))</f>
        <v>24.75</v>
      </c>
      <c r="R1043" s="3">
        <f>L1043-Q1043</f>
        <v>27.5</v>
      </c>
      <c r="S1043" s="2">
        <f>NETWORKDAYS(B1043,C1043)-1</f>
        <v>1</v>
      </c>
      <c r="T1043" s="1">
        <f>WORKDAY(B1043,5)</f>
        <v>46133</v>
      </c>
      <c r="U1043" t="b">
        <f>C1043&gt;T1043</f>
        <v>0</v>
      </c>
    </row>
    <row r="1044" spans="1:21" x14ac:dyDescent="0.25">
      <c r="A1044" t="s">
        <v>885</v>
      </c>
      <c r="B1044" s="1">
        <v>46125</v>
      </c>
      <c r="C1044" s="1">
        <v>46129</v>
      </c>
      <c r="D1044" t="s">
        <v>886</v>
      </c>
      <c r="E1044" t="s">
        <v>333</v>
      </c>
      <c r="F1044" t="s">
        <v>138</v>
      </c>
      <c r="G1044" t="s">
        <v>139</v>
      </c>
      <c r="H1044" t="s">
        <v>33</v>
      </c>
      <c r="I1044" s="2">
        <v>1</v>
      </c>
      <c r="J1044" s="3">
        <v>219</v>
      </c>
      <c r="K1044" s="4">
        <v>0.02</v>
      </c>
      <c r="L1044" s="3">
        <v>214.62</v>
      </c>
      <c r="M1044" t="b">
        <v>1</v>
      </c>
      <c r="N1044" s="2">
        <f>YEAR(B1044)</f>
        <v>2026</v>
      </c>
      <c r="O1044" t="str">
        <f>INDEX(Agences!$C:$C,MATCH(F1044,Agences!$A:$A,0))</f>
        <v>Île-de-France</v>
      </c>
      <c r="P1044" t="str">
        <f>INDEX(Produits!$C:$C,MATCH(H1044,Produits!$A:$A,0))</f>
        <v>Informatique</v>
      </c>
      <c r="Q1044" s="3">
        <f>I1044*INDEX(Produits!$E:$E,MATCH(H1044,Produits!$A:$A,0))</f>
        <v>179.58</v>
      </c>
      <c r="R1044" s="3">
        <f>L1044-Q1044</f>
        <v>35.03999999999999</v>
      </c>
      <c r="S1044" s="2">
        <f>NETWORKDAYS(B1044,C1044)-1</f>
        <v>4</v>
      </c>
      <c r="T1044" s="1">
        <f>WORKDAY(B1044,5)</f>
        <v>46132</v>
      </c>
      <c r="U1044" t="b">
        <f>C1044&gt;T1044</f>
        <v>0</v>
      </c>
    </row>
    <row r="1045" spans="1:21" x14ac:dyDescent="0.25">
      <c r="A1045" t="s">
        <v>885</v>
      </c>
      <c r="B1045" s="1">
        <v>46125</v>
      </c>
      <c r="C1045" s="1">
        <v>46129</v>
      </c>
      <c r="D1045" t="s">
        <v>886</v>
      </c>
      <c r="E1045" t="s">
        <v>333</v>
      </c>
      <c r="F1045" t="s">
        <v>138</v>
      </c>
      <c r="G1045" t="s">
        <v>139</v>
      </c>
      <c r="H1045" t="s">
        <v>107</v>
      </c>
      <c r="I1045" s="2">
        <v>2</v>
      </c>
      <c r="J1045" s="3">
        <v>99</v>
      </c>
      <c r="K1045" s="4">
        <v>0.05</v>
      </c>
      <c r="L1045" s="3">
        <v>188.1</v>
      </c>
      <c r="M1045" t="b">
        <v>1</v>
      </c>
      <c r="N1045" s="2">
        <f>YEAR(B1045)</f>
        <v>2026</v>
      </c>
      <c r="O1045" t="str">
        <f>INDEX(Agences!$C:$C,MATCH(F1045,Agences!$A:$A,0))</f>
        <v>Île-de-France</v>
      </c>
      <c r="P1045" t="str">
        <f>INDEX(Produits!$C:$C,MATCH(H1045,Produits!$A:$A,0))</f>
        <v>Informatique</v>
      </c>
      <c r="Q1045" s="3">
        <f>I1045*INDEX(Produits!$E:$E,MATCH(H1045,Produits!$A:$A,0))</f>
        <v>150.48</v>
      </c>
      <c r="R1045" s="3">
        <f>L1045-Q1045</f>
        <v>37.620000000000005</v>
      </c>
      <c r="S1045" s="2">
        <f>NETWORKDAYS(B1045,C1045)-1</f>
        <v>4</v>
      </c>
      <c r="T1045" s="1">
        <f>WORKDAY(B1045,5)</f>
        <v>46132</v>
      </c>
      <c r="U1045" t="b">
        <f>C1045&gt;T1045</f>
        <v>0</v>
      </c>
    </row>
    <row r="1046" spans="1:21" x14ac:dyDescent="0.25">
      <c r="A1046" t="s">
        <v>885</v>
      </c>
      <c r="B1046" s="1">
        <v>46125</v>
      </c>
      <c r="C1046" s="1">
        <v>46129</v>
      </c>
      <c r="D1046" t="s">
        <v>886</v>
      </c>
      <c r="E1046" t="s">
        <v>333</v>
      </c>
      <c r="F1046" t="s">
        <v>138</v>
      </c>
      <c r="G1046" t="s">
        <v>139</v>
      </c>
      <c r="H1046" t="s">
        <v>42</v>
      </c>
      <c r="I1046" s="2">
        <v>3</v>
      </c>
      <c r="J1046" s="3">
        <v>55</v>
      </c>
      <c r="K1046" s="4">
        <v>0.02</v>
      </c>
      <c r="L1046" s="3">
        <v>161.7</v>
      </c>
      <c r="M1046" t="b">
        <v>1</v>
      </c>
      <c r="N1046" s="2">
        <f>YEAR(B1046)</f>
        <v>2026</v>
      </c>
      <c r="O1046" t="str">
        <f>INDEX(Agences!$C:$C,MATCH(F1046,Agences!$A:$A,0))</f>
        <v>Île-de-France</v>
      </c>
      <c r="P1046" t="str">
        <f>INDEX(Produits!$C:$C,MATCH(H1046,Produits!$A:$A,0))</f>
        <v>Maintenance</v>
      </c>
      <c r="Q1046" s="3">
        <f>I1046*INDEX(Produits!$E:$E,MATCH(H1046,Produits!$A:$A,0))</f>
        <v>74.25</v>
      </c>
      <c r="R1046" s="3">
        <f>L1046-Q1046</f>
        <v>87.44999999999999</v>
      </c>
      <c r="S1046" s="2">
        <f>NETWORKDAYS(B1046,C1046)-1</f>
        <v>4</v>
      </c>
      <c r="T1046" s="1">
        <f>WORKDAY(B1046,5)</f>
        <v>46132</v>
      </c>
      <c r="U1046" t="b">
        <f>C1046&gt;T1046</f>
        <v>0</v>
      </c>
    </row>
    <row r="1047" spans="1:21" x14ac:dyDescent="0.25">
      <c r="A1047" t="s">
        <v>887</v>
      </c>
      <c r="B1047" s="1">
        <v>46125</v>
      </c>
      <c r="C1047" s="1">
        <v>46126</v>
      </c>
      <c r="D1047" t="s">
        <v>581</v>
      </c>
      <c r="E1047" t="s">
        <v>75</v>
      </c>
      <c r="F1047" t="s">
        <v>76</v>
      </c>
      <c r="G1047" t="s">
        <v>77</v>
      </c>
      <c r="H1047" t="s">
        <v>51</v>
      </c>
      <c r="I1047" s="2">
        <v>1</v>
      </c>
      <c r="J1047" s="3">
        <v>180</v>
      </c>
      <c r="K1047" s="4">
        <v>0.02</v>
      </c>
      <c r="L1047" s="3">
        <v>176.4</v>
      </c>
      <c r="M1047" t="b">
        <v>1</v>
      </c>
      <c r="N1047" s="2">
        <f>YEAR(B1047)</f>
        <v>2026</v>
      </c>
      <c r="O1047" t="str">
        <f>INDEX(Agences!$C:$C,MATCH(F1047,Agences!$A:$A,0))</f>
        <v>Île-de-France</v>
      </c>
      <c r="P1047" t="str">
        <f>INDEX(Produits!$C:$C,MATCH(H1047,Produits!$A:$A,0))</f>
        <v>Maintenance</v>
      </c>
      <c r="Q1047" s="3">
        <f>I1047*INDEX(Produits!$E:$E,MATCH(H1047,Produits!$A:$A,0))</f>
        <v>82.8</v>
      </c>
      <c r="R1047" s="3">
        <f>L1047-Q1047</f>
        <v>93.60000000000001</v>
      </c>
      <c r="S1047" s="2">
        <f>NETWORKDAYS(B1047,C1047)-1</f>
        <v>1</v>
      </c>
      <c r="T1047" s="1">
        <f>WORKDAY(B1047,5)</f>
        <v>46132</v>
      </c>
      <c r="U1047" t="b">
        <f>C1047&gt;T1047</f>
        <v>0</v>
      </c>
    </row>
    <row r="1048" spans="1:21" x14ac:dyDescent="0.25">
      <c r="A1048" t="s">
        <v>887</v>
      </c>
      <c r="B1048" s="1">
        <v>46125</v>
      </c>
      <c r="C1048" s="1">
        <v>46126</v>
      </c>
      <c r="D1048" t="s">
        <v>581</v>
      </c>
      <c r="E1048" t="s">
        <v>75</v>
      </c>
      <c r="F1048" t="s">
        <v>76</v>
      </c>
      <c r="G1048" t="s">
        <v>77</v>
      </c>
      <c r="H1048" t="s">
        <v>72</v>
      </c>
      <c r="I1048" s="2">
        <v>6</v>
      </c>
      <c r="J1048" s="3">
        <v>179</v>
      </c>
      <c r="K1048" s="4">
        <v>0</v>
      </c>
      <c r="L1048" s="3">
        <v>1074</v>
      </c>
      <c r="M1048" t="b">
        <v>1</v>
      </c>
      <c r="N1048" s="2">
        <f>YEAR(B1048)</f>
        <v>2026</v>
      </c>
      <c r="O1048" t="str">
        <f>INDEX(Agences!$C:$C,MATCH(F1048,Agences!$A:$A,0))</f>
        <v>Île-de-France</v>
      </c>
      <c r="P1048" t="str">
        <f>INDEX(Produits!$C:$C,MATCH(H1048,Produits!$A:$A,0))</f>
        <v>Informatique</v>
      </c>
      <c r="Q1048" s="3">
        <f>I1048*INDEX(Produits!$E:$E,MATCH(H1048,Produits!$A:$A,0))</f>
        <v>880.6800000000001</v>
      </c>
      <c r="R1048" s="3">
        <f>L1048-Q1048</f>
        <v>193.31999999999994</v>
      </c>
      <c r="S1048" s="2">
        <f>NETWORKDAYS(B1048,C1048)-1</f>
        <v>1</v>
      </c>
      <c r="T1048" s="1">
        <f>WORKDAY(B1048,5)</f>
        <v>46132</v>
      </c>
      <c r="U1048" t="b">
        <f>C1048&gt;T1048</f>
        <v>0</v>
      </c>
    </row>
    <row r="1049" spans="1:21" x14ac:dyDescent="0.25">
      <c r="A1049" t="s">
        <v>888</v>
      </c>
      <c r="B1049" s="1">
        <v>46125</v>
      </c>
      <c r="C1049" s="1">
        <v>46127</v>
      </c>
      <c r="D1049" t="s">
        <v>889</v>
      </c>
      <c r="E1049" t="s">
        <v>399</v>
      </c>
      <c r="F1049" t="s">
        <v>166</v>
      </c>
      <c r="G1049" t="s">
        <v>179</v>
      </c>
      <c r="H1049" t="s">
        <v>64</v>
      </c>
      <c r="I1049" s="2">
        <v>20</v>
      </c>
      <c r="J1049" s="3">
        <v>16.8</v>
      </c>
      <c r="K1049" s="4">
        <v>0.05</v>
      </c>
      <c r="L1049" s="3">
        <v>319.2</v>
      </c>
      <c r="M1049" t="b">
        <v>1</v>
      </c>
      <c r="N1049" s="2">
        <f>YEAR(B1049)</f>
        <v>2026</v>
      </c>
      <c r="O1049" t="str">
        <f>INDEX(Agences!$C:$C,MATCH(F1049,Agences!$A:$A,0))</f>
        <v>Ouest</v>
      </c>
      <c r="P1049" t="str">
        <f>INDEX(Produits!$C:$C,MATCH(H1049,Produits!$A:$A,0))</f>
        <v>Fournitures</v>
      </c>
      <c r="Q1049" s="3">
        <f>I1049*INDEX(Produits!$E:$E,MATCH(H1049,Produits!$A:$A,0))</f>
        <v>174.8</v>
      </c>
      <c r="R1049" s="3">
        <f>L1049-Q1049</f>
        <v>144.39999999999998</v>
      </c>
      <c r="S1049" s="2">
        <f>NETWORKDAYS(B1049,C1049)-1</f>
        <v>2</v>
      </c>
      <c r="T1049" s="1">
        <f>WORKDAY(B1049,5)</f>
        <v>46132</v>
      </c>
      <c r="U1049" t="b">
        <f>C1049&gt;T1049</f>
        <v>0</v>
      </c>
    </row>
    <row r="1050" spans="1:21" x14ac:dyDescent="0.25">
      <c r="A1050" t="s">
        <v>888</v>
      </c>
      <c r="B1050" s="1">
        <v>46125</v>
      </c>
      <c r="C1050" s="1">
        <v>46127</v>
      </c>
      <c r="D1050" t="s">
        <v>889</v>
      </c>
      <c r="E1050" t="s">
        <v>399</v>
      </c>
      <c r="F1050" t="s">
        <v>166</v>
      </c>
      <c r="G1050" t="s">
        <v>179</v>
      </c>
      <c r="H1050" t="s">
        <v>42</v>
      </c>
      <c r="I1050" s="2">
        <v>1</v>
      </c>
      <c r="J1050" s="3">
        <v>55</v>
      </c>
      <c r="K1050" s="4">
        <v>0</v>
      </c>
      <c r="L1050" s="3">
        <v>55</v>
      </c>
      <c r="M1050" t="b">
        <v>1</v>
      </c>
      <c r="N1050" s="2">
        <f>YEAR(B1050)</f>
        <v>2026</v>
      </c>
      <c r="O1050" t="str">
        <f>INDEX(Agences!$C:$C,MATCH(F1050,Agences!$A:$A,0))</f>
        <v>Ouest</v>
      </c>
      <c r="P1050" t="str">
        <f>INDEX(Produits!$C:$C,MATCH(H1050,Produits!$A:$A,0))</f>
        <v>Maintenance</v>
      </c>
      <c r="Q1050" s="3">
        <f>I1050*INDEX(Produits!$E:$E,MATCH(H1050,Produits!$A:$A,0))</f>
        <v>24.75</v>
      </c>
      <c r="R1050" s="3">
        <f>L1050-Q1050</f>
        <v>30.25</v>
      </c>
      <c r="S1050" s="2">
        <f>NETWORKDAYS(B1050,C1050)-1</f>
        <v>2</v>
      </c>
      <c r="T1050" s="1">
        <f>WORKDAY(B1050,5)</f>
        <v>46132</v>
      </c>
      <c r="U1050" t="b">
        <f>C1050&gt;T1050</f>
        <v>0</v>
      </c>
    </row>
    <row r="1051" spans="1:21" x14ac:dyDescent="0.25">
      <c r="A1051" t="s">
        <v>888</v>
      </c>
      <c r="B1051" s="1">
        <v>46125</v>
      </c>
      <c r="C1051" s="1">
        <v>46127</v>
      </c>
      <c r="D1051" t="s">
        <v>889</v>
      </c>
      <c r="E1051" t="s">
        <v>399</v>
      </c>
      <c r="F1051" t="s">
        <v>166</v>
      </c>
      <c r="G1051" t="s">
        <v>179</v>
      </c>
      <c r="H1051" t="s">
        <v>26</v>
      </c>
      <c r="I1051" s="2">
        <v>2</v>
      </c>
      <c r="J1051" s="3">
        <v>290</v>
      </c>
      <c r="K1051" s="4">
        <v>0.05</v>
      </c>
      <c r="L1051" s="3">
        <v>551</v>
      </c>
      <c r="M1051" t="b">
        <v>1</v>
      </c>
      <c r="N1051" s="2">
        <f>YEAR(B1051)</f>
        <v>2026</v>
      </c>
      <c r="O1051" t="str">
        <f>INDEX(Agences!$C:$C,MATCH(F1051,Agences!$A:$A,0))</f>
        <v>Ouest</v>
      </c>
      <c r="P1051" t="str">
        <f>INDEX(Produits!$C:$C,MATCH(H1051,Produits!$A:$A,0))</f>
        <v>Maintenance</v>
      </c>
      <c r="Q1051" s="3">
        <f>I1051*INDEX(Produits!$E:$E,MATCH(H1051,Produits!$A:$A,0))</f>
        <v>278.4</v>
      </c>
      <c r="R1051" s="3">
        <f>L1051-Q1051</f>
        <v>272.6</v>
      </c>
      <c r="S1051" s="2">
        <f>NETWORKDAYS(B1051,C1051)-1</f>
        <v>2</v>
      </c>
      <c r="T1051" s="1">
        <f>WORKDAY(B1051,5)</f>
        <v>46132</v>
      </c>
      <c r="U1051" t="b">
        <f>C1051&gt;T1051</f>
        <v>0</v>
      </c>
    </row>
    <row r="1052" spans="1:21" x14ac:dyDescent="0.25">
      <c r="A1052" t="s">
        <v>890</v>
      </c>
      <c r="B1052" s="1">
        <v>46125</v>
      </c>
      <c r="C1052" s="1">
        <v>46127</v>
      </c>
      <c r="D1052" t="s">
        <v>891</v>
      </c>
      <c r="E1052" t="s">
        <v>185</v>
      </c>
      <c r="F1052" t="s">
        <v>31</v>
      </c>
      <c r="G1052" t="s">
        <v>32</v>
      </c>
      <c r="H1052" t="s">
        <v>72</v>
      </c>
      <c r="I1052" s="2">
        <v>1</v>
      </c>
      <c r="J1052" s="3">
        <v>179</v>
      </c>
      <c r="K1052" s="4">
        <v>0</v>
      </c>
      <c r="L1052" s="3">
        <v>179</v>
      </c>
      <c r="M1052" t="b">
        <v>1</v>
      </c>
      <c r="N1052" s="2">
        <f>YEAR(B1052)</f>
        <v>2026</v>
      </c>
      <c r="O1052" t="str">
        <f>INDEX(Agences!$C:$C,MATCH(F1052,Agences!$A:$A,0))</f>
        <v>Ouest</v>
      </c>
      <c r="P1052" t="str">
        <f>INDEX(Produits!$C:$C,MATCH(H1052,Produits!$A:$A,0))</f>
        <v>Informatique</v>
      </c>
      <c r="Q1052" s="3">
        <f>I1052*INDEX(Produits!$E:$E,MATCH(H1052,Produits!$A:$A,0))</f>
        <v>146.78</v>
      </c>
      <c r="R1052" s="3">
        <f>L1052-Q1052</f>
        <v>32.22</v>
      </c>
      <c r="S1052" s="2">
        <f>NETWORKDAYS(B1052,C1052)-1</f>
        <v>2</v>
      </c>
      <c r="T1052" s="1">
        <f>WORKDAY(B1052,5)</f>
        <v>46132</v>
      </c>
      <c r="U1052" t="b">
        <f>C1052&gt;T1052</f>
        <v>0</v>
      </c>
    </row>
    <row r="1053" spans="1:21" x14ac:dyDescent="0.25">
      <c r="A1053" t="s">
        <v>892</v>
      </c>
      <c r="B1053" s="1">
        <v>46125</v>
      </c>
      <c r="C1053" s="1">
        <v>46127</v>
      </c>
      <c r="D1053" t="s">
        <v>893</v>
      </c>
      <c r="E1053" t="s">
        <v>153</v>
      </c>
      <c r="F1053" t="s">
        <v>94</v>
      </c>
      <c r="G1053" t="s">
        <v>182</v>
      </c>
      <c r="H1053" t="s">
        <v>35</v>
      </c>
      <c r="I1053" s="2">
        <v>3</v>
      </c>
      <c r="J1053" s="3">
        <v>79</v>
      </c>
      <c r="K1053" s="4">
        <v>0.1</v>
      </c>
      <c r="L1053" s="3">
        <v>213.3</v>
      </c>
      <c r="M1053" t="b">
        <v>1</v>
      </c>
      <c r="N1053" s="2">
        <f>YEAR(B1053)</f>
        <v>2026</v>
      </c>
      <c r="O1053" t="str">
        <f>INDEX(Agences!$C:$C,MATCH(F1053,Agences!$A:$A,0))</f>
        <v>Méditerranée</v>
      </c>
      <c r="P1053" t="str">
        <f>INDEX(Produits!$C:$C,MATCH(H1053,Produits!$A:$A,0))</f>
        <v>Mobilier</v>
      </c>
      <c r="Q1053" s="3">
        <f>I1053*INDEX(Produits!$E:$E,MATCH(H1053,Produits!$A:$A,0))</f>
        <v>139.82999999999998</v>
      </c>
      <c r="R1053" s="3">
        <f>L1053-Q1053</f>
        <v>73.47000000000003</v>
      </c>
      <c r="S1053" s="2">
        <f>NETWORKDAYS(B1053,C1053)-1</f>
        <v>2</v>
      </c>
      <c r="T1053" s="1">
        <f>WORKDAY(B1053,5)</f>
        <v>46132</v>
      </c>
      <c r="U1053" t="b">
        <f>C1053&gt;T1053</f>
        <v>0</v>
      </c>
    </row>
    <row r="1054" spans="1:21" x14ac:dyDescent="0.25">
      <c r="A1054" t="s">
        <v>894</v>
      </c>
      <c r="B1054" s="1">
        <v>46122</v>
      </c>
      <c r="C1054" s="1">
        <v>46129</v>
      </c>
      <c r="D1054" t="s">
        <v>656</v>
      </c>
      <c r="E1054" t="s">
        <v>122</v>
      </c>
      <c r="F1054" t="s">
        <v>24</v>
      </c>
      <c r="G1054" t="s">
        <v>116</v>
      </c>
      <c r="H1054" t="s">
        <v>49</v>
      </c>
      <c r="I1054" s="2">
        <v>3</v>
      </c>
      <c r="J1054" s="3">
        <v>120</v>
      </c>
      <c r="K1054" s="4">
        <v>0</v>
      </c>
      <c r="L1054" s="3">
        <v>360</v>
      </c>
      <c r="M1054" t="b">
        <v>1</v>
      </c>
      <c r="N1054" s="2">
        <f>YEAR(B1054)</f>
        <v>2026</v>
      </c>
      <c r="O1054" t="str">
        <f>INDEX(Agences!$C:$C,MATCH(F1054,Agences!$A:$A,0))</f>
        <v>Nord</v>
      </c>
      <c r="P1054" t="str">
        <f>INDEX(Produits!$C:$C,MATCH(H1054,Produits!$A:$A,0))</f>
        <v>Maintenance</v>
      </c>
      <c r="Q1054" s="3">
        <f>I1054*INDEX(Produits!$E:$E,MATCH(H1054,Produits!$A:$A,0))</f>
        <v>165.60000000000002</v>
      </c>
      <c r="R1054" s="3">
        <f>L1054-Q1054</f>
        <v>194.39999999999998</v>
      </c>
      <c r="S1054" s="2">
        <f>NETWORKDAYS(B1054,C1054)-1</f>
        <v>5</v>
      </c>
      <c r="T1054" s="1">
        <f>WORKDAY(B1054,5)</f>
        <v>46129</v>
      </c>
      <c r="U1054" t="b">
        <f>C1054&gt;T1054</f>
        <v>0</v>
      </c>
    </row>
    <row r="1055" spans="1:21" x14ac:dyDescent="0.25">
      <c r="A1055" t="s">
        <v>894</v>
      </c>
      <c r="B1055" s="1">
        <v>46122</v>
      </c>
      <c r="C1055" s="1">
        <v>46129</v>
      </c>
      <c r="D1055" t="s">
        <v>656</v>
      </c>
      <c r="E1055" t="s">
        <v>122</v>
      </c>
      <c r="F1055" t="s">
        <v>24</v>
      </c>
      <c r="G1055" t="s">
        <v>116</v>
      </c>
      <c r="H1055" t="s">
        <v>27</v>
      </c>
      <c r="I1055" s="2">
        <v>2</v>
      </c>
      <c r="J1055" s="3">
        <v>310</v>
      </c>
      <c r="K1055" s="4">
        <v>0</v>
      </c>
      <c r="L1055" s="3">
        <v>620</v>
      </c>
      <c r="M1055" t="b">
        <v>1</v>
      </c>
      <c r="N1055" s="2">
        <f>YEAR(B1055)</f>
        <v>2026</v>
      </c>
      <c r="O1055" t="str">
        <f>INDEX(Agences!$C:$C,MATCH(F1055,Agences!$A:$A,0))</f>
        <v>Nord</v>
      </c>
      <c r="P1055" t="str">
        <f>INDEX(Produits!$C:$C,MATCH(H1055,Produits!$A:$A,0))</f>
        <v>Mobilier</v>
      </c>
      <c r="Q1055" s="3">
        <f>I1055*INDEX(Produits!$E:$E,MATCH(H1055,Produits!$A:$A,0))</f>
        <v>372</v>
      </c>
      <c r="R1055" s="3">
        <f>L1055-Q1055</f>
        <v>248</v>
      </c>
      <c r="S1055" s="2">
        <f>NETWORKDAYS(B1055,C1055)-1</f>
        <v>5</v>
      </c>
      <c r="T1055" s="1">
        <f>WORKDAY(B1055,5)</f>
        <v>46129</v>
      </c>
      <c r="U1055" t="b">
        <f>C1055&gt;T1055</f>
        <v>0</v>
      </c>
    </row>
    <row r="1056" spans="1:21" x14ac:dyDescent="0.25">
      <c r="A1056" t="s">
        <v>894</v>
      </c>
      <c r="B1056" s="1">
        <v>46122</v>
      </c>
      <c r="C1056" s="1">
        <v>46129</v>
      </c>
      <c r="D1056" t="s">
        <v>656</v>
      </c>
      <c r="E1056" t="s">
        <v>122</v>
      </c>
      <c r="F1056" t="s">
        <v>24</v>
      </c>
      <c r="G1056" t="s">
        <v>116</v>
      </c>
      <c r="H1056" t="s">
        <v>34</v>
      </c>
      <c r="I1056" s="2">
        <v>1</v>
      </c>
      <c r="J1056" s="3">
        <v>340</v>
      </c>
      <c r="K1056" s="4">
        <v>0</v>
      </c>
      <c r="L1056" s="3">
        <v>340</v>
      </c>
      <c r="M1056" t="b">
        <v>1</v>
      </c>
      <c r="N1056" s="2">
        <f>YEAR(B1056)</f>
        <v>2026</v>
      </c>
      <c r="O1056" t="str">
        <f>INDEX(Agences!$C:$C,MATCH(F1056,Agences!$A:$A,0))</f>
        <v>Nord</v>
      </c>
      <c r="P1056" t="str">
        <f>INDEX(Produits!$C:$C,MATCH(H1056,Produits!$A:$A,0))</f>
        <v>Informatique</v>
      </c>
      <c r="Q1056" s="3">
        <f>I1056*INDEX(Produits!$E:$E,MATCH(H1056,Produits!$A:$A,0))</f>
        <v>275.4</v>
      </c>
      <c r="R1056" s="3">
        <f>L1056-Q1056</f>
        <v>64.60000000000002</v>
      </c>
      <c r="S1056" s="2">
        <f>NETWORKDAYS(B1056,C1056)-1</f>
        <v>5</v>
      </c>
      <c r="T1056" s="1">
        <f>WORKDAY(B1056,5)</f>
        <v>46129</v>
      </c>
      <c r="U1056" t="b">
        <f>C1056&gt;T1056</f>
        <v>0</v>
      </c>
    </row>
    <row r="1057" spans="1:21" x14ac:dyDescent="0.25">
      <c r="A1057" t="s">
        <v>895</v>
      </c>
      <c r="B1057" s="1">
        <v>46122</v>
      </c>
      <c r="C1057" s="1">
        <v>46128</v>
      </c>
      <c r="D1057" t="s">
        <v>861</v>
      </c>
      <c r="E1057" t="s">
        <v>175</v>
      </c>
      <c r="F1057" t="s">
        <v>76</v>
      </c>
      <c r="G1057" t="s">
        <v>232</v>
      </c>
      <c r="H1057" t="s">
        <v>150</v>
      </c>
      <c r="I1057" s="2">
        <v>1</v>
      </c>
      <c r="J1057" s="3">
        <v>790</v>
      </c>
      <c r="K1057" s="4">
        <v>0</v>
      </c>
      <c r="L1057" s="3">
        <v>790</v>
      </c>
      <c r="M1057" t="b">
        <v>1</v>
      </c>
      <c r="N1057" s="2">
        <f>YEAR(B1057)</f>
        <v>2026</v>
      </c>
      <c r="O1057" t="str">
        <f>INDEX(Agences!$C:$C,MATCH(F1057,Agences!$A:$A,0))</f>
        <v>Île-de-France</v>
      </c>
      <c r="P1057" t="str">
        <f>INDEX(Produits!$C:$C,MATCH(H1057,Produits!$A:$A,0))</f>
        <v>Informatique</v>
      </c>
      <c r="Q1057" s="3">
        <f>I1057*INDEX(Produits!$E:$E,MATCH(H1057,Produits!$A:$A,0))</f>
        <v>584.6</v>
      </c>
      <c r="R1057" s="3">
        <f>L1057-Q1057</f>
        <v>205.39999999999998</v>
      </c>
      <c r="S1057" s="2">
        <f>NETWORKDAYS(B1057,C1057)-1</f>
        <v>4</v>
      </c>
      <c r="T1057" s="1">
        <f>WORKDAY(B1057,5)</f>
        <v>46129</v>
      </c>
      <c r="U1057" t="b">
        <f>C1057&gt;T1057</f>
        <v>0</v>
      </c>
    </row>
    <row r="1058" spans="1:21" x14ac:dyDescent="0.25">
      <c r="A1058" t="s">
        <v>895</v>
      </c>
      <c r="B1058" s="1">
        <v>46122</v>
      </c>
      <c r="C1058" s="1">
        <v>46128</v>
      </c>
      <c r="D1058" t="s">
        <v>861</v>
      </c>
      <c r="E1058" t="s">
        <v>175</v>
      </c>
      <c r="F1058" t="s">
        <v>76</v>
      </c>
      <c r="G1058" t="s">
        <v>232</v>
      </c>
      <c r="H1058" t="s">
        <v>49</v>
      </c>
      <c r="I1058" s="2">
        <v>2</v>
      </c>
      <c r="J1058" s="3">
        <v>120</v>
      </c>
      <c r="K1058" s="4">
        <v>0</v>
      </c>
      <c r="L1058" s="3">
        <v>240</v>
      </c>
      <c r="M1058" t="b">
        <v>1</v>
      </c>
      <c r="N1058" s="2">
        <f>YEAR(B1058)</f>
        <v>2026</v>
      </c>
      <c r="O1058" t="str">
        <f>INDEX(Agences!$C:$C,MATCH(F1058,Agences!$A:$A,0))</f>
        <v>Île-de-France</v>
      </c>
      <c r="P1058" t="str">
        <f>INDEX(Produits!$C:$C,MATCH(H1058,Produits!$A:$A,0))</f>
        <v>Maintenance</v>
      </c>
      <c r="Q1058" s="3">
        <f>I1058*INDEX(Produits!$E:$E,MATCH(H1058,Produits!$A:$A,0))</f>
        <v>110.4</v>
      </c>
      <c r="R1058" s="3">
        <f>L1058-Q1058</f>
        <v>129.6</v>
      </c>
      <c r="S1058" s="2">
        <f>NETWORKDAYS(B1058,C1058)-1</f>
        <v>4</v>
      </c>
      <c r="T1058" s="1">
        <f>WORKDAY(B1058,5)</f>
        <v>46129</v>
      </c>
      <c r="U1058" t="b">
        <f>C1058&gt;T1058</f>
        <v>0</v>
      </c>
    </row>
    <row r="1059" spans="1:21" x14ac:dyDescent="0.25">
      <c r="A1059" t="s">
        <v>896</v>
      </c>
      <c r="B1059" s="1">
        <v>46122</v>
      </c>
      <c r="C1059" s="1">
        <v>46129</v>
      </c>
      <c r="D1059" t="s">
        <v>897</v>
      </c>
      <c r="E1059" t="s">
        <v>87</v>
      </c>
      <c r="F1059" t="s">
        <v>88</v>
      </c>
      <c r="G1059" t="s">
        <v>142</v>
      </c>
      <c r="H1059" t="s">
        <v>206</v>
      </c>
      <c r="I1059" s="2">
        <v>10</v>
      </c>
      <c r="J1059" s="3">
        <v>34</v>
      </c>
      <c r="K1059" s="4">
        <v>0</v>
      </c>
      <c r="L1059" s="3">
        <v>340</v>
      </c>
      <c r="M1059" t="b">
        <v>1</v>
      </c>
      <c r="N1059" s="2">
        <f>YEAR(B1059)</f>
        <v>2026</v>
      </c>
      <c r="O1059" t="str">
        <f>INDEX(Agences!$C:$C,MATCH(F1059,Agences!$A:$A,0))</f>
        <v>Sud-Ouest</v>
      </c>
      <c r="P1059" t="str">
        <f>INDEX(Produits!$C:$C,MATCH(H1059,Produits!$A:$A,0))</f>
        <v>Fournitures</v>
      </c>
      <c r="Q1059" s="3">
        <f>I1059*INDEX(Produits!$E:$E,MATCH(H1059,Produits!$A:$A,0))</f>
        <v>193.79999999999998</v>
      </c>
      <c r="R1059" s="3">
        <f>L1059-Q1059</f>
        <v>146.20000000000002</v>
      </c>
      <c r="S1059" s="2">
        <f>NETWORKDAYS(B1059,C1059)-1</f>
        <v>5</v>
      </c>
      <c r="T1059" s="1">
        <f>WORKDAY(B1059,5)</f>
        <v>46129</v>
      </c>
      <c r="U1059" t="b">
        <f>C1059&gt;T1059</f>
        <v>0</v>
      </c>
    </row>
    <row r="1060" spans="1:21" x14ac:dyDescent="0.25">
      <c r="A1060" t="s">
        <v>896</v>
      </c>
      <c r="B1060" s="1">
        <v>46122</v>
      </c>
      <c r="C1060" s="1">
        <v>46129</v>
      </c>
      <c r="D1060" t="s">
        <v>897</v>
      </c>
      <c r="E1060" t="s">
        <v>87</v>
      </c>
      <c r="F1060" t="s">
        <v>88</v>
      </c>
      <c r="G1060" t="s">
        <v>142</v>
      </c>
      <c r="H1060" t="s">
        <v>49</v>
      </c>
      <c r="I1060" s="2">
        <v>1</v>
      </c>
      <c r="J1060" s="3">
        <v>120</v>
      </c>
      <c r="K1060" s="4">
        <v>0.1</v>
      </c>
      <c r="L1060" s="3">
        <v>108</v>
      </c>
      <c r="M1060" t="b">
        <v>1</v>
      </c>
      <c r="N1060" s="2">
        <f>YEAR(B1060)</f>
        <v>2026</v>
      </c>
      <c r="O1060" t="str">
        <f>INDEX(Agences!$C:$C,MATCH(F1060,Agences!$A:$A,0))</f>
        <v>Sud-Ouest</v>
      </c>
      <c r="P1060" t="str">
        <f>INDEX(Produits!$C:$C,MATCH(H1060,Produits!$A:$A,0))</f>
        <v>Maintenance</v>
      </c>
      <c r="Q1060" s="3">
        <f>I1060*INDEX(Produits!$E:$E,MATCH(H1060,Produits!$A:$A,0))</f>
        <v>55.2</v>
      </c>
      <c r="R1060" s="3">
        <f>L1060-Q1060</f>
        <v>52.8</v>
      </c>
      <c r="S1060" s="2">
        <f>NETWORKDAYS(B1060,C1060)-1</f>
        <v>5</v>
      </c>
      <c r="T1060" s="1">
        <f>WORKDAY(B1060,5)</f>
        <v>46129</v>
      </c>
      <c r="U1060" t="b">
        <f>C1060&gt;T1060</f>
        <v>0</v>
      </c>
    </row>
    <row r="1061" spans="1:21" x14ac:dyDescent="0.25">
      <c r="A1061" t="s">
        <v>896</v>
      </c>
      <c r="B1061" s="1">
        <v>46122</v>
      </c>
      <c r="C1061" s="1">
        <v>46129</v>
      </c>
      <c r="D1061" t="s">
        <v>897</v>
      </c>
      <c r="E1061" t="s">
        <v>87</v>
      </c>
      <c r="F1061" t="s">
        <v>88</v>
      </c>
      <c r="G1061" t="s">
        <v>142</v>
      </c>
      <c r="H1061" t="s">
        <v>33</v>
      </c>
      <c r="I1061" s="2">
        <v>1</v>
      </c>
      <c r="J1061" s="3">
        <v>219</v>
      </c>
      <c r="K1061" s="4">
        <v>0.05</v>
      </c>
      <c r="L1061" s="3">
        <v>208.05</v>
      </c>
      <c r="M1061" t="b">
        <v>1</v>
      </c>
      <c r="N1061" s="2">
        <f>YEAR(B1061)</f>
        <v>2026</v>
      </c>
      <c r="O1061" t="str">
        <f>INDEX(Agences!$C:$C,MATCH(F1061,Agences!$A:$A,0))</f>
        <v>Sud-Ouest</v>
      </c>
      <c r="P1061" t="str">
        <f>INDEX(Produits!$C:$C,MATCH(H1061,Produits!$A:$A,0))</f>
        <v>Informatique</v>
      </c>
      <c r="Q1061" s="3">
        <f>I1061*INDEX(Produits!$E:$E,MATCH(H1061,Produits!$A:$A,0))</f>
        <v>179.58</v>
      </c>
      <c r="R1061" s="3">
        <f>L1061-Q1061</f>
        <v>28.47</v>
      </c>
      <c r="S1061" s="2">
        <f>NETWORKDAYS(B1061,C1061)-1</f>
        <v>5</v>
      </c>
      <c r="T1061" s="1">
        <f>WORKDAY(B1061,5)</f>
        <v>46129</v>
      </c>
      <c r="U1061" t="b">
        <f>C1061&gt;T1061</f>
        <v>0</v>
      </c>
    </row>
    <row r="1062" spans="1:21" x14ac:dyDescent="0.25">
      <c r="A1062" t="s">
        <v>896</v>
      </c>
      <c r="B1062" s="1">
        <v>46122</v>
      </c>
      <c r="C1062" s="1">
        <v>46129</v>
      </c>
      <c r="D1062" t="s">
        <v>897</v>
      </c>
      <c r="E1062" t="s">
        <v>87</v>
      </c>
      <c r="F1062" t="s">
        <v>88</v>
      </c>
      <c r="G1062" t="s">
        <v>142</v>
      </c>
      <c r="H1062" t="s">
        <v>42</v>
      </c>
      <c r="I1062" s="2">
        <v>1</v>
      </c>
      <c r="J1062" s="3">
        <v>55</v>
      </c>
      <c r="K1062" s="4">
        <v>0.02</v>
      </c>
      <c r="L1062" s="3">
        <v>53.9</v>
      </c>
      <c r="M1062" t="b">
        <v>1</v>
      </c>
      <c r="N1062" s="2">
        <f>YEAR(B1062)</f>
        <v>2026</v>
      </c>
      <c r="O1062" t="str">
        <f>INDEX(Agences!$C:$C,MATCH(F1062,Agences!$A:$A,0))</f>
        <v>Sud-Ouest</v>
      </c>
      <c r="P1062" t="str">
        <f>INDEX(Produits!$C:$C,MATCH(H1062,Produits!$A:$A,0))</f>
        <v>Maintenance</v>
      </c>
      <c r="Q1062" s="3">
        <f>I1062*INDEX(Produits!$E:$E,MATCH(H1062,Produits!$A:$A,0))</f>
        <v>24.75</v>
      </c>
      <c r="R1062" s="3">
        <f>L1062-Q1062</f>
        <v>29.15</v>
      </c>
      <c r="S1062" s="2">
        <f>NETWORKDAYS(B1062,C1062)-1</f>
        <v>5</v>
      </c>
      <c r="T1062" s="1">
        <f>WORKDAY(B1062,5)</f>
        <v>46129</v>
      </c>
      <c r="U1062" t="b">
        <f>C1062&gt;T1062</f>
        <v>0</v>
      </c>
    </row>
    <row r="1063" spans="1:21" x14ac:dyDescent="0.25">
      <c r="A1063" t="s">
        <v>896</v>
      </c>
      <c r="B1063" s="1">
        <v>46122</v>
      </c>
      <c r="C1063" s="1">
        <v>46129</v>
      </c>
      <c r="D1063" t="s">
        <v>897</v>
      </c>
      <c r="E1063" t="s">
        <v>87</v>
      </c>
      <c r="F1063" t="s">
        <v>88</v>
      </c>
      <c r="G1063" t="s">
        <v>142</v>
      </c>
      <c r="H1063" t="s">
        <v>84</v>
      </c>
      <c r="I1063" s="2">
        <v>1</v>
      </c>
      <c r="J1063" s="3">
        <v>420</v>
      </c>
      <c r="K1063" s="4">
        <v>0</v>
      </c>
      <c r="L1063" s="3">
        <v>420</v>
      </c>
      <c r="M1063" t="b">
        <v>1</v>
      </c>
      <c r="N1063" s="2">
        <f>YEAR(B1063)</f>
        <v>2026</v>
      </c>
      <c r="O1063" t="str">
        <f>INDEX(Agences!$C:$C,MATCH(F1063,Agences!$A:$A,0))</f>
        <v>Sud-Ouest</v>
      </c>
      <c r="P1063" t="str">
        <f>INDEX(Produits!$C:$C,MATCH(H1063,Produits!$A:$A,0))</f>
        <v>Mobilier</v>
      </c>
      <c r="Q1063" s="3">
        <f>I1063*INDEX(Produits!$E:$E,MATCH(H1063,Produits!$A:$A,0))</f>
        <v>243.6</v>
      </c>
      <c r="R1063" s="3">
        <f>L1063-Q1063</f>
        <v>176.4</v>
      </c>
      <c r="S1063" s="2">
        <f>NETWORKDAYS(B1063,C1063)-1</f>
        <v>5</v>
      </c>
      <c r="T1063" s="1">
        <f>WORKDAY(B1063,5)</f>
        <v>46129</v>
      </c>
      <c r="U1063" t="b">
        <f>C1063&gt;T1063</f>
        <v>0</v>
      </c>
    </row>
    <row r="1064" spans="1:21" x14ac:dyDescent="0.25">
      <c r="A1064" t="s">
        <v>898</v>
      </c>
      <c r="B1064" s="1">
        <v>46121</v>
      </c>
      <c r="C1064" s="1">
        <v>46126</v>
      </c>
      <c r="D1064" t="s">
        <v>899</v>
      </c>
      <c r="E1064" t="s">
        <v>122</v>
      </c>
      <c r="F1064" t="s">
        <v>24</v>
      </c>
      <c r="G1064" t="s">
        <v>25</v>
      </c>
      <c r="H1064" t="s">
        <v>162</v>
      </c>
      <c r="I1064" s="2">
        <v>1</v>
      </c>
      <c r="J1064" s="3">
        <v>289</v>
      </c>
      <c r="K1064" s="4">
        <v>0</v>
      </c>
      <c r="L1064" s="3">
        <v>289</v>
      </c>
      <c r="M1064" t="b">
        <v>1</v>
      </c>
      <c r="N1064" s="2">
        <f>YEAR(B1064)</f>
        <v>2026</v>
      </c>
      <c r="O1064" t="str">
        <f>INDEX(Agences!$C:$C,MATCH(F1064,Agences!$A:$A,0))</f>
        <v>Nord</v>
      </c>
      <c r="P1064" t="str">
        <f>INDEX(Produits!$C:$C,MATCH(H1064,Produits!$A:$A,0))</f>
        <v>Mobilier</v>
      </c>
      <c r="Q1064" s="3">
        <f>I1064*INDEX(Produits!$E:$E,MATCH(H1064,Produits!$A:$A,0))</f>
        <v>193.63</v>
      </c>
      <c r="R1064" s="3">
        <f>L1064-Q1064</f>
        <v>95.37</v>
      </c>
      <c r="S1064" s="2">
        <f>NETWORKDAYS(B1064,C1064)-1</f>
        <v>3</v>
      </c>
      <c r="T1064" s="1">
        <f>WORKDAY(B1064,5)</f>
        <v>46128</v>
      </c>
      <c r="U1064" t="b">
        <f>C1064&gt;T1064</f>
        <v>0</v>
      </c>
    </row>
    <row r="1065" spans="1:21" x14ac:dyDescent="0.25">
      <c r="A1065" t="s">
        <v>900</v>
      </c>
      <c r="B1065" s="1">
        <v>46121</v>
      </c>
      <c r="C1065" s="1">
        <v>46126</v>
      </c>
      <c r="D1065" t="s">
        <v>699</v>
      </c>
      <c r="E1065" t="s">
        <v>165</v>
      </c>
      <c r="F1065" t="s">
        <v>166</v>
      </c>
      <c r="G1065" t="s">
        <v>179</v>
      </c>
      <c r="H1065" t="s">
        <v>83</v>
      </c>
      <c r="I1065" s="2">
        <v>3</v>
      </c>
      <c r="J1065" s="3">
        <v>49</v>
      </c>
      <c r="K1065" s="4">
        <v>0.02</v>
      </c>
      <c r="L1065" s="3">
        <v>144.06</v>
      </c>
      <c r="M1065" t="b">
        <v>1</v>
      </c>
      <c r="N1065" s="2">
        <f>YEAR(B1065)</f>
        <v>2026</v>
      </c>
      <c r="O1065" t="str">
        <f>INDEX(Agences!$C:$C,MATCH(F1065,Agences!$A:$A,0))</f>
        <v>Ouest</v>
      </c>
      <c r="P1065" t="str">
        <f>INDEX(Produits!$C:$C,MATCH(H1065,Produits!$A:$A,0))</f>
        <v>Mobilier</v>
      </c>
      <c r="Q1065" s="3">
        <f>I1065*INDEX(Produits!$E:$E,MATCH(H1065,Produits!$A:$A,0))</f>
        <v>85.26</v>
      </c>
      <c r="R1065" s="3">
        <f>L1065-Q1065</f>
        <v>58.8</v>
      </c>
      <c r="S1065" s="2">
        <f>NETWORKDAYS(B1065,C1065)-1</f>
        <v>3</v>
      </c>
      <c r="T1065" s="1">
        <f>WORKDAY(B1065,5)</f>
        <v>46128</v>
      </c>
      <c r="U1065" t="b">
        <f>C1065&gt;T1065</f>
        <v>0</v>
      </c>
    </row>
    <row r="1066" spans="1:21" x14ac:dyDescent="0.25">
      <c r="A1066" t="s">
        <v>900</v>
      </c>
      <c r="B1066" s="1">
        <v>46121</v>
      </c>
      <c r="C1066" s="1">
        <v>46126</v>
      </c>
      <c r="D1066" t="s">
        <v>699</v>
      </c>
      <c r="E1066" t="s">
        <v>165</v>
      </c>
      <c r="F1066" t="s">
        <v>166</v>
      </c>
      <c r="G1066" t="s">
        <v>179</v>
      </c>
      <c r="H1066" t="s">
        <v>127</v>
      </c>
      <c r="I1066" s="2">
        <v>1</v>
      </c>
      <c r="J1066" s="3">
        <v>649</v>
      </c>
      <c r="K1066" s="4">
        <v>0</v>
      </c>
      <c r="L1066" s="3">
        <v>649</v>
      </c>
      <c r="M1066" t="b">
        <v>1</v>
      </c>
      <c r="N1066" s="2">
        <f>YEAR(B1066)</f>
        <v>2026</v>
      </c>
      <c r="O1066" t="str">
        <f>INDEX(Agences!$C:$C,MATCH(F1066,Agences!$A:$A,0))</f>
        <v>Ouest</v>
      </c>
      <c r="P1066" t="str">
        <f>INDEX(Produits!$C:$C,MATCH(H1066,Produits!$A:$A,0))</f>
        <v>Informatique</v>
      </c>
      <c r="Q1066" s="3">
        <f>I1066*INDEX(Produits!$E:$E,MATCH(H1066,Produits!$A:$A,0))</f>
        <v>480.26</v>
      </c>
      <c r="R1066" s="3">
        <f>L1066-Q1066</f>
        <v>168.74</v>
      </c>
      <c r="S1066" s="2">
        <f>NETWORKDAYS(B1066,C1066)-1</f>
        <v>3</v>
      </c>
      <c r="T1066" s="1">
        <f>WORKDAY(B1066,5)</f>
        <v>46128</v>
      </c>
      <c r="U1066" t="b">
        <f>C1066&gt;T1066</f>
        <v>0</v>
      </c>
    </row>
    <row r="1067" spans="1:21" x14ac:dyDescent="0.25">
      <c r="A1067" t="s">
        <v>900</v>
      </c>
      <c r="B1067" s="1">
        <v>46121</v>
      </c>
      <c r="C1067" s="1">
        <v>46126</v>
      </c>
      <c r="D1067" t="s">
        <v>699</v>
      </c>
      <c r="E1067" t="s">
        <v>165</v>
      </c>
      <c r="F1067" t="s">
        <v>166</v>
      </c>
      <c r="G1067" t="s">
        <v>179</v>
      </c>
      <c r="H1067" t="s">
        <v>33</v>
      </c>
      <c r="I1067" s="2">
        <v>1</v>
      </c>
      <c r="J1067" s="3">
        <v>219</v>
      </c>
      <c r="K1067" s="4">
        <v>0.02</v>
      </c>
      <c r="L1067" s="3">
        <v>214.62</v>
      </c>
      <c r="M1067" t="b">
        <v>1</v>
      </c>
      <c r="N1067" s="2">
        <f>YEAR(B1067)</f>
        <v>2026</v>
      </c>
      <c r="O1067" t="str">
        <f>INDEX(Agences!$C:$C,MATCH(F1067,Agences!$A:$A,0))</f>
        <v>Ouest</v>
      </c>
      <c r="P1067" t="str">
        <f>INDEX(Produits!$C:$C,MATCH(H1067,Produits!$A:$A,0))</f>
        <v>Informatique</v>
      </c>
      <c r="Q1067" s="3">
        <f>I1067*INDEX(Produits!$E:$E,MATCH(H1067,Produits!$A:$A,0))</f>
        <v>179.58</v>
      </c>
      <c r="R1067" s="3">
        <f>L1067-Q1067</f>
        <v>35.03999999999999</v>
      </c>
      <c r="S1067" s="2">
        <f>NETWORKDAYS(B1067,C1067)-1</f>
        <v>3</v>
      </c>
      <c r="T1067" s="1">
        <f>WORKDAY(B1067,5)</f>
        <v>46128</v>
      </c>
      <c r="U1067" t="b">
        <f>C1067&gt;T1067</f>
        <v>0</v>
      </c>
    </row>
    <row r="1068" spans="1:21" x14ac:dyDescent="0.25">
      <c r="A1068" t="s">
        <v>900</v>
      </c>
      <c r="B1068" s="1">
        <v>46121</v>
      </c>
      <c r="C1068" s="1">
        <v>46126</v>
      </c>
      <c r="D1068" t="s">
        <v>699</v>
      </c>
      <c r="E1068" t="s">
        <v>165</v>
      </c>
      <c r="F1068" t="s">
        <v>166</v>
      </c>
      <c r="G1068" t="s">
        <v>179</v>
      </c>
      <c r="H1068" t="s">
        <v>205</v>
      </c>
      <c r="I1068" s="2">
        <v>1</v>
      </c>
      <c r="J1068" s="3">
        <v>359</v>
      </c>
      <c r="K1068" s="4">
        <v>0</v>
      </c>
      <c r="L1068" s="3">
        <v>359</v>
      </c>
      <c r="M1068" t="b">
        <v>1</v>
      </c>
      <c r="N1068" s="2">
        <f>YEAR(B1068)</f>
        <v>2026</v>
      </c>
      <c r="O1068" t="str">
        <f>INDEX(Agences!$C:$C,MATCH(F1068,Agences!$A:$A,0))</f>
        <v>Ouest</v>
      </c>
      <c r="P1068" t="str">
        <f>INDEX(Produits!$C:$C,MATCH(H1068,Produits!$A:$A,0))</f>
        <v>Mobilier</v>
      </c>
      <c r="Q1068" s="3">
        <f>I1068*INDEX(Produits!$E:$E,MATCH(H1068,Produits!$A:$A,0))</f>
        <v>204.63</v>
      </c>
      <c r="R1068" s="3">
        <f>L1068-Q1068</f>
        <v>154.37</v>
      </c>
      <c r="S1068" s="2">
        <f>NETWORKDAYS(B1068,C1068)-1</f>
        <v>3</v>
      </c>
      <c r="T1068" s="1">
        <f>WORKDAY(B1068,5)</f>
        <v>46128</v>
      </c>
      <c r="U1068" t="b">
        <f>C1068&gt;T1068</f>
        <v>0</v>
      </c>
    </row>
    <row r="1069" spans="1:21" x14ac:dyDescent="0.25">
      <c r="A1069" t="s">
        <v>901</v>
      </c>
      <c r="B1069" s="1">
        <v>46121</v>
      </c>
      <c r="C1069" s="1">
        <v>46125</v>
      </c>
      <c r="D1069" t="s">
        <v>902</v>
      </c>
      <c r="E1069" t="s">
        <v>225</v>
      </c>
      <c r="F1069" t="s">
        <v>88</v>
      </c>
      <c r="G1069" t="s">
        <v>226</v>
      </c>
      <c r="H1069" t="s">
        <v>35</v>
      </c>
      <c r="I1069" s="2">
        <v>1</v>
      </c>
      <c r="J1069" s="3">
        <v>79</v>
      </c>
      <c r="K1069" s="4">
        <v>0</v>
      </c>
      <c r="L1069" s="3">
        <v>79</v>
      </c>
      <c r="M1069" t="b">
        <v>1</v>
      </c>
      <c r="N1069" s="2">
        <f>YEAR(B1069)</f>
        <v>2026</v>
      </c>
      <c r="O1069" t="str">
        <f>INDEX(Agences!$C:$C,MATCH(F1069,Agences!$A:$A,0))</f>
        <v>Sud-Ouest</v>
      </c>
      <c r="P1069" t="str">
        <f>INDEX(Produits!$C:$C,MATCH(H1069,Produits!$A:$A,0))</f>
        <v>Mobilier</v>
      </c>
      <c r="Q1069" s="3">
        <f>I1069*INDEX(Produits!$E:$E,MATCH(H1069,Produits!$A:$A,0))</f>
        <v>46.61</v>
      </c>
      <c r="R1069" s="3">
        <f>L1069-Q1069</f>
        <v>32.39</v>
      </c>
      <c r="S1069" s="2">
        <f>NETWORKDAYS(B1069,C1069)-1</f>
        <v>2</v>
      </c>
      <c r="T1069" s="1">
        <f>WORKDAY(B1069,5)</f>
        <v>46128</v>
      </c>
      <c r="U1069" t="b">
        <f>C1069&gt;T1069</f>
        <v>0</v>
      </c>
    </row>
    <row r="1070" spans="1:21" x14ac:dyDescent="0.25">
      <c r="A1070" t="s">
        <v>903</v>
      </c>
      <c r="B1070" s="1">
        <v>46121</v>
      </c>
      <c r="C1070" s="1">
        <v>46122</v>
      </c>
      <c r="D1070" t="s">
        <v>904</v>
      </c>
      <c r="E1070" t="s">
        <v>87</v>
      </c>
      <c r="F1070" t="s">
        <v>88</v>
      </c>
      <c r="G1070" t="s">
        <v>142</v>
      </c>
      <c r="H1070" t="s">
        <v>107</v>
      </c>
      <c r="I1070" s="2">
        <v>1</v>
      </c>
      <c r="J1070" s="3">
        <v>99</v>
      </c>
      <c r="K1070" s="4">
        <v>0.02</v>
      </c>
      <c r="L1070" s="3">
        <v>97.02</v>
      </c>
      <c r="M1070" t="b">
        <v>1</v>
      </c>
      <c r="N1070" s="2">
        <f>YEAR(B1070)</f>
        <v>2026</v>
      </c>
      <c r="O1070" t="str">
        <f>INDEX(Agences!$C:$C,MATCH(F1070,Agences!$A:$A,0))</f>
        <v>Sud-Ouest</v>
      </c>
      <c r="P1070" t="str">
        <f>INDEX(Produits!$C:$C,MATCH(H1070,Produits!$A:$A,0))</f>
        <v>Informatique</v>
      </c>
      <c r="Q1070" s="3">
        <f>I1070*INDEX(Produits!$E:$E,MATCH(H1070,Produits!$A:$A,0))</f>
        <v>75.24</v>
      </c>
      <c r="R1070" s="3">
        <f>L1070-Q1070</f>
        <v>21.78</v>
      </c>
      <c r="S1070" s="2">
        <f>NETWORKDAYS(B1070,C1070)-1</f>
        <v>1</v>
      </c>
      <c r="T1070" s="1">
        <f>WORKDAY(B1070,5)</f>
        <v>46128</v>
      </c>
      <c r="U1070" t="b">
        <f>C1070&gt;T1070</f>
        <v>0</v>
      </c>
    </row>
    <row r="1071" spans="1:21" x14ac:dyDescent="0.25">
      <c r="A1071" t="s">
        <v>905</v>
      </c>
      <c r="B1071" s="1">
        <v>46120</v>
      </c>
      <c r="C1071" s="1">
        <v>46125</v>
      </c>
      <c r="D1071" t="s">
        <v>906</v>
      </c>
      <c r="E1071" t="s">
        <v>175</v>
      </c>
      <c r="F1071" t="s">
        <v>76</v>
      </c>
      <c r="G1071" t="s">
        <v>77</v>
      </c>
      <c r="H1071" t="s">
        <v>112</v>
      </c>
      <c r="I1071" s="2">
        <v>1</v>
      </c>
      <c r="J1071" s="3">
        <v>129</v>
      </c>
      <c r="K1071" s="4">
        <v>0</v>
      </c>
      <c r="L1071" s="3">
        <v>129</v>
      </c>
      <c r="M1071" t="b">
        <v>1</v>
      </c>
      <c r="N1071" s="2">
        <f>YEAR(B1071)</f>
        <v>2026</v>
      </c>
      <c r="O1071" t="str">
        <f>INDEX(Agences!$C:$C,MATCH(F1071,Agences!$A:$A,0))</f>
        <v>Île-de-France</v>
      </c>
      <c r="P1071" t="str">
        <f>INDEX(Produits!$C:$C,MATCH(H1071,Produits!$A:$A,0))</f>
        <v>Mobilier</v>
      </c>
      <c r="Q1071" s="3">
        <f>I1071*INDEX(Produits!$E:$E,MATCH(H1071,Produits!$A:$A,0))</f>
        <v>86.43</v>
      </c>
      <c r="R1071" s="3">
        <f>L1071-Q1071</f>
        <v>42.56999999999999</v>
      </c>
      <c r="S1071" s="2">
        <f>NETWORKDAYS(B1071,C1071)-1</f>
        <v>3</v>
      </c>
      <c r="T1071" s="1">
        <f>WORKDAY(B1071,5)</f>
        <v>46127</v>
      </c>
      <c r="U1071" t="b">
        <f>C1071&gt;T1071</f>
        <v>0</v>
      </c>
    </row>
    <row r="1072" spans="1:21" x14ac:dyDescent="0.25">
      <c r="A1072" t="s">
        <v>905</v>
      </c>
      <c r="B1072" s="1">
        <v>46120</v>
      </c>
      <c r="C1072" s="1">
        <v>46125</v>
      </c>
      <c r="D1072" t="s">
        <v>906</v>
      </c>
      <c r="E1072" t="s">
        <v>175</v>
      </c>
      <c r="F1072" t="s">
        <v>76</v>
      </c>
      <c r="G1072" t="s">
        <v>77</v>
      </c>
      <c r="H1072" t="s">
        <v>107</v>
      </c>
      <c r="I1072" s="2">
        <v>4</v>
      </c>
      <c r="J1072" s="3">
        <v>99</v>
      </c>
      <c r="K1072" s="4">
        <v>0.05</v>
      </c>
      <c r="L1072" s="3">
        <v>376.2</v>
      </c>
      <c r="M1072" t="b">
        <v>1</v>
      </c>
      <c r="N1072" s="2">
        <f>YEAR(B1072)</f>
        <v>2026</v>
      </c>
      <c r="O1072" t="str">
        <f>INDEX(Agences!$C:$C,MATCH(F1072,Agences!$A:$A,0))</f>
        <v>Île-de-France</v>
      </c>
      <c r="P1072" t="str">
        <f>INDEX(Produits!$C:$C,MATCH(H1072,Produits!$A:$A,0))</f>
        <v>Informatique</v>
      </c>
      <c r="Q1072" s="3">
        <f>I1072*INDEX(Produits!$E:$E,MATCH(H1072,Produits!$A:$A,0))</f>
        <v>300.96</v>
      </c>
      <c r="R1072" s="3">
        <f>L1072-Q1072</f>
        <v>75.24000000000001</v>
      </c>
      <c r="S1072" s="2">
        <f>NETWORKDAYS(B1072,C1072)-1</f>
        <v>3</v>
      </c>
      <c r="T1072" s="1">
        <f>WORKDAY(B1072,5)</f>
        <v>46127</v>
      </c>
      <c r="U1072" t="b">
        <f>C1072&gt;T1072</f>
        <v>0</v>
      </c>
    </row>
    <row r="1073" spans="1:21" x14ac:dyDescent="0.25">
      <c r="A1073" t="s">
        <v>907</v>
      </c>
      <c r="B1073" s="1">
        <v>46120</v>
      </c>
      <c r="C1073" s="1">
        <v>46126</v>
      </c>
      <c r="D1073" t="s">
        <v>908</v>
      </c>
      <c r="E1073" t="s">
        <v>30</v>
      </c>
      <c r="F1073" t="s">
        <v>31</v>
      </c>
      <c r="G1073" t="s">
        <v>186</v>
      </c>
      <c r="H1073" t="s">
        <v>84</v>
      </c>
      <c r="I1073" s="2">
        <v>3</v>
      </c>
      <c r="J1073" s="3">
        <v>420</v>
      </c>
      <c r="K1073" s="4">
        <v>0.08</v>
      </c>
      <c r="L1073" s="3">
        <v>1159.2</v>
      </c>
      <c r="M1073" t="b">
        <v>1</v>
      </c>
      <c r="N1073" s="2">
        <f>YEAR(B1073)</f>
        <v>2026</v>
      </c>
      <c r="O1073" t="str">
        <f>INDEX(Agences!$C:$C,MATCH(F1073,Agences!$A:$A,0))</f>
        <v>Ouest</v>
      </c>
      <c r="P1073" t="str">
        <f>INDEX(Produits!$C:$C,MATCH(H1073,Produits!$A:$A,0))</f>
        <v>Mobilier</v>
      </c>
      <c r="Q1073" s="3">
        <f>I1073*INDEX(Produits!$E:$E,MATCH(H1073,Produits!$A:$A,0))</f>
        <v>730.8</v>
      </c>
      <c r="R1073" s="3">
        <f>L1073-Q1073</f>
        <v>428.4000000000001</v>
      </c>
      <c r="S1073" s="2">
        <f>NETWORKDAYS(B1073,C1073)-1</f>
        <v>4</v>
      </c>
      <c r="T1073" s="1">
        <f>WORKDAY(B1073,5)</f>
        <v>46127</v>
      </c>
      <c r="U1073" t="b">
        <f>C1073&gt;T1073</f>
        <v>0</v>
      </c>
    </row>
    <row r="1074" spans="1:21" x14ac:dyDescent="0.25">
      <c r="A1074" t="s">
        <v>909</v>
      </c>
      <c r="B1074" s="1">
        <v>46119</v>
      </c>
      <c r="C1074" s="1">
        <v>46125</v>
      </c>
      <c r="D1074" t="s">
        <v>386</v>
      </c>
      <c r="E1074" t="s">
        <v>172</v>
      </c>
      <c r="F1074" t="s">
        <v>99</v>
      </c>
      <c r="G1074" t="s">
        <v>210</v>
      </c>
      <c r="H1074" t="s">
        <v>237</v>
      </c>
      <c r="I1074" s="2">
        <v>1</v>
      </c>
      <c r="J1074" s="3">
        <v>890</v>
      </c>
      <c r="K1074" s="4">
        <v>0.08</v>
      </c>
      <c r="L1074" s="3">
        <v>818.8</v>
      </c>
      <c r="M1074" t="b">
        <v>1</v>
      </c>
      <c r="N1074" s="2">
        <f>YEAR(B1074)</f>
        <v>2026</v>
      </c>
      <c r="O1074" t="str">
        <f>INDEX(Agences!$C:$C,MATCH(F1074,Agences!$A:$A,0))</f>
        <v>Nord</v>
      </c>
      <c r="P1074" t="str">
        <f>INDEX(Produits!$C:$C,MATCH(H1074,Produits!$A:$A,0))</f>
        <v>Mobilier</v>
      </c>
      <c r="Q1074" s="3">
        <f>I1074*INDEX(Produits!$E:$E,MATCH(H1074,Produits!$A:$A,0))</f>
        <v>596.3</v>
      </c>
      <c r="R1074" s="3">
        <f>L1074-Q1074</f>
        <v>222.5</v>
      </c>
      <c r="S1074" s="2">
        <f>NETWORKDAYS(B1074,C1074)-1</f>
        <v>4</v>
      </c>
      <c r="T1074" s="1">
        <f>WORKDAY(B1074,5)</f>
        <v>46126</v>
      </c>
      <c r="U1074" t="b">
        <f>C1074&gt;T1074</f>
        <v>0</v>
      </c>
    </row>
    <row r="1075" spans="1:21" x14ac:dyDescent="0.25">
      <c r="A1075" t="s">
        <v>909</v>
      </c>
      <c r="B1075" s="1">
        <v>46119</v>
      </c>
      <c r="C1075" s="1">
        <v>46125</v>
      </c>
      <c r="D1075" t="s">
        <v>386</v>
      </c>
      <c r="E1075" t="s">
        <v>172</v>
      </c>
      <c r="F1075" t="s">
        <v>99</v>
      </c>
      <c r="G1075" t="s">
        <v>210</v>
      </c>
      <c r="H1075" t="s">
        <v>162</v>
      </c>
      <c r="I1075" s="2">
        <v>1</v>
      </c>
      <c r="J1075" s="3">
        <v>289</v>
      </c>
      <c r="K1075" s="4">
        <v>0</v>
      </c>
      <c r="L1075" s="3">
        <v>289</v>
      </c>
      <c r="M1075" t="b">
        <v>1</v>
      </c>
      <c r="N1075" s="2">
        <f>YEAR(B1075)</f>
        <v>2026</v>
      </c>
      <c r="O1075" t="str">
        <f>INDEX(Agences!$C:$C,MATCH(F1075,Agences!$A:$A,0))</f>
        <v>Nord</v>
      </c>
      <c r="P1075" t="str">
        <f>INDEX(Produits!$C:$C,MATCH(H1075,Produits!$A:$A,0))</f>
        <v>Mobilier</v>
      </c>
      <c r="Q1075" s="3">
        <f>I1075*INDEX(Produits!$E:$E,MATCH(H1075,Produits!$A:$A,0))</f>
        <v>193.63</v>
      </c>
      <c r="R1075" s="3">
        <f>L1075-Q1075</f>
        <v>95.37</v>
      </c>
      <c r="S1075" s="2">
        <f>NETWORKDAYS(B1075,C1075)-1</f>
        <v>4</v>
      </c>
      <c r="T1075" s="1">
        <f>WORKDAY(B1075,5)</f>
        <v>46126</v>
      </c>
      <c r="U1075" t="b">
        <f>C1075&gt;T1075</f>
        <v>0</v>
      </c>
    </row>
    <row r="1076" spans="1:21" x14ac:dyDescent="0.25">
      <c r="A1076" t="s">
        <v>909</v>
      </c>
      <c r="B1076" s="1">
        <v>46119</v>
      </c>
      <c r="C1076" s="1">
        <v>46125</v>
      </c>
      <c r="D1076" t="s">
        <v>386</v>
      </c>
      <c r="E1076" t="s">
        <v>172</v>
      </c>
      <c r="F1076" t="s">
        <v>99</v>
      </c>
      <c r="G1076" t="s">
        <v>210</v>
      </c>
      <c r="H1076" t="s">
        <v>72</v>
      </c>
      <c r="I1076" s="2">
        <v>4</v>
      </c>
      <c r="J1076" s="3">
        <v>179</v>
      </c>
      <c r="K1076" s="4">
        <v>0.05</v>
      </c>
      <c r="L1076" s="3">
        <v>680.2</v>
      </c>
      <c r="M1076" t="b">
        <v>1</v>
      </c>
      <c r="N1076" s="2">
        <f>YEAR(B1076)</f>
        <v>2026</v>
      </c>
      <c r="O1076" t="str">
        <f>INDEX(Agences!$C:$C,MATCH(F1076,Agences!$A:$A,0))</f>
        <v>Nord</v>
      </c>
      <c r="P1076" t="str">
        <f>INDEX(Produits!$C:$C,MATCH(H1076,Produits!$A:$A,0))</f>
        <v>Informatique</v>
      </c>
      <c r="Q1076" s="3">
        <f>I1076*INDEX(Produits!$E:$E,MATCH(H1076,Produits!$A:$A,0))</f>
        <v>587.12</v>
      </c>
      <c r="R1076" s="3">
        <f>L1076-Q1076</f>
        <v>93.08000000000004</v>
      </c>
      <c r="S1076" s="2">
        <f>NETWORKDAYS(B1076,C1076)-1</f>
        <v>4</v>
      </c>
      <c r="T1076" s="1">
        <f>WORKDAY(B1076,5)</f>
        <v>46126</v>
      </c>
      <c r="U1076" t="b">
        <f>C1076&gt;T1076</f>
        <v>0</v>
      </c>
    </row>
    <row r="1077" spans="1:21" x14ac:dyDescent="0.25">
      <c r="A1077" t="s">
        <v>909</v>
      </c>
      <c r="B1077" s="1">
        <v>46119</v>
      </c>
      <c r="C1077" s="1">
        <v>46125</v>
      </c>
      <c r="D1077" t="s">
        <v>386</v>
      </c>
      <c r="E1077" t="s">
        <v>172</v>
      </c>
      <c r="F1077" t="s">
        <v>99</v>
      </c>
      <c r="G1077" t="s">
        <v>210</v>
      </c>
      <c r="H1077" t="s">
        <v>57</v>
      </c>
      <c r="I1077" s="2">
        <v>1</v>
      </c>
      <c r="J1077" s="3">
        <v>149</v>
      </c>
      <c r="K1077" s="4">
        <v>0.02</v>
      </c>
      <c r="L1077" s="3">
        <v>146.02</v>
      </c>
      <c r="M1077" t="b">
        <v>1</v>
      </c>
      <c r="N1077" s="2">
        <f>YEAR(B1077)</f>
        <v>2026</v>
      </c>
      <c r="O1077" t="str">
        <f>INDEX(Agences!$C:$C,MATCH(F1077,Agences!$A:$A,0))</f>
        <v>Nord</v>
      </c>
      <c r="P1077" t="str">
        <f>INDEX(Produits!$C:$C,MATCH(H1077,Produits!$A:$A,0))</f>
        <v>Informatique</v>
      </c>
      <c r="Q1077" s="3">
        <f>I1077*INDEX(Produits!$E:$E,MATCH(H1077,Produits!$A:$A,0))</f>
        <v>114.73</v>
      </c>
      <c r="R1077" s="3">
        <f>L1077-Q1077</f>
        <v>31.290000000000006</v>
      </c>
      <c r="S1077" s="2">
        <f>NETWORKDAYS(B1077,C1077)-1</f>
        <v>4</v>
      </c>
      <c r="T1077" s="1">
        <f>WORKDAY(B1077,5)</f>
        <v>46126</v>
      </c>
      <c r="U1077" t="b">
        <f>C1077&gt;T1077</f>
        <v>0</v>
      </c>
    </row>
    <row r="1078" spans="1:21" x14ac:dyDescent="0.25">
      <c r="A1078" t="s">
        <v>909</v>
      </c>
      <c r="B1078" s="1">
        <v>46119</v>
      </c>
      <c r="C1078" s="1">
        <v>46125</v>
      </c>
      <c r="D1078" t="s">
        <v>386</v>
      </c>
      <c r="E1078" t="s">
        <v>172</v>
      </c>
      <c r="F1078" t="s">
        <v>99</v>
      </c>
      <c r="G1078" t="s">
        <v>210</v>
      </c>
      <c r="H1078" t="s">
        <v>108</v>
      </c>
      <c r="I1078" s="2">
        <v>15</v>
      </c>
      <c r="J1078" s="3">
        <v>24.5</v>
      </c>
      <c r="K1078" s="4">
        <v>0.08</v>
      </c>
      <c r="L1078" s="3">
        <v>338.1</v>
      </c>
      <c r="M1078" t="b">
        <v>1</v>
      </c>
      <c r="N1078" s="2">
        <f>YEAR(B1078)</f>
        <v>2026</v>
      </c>
      <c r="O1078" t="str">
        <f>INDEX(Agences!$C:$C,MATCH(F1078,Agences!$A:$A,0))</f>
        <v>Nord</v>
      </c>
      <c r="P1078" t="str">
        <f>INDEX(Produits!$C:$C,MATCH(H1078,Produits!$A:$A,0))</f>
        <v>Fournitures</v>
      </c>
      <c r="Q1078" s="3">
        <f>I1078*INDEX(Produits!$E:$E,MATCH(H1078,Produits!$A:$A,0))</f>
        <v>220.5</v>
      </c>
      <c r="R1078" s="3">
        <f>L1078-Q1078</f>
        <v>117.60000000000002</v>
      </c>
      <c r="S1078" s="2">
        <f>NETWORKDAYS(B1078,C1078)-1</f>
        <v>4</v>
      </c>
      <c r="T1078" s="1">
        <f>WORKDAY(B1078,5)</f>
        <v>46126</v>
      </c>
      <c r="U1078" t="b">
        <f>C1078&gt;T1078</f>
        <v>0</v>
      </c>
    </row>
    <row r="1079" spans="1:21" x14ac:dyDescent="0.25">
      <c r="A1079" t="s">
        <v>910</v>
      </c>
      <c r="B1079" s="1">
        <v>46119</v>
      </c>
      <c r="C1079" s="1">
        <v>46122</v>
      </c>
      <c r="D1079" t="s">
        <v>911</v>
      </c>
      <c r="E1079" t="s">
        <v>399</v>
      </c>
      <c r="F1079" t="s">
        <v>166</v>
      </c>
      <c r="G1079" t="s">
        <v>167</v>
      </c>
      <c r="H1079" t="s">
        <v>162</v>
      </c>
      <c r="I1079" s="2">
        <v>1</v>
      </c>
      <c r="J1079" s="3">
        <v>289</v>
      </c>
      <c r="K1079" s="4">
        <v>0</v>
      </c>
      <c r="L1079" s="3">
        <v>289</v>
      </c>
      <c r="M1079" t="b">
        <v>1</v>
      </c>
      <c r="N1079" s="2">
        <f>YEAR(B1079)</f>
        <v>2026</v>
      </c>
      <c r="O1079" t="str">
        <f>INDEX(Agences!$C:$C,MATCH(F1079,Agences!$A:$A,0))</f>
        <v>Ouest</v>
      </c>
      <c r="P1079" t="str">
        <f>INDEX(Produits!$C:$C,MATCH(H1079,Produits!$A:$A,0))</f>
        <v>Mobilier</v>
      </c>
      <c r="Q1079" s="3">
        <f>I1079*INDEX(Produits!$E:$E,MATCH(H1079,Produits!$A:$A,0))</f>
        <v>193.63</v>
      </c>
      <c r="R1079" s="3">
        <f>L1079-Q1079</f>
        <v>95.37</v>
      </c>
      <c r="S1079" s="2">
        <f>NETWORKDAYS(B1079,C1079)-1</f>
        <v>3</v>
      </c>
      <c r="T1079" s="1">
        <f>WORKDAY(B1079,5)</f>
        <v>46126</v>
      </c>
      <c r="U1079" t="b">
        <f>C1079&gt;T1079</f>
        <v>0</v>
      </c>
    </row>
    <row r="1080" spans="1:21" x14ac:dyDescent="0.25">
      <c r="A1080" t="s">
        <v>910</v>
      </c>
      <c r="B1080" s="1">
        <v>46119</v>
      </c>
      <c r="C1080" s="1">
        <v>46122</v>
      </c>
      <c r="D1080" t="s">
        <v>911</v>
      </c>
      <c r="E1080" t="s">
        <v>399</v>
      </c>
      <c r="F1080" t="s">
        <v>166</v>
      </c>
      <c r="G1080" t="s">
        <v>167</v>
      </c>
      <c r="H1080" t="s">
        <v>72</v>
      </c>
      <c r="I1080" s="2">
        <v>1</v>
      </c>
      <c r="J1080" s="3">
        <v>179</v>
      </c>
      <c r="K1080" s="4">
        <v>0</v>
      </c>
      <c r="L1080" s="3">
        <v>179</v>
      </c>
      <c r="M1080" t="b">
        <v>1</v>
      </c>
      <c r="N1080" s="2">
        <f>YEAR(B1080)</f>
        <v>2026</v>
      </c>
      <c r="O1080" t="str">
        <f>INDEX(Agences!$C:$C,MATCH(F1080,Agences!$A:$A,0))</f>
        <v>Ouest</v>
      </c>
      <c r="P1080" t="str">
        <f>INDEX(Produits!$C:$C,MATCH(H1080,Produits!$A:$A,0))</f>
        <v>Informatique</v>
      </c>
      <c r="Q1080" s="3">
        <f>I1080*INDEX(Produits!$E:$E,MATCH(H1080,Produits!$A:$A,0))</f>
        <v>146.78</v>
      </c>
      <c r="R1080" s="3">
        <f>L1080-Q1080</f>
        <v>32.22</v>
      </c>
      <c r="S1080" s="2">
        <f>NETWORKDAYS(B1080,C1080)-1</f>
        <v>3</v>
      </c>
      <c r="T1080" s="1">
        <f>WORKDAY(B1080,5)</f>
        <v>46126</v>
      </c>
      <c r="U1080" t="b">
        <f>C1080&gt;T1080</f>
        <v>0</v>
      </c>
    </row>
    <row r="1081" spans="1:21" x14ac:dyDescent="0.25">
      <c r="A1081" t="s">
        <v>912</v>
      </c>
      <c r="B1081" s="1">
        <v>46119</v>
      </c>
      <c r="C1081" s="1">
        <v>46121</v>
      </c>
      <c r="D1081" t="s">
        <v>913</v>
      </c>
      <c r="E1081" t="s">
        <v>339</v>
      </c>
      <c r="F1081" t="s">
        <v>31</v>
      </c>
      <c r="G1081" t="s">
        <v>375</v>
      </c>
      <c r="H1081" t="s">
        <v>42</v>
      </c>
      <c r="I1081" s="2">
        <v>2</v>
      </c>
      <c r="J1081" s="3">
        <v>55</v>
      </c>
      <c r="K1081" s="4">
        <v>0.1</v>
      </c>
      <c r="L1081" s="3">
        <v>99</v>
      </c>
      <c r="M1081" t="b">
        <v>1</v>
      </c>
      <c r="N1081" s="2">
        <f>YEAR(B1081)</f>
        <v>2026</v>
      </c>
      <c r="O1081" t="str">
        <f>INDEX(Agences!$C:$C,MATCH(F1081,Agences!$A:$A,0))</f>
        <v>Ouest</v>
      </c>
      <c r="P1081" t="str">
        <f>INDEX(Produits!$C:$C,MATCH(H1081,Produits!$A:$A,0))</f>
        <v>Maintenance</v>
      </c>
      <c r="Q1081" s="3">
        <f>I1081*INDEX(Produits!$E:$E,MATCH(H1081,Produits!$A:$A,0))</f>
        <v>49.5</v>
      </c>
      <c r="R1081" s="3">
        <f>L1081-Q1081</f>
        <v>49.5</v>
      </c>
      <c r="S1081" s="2">
        <f>NETWORKDAYS(B1081,C1081)-1</f>
        <v>2</v>
      </c>
      <c r="T1081" s="1">
        <f>WORKDAY(B1081,5)</f>
        <v>46126</v>
      </c>
      <c r="U1081" t="b">
        <f>C1081&gt;T1081</f>
        <v>0</v>
      </c>
    </row>
    <row r="1082" spans="1:21" x14ac:dyDescent="0.25">
      <c r="A1082" t="s">
        <v>914</v>
      </c>
      <c r="B1082" s="1">
        <v>46119</v>
      </c>
      <c r="C1082" s="1">
        <v>46122</v>
      </c>
      <c r="D1082" t="s">
        <v>453</v>
      </c>
      <c r="E1082" t="s">
        <v>130</v>
      </c>
      <c r="F1082" t="s">
        <v>39</v>
      </c>
      <c r="G1082" t="s">
        <v>131</v>
      </c>
      <c r="H1082" t="s">
        <v>50</v>
      </c>
      <c r="I1082" s="2">
        <v>2</v>
      </c>
      <c r="J1082" s="3">
        <v>69</v>
      </c>
      <c r="K1082" s="4">
        <v>0</v>
      </c>
      <c r="L1082" s="3">
        <v>138</v>
      </c>
      <c r="M1082" t="b">
        <v>1</v>
      </c>
      <c r="N1082" s="2">
        <f>YEAR(B1082)</f>
        <v>2026</v>
      </c>
      <c r="O1082" t="str">
        <f>INDEX(Agences!$C:$C,MATCH(F1082,Agences!$A:$A,0))</f>
        <v>Sud-Ouest</v>
      </c>
      <c r="P1082" t="str">
        <f>INDEX(Produits!$C:$C,MATCH(H1082,Produits!$A:$A,0))</f>
        <v>Informatique</v>
      </c>
      <c r="Q1082" s="3">
        <f>I1082*INDEX(Produits!$E:$E,MATCH(H1082,Produits!$A:$A,0))</f>
        <v>109.02</v>
      </c>
      <c r="R1082" s="3">
        <f>L1082-Q1082</f>
        <v>28.980000000000004</v>
      </c>
      <c r="S1082" s="2">
        <f>NETWORKDAYS(B1082,C1082)-1</f>
        <v>3</v>
      </c>
      <c r="T1082" s="1">
        <f>WORKDAY(B1082,5)</f>
        <v>46126</v>
      </c>
      <c r="U1082" t="b">
        <f>C1082&gt;T1082</f>
        <v>0</v>
      </c>
    </row>
    <row r="1083" spans="1:21" x14ac:dyDescent="0.25">
      <c r="A1083" t="s">
        <v>914</v>
      </c>
      <c r="B1083" s="1">
        <v>46119</v>
      </c>
      <c r="C1083" s="1">
        <v>46122</v>
      </c>
      <c r="D1083" t="s">
        <v>453</v>
      </c>
      <c r="E1083" t="s">
        <v>130</v>
      </c>
      <c r="F1083" t="s">
        <v>39</v>
      </c>
      <c r="G1083" t="s">
        <v>131</v>
      </c>
      <c r="H1083" t="s">
        <v>49</v>
      </c>
      <c r="I1083" s="2">
        <v>1</v>
      </c>
      <c r="J1083" s="3">
        <v>120</v>
      </c>
      <c r="K1083" s="4">
        <v>0.05</v>
      </c>
      <c r="L1083" s="3">
        <v>114</v>
      </c>
      <c r="M1083" t="b">
        <v>1</v>
      </c>
      <c r="N1083" s="2">
        <f>YEAR(B1083)</f>
        <v>2026</v>
      </c>
      <c r="O1083" t="str">
        <f>INDEX(Agences!$C:$C,MATCH(F1083,Agences!$A:$A,0))</f>
        <v>Sud-Ouest</v>
      </c>
      <c r="P1083" t="str">
        <f>INDEX(Produits!$C:$C,MATCH(H1083,Produits!$A:$A,0))</f>
        <v>Maintenance</v>
      </c>
      <c r="Q1083" s="3">
        <f>I1083*INDEX(Produits!$E:$E,MATCH(H1083,Produits!$A:$A,0))</f>
        <v>55.2</v>
      </c>
      <c r="R1083" s="3">
        <f>L1083-Q1083</f>
        <v>58.8</v>
      </c>
      <c r="S1083" s="2">
        <f>NETWORKDAYS(B1083,C1083)-1</f>
        <v>3</v>
      </c>
      <c r="T1083" s="1">
        <f>WORKDAY(B1083,5)</f>
        <v>46126</v>
      </c>
      <c r="U1083" t="b">
        <f>C1083&gt;T1083</f>
        <v>0</v>
      </c>
    </row>
    <row r="1084" spans="1:21" x14ac:dyDescent="0.25">
      <c r="A1084" t="s">
        <v>914</v>
      </c>
      <c r="B1084" s="1">
        <v>46119</v>
      </c>
      <c r="C1084" s="1">
        <v>46122</v>
      </c>
      <c r="D1084" t="s">
        <v>453</v>
      </c>
      <c r="E1084" t="s">
        <v>130</v>
      </c>
      <c r="F1084" t="s">
        <v>39</v>
      </c>
      <c r="G1084" t="s">
        <v>131</v>
      </c>
      <c r="H1084" t="s">
        <v>42</v>
      </c>
      <c r="I1084" s="2">
        <v>1</v>
      </c>
      <c r="J1084" s="3">
        <v>55</v>
      </c>
      <c r="K1084" s="4">
        <v>0.05</v>
      </c>
      <c r="L1084" s="3">
        <v>52.25</v>
      </c>
      <c r="M1084" t="b">
        <v>1</v>
      </c>
      <c r="N1084" s="2">
        <f>YEAR(B1084)</f>
        <v>2026</v>
      </c>
      <c r="O1084" t="str">
        <f>INDEX(Agences!$C:$C,MATCH(F1084,Agences!$A:$A,0))</f>
        <v>Sud-Ouest</v>
      </c>
      <c r="P1084" t="str">
        <f>INDEX(Produits!$C:$C,MATCH(H1084,Produits!$A:$A,0))</f>
        <v>Maintenance</v>
      </c>
      <c r="Q1084" s="3">
        <f>I1084*INDEX(Produits!$E:$E,MATCH(H1084,Produits!$A:$A,0))</f>
        <v>24.75</v>
      </c>
      <c r="R1084" s="3">
        <f>L1084-Q1084</f>
        <v>27.5</v>
      </c>
      <c r="S1084" s="2">
        <f>NETWORKDAYS(B1084,C1084)-1</f>
        <v>3</v>
      </c>
      <c r="T1084" s="1">
        <f>WORKDAY(B1084,5)</f>
        <v>46126</v>
      </c>
      <c r="U1084" t="b">
        <f>C1084&gt;T1084</f>
        <v>0</v>
      </c>
    </row>
    <row r="1085" spans="1:21" x14ac:dyDescent="0.25">
      <c r="A1085" t="s">
        <v>915</v>
      </c>
      <c r="B1085" s="1">
        <v>46119</v>
      </c>
      <c r="C1085" s="1">
        <v>46122</v>
      </c>
      <c r="D1085" t="s">
        <v>260</v>
      </c>
      <c r="E1085" t="s">
        <v>157</v>
      </c>
      <c r="F1085" t="s">
        <v>46</v>
      </c>
      <c r="G1085" t="s">
        <v>111</v>
      </c>
      <c r="H1085" t="s">
        <v>606</v>
      </c>
      <c r="I1085" s="2">
        <v>2</v>
      </c>
      <c r="J1085" s="3">
        <v>1150</v>
      </c>
      <c r="K1085" s="4">
        <v>0</v>
      </c>
      <c r="L1085" s="3">
        <v>2300</v>
      </c>
      <c r="M1085" t="b">
        <v>1</v>
      </c>
      <c r="N1085" s="2">
        <f>YEAR(B1085)</f>
        <v>2026</v>
      </c>
      <c r="O1085" t="str">
        <f>INDEX(Agences!$C:$C,MATCH(F1085,Agences!$A:$A,0))</f>
        <v>Est</v>
      </c>
      <c r="P1085" t="str">
        <f>INDEX(Produits!$C:$C,MATCH(H1085,Produits!$A:$A,0))</f>
        <v>Mobilier</v>
      </c>
      <c r="Q1085" s="3">
        <f>I1085*INDEX(Produits!$E:$E,MATCH(H1085,Produits!$A:$A,0))</f>
        <v>1426</v>
      </c>
      <c r="R1085" s="3">
        <f>L1085-Q1085</f>
        <v>874</v>
      </c>
      <c r="S1085" s="2">
        <f>NETWORKDAYS(B1085,C1085)-1</f>
        <v>3</v>
      </c>
      <c r="T1085" s="1">
        <f>WORKDAY(B1085,5)</f>
        <v>46126</v>
      </c>
      <c r="U1085" t="b">
        <f>C1085&gt;T1085</f>
        <v>0</v>
      </c>
    </row>
    <row r="1086" spans="1:21" x14ac:dyDescent="0.25">
      <c r="A1086" t="s">
        <v>915</v>
      </c>
      <c r="B1086" s="1">
        <v>46119</v>
      </c>
      <c r="C1086" s="1">
        <v>46122</v>
      </c>
      <c r="D1086" t="s">
        <v>260</v>
      </c>
      <c r="E1086" t="s">
        <v>157</v>
      </c>
      <c r="F1086" t="s">
        <v>46</v>
      </c>
      <c r="G1086" t="s">
        <v>111</v>
      </c>
      <c r="H1086" t="s">
        <v>83</v>
      </c>
      <c r="I1086" s="2">
        <v>1</v>
      </c>
      <c r="J1086" s="3">
        <v>49</v>
      </c>
      <c r="K1086" s="4">
        <v>0.02</v>
      </c>
      <c r="L1086" s="3">
        <v>48.02</v>
      </c>
      <c r="M1086" t="b">
        <v>1</v>
      </c>
      <c r="N1086" s="2">
        <f>YEAR(B1086)</f>
        <v>2026</v>
      </c>
      <c r="O1086" t="str">
        <f>INDEX(Agences!$C:$C,MATCH(F1086,Agences!$A:$A,0))</f>
        <v>Est</v>
      </c>
      <c r="P1086" t="str">
        <f>INDEX(Produits!$C:$C,MATCH(H1086,Produits!$A:$A,0))</f>
        <v>Mobilier</v>
      </c>
      <c r="Q1086" s="3">
        <f>I1086*INDEX(Produits!$E:$E,MATCH(H1086,Produits!$A:$A,0))</f>
        <v>28.42</v>
      </c>
      <c r="R1086" s="3">
        <f>L1086-Q1086</f>
        <v>19.6</v>
      </c>
      <c r="S1086" s="2">
        <f>NETWORKDAYS(B1086,C1086)-1</f>
        <v>3</v>
      </c>
      <c r="T1086" s="1">
        <f>WORKDAY(B1086,5)</f>
        <v>46126</v>
      </c>
      <c r="U1086" t="b">
        <f>C1086&gt;T1086</f>
        <v>0</v>
      </c>
    </row>
    <row r="1087" spans="1:21" x14ac:dyDescent="0.25">
      <c r="A1087" t="s">
        <v>915</v>
      </c>
      <c r="B1087" s="1">
        <v>46119</v>
      </c>
      <c r="C1087" s="1">
        <v>46122</v>
      </c>
      <c r="D1087" t="s">
        <v>260</v>
      </c>
      <c r="E1087" t="s">
        <v>157</v>
      </c>
      <c r="F1087" t="s">
        <v>46</v>
      </c>
      <c r="G1087" t="s">
        <v>111</v>
      </c>
      <c r="H1087" t="s">
        <v>78</v>
      </c>
      <c r="I1087" s="2">
        <v>1</v>
      </c>
      <c r="J1087" s="3">
        <v>1390</v>
      </c>
      <c r="K1087" s="4">
        <v>0</v>
      </c>
      <c r="L1087" s="3">
        <v>1390</v>
      </c>
      <c r="M1087" t="b">
        <v>1</v>
      </c>
      <c r="N1087" s="2">
        <f>YEAR(B1087)</f>
        <v>2026</v>
      </c>
      <c r="O1087" t="str">
        <f>INDEX(Agences!$C:$C,MATCH(F1087,Agences!$A:$A,0))</f>
        <v>Est</v>
      </c>
      <c r="P1087" t="str">
        <f>INDEX(Produits!$C:$C,MATCH(H1087,Produits!$A:$A,0))</f>
        <v>Informatique</v>
      </c>
      <c r="Q1087" s="3">
        <f>I1087*INDEX(Produits!$E:$E,MATCH(H1087,Produits!$A:$A,0))</f>
        <v>1125.9</v>
      </c>
      <c r="R1087" s="3">
        <f>L1087-Q1087</f>
        <v>264.0999999999999</v>
      </c>
      <c r="S1087" s="2">
        <f>NETWORKDAYS(B1087,C1087)-1</f>
        <v>3</v>
      </c>
      <c r="T1087" s="1">
        <f>WORKDAY(B1087,5)</f>
        <v>46126</v>
      </c>
      <c r="U1087" t="b">
        <f>C1087&gt;T1087</f>
        <v>0</v>
      </c>
    </row>
    <row r="1088" spans="1:21" x14ac:dyDescent="0.25">
      <c r="A1088" t="s">
        <v>915</v>
      </c>
      <c r="B1088" s="1">
        <v>46119</v>
      </c>
      <c r="C1088" s="1">
        <v>46122</v>
      </c>
      <c r="D1088" t="s">
        <v>260</v>
      </c>
      <c r="E1088" t="s">
        <v>157</v>
      </c>
      <c r="F1088" t="s">
        <v>46</v>
      </c>
      <c r="G1088" t="s">
        <v>111</v>
      </c>
      <c r="H1088" t="s">
        <v>42</v>
      </c>
      <c r="I1088" s="2">
        <v>2</v>
      </c>
      <c r="J1088" s="3">
        <v>55</v>
      </c>
      <c r="K1088" s="4">
        <v>0.05</v>
      </c>
      <c r="L1088" s="3">
        <v>104.5</v>
      </c>
      <c r="M1088" t="b">
        <v>1</v>
      </c>
      <c r="N1088" s="2">
        <f>YEAR(B1088)</f>
        <v>2026</v>
      </c>
      <c r="O1088" t="str">
        <f>INDEX(Agences!$C:$C,MATCH(F1088,Agences!$A:$A,0))</f>
        <v>Est</v>
      </c>
      <c r="P1088" t="str">
        <f>INDEX(Produits!$C:$C,MATCH(H1088,Produits!$A:$A,0))</f>
        <v>Maintenance</v>
      </c>
      <c r="Q1088" s="3">
        <f>I1088*INDEX(Produits!$E:$E,MATCH(H1088,Produits!$A:$A,0))</f>
        <v>49.5</v>
      </c>
      <c r="R1088" s="3">
        <f>L1088-Q1088</f>
        <v>55</v>
      </c>
      <c r="S1088" s="2">
        <f>NETWORKDAYS(B1088,C1088)-1</f>
        <v>3</v>
      </c>
      <c r="T1088" s="1">
        <f>WORKDAY(B1088,5)</f>
        <v>46126</v>
      </c>
      <c r="U1088" t="b">
        <f>C1088&gt;T1088</f>
        <v>0</v>
      </c>
    </row>
    <row r="1089" spans="1:21" x14ac:dyDescent="0.25">
      <c r="A1089" t="s">
        <v>916</v>
      </c>
      <c r="B1089" s="1">
        <v>46119</v>
      </c>
      <c r="C1089" s="1">
        <v>46132</v>
      </c>
      <c r="D1089" t="s">
        <v>917</v>
      </c>
      <c r="E1089" t="s">
        <v>229</v>
      </c>
      <c r="F1089" t="s">
        <v>55</v>
      </c>
      <c r="G1089" t="s">
        <v>195</v>
      </c>
      <c r="H1089" t="s">
        <v>33</v>
      </c>
      <c r="I1089" s="2">
        <v>1</v>
      </c>
      <c r="J1089" s="3">
        <v>219</v>
      </c>
      <c r="K1089" s="4">
        <v>0.1</v>
      </c>
      <c r="L1089" s="3">
        <v>197.1</v>
      </c>
      <c r="M1089" t="b">
        <v>1</v>
      </c>
      <c r="N1089" s="2">
        <f>YEAR(B1089)</f>
        <v>2026</v>
      </c>
      <c r="O1089" t="str">
        <f>INDEX(Agences!$C:$C,MATCH(F1089,Agences!$A:$A,0))</f>
        <v>Est</v>
      </c>
      <c r="P1089" t="str">
        <f>INDEX(Produits!$C:$C,MATCH(H1089,Produits!$A:$A,0))</f>
        <v>Informatique</v>
      </c>
      <c r="Q1089" s="3">
        <f>I1089*INDEX(Produits!$E:$E,MATCH(H1089,Produits!$A:$A,0))</f>
        <v>179.58</v>
      </c>
      <c r="R1089" s="3">
        <f>L1089-Q1089</f>
        <v>17.519999999999982</v>
      </c>
      <c r="S1089" s="2">
        <f>NETWORKDAYS(B1089,C1089)-1</f>
        <v>9</v>
      </c>
      <c r="T1089" s="1">
        <f>WORKDAY(B1089,5)</f>
        <v>46126</v>
      </c>
      <c r="U1089" t="b">
        <f>C1089&gt;T1089</f>
        <v>1</v>
      </c>
    </row>
    <row r="1090" spans="1:21" x14ac:dyDescent="0.25">
      <c r="A1090" t="s">
        <v>918</v>
      </c>
      <c r="B1090" s="1">
        <v>46119</v>
      </c>
      <c r="C1090" s="1">
        <v>46184</v>
      </c>
      <c r="D1090" t="s">
        <v>917</v>
      </c>
      <c r="E1090" t="s">
        <v>229</v>
      </c>
      <c r="F1090" t="s">
        <v>55</v>
      </c>
      <c r="G1090" t="s">
        <v>56</v>
      </c>
      <c r="H1090" t="s">
        <v>64</v>
      </c>
      <c r="I1090" s="2">
        <v>15</v>
      </c>
      <c r="J1090" s="3">
        <v>16.8</v>
      </c>
      <c r="K1090" s="4">
        <v>0</v>
      </c>
      <c r="L1090" s="3">
        <v>252</v>
      </c>
      <c r="M1090" t="b">
        <v>1</v>
      </c>
      <c r="N1090" s="2">
        <f>YEAR(B1090)</f>
        <v>2026</v>
      </c>
      <c r="O1090" t="str">
        <f>INDEX(Agences!$C:$C,MATCH(F1090,Agences!$A:$A,0))</f>
        <v>Est</v>
      </c>
      <c r="P1090" t="str">
        <f>INDEX(Produits!$C:$C,MATCH(H1090,Produits!$A:$A,0))</f>
        <v>Fournitures</v>
      </c>
      <c r="Q1090" s="3">
        <f>I1090*INDEX(Produits!$E:$E,MATCH(H1090,Produits!$A:$A,0))</f>
        <v>131.1</v>
      </c>
      <c r="R1090" s="3">
        <f>L1090-Q1090</f>
        <v>120.9</v>
      </c>
      <c r="S1090" s="2">
        <f>NETWORKDAYS(B1090,C1090)-1</f>
        <v>47</v>
      </c>
      <c r="T1090" s="1">
        <f>WORKDAY(B1090,5)</f>
        <v>46126</v>
      </c>
      <c r="U1090" t="b">
        <f>C1090&gt;T1090</f>
        <v>1</v>
      </c>
    </row>
    <row r="1091" spans="1:21" x14ac:dyDescent="0.25">
      <c r="A1091" t="s">
        <v>919</v>
      </c>
      <c r="B1091" s="1">
        <v>46115</v>
      </c>
      <c r="C1091" s="1">
        <v>46118</v>
      </c>
      <c r="D1091" t="s">
        <v>920</v>
      </c>
      <c r="E1091" t="s">
        <v>137</v>
      </c>
      <c r="F1091" t="s">
        <v>138</v>
      </c>
      <c r="G1091" t="s">
        <v>214</v>
      </c>
      <c r="H1091" t="s">
        <v>57</v>
      </c>
      <c r="I1091" s="2">
        <v>1</v>
      </c>
      <c r="J1091" s="3">
        <v>149</v>
      </c>
      <c r="K1091" s="4">
        <v>0.02</v>
      </c>
      <c r="L1091" s="3">
        <v>146.02</v>
      </c>
      <c r="M1091" t="b">
        <v>1</v>
      </c>
      <c r="N1091" s="2">
        <f>YEAR(B1091)</f>
        <v>2026</v>
      </c>
      <c r="O1091" t="str">
        <f>INDEX(Agences!$C:$C,MATCH(F1091,Agences!$A:$A,0))</f>
        <v>Île-de-France</v>
      </c>
      <c r="P1091" t="str">
        <f>INDEX(Produits!$C:$C,MATCH(H1091,Produits!$A:$A,0))</f>
        <v>Informatique</v>
      </c>
      <c r="Q1091" s="3">
        <f>I1091*INDEX(Produits!$E:$E,MATCH(H1091,Produits!$A:$A,0))</f>
        <v>114.73</v>
      </c>
      <c r="R1091" s="3">
        <f>L1091-Q1091</f>
        <v>31.290000000000006</v>
      </c>
      <c r="S1091" s="2">
        <f>NETWORKDAYS(B1091,C1091)-1</f>
        <v>1</v>
      </c>
      <c r="T1091" s="1">
        <f>WORKDAY(B1091,5)</f>
        <v>46122</v>
      </c>
      <c r="U1091" t="b">
        <f>C1091&gt;T1091</f>
        <v>0</v>
      </c>
    </row>
    <row r="1092" spans="1:21" x14ac:dyDescent="0.25">
      <c r="A1092" t="s">
        <v>919</v>
      </c>
      <c r="B1092" s="1">
        <v>46115</v>
      </c>
      <c r="C1092" s="1">
        <v>46118</v>
      </c>
      <c r="D1092" t="s">
        <v>920</v>
      </c>
      <c r="E1092" t="s">
        <v>137</v>
      </c>
      <c r="F1092" t="s">
        <v>138</v>
      </c>
      <c r="G1092" t="s">
        <v>214</v>
      </c>
      <c r="H1092" t="s">
        <v>42</v>
      </c>
      <c r="I1092" s="2">
        <v>1</v>
      </c>
      <c r="J1092" s="3">
        <v>55</v>
      </c>
      <c r="K1092" s="4">
        <v>0</v>
      </c>
      <c r="L1092" s="3">
        <v>55</v>
      </c>
      <c r="M1092" t="b">
        <v>1</v>
      </c>
      <c r="N1092" s="2">
        <f>YEAR(B1092)</f>
        <v>2026</v>
      </c>
      <c r="O1092" t="str">
        <f>INDEX(Agences!$C:$C,MATCH(F1092,Agences!$A:$A,0))</f>
        <v>Île-de-France</v>
      </c>
      <c r="P1092" t="str">
        <f>INDEX(Produits!$C:$C,MATCH(H1092,Produits!$A:$A,0))</f>
        <v>Maintenance</v>
      </c>
      <c r="Q1092" s="3">
        <f>I1092*INDEX(Produits!$E:$E,MATCH(H1092,Produits!$A:$A,0))</f>
        <v>24.75</v>
      </c>
      <c r="R1092" s="3">
        <f>L1092-Q1092</f>
        <v>30.25</v>
      </c>
      <c r="S1092" s="2">
        <f>NETWORKDAYS(B1092,C1092)-1</f>
        <v>1</v>
      </c>
      <c r="T1092" s="1">
        <f>WORKDAY(B1092,5)</f>
        <v>46122</v>
      </c>
      <c r="U1092" t="b">
        <f>C1092&gt;T1092</f>
        <v>0</v>
      </c>
    </row>
    <row r="1093" spans="1:21" x14ac:dyDescent="0.25">
      <c r="A1093" t="s">
        <v>919</v>
      </c>
      <c r="B1093" s="1">
        <v>46115</v>
      </c>
      <c r="C1093" s="1">
        <v>46118</v>
      </c>
      <c r="D1093" t="s">
        <v>920</v>
      </c>
      <c r="E1093" t="s">
        <v>137</v>
      </c>
      <c r="F1093" t="s">
        <v>138</v>
      </c>
      <c r="G1093" t="s">
        <v>214</v>
      </c>
      <c r="H1093" t="s">
        <v>48</v>
      </c>
      <c r="I1093" s="2">
        <v>3</v>
      </c>
      <c r="J1093" s="3">
        <v>165</v>
      </c>
      <c r="K1093" s="4">
        <v>0</v>
      </c>
      <c r="L1093" s="3">
        <v>495</v>
      </c>
      <c r="M1093" t="b">
        <v>1</v>
      </c>
      <c r="N1093" s="2">
        <f>YEAR(B1093)</f>
        <v>2026</v>
      </c>
      <c r="O1093" t="str">
        <f>INDEX(Agences!$C:$C,MATCH(F1093,Agences!$A:$A,0))</f>
        <v>Île-de-France</v>
      </c>
      <c r="P1093" t="str">
        <f>INDEX(Produits!$C:$C,MATCH(H1093,Produits!$A:$A,0))</f>
        <v>Mobilier</v>
      </c>
      <c r="Q1093" s="3">
        <f>I1093*INDEX(Produits!$E:$E,MATCH(H1093,Produits!$A:$A,0))</f>
        <v>321.75</v>
      </c>
      <c r="R1093" s="3">
        <f>L1093-Q1093</f>
        <v>173.25</v>
      </c>
      <c r="S1093" s="2">
        <f>NETWORKDAYS(B1093,C1093)-1</f>
        <v>1</v>
      </c>
      <c r="T1093" s="1">
        <f>WORKDAY(B1093,5)</f>
        <v>46122</v>
      </c>
      <c r="U1093" t="b">
        <f>C1093&gt;T1093</f>
        <v>0</v>
      </c>
    </row>
    <row r="1094" spans="1:21" x14ac:dyDescent="0.25">
      <c r="A1094" t="s">
        <v>921</v>
      </c>
      <c r="B1094" s="1">
        <v>46115</v>
      </c>
      <c r="C1094" s="1">
        <v>46119</v>
      </c>
      <c r="D1094" t="s">
        <v>427</v>
      </c>
      <c r="E1094" t="s">
        <v>236</v>
      </c>
      <c r="F1094" t="s">
        <v>39</v>
      </c>
      <c r="G1094" t="s">
        <v>40</v>
      </c>
      <c r="H1094" t="s">
        <v>49</v>
      </c>
      <c r="I1094" s="2">
        <v>1</v>
      </c>
      <c r="J1094" s="3">
        <v>120</v>
      </c>
      <c r="K1094" s="4">
        <v>0.02</v>
      </c>
      <c r="L1094" s="3">
        <v>117.6</v>
      </c>
      <c r="M1094" t="b">
        <v>1</v>
      </c>
      <c r="N1094" s="2">
        <f>YEAR(B1094)</f>
        <v>2026</v>
      </c>
      <c r="O1094" t="str">
        <f>INDEX(Agences!$C:$C,MATCH(F1094,Agences!$A:$A,0))</f>
        <v>Sud-Ouest</v>
      </c>
      <c r="P1094" t="str">
        <f>INDEX(Produits!$C:$C,MATCH(H1094,Produits!$A:$A,0))</f>
        <v>Maintenance</v>
      </c>
      <c r="Q1094" s="3">
        <f>I1094*INDEX(Produits!$E:$E,MATCH(H1094,Produits!$A:$A,0))</f>
        <v>55.2</v>
      </c>
      <c r="R1094" s="3">
        <f>L1094-Q1094</f>
        <v>62.39999999999999</v>
      </c>
      <c r="S1094" s="2">
        <f>NETWORKDAYS(B1094,C1094)-1</f>
        <v>2</v>
      </c>
      <c r="T1094" s="1">
        <f>WORKDAY(B1094,5)</f>
        <v>46122</v>
      </c>
      <c r="U1094" t="b">
        <f>C1094&gt;T1094</f>
        <v>0</v>
      </c>
    </row>
    <row r="1095" spans="1:21" x14ac:dyDescent="0.25">
      <c r="A1095" t="s">
        <v>921</v>
      </c>
      <c r="B1095" s="1">
        <v>46115</v>
      </c>
      <c r="C1095" s="1">
        <v>46119</v>
      </c>
      <c r="D1095" t="s">
        <v>427</v>
      </c>
      <c r="E1095" t="s">
        <v>236</v>
      </c>
      <c r="F1095" t="s">
        <v>39</v>
      </c>
      <c r="G1095" t="s">
        <v>40</v>
      </c>
      <c r="H1095" t="s">
        <v>64</v>
      </c>
      <c r="I1095" s="2">
        <v>10</v>
      </c>
      <c r="J1095" s="3">
        <v>16.8</v>
      </c>
      <c r="K1095" s="4">
        <v>0.02</v>
      </c>
      <c r="L1095" s="3">
        <v>164.64</v>
      </c>
      <c r="M1095" t="b">
        <v>1</v>
      </c>
      <c r="N1095" s="2">
        <f>YEAR(B1095)</f>
        <v>2026</v>
      </c>
      <c r="O1095" t="str">
        <f>INDEX(Agences!$C:$C,MATCH(F1095,Agences!$A:$A,0))</f>
        <v>Sud-Ouest</v>
      </c>
      <c r="P1095" t="str">
        <f>INDEX(Produits!$C:$C,MATCH(H1095,Produits!$A:$A,0))</f>
        <v>Fournitures</v>
      </c>
      <c r="Q1095" s="3">
        <f>I1095*INDEX(Produits!$E:$E,MATCH(H1095,Produits!$A:$A,0))</f>
        <v>87.4</v>
      </c>
      <c r="R1095" s="3">
        <f>L1095-Q1095</f>
        <v>77.23999999999998</v>
      </c>
      <c r="S1095" s="2">
        <f>NETWORKDAYS(B1095,C1095)-1</f>
        <v>2</v>
      </c>
      <c r="T1095" s="1">
        <f>WORKDAY(B1095,5)</f>
        <v>46122</v>
      </c>
      <c r="U1095" t="b">
        <f>C1095&gt;T1095</f>
        <v>0</v>
      </c>
    </row>
    <row r="1096" spans="1:21" x14ac:dyDescent="0.25">
      <c r="A1096" t="s">
        <v>922</v>
      </c>
      <c r="B1096" s="1">
        <v>46115</v>
      </c>
      <c r="C1096" s="1">
        <v>46119</v>
      </c>
      <c r="D1096" t="s">
        <v>660</v>
      </c>
      <c r="E1096" t="s">
        <v>256</v>
      </c>
      <c r="F1096" t="s">
        <v>88</v>
      </c>
      <c r="G1096" t="s">
        <v>142</v>
      </c>
      <c r="H1096" t="s">
        <v>107</v>
      </c>
      <c r="I1096" s="2">
        <v>1</v>
      </c>
      <c r="J1096" s="3">
        <v>99</v>
      </c>
      <c r="K1096" s="4">
        <v>0</v>
      </c>
      <c r="L1096" s="3">
        <v>99</v>
      </c>
      <c r="M1096" t="b">
        <v>1</v>
      </c>
      <c r="N1096" s="2">
        <f>YEAR(B1096)</f>
        <v>2026</v>
      </c>
      <c r="O1096" t="str">
        <f>INDEX(Agences!$C:$C,MATCH(F1096,Agences!$A:$A,0))</f>
        <v>Sud-Ouest</v>
      </c>
      <c r="P1096" t="str">
        <f>INDEX(Produits!$C:$C,MATCH(H1096,Produits!$A:$A,0))</f>
        <v>Informatique</v>
      </c>
      <c r="Q1096" s="3">
        <f>I1096*INDEX(Produits!$E:$E,MATCH(H1096,Produits!$A:$A,0))</f>
        <v>75.24</v>
      </c>
      <c r="R1096" s="3">
        <f>L1096-Q1096</f>
        <v>23.760000000000005</v>
      </c>
      <c r="S1096" s="2">
        <f>NETWORKDAYS(B1096,C1096)-1</f>
        <v>2</v>
      </c>
      <c r="T1096" s="1">
        <f>WORKDAY(B1096,5)</f>
        <v>46122</v>
      </c>
      <c r="U1096" t="b">
        <f>C1096&gt;T1096</f>
        <v>0</v>
      </c>
    </row>
    <row r="1097" spans="1:21" x14ac:dyDescent="0.25">
      <c r="A1097" t="s">
        <v>922</v>
      </c>
      <c r="B1097" s="1">
        <v>46115</v>
      </c>
      <c r="C1097" s="1">
        <v>46119</v>
      </c>
      <c r="D1097" t="s">
        <v>660</v>
      </c>
      <c r="E1097" t="s">
        <v>256</v>
      </c>
      <c r="F1097" t="s">
        <v>88</v>
      </c>
      <c r="G1097" t="s">
        <v>142</v>
      </c>
      <c r="H1097" t="s">
        <v>51</v>
      </c>
      <c r="I1097" s="2">
        <v>1</v>
      </c>
      <c r="J1097" s="3">
        <v>180</v>
      </c>
      <c r="K1097" s="4">
        <v>0</v>
      </c>
      <c r="L1097" s="3">
        <v>180</v>
      </c>
      <c r="M1097" t="b">
        <v>1</v>
      </c>
      <c r="N1097" s="2">
        <f>YEAR(B1097)</f>
        <v>2026</v>
      </c>
      <c r="O1097" t="str">
        <f>INDEX(Agences!$C:$C,MATCH(F1097,Agences!$A:$A,0))</f>
        <v>Sud-Ouest</v>
      </c>
      <c r="P1097" t="str">
        <f>INDEX(Produits!$C:$C,MATCH(H1097,Produits!$A:$A,0))</f>
        <v>Maintenance</v>
      </c>
      <c r="Q1097" s="3">
        <f>I1097*INDEX(Produits!$E:$E,MATCH(H1097,Produits!$A:$A,0))</f>
        <v>82.8</v>
      </c>
      <c r="R1097" s="3">
        <f>L1097-Q1097</f>
        <v>97.2</v>
      </c>
      <c r="S1097" s="2">
        <f>NETWORKDAYS(B1097,C1097)-1</f>
        <v>2</v>
      </c>
      <c r="T1097" s="1">
        <f>WORKDAY(B1097,5)</f>
        <v>46122</v>
      </c>
      <c r="U1097" t="b">
        <f>C1097&gt;T1097</f>
        <v>0</v>
      </c>
    </row>
    <row r="1098" spans="1:21" x14ac:dyDescent="0.25">
      <c r="A1098" t="s">
        <v>923</v>
      </c>
      <c r="B1098" s="1">
        <v>46115</v>
      </c>
      <c r="C1098" s="1">
        <v>46121</v>
      </c>
      <c r="D1098" t="s">
        <v>924</v>
      </c>
      <c r="E1098" t="s">
        <v>67</v>
      </c>
      <c r="F1098" t="s">
        <v>62</v>
      </c>
      <c r="G1098" t="s">
        <v>106</v>
      </c>
      <c r="H1098" t="s">
        <v>50</v>
      </c>
      <c r="I1098" s="2">
        <v>2</v>
      </c>
      <c r="J1098" s="3">
        <v>69</v>
      </c>
      <c r="K1098" s="4">
        <v>0.28</v>
      </c>
      <c r="L1098" s="3">
        <v>99.36</v>
      </c>
      <c r="M1098" t="b">
        <v>1</v>
      </c>
      <c r="N1098" s="2">
        <f>YEAR(B1098)</f>
        <v>2026</v>
      </c>
      <c r="O1098" t="str">
        <f>INDEX(Agences!$C:$C,MATCH(F1098,Agences!$A:$A,0))</f>
        <v>Méditerranée</v>
      </c>
      <c r="P1098" t="str">
        <f>INDEX(Produits!$C:$C,MATCH(H1098,Produits!$A:$A,0))</f>
        <v>Informatique</v>
      </c>
      <c r="Q1098" s="3">
        <f>I1098*INDEX(Produits!$E:$E,MATCH(H1098,Produits!$A:$A,0))</f>
        <v>109.02</v>
      </c>
      <c r="R1098" s="3">
        <f>L1098-Q1098</f>
        <v>-9.659999999999997</v>
      </c>
      <c r="S1098" s="2">
        <f>NETWORKDAYS(B1098,C1098)-1</f>
        <v>4</v>
      </c>
      <c r="T1098" s="1">
        <f>WORKDAY(B1098,5)</f>
        <v>46122</v>
      </c>
      <c r="U1098" t="b">
        <f>C1098&gt;T1098</f>
        <v>0</v>
      </c>
    </row>
    <row r="1099" spans="1:21" x14ac:dyDescent="0.25">
      <c r="A1099" t="s">
        <v>925</v>
      </c>
      <c r="B1099" s="1">
        <v>46115</v>
      </c>
      <c r="C1099" s="1">
        <v>46121</v>
      </c>
      <c r="D1099" t="s">
        <v>926</v>
      </c>
      <c r="E1099" t="s">
        <v>45</v>
      </c>
      <c r="F1099" t="s">
        <v>46</v>
      </c>
      <c r="G1099" t="s">
        <v>158</v>
      </c>
      <c r="H1099" t="s">
        <v>161</v>
      </c>
      <c r="I1099" s="2">
        <v>5</v>
      </c>
      <c r="J1099" s="3">
        <v>32</v>
      </c>
      <c r="K1099" s="4">
        <v>0</v>
      </c>
      <c r="L1099" s="3">
        <v>160</v>
      </c>
      <c r="M1099" t="b">
        <v>1</v>
      </c>
      <c r="N1099" s="2">
        <f>YEAR(B1099)</f>
        <v>2026</v>
      </c>
      <c r="O1099" t="str">
        <f>INDEX(Agences!$C:$C,MATCH(F1099,Agences!$A:$A,0))</f>
        <v>Est</v>
      </c>
      <c r="P1099" t="str">
        <f>INDEX(Produits!$C:$C,MATCH(H1099,Produits!$A:$A,0))</f>
        <v>Fournitures</v>
      </c>
      <c r="Q1099" s="3">
        <f>I1099*INDEX(Produits!$E:$E,MATCH(H1099,Produits!$A:$A,0))</f>
        <v>88</v>
      </c>
      <c r="R1099" s="3">
        <f>L1099-Q1099</f>
        <v>72</v>
      </c>
      <c r="S1099" s="2">
        <f>NETWORKDAYS(B1099,C1099)-1</f>
        <v>4</v>
      </c>
      <c r="T1099" s="1">
        <f>WORKDAY(B1099,5)</f>
        <v>46122</v>
      </c>
      <c r="U1099" t="b">
        <f>C1099&gt;T1099</f>
        <v>0</v>
      </c>
    </row>
    <row r="1100" spans="1:21" x14ac:dyDescent="0.25">
      <c r="A1100" t="s">
        <v>927</v>
      </c>
      <c r="B1100" s="1">
        <v>46114</v>
      </c>
      <c r="C1100" s="1">
        <v>46118</v>
      </c>
      <c r="D1100" t="s">
        <v>118</v>
      </c>
      <c r="E1100" t="s">
        <v>119</v>
      </c>
      <c r="F1100" t="s">
        <v>24</v>
      </c>
      <c r="G1100" t="s">
        <v>199</v>
      </c>
      <c r="H1100" t="s">
        <v>206</v>
      </c>
      <c r="I1100" s="2">
        <v>20</v>
      </c>
      <c r="J1100" s="3">
        <v>34</v>
      </c>
      <c r="K1100" s="4">
        <v>0.02</v>
      </c>
      <c r="L1100" s="3">
        <v>666.4</v>
      </c>
      <c r="M1100" t="b">
        <v>1</v>
      </c>
      <c r="N1100" s="2">
        <f>YEAR(B1100)</f>
        <v>2026</v>
      </c>
      <c r="O1100" t="str">
        <f>INDEX(Agences!$C:$C,MATCH(F1100,Agences!$A:$A,0))</f>
        <v>Nord</v>
      </c>
      <c r="P1100" t="str">
        <f>INDEX(Produits!$C:$C,MATCH(H1100,Produits!$A:$A,0))</f>
        <v>Fournitures</v>
      </c>
      <c r="Q1100" s="3">
        <f>I1100*INDEX(Produits!$E:$E,MATCH(H1100,Produits!$A:$A,0))</f>
        <v>387.59999999999997</v>
      </c>
      <c r="R1100" s="3">
        <f>L1100-Q1100</f>
        <v>278.8</v>
      </c>
      <c r="S1100" s="2">
        <f>NETWORKDAYS(B1100,C1100)-1</f>
        <v>2</v>
      </c>
      <c r="T1100" s="1">
        <f>WORKDAY(B1100,5)</f>
        <v>46121</v>
      </c>
      <c r="U1100" t="b">
        <f>C1100&gt;T1100</f>
        <v>0</v>
      </c>
    </row>
    <row r="1101" spans="1:21" x14ac:dyDescent="0.25">
      <c r="A1101" t="s">
        <v>928</v>
      </c>
      <c r="B1101" s="1">
        <v>46114</v>
      </c>
      <c r="C1101" s="1">
        <v>46121</v>
      </c>
      <c r="D1101" t="s">
        <v>471</v>
      </c>
      <c r="E1101" t="s">
        <v>185</v>
      </c>
      <c r="F1101" t="s">
        <v>31</v>
      </c>
      <c r="G1101" t="s">
        <v>186</v>
      </c>
      <c r="H1101" t="s">
        <v>50</v>
      </c>
      <c r="I1101" s="2">
        <v>3</v>
      </c>
      <c r="J1101" s="3">
        <v>69</v>
      </c>
      <c r="K1101" s="4">
        <v>0</v>
      </c>
      <c r="L1101" s="3">
        <v>207</v>
      </c>
      <c r="M1101" t="b">
        <v>1</v>
      </c>
      <c r="N1101" s="2">
        <f>YEAR(B1101)</f>
        <v>2026</v>
      </c>
      <c r="O1101" t="str">
        <f>INDEX(Agences!$C:$C,MATCH(F1101,Agences!$A:$A,0))</f>
        <v>Ouest</v>
      </c>
      <c r="P1101" t="str">
        <f>INDEX(Produits!$C:$C,MATCH(H1101,Produits!$A:$A,0))</f>
        <v>Informatique</v>
      </c>
      <c r="Q1101" s="3">
        <f>I1101*INDEX(Produits!$E:$E,MATCH(H1101,Produits!$A:$A,0))</f>
        <v>163.53</v>
      </c>
      <c r="R1101" s="3">
        <f>L1101-Q1101</f>
        <v>43.47</v>
      </c>
      <c r="S1101" s="2">
        <f>NETWORKDAYS(B1101,C1101)-1</f>
        <v>5</v>
      </c>
      <c r="T1101" s="1">
        <f>WORKDAY(B1101,5)</f>
        <v>46121</v>
      </c>
      <c r="U1101" t="b">
        <f>C1101&gt;T1101</f>
        <v>0</v>
      </c>
    </row>
    <row r="1102" spans="1:21" x14ac:dyDescent="0.25">
      <c r="A1102" t="s">
        <v>928</v>
      </c>
      <c r="B1102" s="1">
        <v>46114</v>
      </c>
      <c r="C1102" s="1">
        <v>46121</v>
      </c>
      <c r="D1102" t="s">
        <v>471</v>
      </c>
      <c r="E1102" t="s">
        <v>185</v>
      </c>
      <c r="F1102" t="s">
        <v>31</v>
      </c>
      <c r="G1102" t="s">
        <v>186</v>
      </c>
      <c r="H1102" t="s">
        <v>48</v>
      </c>
      <c r="I1102" s="2">
        <v>2</v>
      </c>
      <c r="J1102" s="3">
        <v>165</v>
      </c>
      <c r="K1102" s="4">
        <v>0</v>
      </c>
      <c r="L1102" s="3">
        <v>330</v>
      </c>
      <c r="M1102" t="b">
        <v>1</v>
      </c>
      <c r="N1102" s="2">
        <f>YEAR(B1102)</f>
        <v>2026</v>
      </c>
      <c r="O1102" t="str">
        <f>INDEX(Agences!$C:$C,MATCH(F1102,Agences!$A:$A,0))</f>
        <v>Ouest</v>
      </c>
      <c r="P1102" t="str">
        <f>INDEX(Produits!$C:$C,MATCH(H1102,Produits!$A:$A,0))</f>
        <v>Mobilier</v>
      </c>
      <c r="Q1102" s="3">
        <f>I1102*INDEX(Produits!$E:$E,MATCH(H1102,Produits!$A:$A,0))</f>
        <v>214.5</v>
      </c>
      <c r="R1102" s="3">
        <f>L1102-Q1102</f>
        <v>115.5</v>
      </c>
      <c r="S1102" s="2">
        <f>NETWORKDAYS(B1102,C1102)-1</f>
        <v>5</v>
      </c>
      <c r="T1102" s="1">
        <f>WORKDAY(B1102,5)</f>
        <v>46121</v>
      </c>
      <c r="U1102" t="b">
        <f>C1102&gt;T1102</f>
        <v>0</v>
      </c>
    </row>
    <row r="1103" spans="1:21" x14ac:dyDescent="0.25">
      <c r="A1103" t="s">
        <v>928</v>
      </c>
      <c r="B1103" s="1">
        <v>46114</v>
      </c>
      <c r="C1103" s="1">
        <v>46121</v>
      </c>
      <c r="D1103" t="s">
        <v>471</v>
      </c>
      <c r="E1103" t="s">
        <v>185</v>
      </c>
      <c r="F1103" t="s">
        <v>31</v>
      </c>
      <c r="G1103" t="s">
        <v>186</v>
      </c>
      <c r="H1103" t="s">
        <v>107</v>
      </c>
      <c r="I1103" s="2">
        <v>3</v>
      </c>
      <c r="J1103" s="3">
        <v>99</v>
      </c>
      <c r="K1103" s="4">
        <v>0.05</v>
      </c>
      <c r="L1103" s="3">
        <v>282.15</v>
      </c>
      <c r="M1103" t="b">
        <v>1</v>
      </c>
      <c r="N1103" s="2">
        <f>YEAR(B1103)</f>
        <v>2026</v>
      </c>
      <c r="O1103" t="str">
        <f>INDEX(Agences!$C:$C,MATCH(F1103,Agences!$A:$A,0))</f>
        <v>Ouest</v>
      </c>
      <c r="P1103" t="str">
        <f>INDEX(Produits!$C:$C,MATCH(H1103,Produits!$A:$A,0))</f>
        <v>Informatique</v>
      </c>
      <c r="Q1103" s="3">
        <f>I1103*INDEX(Produits!$E:$E,MATCH(H1103,Produits!$A:$A,0))</f>
        <v>225.71999999999997</v>
      </c>
      <c r="R1103" s="3">
        <f>L1103-Q1103</f>
        <v>56.43000000000001</v>
      </c>
      <c r="S1103" s="2">
        <f>NETWORKDAYS(B1103,C1103)-1</f>
        <v>5</v>
      </c>
      <c r="T1103" s="1">
        <f>WORKDAY(B1103,5)</f>
        <v>46121</v>
      </c>
      <c r="U1103" t="b">
        <f>C1103&gt;T1103</f>
        <v>0</v>
      </c>
    </row>
    <row r="1104" spans="1:21" x14ac:dyDescent="0.25">
      <c r="A1104" t="s">
        <v>928</v>
      </c>
      <c r="B1104" s="1">
        <v>46114</v>
      </c>
      <c r="C1104" s="1">
        <v>46121</v>
      </c>
      <c r="D1104" t="s">
        <v>471</v>
      </c>
      <c r="E1104" t="s">
        <v>185</v>
      </c>
      <c r="F1104" t="s">
        <v>31</v>
      </c>
      <c r="G1104" t="s">
        <v>186</v>
      </c>
      <c r="H1104" t="s">
        <v>42</v>
      </c>
      <c r="I1104" s="2">
        <v>4</v>
      </c>
      <c r="J1104" s="3">
        <v>55</v>
      </c>
      <c r="K1104" s="4">
        <v>0.05</v>
      </c>
      <c r="L1104" s="3">
        <v>209</v>
      </c>
      <c r="M1104" t="b">
        <v>1</v>
      </c>
      <c r="N1104" s="2">
        <f>YEAR(B1104)</f>
        <v>2026</v>
      </c>
      <c r="O1104" t="str">
        <f>INDEX(Agences!$C:$C,MATCH(F1104,Agences!$A:$A,0))</f>
        <v>Ouest</v>
      </c>
      <c r="P1104" t="str">
        <f>INDEX(Produits!$C:$C,MATCH(H1104,Produits!$A:$A,0))</f>
        <v>Maintenance</v>
      </c>
      <c r="Q1104" s="3">
        <f>I1104*INDEX(Produits!$E:$E,MATCH(H1104,Produits!$A:$A,0))</f>
        <v>99</v>
      </c>
      <c r="R1104" s="3">
        <f>L1104-Q1104</f>
        <v>110</v>
      </c>
      <c r="S1104" s="2">
        <f>NETWORKDAYS(B1104,C1104)-1</f>
        <v>5</v>
      </c>
      <c r="T1104" s="1">
        <f>WORKDAY(B1104,5)</f>
        <v>46121</v>
      </c>
      <c r="U1104" t="b">
        <f>C1104&gt;T1104</f>
        <v>0</v>
      </c>
    </row>
    <row r="1105" spans="1:21" x14ac:dyDescent="0.25">
      <c r="A1105" t="s">
        <v>929</v>
      </c>
      <c r="B1105" s="1">
        <v>46114</v>
      </c>
      <c r="C1105" s="1">
        <v>46120</v>
      </c>
      <c r="D1105" t="s">
        <v>930</v>
      </c>
      <c r="E1105" t="s">
        <v>236</v>
      </c>
      <c r="F1105" t="s">
        <v>39</v>
      </c>
      <c r="G1105" t="s">
        <v>322</v>
      </c>
      <c r="H1105" t="s">
        <v>42</v>
      </c>
      <c r="I1105" s="2">
        <v>1</v>
      </c>
      <c r="J1105" s="3">
        <v>55</v>
      </c>
      <c r="K1105" s="4">
        <v>0.05</v>
      </c>
      <c r="L1105" s="3">
        <v>52.25</v>
      </c>
      <c r="M1105" t="b">
        <v>1</v>
      </c>
      <c r="N1105" s="2">
        <f>YEAR(B1105)</f>
        <v>2026</v>
      </c>
      <c r="O1105" t="str">
        <f>INDEX(Agences!$C:$C,MATCH(F1105,Agences!$A:$A,0))</f>
        <v>Sud-Ouest</v>
      </c>
      <c r="P1105" t="str">
        <f>INDEX(Produits!$C:$C,MATCH(H1105,Produits!$A:$A,0))</f>
        <v>Maintenance</v>
      </c>
      <c r="Q1105" s="3">
        <f>I1105*INDEX(Produits!$E:$E,MATCH(H1105,Produits!$A:$A,0))</f>
        <v>24.75</v>
      </c>
      <c r="R1105" s="3">
        <f>L1105-Q1105</f>
        <v>27.5</v>
      </c>
      <c r="S1105" s="2">
        <f>NETWORKDAYS(B1105,C1105)-1</f>
        <v>4</v>
      </c>
      <c r="T1105" s="1">
        <f>WORKDAY(B1105,5)</f>
        <v>46121</v>
      </c>
      <c r="U1105" t="b">
        <f>C1105&gt;T1105</f>
        <v>0</v>
      </c>
    </row>
    <row r="1106" spans="1:21" x14ac:dyDescent="0.25">
      <c r="A1106" t="s">
        <v>929</v>
      </c>
      <c r="B1106" s="1">
        <v>46114</v>
      </c>
      <c r="C1106" s="1">
        <v>46120</v>
      </c>
      <c r="D1106" t="s">
        <v>930</v>
      </c>
      <c r="E1106" t="s">
        <v>236</v>
      </c>
      <c r="F1106" t="s">
        <v>39</v>
      </c>
      <c r="G1106" t="s">
        <v>322</v>
      </c>
      <c r="H1106" t="s">
        <v>803</v>
      </c>
      <c r="I1106" s="2">
        <v>5</v>
      </c>
      <c r="J1106" s="3">
        <v>89</v>
      </c>
      <c r="K1106" s="4">
        <v>0</v>
      </c>
      <c r="L1106" s="3">
        <v>445</v>
      </c>
      <c r="M1106" t="b">
        <v>1</v>
      </c>
      <c r="N1106" s="2">
        <f>YEAR(B1106)</f>
        <v>2026</v>
      </c>
      <c r="O1106" t="str">
        <f>INDEX(Agences!$C:$C,MATCH(F1106,Agences!$A:$A,0))</f>
        <v>Sud-Ouest</v>
      </c>
      <c r="P1106" t="str">
        <f>INDEX(Produits!$C:$C,MATCH(H1106,Produits!$A:$A,0))</f>
        <v>Fournitures</v>
      </c>
      <c r="Q1106" s="3">
        <f>I1106*INDEX(Produits!$E:$E,MATCH(H1106,Produits!$A:$A,0))</f>
        <v>222.5</v>
      </c>
      <c r="R1106" s="3">
        <f>L1106-Q1106</f>
        <v>222.5</v>
      </c>
      <c r="S1106" s="2">
        <f>NETWORKDAYS(B1106,C1106)-1</f>
        <v>4</v>
      </c>
      <c r="T1106" s="1">
        <f>WORKDAY(B1106,5)</f>
        <v>46121</v>
      </c>
      <c r="U1106" t="b">
        <f>C1106&gt;T1106</f>
        <v>0</v>
      </c>
    </row>
    <row r="1107" spans="1:21" x14ac:dyDescent="0.25">
      <c r="A1107" t="s">
        <v>931</v>
      </c>
      <c r="B1107" s="1">
        <v>46114</v>
      </c>
      <c r="C1107" s="1">
        <v>46121</v>
      </c>
      <c r="D1107" t="s">
        <v>932</v>
      </c>
      <c r="E1107" t="s">
        <v>419</v>
      </c>
      <c r="F1107" t="s">
        <v>62</v>
      </c>
      <c r="G1107" t="s">
        <v>63</v>
      </c>
      <c r="H1107" t="s">
        <v>50</v>
      </c>
      <c r="I1107" s="2">
        <v>5</v>
      </c>
      <c r="J1107" s="3">
        <v>69</v>
      </c>
      <c r="K1107" s="4">
        <v>0.05</v>
      </c>
      <c r="L1107" s="3">
        <v>327.75</v>
      </c>
      <c r="M1107" t="b">
        <v>1</v>
      </c>
      <c r="N1107" s="2">
        <f>YEAR(B1107)</f>
        <v>2026</v>
      </c>
      <c r="O1107" t="str">
        <f>INDEX(Agences!$C:$C,MATCH(F1107,Agences!$A:$A,0))</f>
        <v>Méditerranée</v>
      </c>
      <c r="P1107" t="str">
        <f>INDEX(Produits!$C:$C,MATCH(H1107,Produits!$A:$A,0))</f>
        <v>Informatique</v>
      </c>
      <c r="Q1107" s="3">
        <f>I1107*INDEX(Produits!$E:$E,MATCH(H1107,Produits!$A:$A,0))</f>
        <v>272.55</v>
      </c>
      <c r="R1107" s="3">
        <f>L1107-Q1107</f>
        <v>55.19999999999999</v>
      </c>
      <c r="S1107" s="2">
        <f>NETWORKDAYS(B1107,C1107)-1</f>
        <v>5</v>
      </c>
      <c r="T1107" s="1">
        <f>WORKDAY(B1107,5)</f>
        <v>46121</v>
      </c>
      <c r="U1107" t="b">
        <f>C1107&gt;T1107</f>
        <v>0</v>
      </c>
    </row>
    <row r="1108" spans="1:21" x14ac:dyDescent="0.25">
      <c r="A1108" t="s">
        <v>931</v>
      </c>
      <c r="B1108" s="1">
        <v>46114</v>
      </c>
      <c r="C1108" s="1">
        <v>46121</v>
      </c>
      <c r="D1108" t="s">
        <v>932</v>
      </c>
      <c r="E1108" t="s">
        <v>419</v>
      </c>
      <c r="F1108" t="s">
        <v>62</v>
      </c>
      <c r="G1108" t="s">
        <v>63</v>
      </c>
      <c r="H1108" t="s">
        <v>35</v>
      </c>
      <c r="I1108" s="2">
        <v>2</v>
      </c>
      <c r="J1108" s="3">
        <v>79</v>
      </c>
      <c r="K1108" s="4">
        <v>0</v>
      </c>
      <c r="L1108" s="3">
        <v>158</v>
      </c>
      <c r="M1108" t="b">
        <v>1</v>
      </c>
      <c r="N1108" s="2">
        <f>YEAR(B1108)</f>
        <v>2026</v>
      </c>
      <c r="O1108" t="str">
        <f>INDEX(Agences!$C:$C,MATCH(F1108,Agences!$A:$A,0))</f>
        <v>Méditerranée</v>
      </c>
      <c r="P1108" t="str">
        <f>INDEX(Produits!$C:$C,MATCH(H1108,Produits!$A:$A,0))</f>
        <v>Mobilier</v>
      </c>
      <c r="Q1108" s="3">
        <f>I1108*INDEX(Produits!$E:$E,MATCH(H1108,Produits!$A:$A,0))</f>
        <v>93.22</v>
      </c>
      <c r="R1108" s="3">
        <f>L1108-Q1108</f>
        <v>64.78</v>
      </c>
      <c r="S1108" s="2">
        <f>NETWORKDAYS(B1108,C1108)-1</f>
        <v>5</v>
      </c>
      <c r="T1108" s="1">
        <f>WORKDAY(B1108,5)</f>
        <v>46121</v>
      </c>
      <c r="U1108" t="b">
        <f>C1108&gt;T1108</f>
        <v>0</v>
      </c>
    </row>
    <row r="1109" spans="1:21" x14ac:dyDescent="0.25">
      <c r="A1109" t="s">
        <v>931</v>
      </c>
      <c r="B1109" s="1">
        <v>46114</v>
      </c>
      <c r="C1109" s="1">
        <v>46121</v>
      </c>
      <c r="D1109" t="s">
        <v>932</v>
      </c>
      <c r="E1109" t="s">
        <v>419</v>
      </c>
      <c r="F1109" t="s">
        <v>62</v>
      </c>
      <c r="G1109" t="s">
        <v>63</v>
      </c>
      <c r="H1109" t="s">
        <v>108</v>
      </c>
      <c r="I1109" s="2">
        <v>5</v>
      </c>
      <c r="J1109" s="3">
        <v>24.5</v>
      </c>
      <c r="K1109" s="4">
        <v>0.05</v>
      </c>
      <c r="L1109" s="3">
        <v>116.38</v>
      </c>
      <c r="M1109" t="b">
        <v>1</v>
      </c>
      <c r="N1109" s="2">
        <f>YEAR(B1109)</f>
        <v>2026</v>
      </c>
      <c r="O1109" t="str">
        <f>INDEX(Agences!$C:$C,MATCH(F1109,Agences!$A:$A,0))</f>
        <v>Méditerranée</v>
      </c>
      <c r="P1109" t="str">
        <f>INDEX(Produits!$C:$C,MATCH(H1109,Produits!$A:$A,0))</f>
        <v>Fournitures</v>
      </c>
      <c r="Q1109" s="3">
        <f>I1109*INDEX(Produits!$E:$E,MATCH(H1109,Produits!$A:$A,0))</f>
        <v>73.5</v>
      </c>
      <c r="R1109" s="3">
        <f>L1109-Q1109</f>
        <v>42.879999999999995</v>
      </c>
      <c r="S1109" s="2">
        <f>NETWORKDAYS(B1109,C1109)-1</f>
        <v>5</v>
      </c>
      <c r="T1109" s="1">
        <f>WORKDAY(B1109,5)</f>
        <v>46121</v>
      </c>
      <c r="U1109" t="b">
        <f>C1109&gt;T1109</f>
        <v>0</v>
      </c>
    </row>
    <row r="1110" spans="1:21" x14ac:dyDescent="0.25">
      <c r="A1110" t="s">
        <v>931</v>
      </c>
      <c r="B1110" s="1">
        <v>46114</v>
      </c>
      <c r="C1110" s="1">
        <v>46121</v>
      </c>
      <c r="D1110" t="s">
        <v>932</v>
      </c>
      <c r="E1110" t="s">
        <v>419</v>
      </c>
      <c r="F1110" t="s">
        <v>62</v>
      </c>
      <c r="G1110" t="s">
        <v>63</v>
      </c>
      <c r="H1110" t="s">
        <v>79</v>
      </c>
      <c r="I1110" s="2">
        <v>10</v>
      </c>
      <c r="J1110" s="3">
        <v>14.9</v>
      </c>
      <c r="K1110" s="4">
        <v>0</v>
      </c>
      <c r="L1110" s="3">
        <v>149</v>
      </c>
      <c r="M1110" t="b">
        <v>1</v>
      </c>
      <c r="N1110" s="2">
        <f>YEAR(B1110)</f>
        <v>2026</v>
      </c>
      <c r="O1110" t="str">
        <f>INDEX(Agences!$C:$C,MATCH(F1110,Agences!$A:$A,0))</f>
        <v>Méditerranée</v>
      </c>
      <c r="P1110" t="str">
        <f>INDEX(Produits!$C:$C,MATCH(H1110,Produits!$A:$A,0))</f>
        <v>Fournitures</v>
      </c>
      <c r="Q1110" s="3">
        <f>I1110*INDEX(Produits!$E:$E,MATCH(H1110,Produits!$A:$A,0))</f>
        <v>80.5</v>
      </c>
      <c r="R1110" s="3">
        <f>L1110-Q1110</f>
        <v>68.5</v>
      </c>
      <c r="S1110" s="2">
        <f>NETWORKDAYS(B1110,C1110)-1</f>
        <v>5</v>
      </c>
      <c r="T1110" s="1">
        <f>WORKDAY(B1110,5)</f>
        <v>46121</v>
      </c>
      <c r="U1110" t="b">
        <f>C1110&gt;T1110</f>
        <v>0</v>
      </c>
    </row>
    <row r="1111" spans="1:21" x14ac:dyDescent="0.25">
      <c r="A1111" t="s">
        <v>931</v>
      </c>
      <c r="B1111" s="1">
        <v>46114</v>
      </c>
      <c r="C1111" s="1">
        <v>46121</v>
      </c>
      <c r="D1111" t="s">
        <v>932</v>
      </c>
      <c r="E1111" t="s">
        <v>419</v>
      </c>
      <c r="F1111" t="s">
        <v>62</v>
      </c>
      <c r="G1111" t="s">
        <v>63</v>
      </c>
      <c r="H1111" t="s">
        <v>205</v>
      </c>
      <c r="I1111" s="2">
        <v>1</v>
      </c>
      <c r="J1111" s="3">
        <v>359</v>
      </c>
      <c r="K1111" s="4">
        <v>0.02</v>
      </c>
      <c r="L1111" s="3">
        <v>351.82</v>
      </c>
      <c r="M1111" t="b">
        <v>1</v>
      </c>
      <c r="N1111" s="2">
        <f>YEAR(B1111)</f>
        <v>2026</v>
      </c>
      <c r="O1111" t="str">
        <f>INDEX(Agences!$C:$C,MATCH(F1111,Agences!$A:$A,0))</f>
        <v>Méditerranée</v>
      </c>
      <c r="P1111" t="str">
        <f>INDEX(Produits!$C:$C,MATCH(H1111,Produits!$A:$A,0))</f>
        <v>Mobilier</v>
      </c>
      <c r="Q1111" s="3">
        <f>I1111*INDEX(Produits!$E:$E,MATCH(H1111,Produits!$A:$A,0))</f>
        <v>204.63</v>
      </c>
      <c r="R1111" s="3">
        <f>L1111-Q1111</f>
        <v>147.19</v>
      </c>
      <c r="S1111" s="2">
        <f>NETWORKDAYS(B1111,C1111)-1</f>
        <v>5</v>
      </c>
      <c r="T1111" s="1">
        <f>WORKDAY(B1111,5)</f>
        <v>46121</v>
      </c>
      <c r="U1111" t="b">
        <f>C1111&gt;T1111</f>
        <v>0</v>
      </c>
    </row>
    <row r="1112" spans="1:21" x14ac:dyDescent="0.25">
      <c r="A1112" t="s">
        <v>933</v>
      </c>
      <c r="B1112" s="1">
        <v>46114</v>
      </c>
      <c r="C1112" s="1">
        <v>46119</v>
      </c>
      <c r="D1112" t="s">
        <v>934</v>
      </c>
      <c r="E1112" t="s">
        <v>419</v>
      </c>
      <c r="F1112" t="s">
        <v>62</v>
      </c>
      <c r="G1112" t="s">
        <v>106</v>
      </c>
      <c r="H1112" t="s">
        <v>83</v>
      </c>
      <c r="I1112" s="2">
        <v>6</v>
      </c>
      <c r="J1112" s="3">
        <v>49</v>
      </c>
      <c r="K1112" s="4">
        <v>0.28</v>
      </c>
      <c r="L1112" s="3">
        <v>211.68</v>
      </c>
      <c r="M1112" t="b">
        <v>1</v>
      </c>
      <c r="N1112" s="2">
        <f>YEAR(B1112)</f>
        <v>2026</v>
      </c>
      <c r="O1112" t="str">
        <f>INDEX(Agences!$C:$C,MATCH(F1112,Agences!$A:$A,0))</f>
        <v>Méditerranée</v>
      </c>
      <c r="P1112" t="str">
        <f>INDEX(Produits!$C:$C,MATCH(H1112,Produits!$A:$A,0))</f>
        <v>Mobilier</v>
      </c>
      <c r="Q1112" s="3">
        <f>I1112*INDEX(Produits!$E:$E,MATCH(H1112,Produits!$A:$A,0))</f>
        <v>170.52</v>
      </c>
      <c r="R1112" s="3">
        <f>L1112-Q1112</f>
        <v>41.16</v>
      </c>
      <c r="S1112" s="2">
        <f>NETWORKDAYS(B1112,C1112)-1</f>
        <v>3</v>
      </c>
      <c r="T1112" s="1">
        <f>WORKDAY(B1112,5)</f>
        <v>46121</v>
      </c>
      <c r="U1112" t="b">
        <f>C1112&gt;T1112</f>
        <v>0</v>
      </c>
    </row>
    <row r="1113" spans="1:21" x14ac:dyDescent="0.25">
      <c r="A1113" t="s">
        <v>933</v>
      </c>
      <c r="B1113" s="1">
        <v>46114</v>
      </c>
      <c r="C1113" s="1">
        <v>46119</v>
      </c>
      <c r="D1113" t="s">
        <v>934</v>
      </c>
      <c r="E1113" t="s">
        <v>419</v>
      </c>
      <c r="F1113" t="s">
        <v>62</v>
      </c>
      <c r="G1113" t="s">
        <v>106</v>
      </c>
      <c r="H1113" t="s">
        <v>72</v>
      </c>
      <c r="I1113" s="2">
        <v>6</v>
      </c>
      <c r="J1113" s="3">
        <v>179</v>
      </c>
      <c r="K1113" s="4">
        <v>0.25</v>
      </c>
      <c r="L1113" s="3">
        <v>805.5</v>
      </c>
      <c r="M1113" t="b">
        <v>1</v>
      </c>
      <c r="N1113" s="2">
        <f>YEAR(B1113)</f>
        <v>2026</v>
      </c>
      <c r="O1113" t="str">
        <f>INDEX(Agences!$C:$C,MATCH(F1113,Agences!$A:$A,0))</f>
        <v>Méditerranée</v>
      </c>
      <c r="P1113" t="str">
        <f>INDEX(Produits!$C:$C,MATCH(H1113,Produits!$A:$A,0))</f>
        <v>Informatique</v>
      </c>
      <c r="Q1113" s="3">
        <f>I1113*INDEX(Produits!$E:$E,MATCH(H1113,Produits!$A:$A,0))</f>
        <v>880.6800000000001</v>
      </c>
      <c r="R1113" s="3">
        <f>L1113-Q1113</f>
        <v>-75.18000000000006</v>
      </c>
      <c r="S1113" s="2">
        <f>NETWORKDAYS(B1113,C1113)-1</f>
        <v>3</v>
      </c>
      <c r="T1113" s="1">
        <f>WORKDAY(B1113,5)</f>
        <v>46121</v>
      </c>
      <c r="U1113" t="b">
        <f>C1113&gt;T1113</f>
        <v>0</v>
      </c>
    </row>
    <row r="1114" spans="1:21" x14ac:dyDescent="0.25">
      <c r="A1114" t="s">
        <v>933</v>
      </c>
      <c r="B1114" s="1">
        <v>46114</v>
      </c>
      <c r="C1114" s="1">
        <v>46119</v>
      </c>
      <c r="D1114" t="s">
        <v>934</v>
      </c>
      <c r="E1114" t="s">
        <v>419</v>
      </c>
      <c r="F1114" t="s">
        <v>62</v>
      </c>
      <c r="G1114" t="s">
        <v>106</v>
      </c>
      <c r="H1114" t="s">
        <v>42</v>
      </c>
      <c r="I1114" s="2">
        <v>1</v>
      </c>
      <c r="J1114" s="3">
        <v>55</v>
      </c>
      <c r="K1114" s="4">
        <v>0.28</v>
      </c>
      <c r="L1114" s="3">
        <v>39.6</v>
      </c>
      <c r="M1114" t="b">
        <v>1</v>
      </c>
      <c r="N1114" s="2">
        <f>YEAR(B1114)</f>
        <v>2026</v>
      </c>
      <c r="O1114" t="str">
        <f>INDEX(Agences!$C:$C,MATCH(F1114,Agences!$A:$A,0))</f>
        <v>Méditerranée</v>
      </c>
      <c r="P1114" t="str">
        <f>INDEX(Produits!$C:$C,MATCH(H1114,Produits!$A:$A,0))</f>
        <v>Maintenance</v>
      </c>
      <c r="Q1114" s="3">
        <f>I1114*INDEX(Produits!$E:$E,MATCH(H1114,Produits!$A:$A,0))</f>
        <v>24.75</v>
      </c>
      <c r="R1114" s="3">
        <f>L1114-Q1114</f>
        <v>14.850000000000001</v>
      </c>
      <c r="S1114" s="2">
        <f>NETWORKDAYS(B1114,C1114)-1</f>
        <v>3</v>
      </c>
      <c r="T1114" s="1">
        <f>WORKDAY(B1114,5)</f>
        <v>46121</v>
      </c>
      <c r="U1114" t="b">
        <f>C1114&gt;T1114</f>
        <v>0</v>
      </c>
    </row>
    <row r="1115" spans="1:21" x14ac:dyDescent="0.25">
      <c r="A1115" t="s">
        <v>933</v>
      </c>
      <c r="B1115" s="1">
        <v>46114</v>
      </c>
      <c r="C1115" s="1">
        <v>46119</v>
      </c>
      <c r="D1115" t="s">
        <v>934</v>
      </c>
      <c r="E1115" t="s">
        <v>419</v>
      </c>
      <c r="F1115" t="s">
        <v>62</v>
      </c>
      <c r="G1115" t="s">
        <v>106</v>
      </c>
      <c r="H1115" t="s">
        <v>90</v>
      </c>
      <c r="I1115" s="2">
        <v>5</v>
      </c>
      <c r="J1115" s="3">
        <v>22.9</v>
      </c>
      <c r="K1115" s="4">
        <v>0.22</v>
      </c>
      <c r="L1115" s="3">
        <v>89.31</v>
      </c>
      <c r="M1115" t="b">
        <v>1</v>
      </c>
      <c r="N1115" s="2">
        <f>YEAR(B1115)</f>
        <v>2026</v>
      </c>
      <c r="O1115" t="str">
        <f>INDEX(Agences!$C:$C,MATCH(F1115,Agences!$A:$A,0))</f>
        <v>Méditerranée</v>
      </c>
      <c r="P1115" t="str">
        <f>INDEX(Produits!$C:$C,MATCH(H1115,Produits!$A:$A,0))</f>
        <v>Fournitures</v>
      </c>
      <c r="Q1115" s="3">
        <f>I1115*INDEX(Produits!$E:$E,MATCH(H1115,Produits!$A:$A,0))</f>
        <v>64.1</v>
      </c>
      <c r="R1115" s="3">
        <f>L1115-Q1115</f>
        <v>25.210000000000008</v>
      </c>
      <c r="S1115" s="2">
        <f>NETWORKDAYS(B1115,C1115)-1</f>
        <v>3</v>
      </c>
      <c r="T1115" s="1">
        <f>WORKDAY(B1115,5)</f>
        <v>46121</v>
      </c>
      <c r="U1115" t="b">
        <f>C1115&gt;T1115</f>
        <v>0</v>
      </c>
    </row>
    <row r="1116" spans="1:21" x14ac:dyDescent="0.25">
      <c r="A1116" t="s">
        <v>935</v>
      </c>
      <c r="B1116" s="1">
        <v>46114</v>
      </c>
      <c r="C1116" s="1">
        <v>46121</v>
      </c>
      <c r="D1116" t="s">
        <v>458</v>
      </c>
      <c r="E1116" t="s">
        <v>419</v>
      </c>
      <c r="F1116" t="s">
        <v>62</v>
      </c>
      <c r="G1116" t="s">
        <v>63</v>
      </c>
      <c r="H1116" t="s">
        <v>319</v>
      </c>
      <c r="I1116" s="2">
        <v>2</v>
      </c>
      <c r="J1116" s="3">
        <v>289</v>
      </c>
      <c r="K1116" s="4">
        <v>0</v>
      </c>
      <c r="L1116" s="3">
        <v>578</v>
      </c>
      <c r="M1116" t="b">
        <v>1</v>
      </c>
      <c r="N1116" s="2">
        <f>YEAR(B1116)</f>
        <v>2026</v>
      </c>
      <c r="O1116" t="str">
        <f>INDEX(Agences!$C:$C,MATCH(F1116,Agences!$A:$A,0))</f>
        <v>Méditerranée</v>
      </c>
      <c r="P1116" t="str">
        <f>INDEX(Produits!$C:$C,MATCH(H1116,Produits!$A:$A,0))</f>
        <v>Informatique</v>
      </c>
      <c r="Q1116" s="3">
        <f>I1116*INDEX(Produits!$E:$E,MATCH(H1116,Produits!$A:$A,0))</f>
        <v>427.72</v>
      </c>
      <c r="R1116" s="3">
        <f>L1116-Q1116</f>
        <v>150.27999999999997</v>
      </c>
      <c r="S1116" s="2">
        <f>NETWORKDAYS(B1116,C1116)-1</f>
        <v>5</v>
      </c>
      <c r="T1116" s="1">
        <f>WORKDAY(B1116,5)</f>
        <v>46121</v>
      </c>
      <c r="U1116" t="b">
        <f>C1116&gt;T1116</f>
        <v>0</v>
      </c>
    </row>
    <row r="1117" spans="1:21" x14ac:dyDescent="0.25">
      <c r="A1117" t="s">
        <v>935</v>
      </c>
      <c r="B1117" s="1">
        <v>46114</v>
      </c>
      <c r="C1117" s="1">
        <v>46121</v>
      </c>
      <c r="D1117" t="s">
        <v>458</v>
      </c>
      <c r="E1117" t="s">
        <v>419</v>
      </c>
      <c r="F1117" t="s">
        <v>62</v>
      </c>
      <c r="G1117" t="s">
        <v>63</v>
      </c>
      <c r="H1117" t="s">
        <v>83</v>
      </c>
      <c r="I1117" s="2">
        <v>1</v>
      </c>
      <c r="J1117" s="3">
        <v>49</v>
      </c>
      <c r="K1117" s="4">
        <v>0</v>
      </c>
      <c r="L1117" s="3">
        <v>49</v>
      </c>
      <c r="M1117" t="b">
        <v>1</v>
      </c>
      <c r="N1117" s="2">
        <f>YEAR(B1117)</f>
        <v>2026</v>
      </c>
      <c r="O1117" t="str">
        <f>INDEX(Agences!$C:$C,MATCH(F1117,Agences!$A:$A,0))</f>
        <v>Méditerranée</v>
      </c>
      <c r="P1117" t="str">
        <f>INDEX(Produits!$C:$C,MATCH(H1117,Produits!$A:$A,0))</f>
        <v>Mobilier</v>
      </c>
      <c r="Q1117" s="3">
        <f>I1117*INDEX(Produits!$E:$E,MATCH(H1117,Produits!$A:$A,0))</f>
        <v>28.42</v>
      </c>
      <c r="R1117" s="3">
        <f>L1117-Q1117</f>
        <v>20.58</v>
      </c>
      <c r="S1117" s="2">
        <f>NETWORKDAYS(B1117,C1117)-1</f>
        <v>5</v>
      </c>
      <c r="T1117" s="1">
        <f>WORKDAY(B1117,5)</f>
        <v>46121</v>
      </c>
      <c r="U1117" t="b">
        <f>C1117&gt;T1117</f>
        <v>0</v>
      </c>
    </row>
    <row r="1118" spans="1:21" x14ac:dyDescent="0.25">
      <c r="A1118" t="s">
        <v>936</v>
      </c>
      <c r="B1118" s="1">
        <v>46113</v>
      </c>
      <c r="C1118" s="1">
        <v>46120</v>
      </c>
      <c r="D1118" t="s">
        <v>504</v>
      </c>
      <c r="E1118" t="s">
        <v>115</v>
      </c>
      <c r="F1118" t="s">
        <v>24</v>
      </c>
      <c r="G1118" t="s">
        <v>116</v>
      </c>
      <c r="H1118" t="s">
        <v>162</v>
      </c>
      <c r="I1118" s="2">
        <v>1</v>
      </c>
      <c r="J1118" s="3">
        <v>289</v>
      </c>
      <c r="K1118" s="4">
        <v>0.02</v>
      </c>
      <c r="L1118" s="3">
        <v>283.22</v>
      </c>
      <c r="M1118" t="b">
        <v>1</v>
      </c>
      <c r="N1118" s="2">
        <f>YEAR(B1118)</f>
        <v>2026</v>
      </c>
      <c r="O1118" t="str">
        <f>INDEX(Agences!$C:$C,MATCH(F1118,Agences!$A:$A,0))</f>
        <v>Nord</v>
      </c>
      <c r="P1118" t="str">
        <f>INDEX(Produits!$C:$C,MATCH(H1118,Produits!$A:$A,0))</f>
        <v>Mobilier</v>
      </c>
      <c r="Q1118" s="3">
        <f>I1118*INDEX(Produits!$E:$E,MATCH(H1118,Produits!$A:$A,0))</f>
        <v>193.63</v>
      </c>
      <c r="R1118" s="3">
        <f>L1118-Q1118</f>
        <v>89.59000000000003</v>
      </c>
      <c r="S1118" s="2">
        <f>NETWORKDAYS(B1118,C1118)-1</f>
        <v>5</v>
      </c>
      <c r="T1118" s="1">
        <f>WORKDAY(B1118,5)</f>
        <v>46120</v>
      </c>
      <c r="U1118" t="b">
        <f>C1118&gt;T1118</f>
        <v>0</v>
      </c>
    </row>
    <row r="1119" spans="1:21" x14ac:dyDescent="0.25">
      <c r="A1119" t="s">
        <v>937</v>
      </c>
      <c r="B1119" s="1">
        <v>46113</v>
      </c>
      <c r="C1119" s="1">
        <v>46118</v>
      </c>
      <c r="D1119" t="s">
        <v>902</v>
      </c>
      <c r="E1119" t="s">
        <v>225</v>
      </c>
      <c r="F1119" t="s">
        <v>88</v>
      </c>
      <c r="G1119" t="s">
        <v>226</v>
      </c>
      <c r="H1119" t="s">
        <v>107</v>
      </c>
      <c r="I1119" s="2">
        <v>2</v>
      </c>
      <c r="J1119" s="3">
        <v>99</v>
      </c>
      <c r="K1119" s="4">
        <v>0.05</v>
      </c>
      <c r="L1119" s="3">
        <v>188.1</v>
      </c>
      <c r="M1119" t="b">
        <v>1</v>
      </c>
      <c r="N1119" s="2">
        <f>YEAR(B1119)</f>
        <v>2026</v>
      </c>
      <c r="O1119" t="str">
        <f>INDEX(Agences!$C:$C,MATCH(F1119,Agences!$A:$A,0))</f>
        <v>Sud-Ouest</v>
      </c>
      <c r="P1119" t="str">
        <f>INDEX(Produits!$C:$C,MATCH(H1119,Produits!$A:$A,0))</f>
        <v>Informatique</v>
      </c>
      <c r="Q1119" s="3">
        <f>I1119*INDEX(Produits!$E:$E,MATCH(H1119,Produits!$A:$A,0))</f>
        <v>150.48</v>
      </c>
      <c r="R1119" s="3">
        <f>L1119-Q1119</f>
        <v>37.620000000000005</v>
      </c>
      <c r="S1119" s="2">
        <f>NETWORKDAYS(B1119,C1119)-1</f>
        <v>3</v>
      </c>
      <c r="T1119" s="1">
        <f>WORKDAY(B1119,5)</f>
        <v>46120</v>
      </c>
      <c r="U1119" t="b">
        <f>C1119&gt;T1119</f>
        <v>0</v>
      </c>
    </row>
    <row r="1120" spans="1:21" x14ac:dyDescent="0.25">
      <c r="A1120" t="s">
        <v>937</v>
      </c>
      <c r="B1120" s="1">
        <v>46113</v>
      </c>
      <c r="C1120" s="1">
        <v>46118</v>
      </c>
      <c r="D1120" t="s">
        <v>902</v>
      </c>
      <c r="E1120" t="s">
        <v>225</v>
      </c>
      <c r="F1120" t="s">
        <v>88</v>
      </c>
      <c r="G1120" t="s">
        <v>226</v>
      </c>
      <c r="H1120" t="s">
        <v>64</v>
      </c>
      <c r="I1120" s="2">
        <v>15</v>
      </c>
      <c r="J1120" s="3">
        <v>16.8</v>
      </c>
      <c r="K1120" s="4">
        <v>0.05</v>
      </c>
      <c r="L1120" s="3">
        <v>239.4</v>
      </c>
      <c r="M1120" t="b">
        <v>1</v>
      </c>
      <c r="N1120" s="2">
        <f>YEAR(B1120)</f>
        <v>2026</v>
      </c>
      <c r="O1120" t="str">
        <f>INDEX(Agences!$C:$C,MATCH(F1120,Agences!$A:$A,0))</f>
        <v>Sud-Ouest</v>
      </c>
      <c r="P1120" t="str">
        <f>INDEX(Produits!$C:$C,MATCH(H1120,Produits!$A:$A,0))</f>
        <v>Fournitures</v>
      </c>
      <c r="Q1120" s="3">
        <f>I1120*INDEX(Produits!$E:$E,MATCH(H1120,Produits!$A:$A,0))</f>
        <v>131.1</v>
      </c>
      <c r="R1120" s="3">
        <f>L1120-Q1120</f>
        <v>108.30000000000001</v>
      </c>
      <c r="S1120" s="2">
        <f>NETWORKDAYS(B1120,C1120)-1</f>
        <v>3</v>
      </c>
      <c r="T1120" s="1">
        <f>WORKDAY(B1120,5)</f>
        <v>46120</v>
      </c>
      <c r="U1120" t="b">
        <f>C1120&gt;T1120</f>
        <v>0</v>
      </c>
    </row>
    <row r="1121" spans="1:21" x14ac:dyDescent="0.25">
      <c r="A1121" t="s">
        <v>937</v>
      </c>
      <c r="B1121" s="1">
        <v>46113</v>
      </c>
      <c r="C1121" s="1">
        <v>46118</v>
      </c>
      <c r="D1121" t="s">
        <v>902</v>
      </c>
      <c r="E1121" t="s">
        <v>225</v>
      </c>
      <c r="F1121" t="s">
        <v>88</v>
      </c>
      <c r="G1121" t="s">
        <v>226</v>
      </c>
      <c r="H1121" t="s">
        <v>27</v>
      </c>
      <c r="I1121" s="2">
        <v>1</v>
      </c>
      <c r="J1121" s="3">
        <v>310</v>
      </c>
      <c r="K1121" s="4">
        <v>0.08</v>
      </c>
      <c r="L1121" s="3">
        <v>285.2</v>
      </c>
      <c r="M1121" t="b">
        <v>1</v>
      </c>
      <c r="N1121" s="2">
        <f>YEAR(B1121)</f>
        <v>2026</v>
      </c>
      <c r="O1121" t="str">
        <f>INDEX(Agences!$C:$C,MATCH(F1121,Agences!$A:$A,0))</f>
        <v>Sud-Ouest</v>
      </c>
      <c r="P1121" t="str">
        <f>INDEX(Produits!$C:$C,MATCH(H1121,Produits!$A:$A,0))</f>
        <v>Mobilier</v>
      </c>
      <c r="Q1121" s="3">
        <f>I1121*INDEX(Produits!$E:$E,MATCH(H1121,Produits!$A:$A,0))</f>
        <v>186</v>
      </c>
      <c r="R1121" s="3">
        <f>L1121-Q1121</f>
        <v>99.19999999999999</v>
      </c>
      <c r="S1121" s="2">
        <f>NETWORKDAYS(B1121,C1121)-1</f>
        <v>3</v>
      </c>
      <c r="T1121" s="1">
        <f>WORKDAY(B1121,5)</f>
        <v>46120</v>
      </c>
      <c r="U1121" t="b">
        <f>C1121&gt;T1121</f>
        <v>0</v>
      </c>
    </row>
    <row r="1122" spans="1:21" x14ac:dyDescent="0.25">
      <c r="A1122" t="s">
        <v>938</v>
      </c>
      <c r="B1122" s="1">
        <v>46113</v>
      </c>
      <c r="C1122" s="1">
        <v>46115</v>
      </c>
      <c r="D1122" t="s">
        <v>939</v>
      </c>
      <c r="E1122" t="s">
        <v>61</v>
      </c>
      <c r="F1122" t="s">
        <v>62</v>
      </c>
      <c r="G1122" t="s">
        <v>106</v>
      </c>
      <c r="H1122" t="s">
        <v>35</v>
      </c>
      <c r="I1122" s="2">
        <v>2</v>
      </c>
      <c r="J1122" s="3">
        <v>79</v>
      </c>
      <c r="K1122" s="4">
        <v>0.22</v>
      </c>
      <c r="L1122" s="3">
        <v>123.24</v>
      </c>
      <c r="M1122" t="b">
        <v>1</v>
      </c>
      <c r="N1122" s="2">
        <f>YEAR(B1122)</f>
        <v>2026</v>
      </c>
      <c r="O1122" t="str">
        <f>INDEX(Agences!$C:$C,MATCH(F1122,Agences!$A:$A,0))</f>
        <v>Méditerranée</v>
      </c>
      <c r="P1122" t="str">
        <f>INDEX(Produits!$C:$C,MATCH(H1122,Produits!$A:$A,0))</f>
        <v>Mobilier</v>
      </c>
      <c r="Q1122" s="3">
        <f>I1122*INDEX(Produits!$E:$E,MATCH(H1122,Produits!$A:$A,0))</f>
        <v>93.22</v>
      </c>
      <c r="R1122" s="3">
        <f>L1122-Q1122</f>
        <v>30.019999999999996</v>
      </c>
      <c r="S1122" s="2">
        <f>NETWORKDAYS(B1122,C1122)-1</f>
        <v>2</v>
      </c>
      <c r="T1122" s="1">
        <f>WORKDAY(B1122,5)</f>
        <v>46120</v>
      </c>
      <c r="U1122" t="b">
        <f>C1122&gt;T1122</f>
        <v>0</v>
      </c>
    </row>
    <row r="1123" spans="1:21" x14ac:dyDescent="0.25">
      <c r="A1123" t="s">
        <v>938</v>
      </c>
      <c r="B1123" s="1">
        <v>46113</v>
      </c>
      <c r="C1123" s="1">
        <v>46115</v>
      </c>
      <c r="D1123" t="s">
        <v>939</v>
      </c>
      <c r="E1123" t="s">
        <v>61</v>
      </c>
      <c r="F1123" t="s">
        <v>62</v>
      </c>
      <c r="G1123" t="s">
        <v>106</v>
      </c>
      <c r="H1123" t="s">
        <v>34</v>
      </c>
      <c r="I1123" s="2">
        <v>1</v>
      </c>
      <c r="J1123" s="3">
        <v>340</v>
      </c>
      <c r="K1123" s="4">
        <v>0.28</v>
      </c>
      <c r="L1123" s="3">
        <v>244.8</v>
      </c>
      <c r="M1123" t="b">
        <v>1</v>
      </c>
      <c r="N1123" s="2">
        <f>YEAR(B1123)</f>
        <v>2026</v>
      </c>
      <c r="O1123" t="str">
        <f>INDEX(Agences!$C:$C,MATCH(F1123,Agences!$A:$A,0))</f>
        <v>Méditerranée</v>
      </c>
      <c r="P1123" t="str">
        <f>INDEX(Produits!$C:$C,MATCH(H1123,Produits!$A:$A,0))</f>
        <v>Informatique</v>
      </c>
      <c r="Q1123" s="3">
        <f>I1123*INDEX(Produits!$E:$E,MATCH(H1123,Produits!$A:$A,0))</f>
        <v>275.4</v>
      </c>
      <c r="R1123" s="3">
        <f>L1123-Q1123</f>
        <v>-30.599999999999966</v>
      </c>
      <c r="S1123" s="2">
        <f>NETWORKDAYS(B1123,C1123)-1</f>
        <v>2</v>
      </c>
      <c r="T1123" s="1">
        <f>WORKDAY(B1123,5)</f>
        <v>46120</v>
      </c>
      <c r="U1123" t="b">
        <f>C1123&gt;T1123</f>
        <v>0</v>
      </c>
    </row>
    <row r="1124" spans="1:21" x14ac:dyDescent="0.25">
      <c r="A1124" t="s">
        <v>938</v>
      </c>
      <c r="B1124" s="1">
        <v>46113</v>
      </c>
      <c r="C1124" s="1">
        <v>46115</v>
      </c>
      <c r="D1124" t="s">
        <v>939</v>
      </c>
      <c r="E1124" t="s">
        <v>61</v>
      </c>
      <c r="F1124" t="s">
        <v>62</v>
      </c>
      <c r="G1124" t="s">
        <v>106</v>
      </c>
      <c r="H1124" t="s">
        <v>48</v>
      </c>
      <c r="I1124" s="2">
        <v>3</v>
      </c>
      <c r="J1124" s="3">
        <v>165</v>
      </c>
      <c r="K1124" s="4">
        <v>0.25</v>
      </c>
      <c r="L1124" s="3">
        <v>371.25</v>
      </c>
      <c r="M1124" t="b">
        <v>1</v>
      </c>
      <c r="N1124" s="2">
        <f>YEAR(B1124)</f>
        <v>2026</v>
      </c>
      <c r="O1124" t="str">
        <f>INDEX(Agences!$C:$C,MATCH(F1124,Agences!$A:$A,0))</f>
        <v>Méditerranée</v>
      </c>
      <c r="P1124" t="str">
        <f>INDEX(Produits!$C:$C,MATCH(H1124,Produits!$A:$A,0))</f>
        <v>Mobilier</v>
      </c>
      <c r="Q1124" s="3">
        <f>I1124*INDEX(Produits!$E:$E,MATCH(H1124,Produits!$A:$A,0))</f>
        <v>321.75</v>
      </c>
      <c r="R1124" s="3">
        <f>L1124-Q1124</f>
        <v>49.5</v>
      </c>
      <c r="S1124" s="2">
        <f>NETWORKDAYS(B1124,C1124)-1</f>
        <v>2</v>
      </c>
      <c r="T1124" s="1">
        <f>WORKDAY(B1124,5)</f>
        <v>46120</v>
      </c>
      <c r="U1124" t="b">
        <f>C1124&gt;T1124</f>
        <v>0</v>
      </c>
    </row>
    <row r="1125" spans="1:21" x14ac:dyDescent="0.25">
      <c r="A1125" t="s">
        <v>938</v>
      </c>
      <c r="B1125" s="1">
        <v>46113</v>
      </c>
      <c r="C1125" s="1">
        <v>46115</v>
      </c>
      <c r="D1125" t="s">
        <v>939</v>
      </c>
      <c r="E1125" t="s">
        <v>61</v>
      </c>
      <c r="F1125" t="s">
        <v>62</v>
      </c>
      <c r="G1125" t="s">
        <v>106</v>
      </c>
      <c r="H1125" t="s">
        <v>83</v>
      </c>
      <c r="I1125" s="2">
        <v>2</v>
      </c>
      <c r="J1125" s="3">
        <v>49</v>
      </c>
      <c r="K1125" s="4">
        <v>0.18</v>
      </c>
      <c r="L1125" s="3">
        <v>80.36</v>
      </c>
      <c r="M1125" t="b">
        <v>1</v>
      </c>
      <c r="N1125" s="2">
        <f>YEAR(B1125)</f>
        <v>2026</v>
      </c>
      <c r="O1125" t="str">
        <f>INDEX(Agences!$C:$C,MATCH(F1125,Agences!$A:$A,0))</f>
        <v>Méditerranée</v>
      </c>
      <c r="P1125" t="str">
        <f>INDEX(Produits!$C:$C,MATCH(H1125,Produits!$A:$A,0))</f>
        <v>Mobilier</v>
      </c>
      <c r="Q1125" s="3">
        <f>I1125*INDEX(Produits!$E:$E,MATCH(H1125,Produits!$A:$A,0))</f>
        <v>56.84</v>
      </c>
      <c r="R1125" s="3">
        <f>L1125-Q1125</f>
        <v>23.519999999999996</v>
      </c>
      <c r="S1125" s="2">
        <f>NETWORKDAYS(B1125,C1125)-1</f>
        <v>2</v>
      </c>
      <c r="T1125" s="1">
        <f>WORKDAY(B1125,5)</f>
        <v>46120</v>
      </c>
      <c r="U1125" t="b">
        <f>C1125&gt;T1125</f>
        <v>0</v>
      </c>
    </row>
    <row r="1126" spans="1:21" x14ac:dyDescent="0.25">
      <c r="A1126" t="s">
        <v>938</v>
      </c>
      <c r="B1126" s="1">
        <v>46113</v>
      </c>
      <c r="C1126" s="1">
        <v>46115</v>
      </c>
      <c r="D1126" t="s">
        <v>939</v>
      </c>
      <c r="E1126" t="s">
        <v>61</v>
      </c>
      <c r="F1126" t="s">
        <v>62</v>
      </c>
      <c r="G1126" t="s">
        <v>106</v>
      </c>
      <c r="H1126" t="s">
        <v>132</v>
      </c>
      <c r="I1126" s="2">
        <v>1</v>
      </c>
      <c r="J1126" s="3">
        <v>650</v>
      </c>
      <c r="K1126" s="4">
        <v>0.25</v>
      </c>
      <c r="L1126" s="3">
        <v>487.5</v>
      </c>
      <c r="M1126" t="b">
        <v>1</v>
      </c>
      <c r="N1126" s="2">
        <f>YEAR(B1126)</f>
        <v>2026</v>
      </c>
      <c r="O1126" t="str">
        <f>INDEX(Agences!$C:$C,MATCH(F1126,Agences!$A:$A,0))</f>
        <v>Méditerranée</v>
      </c>
      <c r="P1126" t="str">
        <f>INDEX(Produits!$C:$C,MATCH(H1126,Produits!$A:$A,0))</f>
        <v>Maintenance</v>
      </c>
      <c r="Q1126" s="3">
        <f>I1126*INDEX(Produits!$E:$E,MATCH(H1126,Produits!$A:$A,0))</f>
        <v>273</v>
      </c>
      <c r="R1126" s="3">
        <f>L1126-Q1126</f>
        <v>214.5</v>
      </c>
      <c r="S1126" s="2">
        <f>NETWORKDAYS(B1126,C1126)-1</f>
        <v>2</v>
      </c>
      <c r="T1126" s="1">
        <f>WORKDAY(B1126,5)</f>
        <v>46120</v>
      </c>
      <c r="U1126" t="b">
        <f>C1126&gt;T1126</f>
        <v>0</v>
      </c>
    </row>
    <row r="1127" spans="1:21" x14ac:dyDescent="0.25">
      <c r="A1127" t="s">
        <v>940</v>
      </c>
      <c r="B1127" s="1">
        <v>46113</v>
      </c>
      <c r="C1127" s="1">
        <v>46118</v>
      </c>
      <c r="D1127" t="s">
        <v>313</v>
      </c>
      <c r="E1127" t="s">
        <v>93</v>
      </c>
      <c r="F1127" t="s">
        <v>94</v>
      </c>
      <c r="G1127" t="s">
        <v>154</v>
      </c>
      <c r="H1127" t="s">
        <v>84</v>
      </c>
      <c r="I1127" s="2">
        <v>1</v>
      </c>
      <c r="J1127" s="3">
        <v>420</v>
      </c>
      <c r="K1127" s="4">
        <v>0.05</v>
      </c>
      <c r="L1127" s="3">
        <v>399</v>
      </c>
      <c r="M1127" t="b">
        <v>1</v>
      </c>
      <c r="N1127" s="2">
        <f>YEAR(B1127)</f>
        <v>2026</v>
      </c>
      <c r="O1127" t="str">
        <f>INDEX(Agences!$C:$C,MATCH(F1127,Agences!$A:$A,0))</f>
        <v>Méditerranée</v>
      </c>
      <c r="P1127" t="str">
        <f>INDEX(Produits!$C:$C,MATCH(H1127,Produits!$A:$A,0))</f>
        <v>Mobilier</v>
      </c>
      <c r="Q1127" s="3">
        <f>I1127*INDEX(Produits!$E:$E,MATCH(H1127,Produits!$A:$A,0))</f>
        <v>243.6</v>
      </c>
      <c r="R1127" s="3">
        <f>L1127-Q1127</f>
        <v>155.4</v>
      </c>
      <c r="S1127" s="2">
        <f>NETWORKDAYS(B1127,C1127)-1</f>
        <v>3</v>
      </c>
      <c r="T1127" s="1">
        <f>WORKDAY(B1127,5)</f>
        <v>46120</v>
      </c>
      <c r="U1127" t="b">
        <f>C1127&gt;T1127</f>
        <v>0</v>
      </c>
    </row>
    <row r="1128" spans="1:21" x14ac:dyDescent="0.25">
      <c r="A1128" t="s">
        <v>940</v>
      </c>
      <c r="B1128" s="1">
        <v>46113</v>
      </c>
      <c r="C1128" s="1">
        <v>46118</v>
      </c>
      <c r="D1128" t="s">
        <v>313</v>
      </c>
      <c r="E1128" t="s">
        <v>93</v>
      </c>
      <c r="F1128" t="s">
        <v>94</v>
      </c>
      <c r="G1128" t="s">
        <v>154</v>
      </c>
      <c r="H1128" t="s">
        <v>50</v>
      </c>
      <c r="I1128" s="2">
        <v>2</v>
      </c>
      <c r="J1128" s="3">
        <v>69</v>
      </c>
      <c r="K1128" s="4">
        <v>0</v>
      </c>
      <c r="L1128" s="3">
        <v>138</v>
      </c>
      <c r="M1128" t="b">
        <v>1</v>
      </c>
      <c r="N1128" s="2">
        <f>YEAR(B1128)</f>
        <v>2026</v>
      </c>
      <c r="O1128" t="str">
        <f>INDEX(Agences!$C:$C,MATCH(F1128,Agences!$A:$A,0))</f>
        <v>Méditerranée</v>
      </c>
      <c r="P1128" t="str">
        <f>INDEX(Produits!$C:$C,MATCH(H1128,Produits!$A:$A,0))</f>
        <v>Informatique</v>
      </c>
      <c r="Q1128" s="3">
        <f>I1128*INDEX(Produits!$E:$E,MATCH(H1128,Produits!$A:$A,0))</f>
        <v>109.02</v>
      </c>
      <c r="R1128" s="3">
        <f>L1128-Q1128</f>
        <v>28.980000000000004</v>
      </c>
      <c r="S1128" s="2">
        <f>NETWORKDAYS(B1128,C1128)-1</f>
        <v>3</v>
      </c>
      <c r="T1128" s="1">
        <f>WORKDAY(B1128,5)</f>
        <v>46120</v>
      </c>
      <c r="U1128" t="b">
        <f>C1128&gt;T1128</f>
        <v>0</v>
      </c>
    </row>
    <row r="1129" spans="1:21" x14ac:dyDescent="0.25">
      <c r="A1129" t="s">
        <v>941</v>
      </c>
      <c r="B1129" s="1">
        <v>46112</v>
      </c>
      <c r="C1129" s="1">
        <v>46114</v>
      </c>
      <c r="D1129" t="s">
        <v>208</v>
      </c>
      <c r="E1129" t="s">
        <v>209</v>
      </c>
      <c r="F1129" t="s">
        <v>99</v>
      </c>
      <c r="G1129" t="s">
        <v>100</v>
      </c>
      <c r="H1129" t="s">
        <v>48</v>
      </c>
      <c r="I1129" s="2">
        <v>1</v>
      </c>
      <c r="J1129" s="3">
        <v>165</v>
      </c>
      <c r="K1129" s="4">
        <v>0.05</v>
      </c>
      <c r="L1129" s="3">
        <v>156.75</v>
      </c>
      <c r="M1129" t="b">
        <v>1</v>
      </c>
      <c r="N1129" s="2">
        <f>YEAR(B1129)</f>
        <v>2026</v>
      </c>
      <c r="O1129" t="str">
        <f>INDEX(Agences!$C:$C,MATCH(F1129,Agences!$A:$A,0))</f>
        <v>Nord</v>
      </c>
      <c r="P1129" t="str">
        <f>INDEX(Produits!$C:$C,MATCH(H1129,Produits!$A:$A,0))</f>
        <v>Mobilier</v>
      </c>
      <c r="Q1129" s="3">
        <f>I1129*INDEX(Produits!$E:$E,MATCH(H1129,Produits!$A:$A,0))</f>
        <v>107.25</v>
      </c>
      <c r="R1129" s="3">
        <f>L1129-Q1129</f>
        <v>49.5</v>
      </c>
      <c r="S1129" s="2">
        <f>NETWORKDAYS(B1129,C1129)-1</f>
        <v>2</v>
      </c>
      <c r="T1129" s="1">
        <f>WORKDAY(B1129,5)</f>
        <v>46119</v>
      </c>
      <c r="U1129" t="b">
        <f>C1129&gt;T1129</f>
        <v>0</v>
      </c>
    </row>
    <row r="1130" spans="1:21" x14ac:dyDescent="0.25">
      <c r="A1130" t="s">
        <v>941</v>
      </c>
      <c r="B1130" s="1">
        <v>46112</v>
      </c>
      <c r="C1130" s="1">
        <v>46114</v>
      </c>
      <c r="D1130" t="s">
        <v>208</v>
      </c>
      <c r="E1130" t="s">
        <v>209</v>
      </c>
      <c r="F1130" t="s">
        <v>99</v>
      </c>
      <c r="G1130" t="s">
        <v>100</v>
      </c>
      <c r="H1130" t="s">
        <v>79</v>
      </c>
      <c r="I1130" s="2">
        <v>15</v>
      </c>
      <c r="J1130" s="3">
        <v>14.9</v>
      </c>
      <c r="K1130" s="4">
        <v>0</v>
      </c>
      <c r="L1130" s="3">
        <v>223.5</v>
      </c>
      <c r="M1130" t="b">
        <v>1</v>
      </c>
      <c r="N1130" s="2">
        <f>YEAR(B1130)</f>
        <v>2026</v>
      </c>
      <c r="O1130" t="str">
        <f>INDEX(Agences!$C:$C,MATCH(F1130,Agences!$A:$A,0))</f>
        <v>Nord</v>
      </c>
      <c r="P1130" t="str">
        <f>INDEX(Produits!$C:$C,MATCH(H1130,Produits!$A:$A,0))</f>
        <v>Fournitures</v>
      </c>
      <c r="Q1130" s="3">
        <f>I1130*INDEX(Produits!$E:$E,MATCH(H1130,Produits!$A:$A,0))</f>
        <v>120.75000000000001</v>
      </c>
      <c r="R1130" s="3">
        <f>L1130-Q1130</f>
        <v>102.74999999999999</v>
      </c>
      <c r="S1130" s="2">
        <f>NETWORKDAYS(B1130,C1130)-1</f>
        <v>2</v>
      </c>
      <c r="T1130" s="1">
        <f>WORKDAY(B1130,5)</f>
        <v>46119</v>
      </c>
      <c r="U1130" t="b">
        <f>C1130&gt;T1130</f>
        <v>0</v>
      </c>
    </row>
    <row r="1131" spans="1:21" x14ac:dyDescent="0.25">
      <c r="A1131" t="s">
        <v>941</v>
      </c>
      <c r="B1131" s="1">
        <v>46112</v>
      </c>
      <c r="C1131" s="1">
        <v>46114</v>
      </c>
      <c r="D1131" t="s">
        <v>208</v>
      </c>
      <c r="E1131" t="s">
        <v>209</v>
      </c>
      <c r="F1131" t="s">
        <v>99</v>
      </c>
      <c r="G1131" t="s">
        <v>100</v>
      </c>
      <c r="H1131" t="s">
        <v>49</v>
      </c>
      <c r="I1131" s="2">
        <v>1</v>
      </c>
      <c r="J1131" s="3">
        <v>120</v>
      </c>
      <c r="K1131" s="4">
        <v>0</v>
      </c>
      <c r="L1131" s="3">
        <v>120</v>
      </c>
      <c r="M1131" t="b">
        <v>1</v>
      </c>
      <c r="N1131" s="2">
        <f>YEAR(B1131)</f>
        <v>2026</v>
      </c>
      <c r="O1131" t="str">
        <f>INDEX(Agences!$C:$C,MATCH(F1131,Agences!$A:$A,0))</f>
        <v>Nord</v>
      </c>
      <c r="P1131" t="str">
        <f>INDEX(Produits!$C:$C,MATCH(H1131,Produits!$A:$A,0))</f>
        <v>Maintenance</v>
      </c>
      <c r="Q1131" s="3">
        <f>I1131*INDEX(Produits!$E:$E,MATCH(H1131,Produits!$A:$A,0))</f>
        <v>55.2</v>
      </c>
      <c r="R1131" s="3">
        <f>L1131-Q1131</f>
        <v>64.8</v>
      </c>
      <c r="S1131" s="2">
        <f>NETWORKDAYS(B1131,C1131)-1</f>
        <v>2</v>
      </c>
      <c r="T1131" s="1">
        <f>WORKDAY(B1131,5)</f>
        <v>46119</v>
      </c>
      <c r="U1131" t="b">
        <f>C1131&gt;T1131</f>
        <v>0</v>
      </c>
    </row>
    <row r="1132" spans="1:21" x14ac:dyDescent="0.25">
      <c r="A1132" t="s">
        <v>942</v>
      </c>
      <c r="B1132" s="1">
        <v>46112</v>
      </c>
      <c r="C1132" s="1">
        <v>46115</v>
      </c>
      <c r="D1132" t="s">
        <v>125</v>
      </c>
      <c r="E1132" t="s">
        <v>126</v>
      </c>
      <c r="F1132" t="s">
        <v>99</v>
      </c>
      <c r="G1132" t="s">
        <v>100</v>
      </c>
      <c r="H1132" t="s">
        <v>83</v>
      </c>
      <c r="I1132" s="2">
        <v>2</v>
      </c>
      <c r="J1132" s="3">
        <v>49</v>
      </c>
      <c r="K1132" s="4">
        <v>0.1</v>
      </c>
      <c r="L1132" s="3">
        <v>88.2</v>
      </c>
      <c r="M1132" t="b">
        <v>1</v>
      </c>
      <c r="N1132" s="2">
        <f>YEAR(B1132)</f>
        <v>2026</v>
      </c>
      <c r="O1132" t="str">
        <f>INDEX(Agences!$C:$C,MATCH(F1132,Agences!$A:$A,0))</f>
        <v>Nord</v>
      </c>
      <c r="P1132" t="str">
        <f>INDEX(Produits!$C:$C,MATCH(H1132,Produits!$A:$A,0))</f>
        <v>Mobilier</v>
      </c>
      <c r="Q1132" s="3">
        <f>I1132*INDEX(Produits!$E:$E,MATCH(H1132,Produits!$A:$A,0))</f>
        <v>56.84</v>
      </c>
      <c r="R1132" s="3">
        <f>L1132-Q1132</f>
        <v>31.36</v>
      </c>
      <c r="S1132" s="2">
        <f>NETWORKDAYS(B1132,C1132)-1</f>
        <v>3</v>
      </c>
      <c r="T1132" s="1">
        <f>WORKDAY(B1132,5)</f>
        <v>46119</v>
      </c>
      <c r="U1132" t="b">
        <f>C1132&gt;T1132</f>
        <v>0</v>
      </c>
    </row>
    <row r="1133" spans="1:21" x14ac:dyDescent="0.25">
      <c r="A1133" t="s">
        <v>943</v>
      </c>
      <c r="B1133" s="1">
        <v>46112</v>
      </c>
      <c r="C1133" s="1">
        <v>46118</v>
      </c>
      <c r="D1133" t="s">
        <v>212</v>
      </c>
      <c r="E1133" t="s">
        <v>213</v>
      </c>
      <c r="F1133" t="s">
        <v>138</v>
      </c>
      <c r="G1133" t="s">
        <v>214</v>
      </c>
      <c r="H1133" t="s">
        <v>34</v>
      </c>
      <c r="I1133" s="2">
        <v>2</v>
      </c>
      <c r="J1133" s="3">
        <v>340</v>
      </c>
      <c r="K1133" s="4">
        <v>0.05</v>
      </c>
      <c r="L1133" s="3">
        <v>646</v>
      </c>
      <c r="M1133" t="b">
        <v>1</v>
      </c>
      <c r="N1133" s="2">
        <f>YEAR(B1133)</f>
        <v>2026</v>
      </c>
      <c r="O1133" t="str">
        <f>INDEX(Agences!$C:$C,MATCH(F1133,Agences!$A:$A,0))</f>
        <v>Île-de-France</v>
      </c>
      <c r="P1133" t="str">
        <f>INDEX(Produits!$C:$C,MATCH(H1133,Produits!$A:$A,0))</f>
        <v>Informatique</v>
      </c>
      <c r="Q1133" s="3">
        <f>I1133*INDEX(Produits!$E:$E,MATCH(H1133,Produits!$A:$A,0))</f>
        <v>550.8</v>
      </c>
      <c r="R1133" s="3">
        <f>L1133-Q1133</f>
        <v>95.20000000000005</v>
      </c>
      <c r="S1133" s="2">
        <f>NETWORKDAYS(B1133,C1133)-1</f>
        <v>4</v>
      </c>
      <c r="T1133" s="1">
        <f>WORKDAY(B1133,5)</f>
        <v>46119</v>
      </c>
      <c r="U1133" t="b">
        <f>C1133&gt;T1133</f>
        <v>0</v>
      </c>
    </row>
    <row r="1134" spans="1:21" x14ac:dyDescent="0.25">
      <c r="A1134" t="s">
        <v>943</v>
      </c>
      <c r="B1134" s="1">
        <v>46112</v>
      </c>
      <c r="C1134" s="1">
        <v>46118</v>
      </c>
      <c r="D1134" t="s">
        <v>212</v>
      </c>
      <c r="E1134" t="s">
        <v>213</v>
      </c>
      <c r="F1134" t="s">
        <v>138</v>
      </c>
      <c r="G1134" t="s">
        <v>214</v>
      </c>
      <c r="H1134" t="s">
        <v>50</v>
      </c>
      <c r="I1134" s="2">
        <v>3</v>
      </c>
      <c r="J1134" s="3">
        <v>69</v>
      </c>
      <c r="K1134" s="4">
        <v>0.05</v>
      </c>
      <c r="L1134" s="3">
        <v>196.65</v>
      </c>
      <c r="M1134" t="b">
        <v>1</v>
      </c>
      <c r="N1134" s="2">
        <f>YEAR(B1134)</f>
        <v>2026</v>
      </c>
      <c r="O1134" t="str">
        <f>INDEX(Agences!$C:$C,MATCH(F1134,Agences!$A:$A,0))</f>
        <v>Île-de-France</v>
      </c>
      <c r="P1134" t="str">
        <f>INDEX(Produits!$C:$C,MATCH(H1134,Produits!$A:$A,0))</f>
        <v>Informatique</v>
      </c>
      <c r="Q1134" s="3">
        <f>I1134*INDEX(Produits!$E:$E,MATCH(H1134,Produits!$A:$A,0))</f>
        <v>163.53</v>
      </c>
      <c r="R1134" s="3">
        <f>L1134-Q1134</f>
        <v>33.120000000000005</v>
      </c>
      <c r="S1134" s="2">
        <f>NETWORKDAYS(B1134,C1134)-1</f>
        <v>4</v>
      </c>
      <c r="T1134" s="1">
        <f>WORKDAY(B1134,5)</f>
        <v>46119</v>
      </c>
      <c r="U1134" t="b">
        <f>C1134&gt;T1134</f>
        <v>0</v>
      </c>
    </row>
    <row r="1135" spans="1:21" x14ac:dyDescent="0.25">
      <c r="A1135" t="s">
        <v>943</v>
      </c>
      <c r="B1135" s="1">
        <v>46112</v>
      </c>
      <c r="C1135" s="1">
        <v>46118</v>
      </c>
      <c r="D1135" t="s">
        <v>212</v>
      </c>
      <c r="E1135" t="s">
        <v>213</v>
      </c>
      <c r="F1135" t="s">
        <v>138</v>
      </c>
      <c r="G1135" t="s">
        <v>214</v>
      </c>
      <c r="H1135" t="s">
        <v>35</v>
      </c>
      <c r="I1135" s="2">
        <v>4</v>
      </c>
      <c r="J1135" s="3">
        <v>79</v>
      </c>
      <c r="K1135" s="4">
        <v>0.05</v>
      </c>
      <c r="L1135" s="3">
        <v>300.2</v>
      </c>
      <c r="M1135" t="b">
        <v>1</v>
      </c>
      <c r="N1135" s="2">
        <f>YEAR(B1135)</f>
        <v>2026</v>
      </c>
      <c r="O1135" t="str">
        <f>INDEX(Agences!$C:$C,MATCH(F1135,Agences!$A:$A,0))</f>
        <v>Île-de-France</v>
      </c>
      <c r="P1135" t="str">
        <f>INDEX(Produits!$C:$C,MATCH(H1135,Produits!$A:$A,0))</f>
        <v>Mobilier</v>
      </c>
      <c r="Q1135" s="3">
        <f>I1135*INDEX(Produits!$E:$E,MATCH(H1135,Produits!$A:$A,0))</f>
        <v>186.44</v>
      </c>
      <c r="R1135" s="3">
        <f>L1135-Q1135</f>
        <v>113.75999999999999</v>
      </c>
      <c r="S1135" s="2">
        <f>NETWORKDAYS(B1135,C1135)-1</f>
        <v>4</v>
      </c>
      <c r="T1135" s="1">
        <f>WORKDAY(B1135,5)</f>
        <v>46119</v>
      </c>
      <c r="U1135" t="b">
        <f>C1135&gt;T1135</f>
        <v>0</v>
      </c>
    </row>
    <row r="1136" spans="1:21" x14ac:dyDescent="0.25">
      <c r="A1136" t="s">
        <v>943</v>
      </c>
      <c r="B1136" s="1">
        <v>46112</v>
      </c>
      <c r="C1136" s="1">
        <v>46118</v>
      </c>
      <c r="D1136" t="s">
        <v>212</v>
      </c>
      <c r="E1136" t="s">
        <v>213</v>
      </c>
      <c r="F1136" t="s">
        <v>138</v>
      </c>
      <c r="G1136" t="s">
        <v>214</v>
      </c>
      <c r="H1136" t="s">
        <v>103</v>
      </c>
      <c r="I1136" s="2">
        <v>2</v>
      </c>
      <c r="J1136" s="3">
        <v>245</v>
      </c>
      <c r="K1136" s="4">
        <v>0</v>
      </c>
      <c r="L1136" s="3">
        <v>490</v>
      </c>
      <c r="M1136" t="b">
        <v>1</v>
      </c>
      <c r="N1136" s="2">
        <f>YEAR(B1136)</f>
        <v>2026</v>
      </c>
      <c r="O1136" t="str">
        <f>INDEX(Agences!$C:$C,MATCH(F1136,Agences!$A:$A,0))</f>
        <v>Île-de-France</v>
      </c>
      <c r="P1136" t="str">
        <f>INDEX(Produits!$C:$C,MATCH(H1136,Produits!$A:$A,0))</f>
        <v>Mobilier</v>
      </c>
      <c r="Q1136" s="3">
        <f>I1136*INDEX(Produits!$E:$E,MATCH(H1136,Produits!$A:$A,0))</f>
        <v>328.3</v>
      </c>
      <c r="R1136" s="3">
        <f>L1136-Q1136</f>
        <v>161.7</v>
      </c>
      <c r="S1136" s="2">
        <f>NETWORKDAYS(B1136,C1136)-1</f>
        <v>4</v>
      </c>
      <c r="T1136" s="1">
        <f>WORKDAY(B1136,5)</f>
        <v>46119</v>
      </c>
      <c r="U1136" t="b">
        <f>C1136&gt;T1136</f>
        <v>0</v>
      </c>
    </row>
    <row r="1137" spans="1:21" x14ac:dyDescent="0.25">
      <c r="A1137" t="s">
        <v>944</v>
      </c>
      <c r="B1137" s="1">
        <v>46112</v>
      </c>
      <c r="C1137" s="1">
        <v>46115</v>
      </c>
      <c r="D1137" t="s">
        <v>858</v>
      </c>
      <c r="E1137" t="s">
        <v>75</v>
      </c>
      <c r="F1137" t="s">
        <v>76</v>
      </c>
      <c r="G1137" t="s">
        <v>176</v>
      </c>
      <c r="H1137" t="s">
        <v>123</v>
      </c>
      <c r="I1137" s="2">
        <v>5</v>
      </c>
      <c r="J1137" s="3">
        <v>39.9</v>
      </c>
      <c r="K1137" s="4">
        <v>0</v>
      </c>
      <c r="L1137" s="3">
        <v>199.5</v>
      </c>
      <c r="M1137" t="b">
        <v>1</v>
      </c>
      <c r="N1137" s="2">
        <f>YEAR(B1137)</f>
        <v>2026</v>
      </c>
      <c r="O1137" t="str">
        <f>INDEX(Agences!$C:$C,MATCH(F1137,Agences!$A:$A,0))</f>
        <v>Île-de-France</v>
      </c>
      <c r="P1137" t="str">
        <f>INDEX(Produits!$C:$C,MATCH(H1137,Produits!$A:$A,0))</f>
        <v>Fournitures</v>
      </c>
      <c r="Q1137" s="3">
        <f>I1137*INDEX(Produits!$E:$E,MATCH(H1137,Produits!$A:$A,0))</f>
        <v>111.7</v>
      </c>
      <c r="R1137" s="3">
        <f>L1137-Q1137</f>
        <v>87.8</v>
      </c>
      <c r="S1137" s="2">
        <f>NETWORKDAYS(B1137,C1137)-1</f>
        <v>3</v>
      </c>
      <c r="T1137" s="1">
        <f>WORKDAY(B1137,5)</f>
        <v>46119</v>
      </c>
      <c r="U1137" t="b">
        <f>C1137&gt;T1137</f>
        <v>0</v>
      </c>
    </row>
    <row r="1138" spans="1:21" x14ac:dyDescent="0.25">
      <c r="A1138" t="s">
        <v>944</v>
      </c>
      <c r="B1138" s="1">
        <v>46112</v>
      </c>
      <c r="C1138" s="1">
        <v>46115</v>
      </c>
      <c r="D1138" t="s">
        <v>858</v>
      </c>
      <c r="E1138" t="s">
        <v>75</v>
      </c>
      <c r="F1138" t="s">
        <v>76</v>
      </c>
      <c r="G1138" t="s">
        <v>176</v>
      </c>
      <c r="H1138" t="s">
        <v>107</v>
      </c>
      <c r="I1138" s="2">
        <v>1</v>
      </c>
      <c r="J1138" s="3">
        <v>99</v>
      </c>
      <c r="K1138" s="4">
        <v>0.05</v>
      </c>
      <c r="L1138" s="3">
        <v>94.05</v>
      </c>
      <c r="M1138" t="b">
        <v>1</v>
      </c>
      <c r="N1138" s="2">
        <f>YEAR(B1138)</f>
        <v>2026</v>
      </c>
      <c r="O1138" t="str">
        <f>INDEX(Agences!$C:$C,MATCH(F1138,Agences!$A:$A,0))</f>
        <v>Île-de-France</v>
      </c>
      <c r="P1138" t="str">
        <f>INDEX(Produits!$C:$C,MATCH(H1138,Produits!$A:$A,0))</f>
        <v>Informatique</v>
      </c>
      <c r="Q1138" s="3">
        <f>I1138*INDEX(Produits!$E:$E,MATCH(H1138,Produits!$A:$A,0))</f>
        <v>75.24</v>
      </c>
      <c r="R1138" s="3">
        <f>L1138-Q1138</f>
        <v>18.810000000000002</v>
      </c>
      <c r="S1138" s="2">
        <f>NETWORKDAYS(B1138,C1138)-1</f>
        <v>3</v>
      </c>
      <c r="T1138" s="1">
        <f>WORKDAY(B1138,5)</f>
        <v>46119</v>
      </c>
      <c r="U1138" t="b">
        <f>C1138&gt;T1138</f>
        <v>0</v>
      </c>
    </row>
    <row r="1139" spans="1:21" x14ac:dyDescent="0.25">
      <c r="A1139" t="s">
        <v>944</v>
      </c>
      <c r="B1139" s="1">
        <v>46112</v>
      </c>
      <c r="C1139" s="1">
        <v>46115</v>
      </c>
      <c r="D1139" t="s">
        <v>858</v>
      </c>
      <c r="E1139" t="s">
        <v>75</v>
      </c>
      <c r="F1139" t="s">
        <v>76</v>
      </c>
      <c r="G1139" t="s">
        <v>176</v>
      </c>
      <c r="H1139" t="s">
        <v>51</v>
      </c>
      <c r="I1139" s="2">
        <v>3</v>
      </c>
      <c r="J1139" s="3">
        <v>180</v>
      </c>
      <c r="K1139" s="4">
        <v>0.08</v>
      </c>
      <c r="L1139" s="3">
        <v>496.8</v>
      </c>
      <c r="M1139" t="b">
        <v>1</v>
      </c>
      <c r="N1139" s="2">
        <f>YEAR(B1139)</f>
        <v>2026</v>
      </c>
      <c r="O1139" t="str">
        <f>INDEX(Agences!$C:$C,MATCH(F1139,Agences!$A:$A,0))</f>
        <v>Île-de-France</v>
      </c>
      <c r="P1139" t="str">
        <f>INDEX(Produits!$C:$C,MATCH(H1139,Produits!$A:$A,0))</f>
        <v>Maintenance</v>
      </c>
      <c r="Q1139" s="3">
        <f>I1139*INDEX(Produits!$E:$E,MATCH(H1139,Produits!$A:$A,0))</f>
        <v>248.39999999999998</v>
      </c>
      <c r="R1139" s="3">
        <f>L1139-Q1139</f>
        <v>248.40000000000003</v>
      </c>
      <c r="S1139" s="2">
        <f>NETWORKDAYS(B1139,C1139)-1</f>
        <v>3</v>
      </c>
      <c r="T1139" s="1">
        <f>WORKDAY(B1139,5)</f>
        <v>46119</v>
      </c>
      <c r="U1139" t="b">
        <f>C1139&gt;T1139</f>
        <v>0</v>
      </c>
    </row>
    <row r="1140" spans="1:21" x14ac:dyDescent="0.25">
      <c r="A1140" t="s">
        <v>944</v>
      </c>
      <c r="B1140" s="1">
        <v>46112</v>
      </c>
      <c r="C1140" s="1">
        <v>46115</v>
      </c>
      <c r="D1140" t="s">
        <v>858</v>
      </c>
      <c r="E1140" t="s">
        <v>75</v>
      </c>
      <c r="F1140" t="s">
        <v>76</v>
      </c>
      <c r="G1140" t="s">
        <v>176</v>
      </c>
      <c r="H1140" t="s">
        <v>50</v>
      </c>
      <c r="I1140" s="2">
        <v>2</v>
      </c>
      <c r="J1140" s="3">
        <v>69</v>
      </c>
      <c r="K1140" s="4">
        <v>0.08</v>
      </c>
      <c r="L1140" s="3">
        <v>126.96</v>
      </c>
      <c r="M1140" t="b">
        <v>1</v>
      </c>
      <c r="N1140" s="2">
        <f>YEAR(B1140)</f>
        <v>2026</v>
      </c>
      <c r="O1140" t="str">
        <f>INDEX(Agences!$C:$C,MATCH(F1140,Agences!$A:$A,0))</f>
        <v>Île-de-France</v>
      </c>
      <c r="P1140" t="str">
        <f>INDEX(Produits!$C:$C,MATCH(H1140,Produits!$A:$A,0))</f>
        <v>Informatique</v>
      </c>
      <c r="Q1140" s="3">
        <f>I1140*INDEX(Produits!$E:$E,MATCH(H1140,Produits!$A:$A,0))</f>
        <v>109.02</v>
      </c>
      <c r="R1140" s="3">
        <f>L1140-Q1140</f>
        <v>17.939999999999998</v>
      </c>
      <c r="S1140" s="2">
        <f>NETWORKDAYS(B1140,C1140)-1</f>
        <v>3</v>
      </c>
      <c r="T1140" s="1">
        <f>WORKDAY(B1140,5)</f>
        <v>46119</v>
      </c>
      <c r="U1140" t="b">
        <f>C1140&gt;T1140</f>
        <v>0</v>
      </c>
    </row>
    <row r="1141" spans="1:21" x14ac:dyDescent="0.25">
      <c r="A1141" t="s">
        <v>944</v>
      </c>
      <c r="B1141" s="1">
        <v>46112</v>
      </c>
      <c r="C1141" s="1">
        <v>46115</v>
      </c>
      <c r="D1141" t="s">
        <v>858</v>
      </c>
      <c r="E1141" t="s">
        <v>75</v>
      </c>
      <c r="F1141" t="s">
        <v>76</v>
      </c>
      <c r="G1141" t="s">
        <v>176</v>
      </c>
      <c r="H1141" t="s">
        <v>49</v>
      </c>
      <c r="I1141" s="2">
        <v>1</v>
      </c>
      <c r="J1141" s="3">
        <v>120</v>
      </c>
      <c r="K1141" s="4">
        <v>0</v>
      </c>
      <c r="L1141" s="3">
        <v>120</v>
      </c>
      <c r="M1141" t="b">
        <v>1</v>
      </c>
      <c r="N1141" s="2">
        <f>YEAR(B1141)</f>
        <v>2026</v>
      </c>
      <c r="O1141" t="str">
        <f>INDEX(Agences!$C:$C,MATCH(F1141,Agences!$A:$A,0))</f>
        <v>Île-de-France</v>
      </c>
      <c r="P1141" t="str">
        <f>INDEX(Produits!$C:$C,MATCH(H1141,Produits!$A:$A,0))</f>
        <v>Maintenance</v>
      </c>
      <c r="Q1141" s="3">
        <f>I1141*INDEX(Produits!$E:$E,MATCH(H1141,Produits!$A:$A,0))</f>
        <v>55.2</v>
      </c>
      <c r="R1141" s="3">
        <f>L1141-Q1141</f>
        <v>64.8</v>
      </c>
      <c r="S1141" s="2">
        <f>NETWORKDAYS(B1141,C1141)-1</f>
        <v>3</v>
      </c>
      <c r="T1141" s="1">
        <f>WORKDAY(B1141,5)</f>
        <v>46119</v>
      </c>
      <c r="U1141" t="b">
        <f>C1141&gt;T1141</f>
        <v>0</v>
      </c>
    </row>
    <row r="1142" spans="1:21" x14ac:dyDescent="0.25">
      <c r="A1142" t="s">
        <v>945</v>
      </c>
      <c r="B1142" s="1">
        <v>46112</v>
      </c>
      <c r="C1142" s="1">
        <v>46115</v>
      </c>
      <c r="D1142" t="s">
        <v>664</v>
      </c>
      <c r="E1142" t="s">
        <v>87</v>
      </c>
      <c r="F1142" t="s">
        <v>88</v>
      </c>
      <c r="G1142" t="s">
        <v>89</v>
      </c>
      <c r="H1142" t="s">
        <v>51</v>
      </c>
      <c r="I1142" s="2">
        <v>1</v>
      </c>
      <c r="J1142" s="3">
        <v>180</v>
      </c>
      <c r="K1142" s="4">
        <v>0</v>
      </c>
      <c r="L1142" s="3">
        <v>180</v>
      </c>
      <c r="M1142" t="b">
        <v>1</v>
      </c>
      <c r="N1142" s="2">
        <f>YEAR(B1142)</f>
        <v>2026</v>
      </c>
      <c r="O1142" t="str">
        <f>INDEX(Agences!$C:$C,MATCH(F1142,Agences!$A:$A,0))</f>
        <v>Sud-Ouest</v>
      </c>
      <c r="P1142" t="str">
        <f>INDEX(Produits!$C:$C,MATCH(H1142,Produits!$A:$A,0))</f>
        <v>Maintenance</v>
      </c>
      <c r="Q1142" s="3">
        <f>I1142*INDEX(Produits!$E:$E,MATCH(H1142,Produits!$A:$A,0))</f>
        <v>82.8</v>
      </c>
      <c r="R1142" s="3">
        <f>L1142-Q1142</f>
        <v>97.2</v>
      </c>
      <c r="S1142" s="2">
        <f>NETWORKDAYS(B1142,C1142)-1</f>
        <v>3</v>
      </c>
      <c r="T1142" s="1">
        <f>WORKDAY(B1142,5)</f>
        <v>46119</v>
      </c>
      <c r="U1142" t="b">
        <f>C1142&gt;T1142</f>
        <v>0</v>
      </c>
    </row>
    <row r="1143" spans="1:21" x14ac:dyDescent="0.25">
      <c r="A1143" t="s">
        <v>945</v>
      </c>
      <c r="B1143" s="1">
        <v>46112</v>
      </c>
      <c r="C1143" s="1">
        <v>46115</v>
      </c>
      <c r="D1143" t="s">
        <v>664</v>
      </c>
      <c r="E1143" t="s">
        <v>87</v>
      </c>
      <c r="F1143" t="s">
        <v>88</v>
      </c>
      <c r="G1143" t="s">
        <v>89</v>
      </c>
      <c r="H1143" t="s">
        <v>196</v>
      </c>
      <c r="I1143" s="2">
        <v>5</v>
      </c>
      <c r="J1143" s="3">
        <v>18.5</v>
      </c>
      <c r="K1143" s="4">
        <v>0.02</v>
      </c>
      <c r="L1143" s="3">
        <v>90.65</v>
      </c>
      <c r="M1143" t="b">
        <v>1</v>
      </c>
      <c r="N1143" s="2">
        <f>YEAR(B1143)</f>
        <v>2026</v>
      </c>
      <c r="O1143" t="str">
        <f>INDEX(Agences!$C:$C,MATCH(F1143,Agences!$A:$A,0))</f>
        <v>Sud-Ouest</v>
      </c>
      <c r="P1143" t="str">
        <f>INDEX(Produits!$C:$C,MATCH(H1143,Produits!$A:$A,0))</f>
        <v>Fournitures</v>
      </c>
      <c r="Q1143" s="3">
        <f>I1143*INDEX(Produits!$E:$E,MATCH(H1143,Produits!$A:$A,0))</f>
        <v>47.199999999999996</v>
      </c>
      <c r="R1143" s="3">
        <f>L1143-Q1143</f>
        <v>43.45000000000001</v>
      </c>
      <c r="S1143" s="2">
        <f>NETWORKDAYS(B1143,C1143)-1</f>
        <v>3</v>
      </c>
      <c r="T1143" s="1">
        <f>WORKDAY(B1143,5)</f>
        <v>46119</v>
      </c>
      <c r="U1143" t="b">
        <f>C1143&gt;T1143</f>
        <v>0</v>
      </c>
    </row>
    <row r="1144" spans="1:21" x14ac:dyDescent="0.25">
      <c r="A1144" t="s">
        <v>945</v>
      </c>
      <c r="B1144" s="1">
        <v>46112</v>
      </c>
      <c r="C1144" s="1">
        <v>46115</v>
      </c>
      <c r="D1144" t="s">
        <v>664</v>
      </c>
      <c r="E1144" t="s">
        <v>87</v>
      </c>
      <c r="F1144" t="s">
        <v>88</v>
      </c>
      <c r="G1144" t="s">
        <v>89</v>
      </c>
      <c r="H1144" t="s">
        <v>35</v>
      </c>
      <c r="I1144" s="2">
        <v>1</v>
      </c>
      <c r="J1144" s="3">
        <v>79</v>
      </c>
      <c r="K1144" s="4">
        <v>0.1</v>
      </c>
      <c r="L1144" s="3">
        <v>71.1</v>
      </c>
      <c r="M1144" t="b">
        <v>1</v>
      </c>
      <c r="N1144" s="2">
        <f>YEAR(B1144)</f>
        <v>2026</v>
      </c>
      <c r="O1144" t="str">
        <f>INDEX(Agences!$C:$C,MATCH(F1144,Agences!$A:$A,0))</f>
        <v>Sud-Ouest</v>
      </c>
      <c r="P1144" t="str">
        <f>INDEX(Produits!$C:$C,MATCH(H1144,Produits!$A:$A,0))</f>
        <v>Mobilier</v>
      </c>
      <c r="Q1144" s="3">
        <f>I1144*INDEX(Produits!$E:$E,MATCH(H1144,Produits!$A:$A,0))</f>
        <v>46.61</v>
      </c>
      <c r="R1144" s="3">
        <f>L1144-Q1144</f>
        <v>24.489999999999995</v>
      </c>
      <c r="S1144" s="2">
        <f>NETWORKDAYS(B1144,C1144)-1</f>
        <v>3</v>
      </c>
      <c r="T1144" s="1">
        <f>WORKDAY(B1144,5)</f>
        <v>46119</v>
      </c>
      <c r="U1144" t="b">
        <f>C1144&gt;T1144</f>
        <v>0</v>
      </c>
    </row>
    <row r="1145" spans="1:21" x14ac:dyDescent="0.25">
      <c r="A1145" t="s">
        <v>946</v>
      </c>
      <c r="B1145" s="1">
        <v>46112</v>
      </c>
      <c r="C1145" s="1">
        <v>46118</v>
      </c>
      <c r="D1145" t="s">
        <v>666</v>
      </c>
      <c r="E1145" t="s">
        <v>225</v>
      </c>
      <c r="F1145" t="s">
        <v>88</v>
      </c>
      <c r="G1145" t="s">
        <v>226</v>
      </c>
      <c r="H1145" t="s">
        <v>161</v>
      </c>
      <c r="I1145" s="2">
        <v>5</v>
      </c>
      <c r="J1145" s="3">
        <v>32</v>
      </c>
      <c r="K1145" s="4">
        <v>0</v>
      </c>
      <c r="L1145" s="3">
        <v>160</v>
      </c>
      <c r="M1145" t="b">
        <v>1</v>
      </c>
      <c r="N1145" s="2">
        <f>YEAR(B1145)</f>
        <v>2026</v>
      </c>
      <c r="O1145" t="str">
        <f>INDEX(Agences!$C:$C,MATCH(F1145,Agences!$A:$A,0))</f>
        <v>Sud-Ouest</v>
      </c>
      <c r="P1145" t="str">
        <f>INDEX(Produits!$C:$C,MATCH(H1145,Produits!$A:$A,0))</f>
        <v>Fournitures</v>
      </c>
      <c r="Q1145" s="3">
        <f>I1145*INDEX(Produits!$E:$E,MATCH(H1145,Produits!$A:$A,0))</f>
        <v>88</v>
      </c>
      <c r="R1145" s="3">
        <f>L1145-Q1145</f>
        <v>72</v>
      </c>
      <c r="S1145" s="2">
        <f>NETWORKDAYS(B1145,C1145)-1</f>
        <v>4</v>
      </c>
      <c r="T1145" s="1">
        <f>WORKDAY(B1145,5)</f>
        <v>46119</v>
      </c>
      <c r="U1145" t="b">
        <f>C1145&gt;T1145</f>
        <v>0</v>
      </c>
    </row>
    <row r="1146" spans="1:21" x14ac:dyDescent="0.25">
      <c r="A1146" t="s">
        <v>947</v>
      </c>
      <c r="B1146" s="1">
        <v>46112</v>
      </c>
      <c r="C1146" s="1">
        <v>46121</v>
      </c>
      <c r="D1146" t="s">
        <v>948</v>
      </c>
      <c r="E1146" t="s">
        <v>54</v>
      </c>
      <c r="F1146" t="s">
        <v>55</v>
      </c>
      <c r="G1146" t="s">
        <v>71</v>
      </c>
      <c r="H1146" t="s">
        <v>57</v>
      </c>
      <c r="I1146" s="2">
        <v>1</v>
      </c>
      <c r="J1146" s="3">
        <v>149</v>
      </c>
      <c r="K1146" s="4">
        <v>0.05</v>
      </c>
      <c r="L1146" s="3">
        <v>141.55</v>
      </c>
      <c r="M1146" t="b">
        <v>1</v>
      </c>
      <c r="N1146" s="2">
        <f>YEAR(B1146)</f>
        <v>2026</v>
      </c>
      <c r="O1146" t="str">
        <f>INDEX(Agences!$C:$C,MATCH(F1146,Agences!$A:$A,0))</f>
        <v>Est</v>
      </c>
      <c r="P1146" t="str">
        <f>INDEX(Produits!$C:$C,MATCH(H1146,Produits!$A:$A,0))</f>
        <v>Informatique</v>
      </c>
      <c r="Q1146" s="3">
        <f>I1146*INDEX(Produits!$E:$E,MATCH(H1146,Produits!$A:$A,0))</f>
        <v>114.73</v>
      </c>
      <c r="R1146" s="3">
        <f>L1146-Q1146</f>
        <v>26.820000000000007</v>
      </c>
      <c r="S1146" s="2">
        <f>NETWORKDAYS(B1146,C1146)-1</f>
        <v>7</v>
      </c>
      <c r="T1146" s="1">
        <f>WORKDAY(B1146,5)</f>
        <v>46119</v>
      </c>
      <c r="U1146" t="b">
        <f>C1146&gt;T1146</f>
        <v>1</v>
      </c>
    </row>
    <row r="1147" spans="1:21" x14ac:dyDescent="0.25">
      <c r="A1147" t="s">
        <v>947</v>
      </c>
      <c r="B1147" s="1">
        <v>46112</v>
      </c>
      <c r="C1147" s="1">
        <v>46121</v>
      </c>
      <c r="D1147" t="s">
        <v>948</v>
      </c>
      <c r="E1147" t="s">
        <v>54</v>
      </c>
      <c r="F1147" t="s">
        <v>55</v>
      </c>
      <c r="G1147" t="s">
        <v>71</v>
      </c>
      <c r="H1147" t="s">
        <v>50</v>
      </c>
      <c r="I1147" s="2">
        <v>6</v>
      </c>
      <c r="J1147" s="3">
        <v>69</v>
      </c>
      <c r="K1147" s="4">
        <v>0.08</v>
      </c>
      <c r="L1147" s="3">
        <v>380.88</v>
      </c>
      <c r="M1147" t="b">
        <v>1</v>
      </c>
      <c r="N1147" s="2">
        <f>YEAR(B1147)</f>
        <v>2026</v>
      </c>
      <c r="O1147" t="str">
        <f>INDEX(Agences!$C:$C,MATCH(F1147,Agences!$A:$A,0))</f>
        <v>Est</v>
      </c>
      <c r="P1147" t="str">
        <f>INDEX(Produits!$C:$C,MATCH(H1147,Produits!$A:$A,0))</f>
        <v>Informatique</v>
      </c>
      <c r="Q1147" s="3">
        <f>I1147*INDEX(Produits!$E:$E,MATCH(H1147,Produits!$A:$A,0))</f>
        <v>327.06</v>
      </c>
      <c r="R1147" s="3">
        <f>L1147-Q1147</f>
        <v>53.81999999999999</v>
      </c>
      <c r="S1147" s="2">
        <f>NETWORKDAYS(B1147,C1147)-1</f>
        <v>7</v>
      </c>
      <c r="T1147" s="1">
        <f>WORKDAY(B1147,5)</f>
        <v>46119</v>
      </c>
      <c r="U1147" t="b">
        <f>C1147&gt;T1147</f>
        <v>1</v>
      </c>
    </row>
    <row r="1148" spans="1:21" x14ac:dyDescent="0.25">
      <c r="A1148" t="s">
        <v>947</v>
      </c>
      <c r="B1148" s="1">
        <v>46112</v>
      </c>
      <c r="C1148" s="1">
        <v>46121</v>
      </c>
      <c r="D1148" t="s">
        <v>948</v>
      </c>
      <c r="E1148" t="s">
        <v>54</v>
      </c>
      <c r="F1148" t="s">
        <v>55</v>
      </c>
      <c r="G1148" t="s">
        <v>71</v>
      </c>
      <c r="H1148" t="s">
        <v>83</v>
      </c>
      <c r="I1148" s="2">
        <v>1</v>
      </c>
      <c r="J1148" s="3">
        <v>49</v>
      </c>
      <c r="K1148" s="4">
        <v>0</v>
      </c>
      <c r="L1148" s="3">
        <v>49</v>
      </c>
      <c r="M1148" t="b">
        <v>1</v>
      </c>
      <c r="N1148" s="2">
        <f>YEAR(B1148)</f>
        <v>2026</v>
      </c>
      <c r="O1148" t="str">
        <f>INDEX(Agences!$C:$C,MATCH(F1148,Agences!$A:$A,0))</f>
        <v>Est</v>
      </c>
      <c r="P1148" t="str">
        <f>INDEX(Produits!$C:$C,MATCH(H1148,Produits!$A:$A,0))</f>
        <v>Mobilier</v>
      </c>
      <c r="Q1148" s="3">
        <f>I1148*INDEX(Produits!$E:$E,MATCH(H1148,Produits!$A:$A,0))</f>
        <v>28.42</v>
      </c>
      <c r="R1148" s="3">
        <f>L1148-Q1148</f>
        <v>20.58</v>
      </c>
      <c r="S1148" s="2">
        <f>NETWORKDAYS(B1148,C1148)-1</f>
        <v>7</v>
      </c>
      <c r="T1148" s="1">
        <f>WORKDAY(B1148,5)</f>
        <v>46119</v>
      </c>
      <c r="U1148" t="b">
        <f>C1148&gt;T1148</f>
        <v>1</v>
      </c>
    </row>
    <row r="1149" spans="1:21" x14ac:dyDescent="0.25">
      <c r="A1149" t="s">
        <v>947</v>
      </c>
      <c r="B1149" s="1">
        <v>46112</v>
      </c>
      <c r="C1149" s="1">
        <v>46121</v>
      </c>
      <c r="D1149" t="s">
        <v>948</v>
      </c>
      <c r="E1149" t="s">
        <v>54</v>
      </c>
      <c r="F1149" t="s">
        <v>55</v>
      </c>
      <c r="G1149" t="s">
        <v>71</v>
      </c>
      <c r="H1149" t="s">
        <v>51</v>
      </c>
      <c r="I1149" s="2">
        <v>2</v>
      </c>
      <c r="J1149" s="3">
        <v>180</v>
      </c>
      <c r="K1149" s="4">
        <v>0.05</v>
      </c>
      <c r="L1149" s="3">
        <v>342</v>
      </c>
      <c r="M1149" t="b">
        <v>1</v>
      </c>
      <c r="N1149" s="2">
        <f>YEAR(B1149)</f>
        <v>2026</v>
      </c>
      <c r="O1149" t="str">
        <f>INDEX(Agences!$C:$C,MATCH(F1149,Agences!$A:$A,0))</f>
        <v>Est</v>
      </c>
      <c r="P1149" t="str">
        <f>INDEX(Produits!$C:$C,MATCH(H1149,Produits!$A:$A,0))</f>
        <v>Maintenance</v>
      </c>
      <c r="Q1149" s="3">
        <f>I1149*INDEX(Produits!$E:$E,MATCH(H1149,Produits!$A:$A,0))</f>
        <v>165.6</v>
      </c>
      <c r="R1149" s="3">
        <f>L1149-Q1149</f>
        <v>176.4</v>
      </c>
      <c r="S1149" s="2">
        <f>NETWORKDAYS(B1149,C1149)-1</f>
        <v>7</v>
      </c>
      <c r="T1149" s="1">
        <f>WORKDAY(B1149,5)</f>
        <v>46119</v>
      </c>
      <c r="U1149" t="b">
        <f>C1149&gt;T1149</f>
        <v>1</v>
      </c>
    </row>
    <row r="1150" spans="1:21" x14ac:dyDescent="0.25">
      <c r="A1150" t="s">
        <v>947</v>
      </c>
      <c r="B1150" s="1">
        <v>46112</v>
      </c>
      <c r="C1150" s="1">
        <v>46121</v>
      </c>
      <c r="D1150" t="s">
        <v>948</v>
      </c>
      <c r="E1150" t="s">
        <v>54</v>
      </c>
      <c r="F1150" t="s">
        <v>55</v>
      </c>
      <c r="G1150" t="s">
        <v>71</v>
      </c>
      <c r="H1150" t="s">
        <v>72</v>
      </c>
      <c r="I1150" s="2">
        <v>5</v>
      </c>
      <c r="J1150" s="3">
        <v>179</v>
      </c>
      <c r="K1150" s="4">
        <v>0</v>
      </c>
      <c r="L1150" s="3">
        <v>895</v>
      </c>
      <c r="M1150" t="b">
        <v>1</v>
      </c>
      <c r="N1150" s="2">
        <f>YEAR(B1150)</f>
        <v>2026</v>
      </c>
      <c r="O1150" t="str">
        <f>INDEX(Agences!$C:$C,MATCH(F1150,Agences!$A:$A,0))</f>
        <v>Est</v>
      </c>
      <c r="P1150" t="str">
        <f>INDEX(Produits!$C:$C,MATCH(H1150,Produits!$A:$A,0))</f>
        <v>Informatique</v>
      </c>
      <c r="Q1150" s="3">
        <f>I1150*INDEX(Produits!$E:$E,MATCH(H1150,Produits!$A:$A,0))</f>
        <v>733.9</v>
      </c>
      <c r="R1150" s="3">
        <f>L1150-Q1150</f>
        <v>161.10000000000002</v>
      </c>
      <c r="S1150" s="2">
        <f>NETWORKDAYS(B1150,C1150)-1</f>
        <v>7</v>
      </c>
      <c r="T1150" s="1">
        <f>WORKDAY(B1150,5)</f>
        <v>46119</v>
      </c>
      <c r="U1150" t="b">
        <f>C1150&gt;T1150</f>
        <v>1</v>
      </c>
    </row>
    <row r="1151" spans="1:21" x14ac:dyDescent="0.25">
      <c r="A1151" t="s">
        <v>949</v>
      </c>
      <c r="B1151" s="1">
        <v>46111</v>
      </c>
      <c r="C1151" s="1">
        <v>46114</v>
      </c>
      <c r="D1151" t="s">
        <v>828</v>
      </c>
      <c r="E1151" t="s">
        <v>165</v>
      </c>
      <c r="F1151" t="s">
        <v>166</v>
      </c>
      <c r="G1151" t="s">
        <v>179</v>
      </c>
      <c r="H1151" t="s">
        <v>319</v>
      </c>
      <c r="I1151" s="2">
        <v>2</v>
      </c>
      <c r="J1151" s="3">
        <v>289</v>
      </c>
      <c r="K1151" s="4">
        <v>0</v>
      </c>
      <c r="L1151" s="3">
        <v>578</v>
      </c>
      <c r="M1151" t="b">
        <v>1</v>
      </c>
      <c r="N1151" s="2">
        <f>YEAR(B1151)</f>
        <v>2026</v>
      </c>
      <c r="O1151" t="str">
        <f>INDEX(Agences!$C:$C,MATCH(F1151,Agences!$A:$A,0))</f>
        <v>Ouest</v>
      </c>
      <c r="P1151" t="str">
        <f>INDEX(Produits!$C:$C,MATCH(H1151,Produits!$A:$A,0))</f>
        <v>Informatique</v>
      </c>
      <c r="Q1151" s="3">
        <f>I1151*INDEX(Produits!$E:$E,MATCH(H1151,Produits!$A:$A,0))</f>
        <v>427.72</v>
      </c>
      <c r="R1151" s="3">
        <f>L1151-Q1151</f>
        <v>150.27999999999997</v>
      </c>
      <c r="S1151" s="2">
        <f>NETWORKDAYS(B1151,C1151)-1</f>
        <v>3</v>
      </c>
      <c r="T1151" s="1">
        <f>WORKDAY(B1151,5)</f>
        <v>46118</v>
      </c>
      <c r="U1151" t="b">
        <f>C1151&gt;T1151</f>
        <v>0</v>
      </c>
    </row>
    <row r="1152" spans="1:21" x14ac:dyDescent="0.25">
      <c r="A1152" t="s">
        <v>950</v>
      </c>
      <c r="B1152" s="1">
        <v>46111</v>
      </c>
      <c r="C1152" s="1">
        <v>46115</v>
      </c>
      <c r="D1152" t="s">
        <v>951</v>
      </c>
      <c r="E1152" t="s">
        <v>384</v>
      </c>
      <c r="F1152" t="s">
        <v>46</v>
      </c>
      <c r="G1152" t="s">
        <v>47</v>
      </c>
      <c r="H1152" t="s">
        <v>606</v>
      </c>
      <c r="I1152" s="2">
        <v>1</v>
      </c>
      <c r="J1152" s="3">
        <v>1150</v>
      </c>
      <c r="K1152" s="4">
        <v>0</v>
      </c>
      <c r="L1152" s="3">
        <v>1150</v>
      </c>
      <c r="M1152" t="b">
        <v>1</v>
      </c>
      <c r="N1152" s="2">
        <f>YEAR(B1152)</f>
        <v>2026</v>
      </c>
      <c r="O1152" t="str">
        <f>INDEX(Agences!$C:$C,MATCH(F1152,Agences!$A:$A,0))</f>
        <v>Est</v>
      </c>
      <c r="P1152" t="str">
        <f>INDEX(Produits!$C:$C,MATCH(H1152,Produits!$A:$A,0))</f>
        <v>Mobilier</v>
      </c>
      <c r="Q1152" s="3">
        <f>I1152*INDEX(Produits!$E:$E,MATCH(H1152,Produits!$A:$A,0))</f>
        <v>713</v>
      </c>
      <c r="R1152" s="3">
        <f>L1152-Q1152</f>
        <v>437</v>
      </c>
      <c r="S1152" s="2">
        <f>NETWORKDAYS(B1152,C1152)-1</f>
        <v>4</v>
      </c>
      <c r="T1152" s="1">
        <f>WORKDAY(B1152,5)</f>
        <v>46118</v>
      </c>
      <c r="U1152" t="b">
        <f>C1152&gt;T1152</f>
        <v>0</v>
      </c>
    </row>
    <row r="1153" spans="1:21" x14ac:dyDescent="0.25">
      <c r="A1153" t="s">
        <v>950</v>
      </c>
      <c r="B1153" s="1">
        <v>46111</v>
      </c>
      <c r="C1153" s="1">
        <v>46115</v>
      </c>
      <c r="D1153" t="s">
        <v>951</v>
      </c>
      <c r="E1153" t="s">
        <v>384</v>
      </c>
      <c r="F1153" t="s">
        <v>46</v>
      </c>
      <c r="G1153" t="s">
        <v>47</v>
      </c>
      <c r="H1153" t="s">
        <v>48</v>
      </c>
      <c r="I1153" s="2">
        <v>1</v>
      </c>
      <c r="J1153" s="3">
        <v>165</v>
      </c>
      <c r="K1153" s="4">
        <v>0.08</v>
      </c>
      <c r="L1153" s="3">
        <v>151.8</v>
      </c>
      <c r="M1153" t="b">
        <v>1</v>
      </c>
      <c r="N1153" s="2">
        <f>YEAR(B1153)</f>
        <v>2026</v>
      </c>
      <c r="O1153" t="str">
        <f>INDEX(Agences!$C:$C,MATCH(F1153,Agences!$A:$A,0))</f>
        <v>Est</v>
      </c>
      <c r="P1153" t="str">
        <f>INDEX(Produits!$C:$C,MATCH(H1153,Produits!$A:$A,0))</f>
        <v>Mobilier</v>
      </c>
      <c r="Q1153" s="3">
        <f>I1153*INDEX(Produits!$E:$E,MATCH(H1153,Produits!$A:$A,0))</f>
        <v>107.25</v>
      </c>
      <c r="R1153" s="3">
        <f>L1153-Q1153</f>
        <v>44.55000000000001</v>
      </c>
      <c r="S1153" s="2">
        <f>NETWORKDAYS(B1153,C1153)-1</f>
        <v>4</v>
      </c>
      <c r="T1153" s="1">
        <f>WORKDAY(B1153,5)</f>
        <v>46118</v>
      </c>
      <c r="U1153" t="b">
        <f>C1153&gt;T1153</f>
        <v>0</v>
      </c>
    </row>
    <row r="1154" spans="1:21" x14ac:dyDescent="0.25">
      <c r="A1154" t="s">
        <v>950</v>
      </c>
      <c r="B1154" s="1">
        <v>46111</v>
      </c>
      <c r="C1154" s="1">
        <v>46115</v>
      </c>
      <c r="D1154" t="s">
        <v>951</v>
      </c>
      <c r="E1154" t="s">
        <v>384</v>
      </c>
      <c r="F1154" t="s">
        <v>46</v>
      </c>
      <c r="G1154" t="s">
        <v>47</v>
      </c>
      <c r="H1154" t="s">
        <v>107</v>
      </c>
      <c r="I1154" s="2">
        <v>2</v>
      </c>
      <c r="J1154" s="3">
        <v>99</v>
      </c>
      <c r="K1154" s="4">
        <v>0.05</v>
      </c>
      <c r="L1154" s="3">
        <v>188.1</v>
      </c>
      <c r="M1154" t="b">
        <v>1</v>
      </c>
      <c r="N1154" s="2">
        <f>YEAR(B1154)</f>
        <v>2026</v>
      </c>
      <c r="O1154" t="str">
        <f>INDEX(Agences!$C:$C,MATCH(F1154,Agences!$A:$A,0))</f>
        <v>Est</v>
      </c>
      <c r="P1154" t="str">
        <f>INDEX(Produits!$C:$C,MATCH(H1154,Produits!$A:$A,0))</f>
        <v>Informatique</v>
      </c>
      <c r="Q1154" s="3">
        <f>I1154*INDEX(Produits!$E:$E,MATCH(H1154,Produits!$A:$A,0))</f>
        <v>150.48</v>
      </c>
      <c r="R1154" s="3">
        <f>L1154-Q1154</f>
        <v>37.620000000000005</v>
      </c>
      <c r="S1154" s="2">
        <f>NETWORKDAYS(B1154,C1154)-1</f>
        <v>4</v>
      </c>
      <c r="T1154" s="1">
        <f>WORKDAY(B1154,5)</f>
        <v>46118</v>
      </c>
      <c r="U1154" t="b">
        <f>C1154&gt;T1154</f>
        <v>0</v>
      </c>
    </row>
    <row r="1155" spans="1:21" x14ac:dyDescent="0.25">
      <c r="A1155" t="s">
        <v>952</v>
      </c>
      <c r="B1155" s="1">
        <v>46108</v>
      </c>
      <c r="C1155" s="1">
        <v>46112</v>
      </c>
      <c r="D1155" t="s">
        <v>953</v>
      </c>
      <c r="E1155" t="s">
        <v>236</v>
      </c>
      <c r="F1155" t="s">
        <v>39</v>
      </c>
      <c r="G1155" t="s">
        <v>131</v>
      </c>
      <c r="H1155" t="s">
        <v>107</v>
      </c>
      <c r="I1155" s="2">
        <v>1</v>
      </c>
      <c r="J1155" s="3">
        <v>99</v>
      </c>
      <c r="K1155" s="4">
        <v>0.05</v>
      </c>
      <c r="L1155" s="3">
        <v>94.05</v>
      </c>
      <c r="M1155" t="b">
        <v>1</v>
      </c>
      <c r="N1155" s="2">
        <f>YEAR(B1155)</f>
        <v>2026</v>
      </c>
      <c r="O1155" t="str">
        <f>INDEX(Agences!$C:$C,MATCH(F1155,Agences!$A:$A,0))</f>
        <v>Sud-Ouest</v>
      </c>
      <c r="P1155" t="str">
        <f>INDEX(Produits!$C:$C,MATCH(H1155,Produits!$A:$A,0))</f>
        <v>Informatique</v>
      </c>
      <c r="Q1155" s="3">
        <f>I1155*INDEX(Produits!$E:$E,MATCH(H1155,Produits!$A:$A,0))</f>
        <v>75.24</v>
      </c>
      <c r="R1155" s="3">
        <f>L1155-Q1155</f>
        <v>18.810000000000002</v>
      </c>
      <c r="S1155" s="2">
        <f>NETWORKDAYS(B1155,C1155)-1</f>
        <v>2</v>
      </c>
      <c r="T1155" s="1">
        <f>WORKDAY(B1155,5)</f>
        <v>46115</v>
      </c>
      <c r="U1155" t="b">
        <f>C1155&gt;T1155</f>
        <v>0</v>
      </c>
    </row>
    <row r="1156" spans="1:21" x14ac:dyDescent="0.25">
      <c r="A1156" t="s">
        <v>954</v>
      </c>
      <c r="B1156" s="1">
        <v>46107</v>
      </c>
      <c r="C1156" s="1">
        <v>46112</v>
      </c>
      <c r="D1156" t="s">
        <v>955</v>
      </c>
      <c r="E1156" t="s">
        <v>185</v>
      </c>
      <c r="F1156" t="s">
        <v>31</v>
      </c>
      <c r="G1156" t="s">
        <v>375</v>
      </c>
      <c r="H1156" t="s">
        <v>64</v>
      </c>
      <c r="I1156" s="2">
        <v>5</v>
      </c>
      <c r="J1156" s="3">
        <v>16.8</v>
      </c>
      <c r="K1156" s="4">
        <v>0</v>
      </c>
      <c r="L1156" s="3">
        <v>84</v>
      </c>
      <c r="M1156" t="b">
        <v>1</v>
      </c>
      <c r="N1156" s="2">
        <f>YEAR(B1156)</f>
        <v>2026</v>
      </c>
      <c r="O1156" t="str">
        <f>INDEX(Agences!$C:$C,MATCH(F1156,Agences!$A:$A,0))</f>
        <v>Ouest</v>
      </c>
      <c r="P1156" t="str">
        <f>INDEX(Produits!$C:$C,MATCH(H1156,Produits!$A:$A,0))</f>
        <v>Fournitures</v>
      </c>
      <c r="Q1156" s="3">
        <f>I1156*INDEX(Produits!$E:$E,MATCH(H1156,Produits!$A:$A,0))</f>
        <v>43.7</v>
      </c>
      <c r="R1156" s="3">
        <f>L1156-Q1156</f>
        <v>40.3</v>
      </c>
      <c r="S1156" s="2">
        <f>NETWORKDAYS(B1156,C1156)-1</f>
        <v>3</v>
      </c>
      <c r="T1156" s="1">
        <f>WORKDAY(B1156,5)</f>
        <v>46114</v>
      </c>
      <c r="U1156" t="b">
        <f>C1156&gt;T1156</f>
        <v>0</v>
      </c>
    </row>
    <row r="1157" spans="1:21" x14ac:dyDescent="0.25">
      <c r="A1157" t="s">
        <v>956</v>
      </c>
      <c r="B1157" s="1">
        <v>46107</v>
      </c>
      <c r="C1157" s="1">
        <v>46112</v>
      </c>
      <c r="D1157" t="s">
        <v>957</v>
      </c>
      <c r="E1157" t="s">
        <v>38</v>
      </c>
      <c r="F1157" t="s">
        <v>39</v>
      </c>
      <c r="G1157" t="s">
        <v>40</v>
      </c>
      <c r="H1157" t="s">
        <v>35</v>
      </c>
      <c r="I1157" s="2">
        <v>6</v>
      </c>
      <c r="J1157" s="3">
        <v>79</v>
      </c>
      <c r="K1157" s="4">
        <v>0</v>
      </c>
      <c r="L1157" s="3">
        <v>474</v>
      </c>
      <c r="M1157" t="b">
        <v>1</v>
      </c>
      <c r="N1157" s="2">
        <f>YEAR(B1157)</f>
        <v>2026</v>
      </c>
      <c r="O1157" t="str">
        <f>INDEX(Agences!$C:$C,MATCH(F1157,Agences!$A:$A,0))</f>
        <v>Sud-Ouest</v>
      </c>
      <c r="P1157" t="str">
        <f>INDEX(Produits!$C:$C,MATCH(H1157,Produits!$A:$A,0))</f>
        <v>Mobilier</v>
      </c>
      <c r="Q1157" s="3">
        <f>I1157*INDEX(Produits!$E:$E,MATCH(H1157,Produits!$A:$A,0))</f>
        <v>279.65999999999997</v>
      </c>
      <c r="R1157" s="3">
        <f>L1157-Q1157</f>
        <v>194.34000000000003</v>
      </c>
      <c r="S1157" s="2">
        <f>NETWORKDAYS(B1157,C1157)-1</f>
        <v>3</v>
      </c>
      <c r="T1157" s="1">
        <f>WORKDAY(B1157,5)</f>
        <v>46114</v>
      </c>
      <c r="U1157" t="b">
        <f>C1157&gt;T1157</f>
        <v>0</v>
      </c>
    </row>
    <row r="1158" spans="1:21" x14ac:dyDescent="0.25">
      <c r="A1158" t="s">
        <v>956</v>
      </c>
      <c r="B1158" s="1">
        <v>46107</v>
      </c>
      <c r="C1158" s="1">
        <v>46112</v>
      </c>
      <c r="D1158" t="s">
        <v>957</v>
      </c>
      <c r="E1158" t="s">
        <v>38</v>
      </c>
      <c r="F1158" t="s">
        <v>39</v>
      </c>
      <c r="G1158" t="s">
        <v>40</v>
      </c>
      <c r="H1158" t="s">
        <v>34</v>
      </c>
      <c r="I1158" s="2">
        <v>2</v>
      </c>
      <c r="J1158" s="3">
        <v>340</v>
      </c>
      <c r="K1158" s="4">
        <v>0.05</v>
      </c>
      <c r="L1158" s="3">
        <v>646</v>
      </c>
      <c r="M1158" t="b">
        <v>1</v>
      </c>
      <c r="N1158" s="2">
        <f>YEAR(B1158)</f>
        <v>2026</v>
      </c>
      <c r="O1158" t="str">
        <f>INDEX(Agences!$C:$C,MATCH(F1158,Agences!$A:$A,0))</f>
        <v>Sud-Ouest</v>
      </c>
      <c r="P1158" t="str">
        <f>INDEX(Produits!$C:$C,MATCH(H1158,Produits!$A:$A,0))</f>
        <v>Informatique</v>
      </c>
      <c r="Q1158" s="3">
        <f>I1158*INDEX(Produits!$E:$E,MATCH(H1158,Produits!$A:$A,0))</f>
        <v>550.8</v>
      </c>
      <c r="R1158" s="3">
        <f>L1158-Q1158</f>
        <v>95.20000000000005</v>
      </c>
      <c r="S1158" s="2">
        <f>NETWORKDAYS(B1158,C1158)-1</f>
        <v>3</v>
      </c>
      <c r="T1158" s="1">
        <f>WORKDAY(B1158,5)</f>
        <v>46114</v>
      </c>
      <c r="U1158" t="b">
        <f>C1158&gt;T1158</f>
        <v>0</v>
      </c>
    </row>
    <row r="1159" spans="1:21" x14ac:dyDescent="0.25">
      <c r="A1159" t="s">
        <v>956</v>
      </c>
      <c r="B1159" s="1">
        <v>46107</v>
      </c>
      <c r="C1159" s="1">
        <v>46112</v>
      </c>
      <c r="D1159" t="s">
        <v>957</v>
      </c>
      <c r="E1159" t="s">
        <v>38</v>
      </c>
      <c r="F1159" t="s">
        <v>39</v>
      </c>
      <c r="G1159" t="s">
        <v>40</v>
      </c>
      <c r="H1159" t="s">
        <v>51</v>
      </c>
      <c r="I1159" s="2">
        <v>1</v>
      </c>
      <c r="J1159" s="3">
        <v>180</v>
      </c>
      <c r="K1159" s="4">
        <v>0</v>
      </c>
      <c r="L1159" s="3">
        <v>180</v>
      </c>
      <c r="M1159" t="b">
        <v>1</v>
      </c>
      <c r="N1159" s="2">
        <f>YEAR(B1159)</f>
        <v>2026</v>
      </c>
      <c r="O1159" t="str">
        <f>INDEX(Agences!$C:$C,MATCH(F1159,Agences!$A:$A,0))</f>
        <v>Sud-Ouest</v>
      </c>
      <c r="P1159" t="str">
        <f>INDEX(Produits!$C:$C,MATCH(H1159,Produits!$A:$A,0))</f>
        <v>Maintenance</v>
      </c>
      <c r="Q1159" s="3">
        <f>I1159*INDEX(Produits!$E:$E,MATCH(H1159,Produits!$A:$A,0))</f>
        <v>82.8</v>
      </c>
      <c r="R1159" s="3">
        <f>L1159-Q1159</f>
        <v>97.2</v>
      </c>
      <c r="S1159" s="2">
        <f>NETWORKDAYS(B1159,C1159)-1</f>
        <v>3</v>
      </c>
      <c r="T1159" s="1">
        <f>WORKDAY(B1159,5)</f>
        <v>46114</v>
      </c>
      <c r="U1159" t="b">
        <f>C1159&gt;T1159</f>
        <v>0</v>
      </c>
    </row>
    <row r="1160" spans="1:21" x14ac:dyDescent="0.25">
      <c r="A1160" t="s">
        <v>958</v>
      </c>
      <c r="B1160" s="1">
        <v>46107</v>
      </c>
      <c r="C1160" s="1">
        <v>46112</v>
      </c>
      <c r="D1160" t="s">
        <v>959</v>
      </c>
      <c r="E1160" t="s">
        <v>61</v>
      </c>
      <c r="F1160" t="s">
        <v>62</v>
      </c>
      <c r="G1160" t="s">
        <v>63</v>
      </c>
      <c r="H1160" t="s">
        <v>49</v>
      </c>
      <c r="I1160" s="2">
        <v>1</v>
      </c>
      <c r="J1160" s="3">
        <v>120</v>
      </c>
      <c r="K1160" s="4">
        <v>0</v>
      </c>
      <c r="L1160" s="3">
        <v>120</v>
      </c>
      <c r="M1160" t="b">
        <v>1</v>
      </c>
      <c r="N1160" s="2">
        <f>YEAR(B1160)</f>
        <v>2026</v>
      </c>
      <c r="O1160" t="str">
        <f>INDEX(Agences!$C:$C,MATCH(F1160,Agences!$A:$A,0))</f>
        <v>Méditerranée</v>
      </c>
      <c r="P1160" t="str">
        <f>INDEX(Produits!$C:$C,MATCH(H1160,Produits!$A:$A,0))</f>
        <v>Maintenance</v>
      </c>
      <c r="Q1160" s="3">
        <f>I1160*INDEX(Produits!$E:$E,MATCH(H1160,Produits!$A:$A,0))</f>
        <v>55.2</v>
      </c>
      <c r="R1160" s="3">
        <f>L1160-Q1160</f>
        <v>64.8</v>
      </c>
      <c r="S1160" s="2">
        <f>NETWORKDAYS(B1160,C1160)-1</f>
        <v>3</v>
      </c>
      <c r="T1160" s="1">
        <f>WORKDAY(B1160,5)</f>
        <v>46114</v>
      </c>
      <c r="U1160" t="b">
        <f>C1160&gt;T1160</f>
        <v>0</v>
      </c>
    </row>
    <row r="1161" spans="1:21" x14ac:dyDescent="0.25">
      <c r="A1161" t="s">
        <v>958</v>
      </c>
      <c r="B1161" s="1">
        <v>46107</v>
      </c>
      <c r="C1161" s="1">
        <v>46112</v>
      </c>
      <c r="D1161" t="s">
        <v>959</v>
      </c>
      <c r="E1161" t="s">
        <v>61</v>
      </c>
      <c r="F1161" t="s">
        <v>62</v>
      </c>
      <c r="G1161" t="s">
        <v>63</v>
      </c>
      <c r="H1161" t="s">
        <v>84</v>
      </c>
      <c r="I1161" s="2">
        <v>3</v>
      </c>
      <c r="J1161" s="3">
        <v>420</v>
      </c>
      <c r="K1161" s="4">
        <v>0</v>
      </c>
      <c r="L1161" s="3">
        <v>1260</v>
      </c>
      <c r="M1161" t="b">
        <v>1</v>
      </c>
      <c r="N1161" s="2">
        <f>YEAR(B1161)</f>
        <v>2026</v>
      </c>
      <c r="O1161" t="str">
        <f>INDEX(Agences!$C:$C,MATCH(F1161,Agences!$A:$A,0))</f>
        <v>Méditerranée</v>
      </c>
      <c r="P1161" t="str">
        <f>INDEX(Produits!$C:$C,MATCH(H1161,Produits!$A:$A,0))</f>
        <v>Mobilier</v>
      </c>
      <c r="Q1161" s="3">
        <f>I1161*INDEX(Produits!$E:$E,MATCH(H1161,Produits!$A:$A,0))</f>
        <v>730.8</v>
      </c>
      <c r="R1161" s="3">
        <f>L1161-Q1161</f>
        <v>529.2</v>
      </c>
      <c r="S1161" s="2">
        <f>NETWORKDAYS(B1161,C1161)-1</f>
        <v>3</v>
      </c>
      <c r="T1161" s="1">
        <f>WORKDAY(B1161,5)</f>
        <v>46114</v>
      </c>
      <c r="U1161" t="b">
        <f>C1161&gt;T1161</f>
        <v>0</v>
      </c>
    </row>
    <row r="1162" spans="1:21" x14ac:dyDescent="0.25">
      <c r="A1162" t="s">
        <v>958</v>
      </c>
      <c r="B1162" s="1">
        <v>46107</v>
      </c>
      <c r="C1162" s="1">
        <v>46112</v>
      </c>
      <c r="D1162" t="s">
        <v>959</v>
      </c>
      <c r="E1162" t="s">
        <v>61</v>
      </c>
      <c r="F1162" t="s">
        <v>62</v>
      </c>
      <c r="G1162" t="s">
        <v>63</v>
      </c>
      <c r="H1162" t="s">
        <v>50</v>
      </c>
      <c r="I1162" s="2">
        <v>1</v>
      </c>
      <c r="J1162" s="3">
        <v>69</v>
      </c>
      <c r="K1162" s="4">
        <v>0</v>
      </c>
      <c r="L1162" s="3">
        <v>69</v>
      </c>
      <c r="M1162" t="b">
        <v>1</v>
      </c>
      <c r="N1162" s="2">
        <f>YEAR(B1162)</f>
        <v>2026</v>
      </c>
      <c r="O1162" t="str">
        <f>INDEX(Agences!$C:$C,MATCH(F1162,Agences!$A:$A,0))</f>
        <v>Méditerranée</v>
      </c>
      <c r="P1162" t="str">
        <f>INDEX(Produits!$C:$C,MATCH(H1162,Produits!$A:$A,0))</f>
        <v>Informatique</v>
      </c>
      <c r="Q1162" s="3">
        <f>I1162*INDEX(Produits!$E:$E,MATCH(H1162,Produits!$A:$A,0))</f>
        <v>54.51</v>
      </c>
      <c r="R1162" s="3">
        <f>L1162-Q1162</f>
        <v>14.490000000000002</v>
      </c>
      <c r="S1162" s="2">
        <f>NETWORKDAYS(B1162,C1162)-1</f>
        <v>3</v>
      </c>
      <c r="T1162" s="1">
        <f>WORKDAY(B1162,5)</f>
        <v>46114</v>
      </c>
      <c r="U1162" t="b">
        <f>C1162&gt;T1162</f>
        <v>0</v>
      </c>
    </row>
    <row r="1163" spans="1:21" x14ac:dyDescent="0.25">
      <c r="A1163" t="s">
        <v>960</v>
      </c>
      <c r="B1163" s="1">
        <v>46107</v>
      </c>
      <c r="C1163" s="1">
        <v>46113</v>
      </c>
      <c r="D1163" t="s">
        <v>169</v>
      </c>
      <c r="E1163" t="s">
        <v>67</v>
      </c>
      <c r="F1163" t="s">
        <v>62</v>
      </c>
      <c r="G1163" t="s">
        <v>106</v>
      </c>
      <c r="H1163" t="s">
        <v>79</v>
      </c>
      <c r="I1163" s="2">
        <v>5</v>
      </c>
      <c r="J1163" s="3">
        <v>14.9</v>
      </c>
      <c r="K1163" s="4">
        <v>0.22</v>
      </c>
      <c r="L1163" s="3">
        <v>58.11</v>
      </c>
      <c r="M1163" t="b">
        <v>1</v>
      </c>
      <c r="N1163" s="2">
        <f>YEAR(B1163)</f>
        <v>2026</v>
      </c>
      <c r="O1163" t="str">
        <f>INDEX(Agences!$C:$C,MATCH(F1163,Agences!$A:$A,0))</f>
        <v>Méditerranée</v>
      </c>
      <c r="P1163" t="str">
        <f>INDEX(Produits!$C:$C,MATCH(H1163,Produits!$A:$A,0))</f>
        <v>Fournitures</v>
      </c>
      <c r="Q1163" s="3">
        <f>I1163*INDEX(Produits!$E:$E,MATCH(H1163,Produits!$A:$A,0))</f>
        <v>40.25</v>
      </c>
      <c r="R1163" s="3">
        <f>L1163-Q1163</f>
        <v>17.86</v>
      </c>
      <c r="S1163" s="2">
        <f>NETWORKDAYS(B1163,C1163)-1</f>
        <v>4</v>
      </c>
      <c r="T1163" s="1">
        <f>WORKDAY(B1163,5)</f>
        <v>46114</v>
      </c>
      <c r="U1163" t="b">
        <f>C1163&gt;T1163</f>
        <v>0</v>
      </c>
    </row>
    <row r="1164" spans="1:21" x14ac:dyDescent="0.25">
      <c r="A1164" t="s">
        <v>960</v>
      </c>
      <c r="B1164" s="1">
        <v>46107</v>
      </c>
      <c r="C1164" s="1">
        <v>46113</v>
      </c>
      <c r="D1164" t="s">
        <v>169</v>
      </c>
      <c r="E1164" t="s">
        <v>67</v>
      </c>
      <c r="F1164" t="s">
        <v>62</v>
      </c>
      <c r="G1164" t="s">
        <v>106</v>
      </c>
      <c r="H1164" t="s">
        <v>26</v>
      </c>
      <c r="I1164" s="2">
        <v>1</v>
      </c>
      <c r="J1164" s="3">
        <v>290</v>
      </c>
      <c r="K1164" s="4">
        <v>0.25</v>
      </c>
      <c r="L1164" s="3">
        <v>217.5</v>
      </c>
      <c r="M1164" t="b">
        <v>1</v>
      </c>
      <c r="N1164" s="2">
        <f>YEAR(B1164)</f>
        <v>2026</v>
      </c>
      <c r="O1164" t="str">
        <f>INDEX(Agences!$C:$C,MATCH(F1164,Agences!$A:$A,0))</f>
        <v>Méditerranée</v>
      </c>
      <c r="P1164" t="str">
        <f>INDEX(Produits!$C:$C,MATCH(H1164,Produits!$A:$A,0))</f>
        <v>Maintenance</v>
      </c>
      <c r="Q1164" s="3">
        <f>I1164*INDEX(Produits!$E:$E,MATCH(H1164,Produits!$A:$A,0))</f>
        <v>139.2</v>
      </c>
      <c r="R1164" s="3">
        <f>L1164-Q1164</f>
        <v>78.30000000000001</v>
      </c>
      <c r="S1164" s="2">
        <f>NETWORKDAYS(B1164,C1164)-1</f>
        <v>4</v>
      </c>
      <c r="T1164" s="1">
        <f>WORKDAY(B1164,5)</f>
        <v>46114</v>
      </c>
      <c r="U1164" t="b">
        <f>C1164&gt;T1164</f>
        <v>0</v>
      </c>
    </row>
    <row r="1165" spans="1:21" x14ac:dyDescent="0.25">
      <c r="A1165" t="s">
        <v>960</v>
      </c>
      <c r="B1165" s="1">
        <v>46107</v>
      </c>
      <c r="C1165" s="1">
        <v>46113</v>
      </c>
      <c r="D1165" t="s">
        <v>169</v>
      </c>
      <c r="E1165" t="s">
        <v>67</v>
      </c>
      <c r="F1165" t="s">
        <v>62</v>
      </c>
      <c r="G1165" t="s">
        <v>106</v>
      </c>
      <c r="H1165" t="s">
        <v>72</v>
      </c>
      <c r="I1165" s="2">
        <v>1</v>
      </c>
      <c r="J1165" s="3">
        <v>179</v>
      </c>
      <c r="K1165" s="4">
        <v>0.25</v>
      </c>
      <c r="L1165" s="3">
        <v>134.25</v>
      </c>
      <c r="M1165" t="b">
        <v>1</v>
      </c>
      <c r="N1165" s="2">
        <f>YEAR(B1165)</f>
        <v>2026</v>
      </c>
      <c r="O1165" t="str">
        <f>INDEX(Agences!$C:$C,MATCH(F1165,Agences!$A:$A,0))</f>
        <v>Méditerranée</v>
      </c>
      <c r="P1165" t="str">
        <f>INDEX(Produits!$C:$C,MATCH(H1165,Produits!$A:$A,0))</f>
        <v>Informatique</v>
      </c>
      <c r="Q1165" s="3">
        <f>I1165*INDEX(Produits!$E:$E,MATCH(H1165,Produits!$A:$A,0))</f>
        <v>146.78</v>
      </c>
      <c r="R1165" s="3">
        <f>L1165-Q1165</f>
        <v>-12.530000000000001</v>
      </c>
      <c r="S1165" s="2">
        <f>NETWORKDAYS(B1165,C1165)-1</f>
        <v>4</v>
      </c>
      <c r="T1165" s="1">
        <f>WORKDAY(B1165,5)</f>
        <v>46114</v>
      </c>
      <c r="U1165" t="b">
        <f>C1165&gt;T1165</f>
        <v>0</v>
      </c>
    </row>
    <row r="1166" spans="1:21" x14ac:dyDescent="0.25">
      <c r="A1166" t="s">
        <v>960</v>
      </c>
      <c r="B1166" s="1">
        <v>46107</v>
      </c>
      <c r="C1166" s="1">
        <v>46113</v>
      </c>
      <c r="D1166" t="s">
        <v>169</v>
      </c>
      <c r="E1166" t="s">
        <v>67</v>
      </c>
      <c r="F1166" t="s">
        <v>62</v>
      </c>
      <c r="G1166" t="s">
        <v>106</v>
      </c>
      <c r="H1166" t="s">
        <v>50</v>
      </c>
      <c r="I1166" s="2">
        <v>1</v>
      </c>
      <c r="J1166" s="3">
        <v>69</v>
      </c>
      <c r="K1166" s="4">
        <v>0.18</v>
      </c>
      <c r="L1166" s="3">
        <v>56.58</v>
      </c>
      <c r="M1166" t="b">
        <v>1</v>
      </c>
      <c r="N1166" s="2">
        <f>YEAR(B1166)</f>
        <v>2026</v>
      </c>
      <c r="O1166" t="str">
        <f>INDEX(Agences!$C:$C,MATCH(F1166,Agences!$A:$A,0))</f>
        <v>Méditerranée</v>
      </c>
      <c r="P1166" t="str">
        <f>INDEX(Produits!$C:$C,MATCH(H1166,Produits!$A:$A,0))</f>
        <v>Informatique</v>
      </c>
      <c r="Q1166" s="3">
        <f>I1166*INDEX(Produits!$E:$E,MATCH(H1166,Produits!$A:$A,0))</f>
        <v>54.51</v>
      </c>
      <c r="R1166" s="3">
        <f>L1166-Q1166</f>
        <v>2.0700000000000003</v>
      </c>
      <c r="S1166" s="2">
        <f>NETWORKDAYS(B1166,C1166)-1</f>
        <v>4</v>
      </c>
      <c r="T1166" s="1">
        <f>WORKDAY(B1166,5)</f>
        <v>46114</v>
      </c>
      <c r="U1166" t="b">
        <f>C1166&gt;T1166</f>
        <v>0</v>
      </c>
    </row>
    <row r="1167" spans="1:21" x14ac:dyDescent="0.25">
      <c r="A1167" t="s">
        <v>961</v>
      </c>
      <c r="B1167" s="1">
        <v>46107</v>
      </c>
      <c r="C1167" s="1">
        <v>46114</v>
      </c>
      <c r="D1167" t="s">
        <v>848</v>
      </c>
      <c r="E1167" t="s">
        <v>242</v>
      </c>
      <c r="F1167" t="s">
        <v>94</v>
      </c>
      <c r="G1167" t="s">
        <v>182</v>
      </c>
      <c r="H1167" t="s">
        <v>83</v>
      </c>
      <c r="I1167" s="2">
        <v>1</v>
      </c>
      <c r="J1167" s="3">
        <v>49</v>
      </c>
      <c r="K1167" s="4">
        <v>0.02</v>
      </c>
      <c r="L1167" s="3">
        <v>48.02</v>
      </c>
      <c r="M1167" t="b">
        <v>1</v>
      </c>
      <c r="N1167" s="2">
        <f>YEAR(B1167)</f>
        <v>2026</v>
      </c>
      <c r="O1167" t="str">
        <f>INDEX(Agences!$C:$C,MATCH(F1167,Agences!$A:$A,0))</f>
        <v>Méditerranée</v>
      </c>
      <c r="P1167" t="str">
        <f>INDEX(Produits!$C:$C,MATCH(H1167,Produits!$A:$A,0))</f>
        <v>Mobilier</v>
      </c>
      <c r="Q1167" s="3">
        <f>I1167*INDEX(Produits!$E:$E,MATCH(H1167,Produits!$A:$A,0))</f>
        <v>28.42</v>
      </c>
      <c r="R1167" s="3">
        <f>L1167-Q1167</f>
        <v>19.6</v>
      </c>
      <c r="S1167" s="2">
        <f>NETWORKDAYS(B1167,C1167)-1</f>
        <v>5</v>
      </c>
      <c r="T1167" s="1">
        <f>WORKDAY(B1167,5)</f>
        <v>46114</v>
      </c>
      <c r="U1167" t="b">
        <f>C1167&gt;T1167</f>
        <v>0</v>
      </c>
    </row>
    <row r="1168" spans="1:21" x14ac:dyDescent="0.25">
      <c r="A1168" t="s">
        <v>961</v>
      </c>
      <c r="B1168" s="1">
        <v>46107</v>
      </c>
      <c r="C1168" s="1">
        <v>46114</v>
      </c>
      <c r="D1168" t="s">
        <v>848</v>
      </c>
      <c r="E1168" t="s">
        <v>242</v>
      </c>
      <c r="F1168" t="s">
        <v>94</v>
      </c>
      <c r="G1168" t="s">
        <v>182</v>
      </c>
      <c r="H1168" t="s">
        <v>48</v>
      </c>
      <c r="I1168" s="2">
        <v>1</v>
      </c>
      <c r="J1168" s="3">
        <v>165</v>
      </c>
      <c r="K1168" s="4">
        <v>0.05</v>
      </c>
      <c r="L1168" s="3">
        <v>156.75</v>
      </c>
      <c r="M1168" t="b">
        <v>1</v>
      </c>
      <c r="N1168" s="2">
        <f>YEAR(B1168)</f>
        <v>2026</v>
      </c>
      <c r="O1168" t="str">
        <f>INDEX(Agences!$C:$C,MATCH(F1168,Agences!$A:$A,0))</f>
        <v>Méditerranée</v>
      </c>
      <c r="P1168" t="str">
        <f>INDEX(Produits!$C:$C,MATCH(H1168,Produits!$A:$A,0))</f>
        <v>Mobilier</v>
      </c>
      <c r="Q1168" s="3">
        <f>I1168*INDEX(Produits!$E:$E,MATCH(H1168,Produits!$A:$A,0))</f>
        <v>107.25</v>
      </c>
      <c r="R1168" s="3">
        <f>L1168-Q1168</f>
        <v>49.5</v>
      </c>
      <c r="S1168" s="2">
        <f>NETWORKDAYS(B1168,C1168)-1</f>
        <v>5</v>
      </c>
      <c r="T1168" s="1">
        <f>WORKDAY(B1168,5)</f>
        <v>46114</v>
      </c>
      <c r="U1168" t="b">
        <f>C1168&gt;T1168</f>
        <v>0</v>
      </c>
    </row>
    <row r="1169" spans="1:21" x14ac:dyDescent="0.25">
      <c r="A1169" t="s">
        <v>962</v>
      </c>
      <c r="B1169" s="1">
        <v>46107</v>
      </c>
      <c r="C1169" s="1">
        <v>46125</v>
      </c>
      <c r="D1169" t="s">
        <v>673</v>
      </c>
      <c r="E1169" t="s">
        <v>229</v>
      </c>
      <c r="F1169" t="s">
        <v>55</v>
      </c>
      <c r="G1169" t="s">
        <v>56</v>
      </c>
      <c r="H1169" t="s">
        <v>57</v>
      </c>
      <c r="I1169" s="2">
        <v>1</v>
      </c>
      <c r="J1169" s="3">
        <v>149</v>
      </c>
      <c r="K1169" s="4">
        <v>0.05</v>
      </c>
      <c r="L1169" s="3">
        <v>141.55</v>
      </c>
      <c r="M1169" t="b">
        <v>1</v>
      </c>
      <c r="N1169" s="2">
        <f>YEAR(B1169)</f>
        <v>2026</v>
      </c>
      <c r="O1169" t="str">
        <f>INDEX(Agences!$C:$C,MATCH(F1169,Agences!$A:$A,0))</f>
        <v>Est</v>
      </c>
      <c r="P1169" t="str">
        <f>INDEX(Produits!$C:$C,MATCH(H1169,Produits!$A:$A,0))</f>
        <v>Informatique</v>
      </c>
      <c r="Q1169" s="3">
        <f>I1169*INDEX(Produits!$E:$E,MATCH(H1169,Produits!$A:$A,0))</f>
        <v>114.73</v>
      </c>
      <c r="R1169" s="3">
        <f>L1169-Q1169</f>
        <v>26.820000000000007</v>
      </c>
      <c r="S1169" s="2">
        <f>NETWORKDAYS(B1169,C1169)-1</f>
        <v>12</v>
      </c>
      <c r="T1169" s="1">
        <f>WORKDAY(B1169,5)</f>
        <v>46114</v>
      </c>
      <c r="U1169" t="b">
        <f>C1169&gt;T1169</f>
        <v>1</v>
      </c>
    </row>
    <row r="1170" spans="1:21" x14ac:dyDescent="0.25">
      <c r="A1170" t="s">
        <v>962</v>
      </c>
      <c r="B1170" s="1">
        <v>46107</v>
      </c>
      <c r="C1170" s="1">
        <v>46125</v>
      </c>
      <c r="D1170" t="s">
        <v>673</v>
      </c>
      <c r="E1170" t="s">
        <v>229</v>
      </c>
      <c r="F1170" t="s">
        <v>55</v>
      </c>
      <c r="G1170" t="s">
        <v>56</v>
      </c>
      <c r="H1170" t="s">
        <v>123</v>
      </c>
      <c r="I1170" s="2">
        <v>10</v>
      </c>
      <c r="J1170" s="3">
        <v>39.9</v>
      </c>
      <c r="K1170" s="4">
        <v>0</v>
      </c>
      <c r="L1170" s="3">
        <v>399</v>
      </c>
      <c r="M1170" t="b">
        <v>1</v>
      </c>
      <c r="N1170" s="2">
        <f>YEAR(B1170)</f>
        <v>2026</v>
      </c>
      <c r="O1170" t="str">
        <f>INDEX(Agences!$C:$C,MATCH(F1170,Agences!$A:$A,0))</f>
        <v>Est</v>
      </c>
      <c r="P1170" t="str">
        <f>INDEX(Produits!$C:$C,MATCH(H1170,Produits!$A:$A,0))</f>
        <v>Fournitures</v>
      </c>
      <c r="Q1170" s="3">
        <f>I1170*INDEX(Produits!$E:$E,MATCH(H1170,Produits!$A:$A,0))</f>
        <v>223.4</v>
      </c>
      <c r="R1170" s="3">
        <f>L1170-Q1170</f>
        <v>175.6</v>
      </c>
      <c r="S1170" s="2">
        <f>NETWORKDAYS(B1170,C1170)-1</f>
        <v>12</v>
      </c>
      <c r="T1170" s="1">
        <f>WORKDAY(B1170,5)</f>
        <v>46114</v>
      </c>
      <c r="U1170" t="b">
        <f>C1170&gt;T1170</f>
        <v>1</v>
      </c>
    </row>
    <row r="1171" spans="1:21" x14ac:dyDescent="0.25">
      <c r="A1171" t="s">
        <v>962</v>
      </c>
      <c r="B1171" s="1">
        <v>46107</v>
      </c>
      <c r="C1171" s="1">
        <v>46125</v>
      </c>
      <c r="D1171" t="s">
        <v>673</v>
      </c>
      <c r="E1171" t="s">
        <v>229</v>
      </c>
      <c r="F1171" t="s">
        <v>55</v>
      </c>
      <c r="G1171" t="s">
        <v>56</v>
      </c>
      <c r="H1171" t="s">
        <v>35</v>
      </c>
      <c r="I1171" s="2">
        <v>2</v>
      </c>
      <c r="J1171" s="3">
        <v>79</v>
      </c>
      <c r="K1171" s="4">
        <v>0.05</v>
      </c>
      <c r="L1171" s="3">
        <v>150.1</v>
      </c>
      <c r="M1171" t="b">
        <v>1</v>
      </c>
      <c r="N1171" s="2">
        <f>YEAR(B1171)</f>
        <v>2026</v>
      </c>
      <c r="O1171" t="str">
        <f>INDEX(Agences!$C:$C,MATCH(F1171,Agences!$A:$A,0))</f>
        <v>Est</v>
      </c>
      <c r="P1171" t="str">
        <f>INDEX(Produits!$C:$C,MATCH(H1171,Produits!$A:$A,0))</f>
        <v>Mobilier</v>
      </c>
      <c r="Q1171" s="3">
        <f>I1171*INDEX(Produits!$E:$E,MATCH(H1171,Produits!$A:$A,0))</f>
        <v>93.22</v>
      </c>
      <c r="R1171" s="3">
        <f>L1171-Q1171</f>
        <v>56.879999999999995</v>
      </c>
      <c r="S1171" s="2">
        <f>NETWORKDAYS(B1171,C1171)-1</f>
        <v>12</v>
      </c>
      <c r="T1171" s="1">
        <f>WORKDAY(B1171,5)</f>
        <v>46114</v>
      </c>
      <c r="U1171" t="b">
        <f>C1171&gt;T1171</f>
        <v>1</v>
      </c>
    </row>
    <row r="1172" spans="1:21" x14ac:dyDescent="0.25">
      <c r="A1172" t="s">
        <v>963</v>
      </c>
      <c r="B1172" s="1">
        <v>46106</v>
      </c>
      <c r="C1172" s="1">
        <v>46108</v>
      </c>
      <c r="D1172" t="s">
        <v>964</v>
      </c>
      <c r="E1172" t="s">
        <v>122</v>
      </c>
      <c r="F1172" t="s">
        <v>24</v>
      </c>
      <c r="G1172" t="s">
        <v>116</v>
      </c>
      <c r="H1172" t="s">
        <v>33</v>
      </c>
      <c r="I1172" s="2">
        <v>5</v>
      </c>
      <c r="J1172" s="3">
        <v>219</v>
      </c>
      <c r="K1172" s="4">
        <v>0.02</v>
      </c>
      <c r="L1172" s="3">
        <v>1073.1</v>
      </c>
      <c r="M1172" t="b">
        <v>1</v>
      </c>
      <c r="N1172" s="2">
        <f>YEAR(B1172)</f>
        <v>2026</v>
      </c>
      <c r="O1172" t="str">
        <f>INDEX(Agences!$C:$C,MATCH(F1172,Agences!$A:$A,0))</f>
        <v>Nord</v>
      </c>
      <c r="P1172" t="str">
        <f>INDEX(Produits!$C:$C,MATCH(H1172,Produits!$A:$A,0))</f>
        <v>Informatique</v>
      </c>
      <c r="Q1172" s="3">
        <f>I1172*INDEX(Produits!$E:$E,MATCH(H1172,Produits!$A:$A,0))</f>
        <v>897.9000000000001</v>
      </c>
      <c r="R1172" s="3">
        <f>L1172-Q1172</f>
        <v>175.19999999999982</v>
      </c>
      <c r="S1172" s="2">
        <f>NETWORKDAYS(B1172,C1172)-1</f>
        <v>2</v>
      </c>
      <c r="T1172" s="1">
        <f>WORKDAY(B1172,5)</f>
        <v>46113</v>
      </c>
      <c r="U1172" t="b">
        <f>C1172&gt;T1172</f>
        <v>0</v>
      </c>
    </row>
    <row r="1173" spans="1:21" x14ac:dyDescent="0.25">
      <c r="A1173" t="s">
        <v>963</v>
      </c>
      <c r="B1173" s="1">
        <v>46106</v>
      </c>
      <c r="C1173" s="1">
        <v>46108</v>
      </c>
      <c r="D1173" t="s">
        <v>964</v>
      </c>
      <c r="E1173" t="s">
        <v>122</v>
      </c>
      <c r="F1173" t="s">
        <v>24</v>
      </c>
      <c r="G1173" t="s">
        <v>116</v>
      </c>
      <c r="H1173" t="s">
        <v>112</v>
      </c>
      <c r="I1173" s="2">
        <v>1</v>
      </c>
      <c r="J1173" s="3">
        <v>129</v>
      </c>
      <c r="K1173" s="4">
        <v>0</v>
      </c>
      <c r="L1173" s="3">
        <v>129</v>
      </c>
      <c r="M1173" t="b">
        <v>1</v>
      </c>
      <c r="N1173" s="2">
        <f>YEAR(B1173)</f>
        <v>2026</v>
      </c>
      <c r="O1173" t="str">
        <f>INDEX(Agences!$C:$C,MATCH(F1173,Agences!$A:$A,0))</f>
        <v>Nord</v>
      </c>
      <c r="P1173" t="str">
        <f>INDEX(Produits!$C:$C,MATCH(H1173,Produits!$A:$A,0))</f>
        <v>Mobilier</v>
      </c>
      <c r="Q1173" s="3">
        <f>I1173*INDEX(Produits!$E:$E,MATCH(H1173,Produits!$A:$A,0))</f>
        <v>86.43</v>
      </c>
      <c r="R1173" s="3">
        <f>L1173-Q1173</f>
        <v>42.56999999999999</v>
      </c>
      <c r="S1173" s="2">
        <f>NETWORKDAYS(B1173,C1173)-1</f>
        <v>2</v>
      </c>
      <c r="T1173" s="1">
        <f>WORKDAY(B1173,5)</f>
        <v>46113</v>
      </c>
      <c r="U1173" t="b">
        <f>C1173&gt;T1173</f>
        <v>0</v>
      </c>
    </row>
    <row r="1174" spans="1:21" x14ac:dyDescent="0.25">
      <c r="A1174" t="s">
        <v>965</v>
      </c>
      <c r="B1174" s="1">
        <v>46106</v>
      </c>
      <c r="C1174" s="1">
        <v>46111</v>
      </c>
      <c r="D1174" t="s">
        <v>966</v>
      </c>
      <c r="E1174" t="s">
        <v>172</v>
      </c>
      <c r="F1174" t="s">
        <v>99</v>
      </c>
      <c r="G1174" t="s">
        <v>210</v>
      </c>
      <c r="H1174" t="s">
        <v>107</v>
      </c>
      <c r="I1174" s="2">
        <v>3</v>
      </c>
      <c r="J1174" s="3">
        <v>99</v>
      </c>
      <c r="K1174" s="4">
        <v>0</v>
      </c>
      <c r="L1174" s="3">
        <v>297</v>
      </c>
      <c r="M1174" t="b">
        <v>1</v>
      </c>
      <c r="N1174" s="2">
        <f>YEAR(B1174)</f>
        <v>2026</v>
      </c>
      <c r="O1174" t="str">
        <f>INDEX(Agences!$C:$C,MATCH(F1174,Agences!$A:$A,0))</f>
        <v>Nord</v>
      </c>
      <c r="P1174" t="str">
        <f>INDEX(Produits!$C:$C,MATCH(H1174,Produits!$A:$A,0))</f>
        <v>Informatique</v>
      </c>
      <c r="Q1174" s="3">
        <f>I1174*INDEX(Produits!$E:$E,MATCH(H1174,Produits!$A:$A,0))</f>
        <v>225.71999999999997</v>
      </c>
      <c r="R1174" s="3">
        <f>L1174-Q1174</f>
        <v>71.28000000000003</v>
      </c>
      <c r="S1174" s="2">
        <f>NETWORKDAYS(B1174,C1174)-1</f>
        <v>3</v>
      </c>
      <c r="T1174" s="1">
        <f>WORKDAY(B1174,5)</f>
        <v>46113</v>
      </c>
      <c r="U1174" t="b">
        <f>C1174&gt;T1174</f>
        <v>0</v>
      </c>
    </row>
    <row r="1175" spans="1:21" x14ac:dyDescent="0.25">
      <c r="A1175" t="s">
        <v>965</v>
      </c>
      <c r="B1175" s="1">
        <v>46106</v>
      </c>
      <c r="C1175" s="1">
        <v>46111</v>
      </c>
      <c r="D1175" t="s">
        <v>966</v>
      </c>
      <c r="E1175" t="s">
        <v>172</v>
      </c>
      <c r="F1175" t="s">
        <v>99</v>
      </c>
      <c r="G1175" t="s">
        <v>210</v>
      </c>
      <c r="H1175" t="s">
        <v>237</v>
      </c>
      <c r="I1175" s="2">
        <v>1</v>
      </c>
      <c r="J1175" s="3">
        <v>890</v>
      </c>
      <c r="K1175" s="4">
        <v>0.1</v>
      </c>
      <c r="L1175" s="3">
        <v>801</v>
      </c>
      <c r="M1175" t="b">
        <v>1</v>
      </c>
      <c r="N1175" s="2">
        <f>YEAR(B1175)</f>
        <v>2026</v>
      </c>
      <c r="O1175" t="str">
        <f>INDEX(Agences!$C:$C,MATCH(F1175,Agences!$A:$A,0))</f>
        <v>Nord</v>
      </c>
      <c r="P1175" t="str">
        <f>INDEX(Produits!$C:$C,MATCH(H1175,Produits!$A:$A,0))</f>
        <v>Mobilier</v>
      </c>
      <c r="Q1175" s="3">
        <f>I1175*INDEX(Produits!$E:$E,MATCH(H1175,Produits!$A:$A,0))</f>
        <v>596.3</v>
      </c>
      <c r="R1175" s="3">
        <f>L1175-Q1175</f>
        <v>204.70000000000005</v>
      </c>
      <c r="S1175" s="2">
        <f>NETWORKDAYS(B1175,C1175)-1</f>
        <v>3</v>
      </c>
      <c r="T1175" s="1">
        <f>WORKDAY(B1175,5)</f>
        <v>46113</v>
      </c>
      <c r="U1175" t="b">
        <f>C1175&gt;T1175</f>
        <v>0</v>
      </c>
    </row>
    <row r="1176" spans="1:21" x14ac:dyDescent="0.25">
      <c r="A1176" t="s">
        <v>967</v>
      </c>
      <c r="B1176" s="1">
        <v>46106</v>
      </c>
      <c r="C1176" s="1">
        <v>46108</v>
      </c>
      <c r="D1176" t="s">
        <v>527</v>
      </c>
      <c r="E1176" t="s">
        <v>149</v>
      </c>
      <c r="F1176" t="s">
        <v>88</v>
      </c>
      <c r="G1176" t="s">
        <v>89</v>
      </c>
      <c r="H1176" t="s">
        <v>83</v>
      </c>
      <c r="I1176" s="2">
        <v>1</v>
      </c>
      <c r="J1176" s="3">
        <v>49</v>
      </c>
      <c r="K1176" s="4">
        <v>0</v>
      </c>
      <c r="L1176" s="3">
        <v>49</v>
      </c>
      <c r="M1176" t="b">
        <v>1</v>
      </c>
      <c r="N1176" s="2">
        <f>YEAR(B1176)</f>
        <v>2026</v>
      </c>
      <c r="O1176" t="str">
        <f>INDEX(Agences!$C:$C,MATCH(F1176,Agences!$A:$A,0))</f>
        <v>Sud-Ouest</v>
      </c>
      <c r="P1176" t="str">
        <f>INDEX(Produits!$C:$C,MATCH(H1176,Produits!$A:$A,0))</f>
        <v>Mobilier</v>
      </c>
      <c r="Q1176" s="3">
        <f>I1176*INDEX(Produits!$E:$E,MATCH(H1176,Produits!$A:$A,0))</f>
        <v>28.42</v>
      </c>
      <c r="R1176" s="3">
        <f>L1176-Q1176</f>
        <v>20.58</v>
      </c>
      <c r="S1176" s="2">
        <f>NETWORKDAYS(B1176,C1176)-1</f>
        <v>2</v>
      </c>
      <c r="T1176" s="1">
        <f>WORKDAY(B1176,5)</f>
        <v>46113</v>
      </c>
      <c r="U1176" t="b">
        <f>C1176&gt;T1176</f>
        <v>0</v>
      </c>
    </row>
    <row r="1177" spans="1:21" x14ac:dyDescent="0.25">
      <c r="A1177" t="s">
        <v>967</v>
      </c>
      <c r="B1177" s="1">
        <v>46106</v>
      </c>
      <c r="C1177" s="1">
        <v>46108</v>
      </c>
      <c r="D1177" t="s">
        <v>527</v>
      </c>
      <c r="E1177" t="s">
        <v>149</v>
      </c>
      <c r="F1177" t="s">
        <v>88</v>
      </c>
      <c r="G1177" t="s">
        <v>89</v>
      </c>
      <c r="H1177" t="s">
        <v>51</v>
      </c>
      <c r="I1177" s="2">
        <v>1</v>
      </c>
      <c r="J1177" s="3">
        <v>180</v>
      </c>
      <c r="K1177" s="4">
        <v>0.08</v>
      </c>
      <c r="L1177" s="3">
        <v>165.6</v>
      </c>
      <c r="M1177" t="b">
        <v>1</v>
      </c>
      <c r="N1177" s="2">
        <f>YEAR(B1177)</f>
        <v>2026</v>
      </c>
      <c r="O1177" t="str">
        <f>INDEX(Agences!$C:$C,MATCH(F1177,Agences!$A:$A,0))</f>
        <v>Sud-Ouest</v>
      </c>
      <c r="P1177" t="str">
        <f>INDEX(Produits!$C:$C,MATCH(H1177,Produits!$A:$A,0))</f>
        <v>Maintenance</v>
      </c>
      <c r="Q1177" s="3">
        <f>I1177*INDEX(Produits!$E:$E,MATCH(H1177,Produits!$A:$A,0))</f>
        <v>82.8</v>
      </c>
      <c r="R1177" s="3">
        <f>L1177-Q1177</f>
        <v>82.8</v>
      </c>
      <c r="S1177" s="2">
        <f>NETWORKDAYS(B1177,C1177)-1</f>
        <v>2</v>
      </c>
      <c r="T1177" s="1">
        <f>WORKDAY(B1177,5)</f>
        <v>46113</v>
      </c>
      <c r="U1177" t="b">
        <f>C1177&gt;T1177</f>
        <v>0</v>
      </c>
    </row>
    <row r="1178" spans="1:21" x14ac:dyDescent="0.25">
      <c r="A1178" t="s">
        <v>968</v>
      </c>
      <c r="B1178" s="1">
        <v>46105</v>
      </c>
      <c r="C1178" s="1">
        <v>46107</v>
      </c>
      <c r="D1178" t="s">
        <v>787</v>
      </c>
      <c r="E1178" t="s">
        <v>23</v>
      </c>
      <c r="F1178" t="s">
        <v>24</v>
      </c>
      <c r="G1178" t="s">
        <v>25</v>
      </c>
      <c r="H1178" t="s">
        <v>42</v>
      </c>
      <c r="I1178" s="2">
        <v>2</v>
      </c>
      <c r="J1178" s="3">
        <v>55</v>
      </c>
      <c r="K1178" s="4">
        <v>0.02</v>
      </c>
      <c r="L1178" s="3">
        <v>107.8</v>
      </c>
      <c r="M1178" t="b">
        <v>1</v>
      </c>
      <c r="N1178" s="2">
        <f>YEAR(B1178)</f>
        <v>2026</v>
      </c>
      <c r="O1178" t="str">
        <f>INDEX(Agences!$C:$C,MATCH(F1178,Agences!$A:$A,0))</f>
        <v>Nord</v>
      </c>
      <c r="P1178" t="str">
        <f>INDEX(Produits!$C:$C,MATCH(H1178,Produits!$A:$A,0))</f>
        <v>Maintenance</v>
      </c>
      <c r="Q1178" s="3">
        <f>I1178*INDEX(Produits!$E:$E,MATCH(H1178,Produits!$A:$A,0))</f>
        <v>49.5</v>
      </c>
      <c r="R1178" s="3">
        <f>L1178-Q1178</f>
        <v>58.3</v>
      </c>
      <c r="S1178" s="2">
        <f>NETWORKDAYS(B1178,C1178)-1</f>
        <v>2</v>
      </c>
      <c r="T1178" s="1">
        <f>WORKDAY(B1178,5)</f>
        <v>46112</v>
      </c>
      <c r="U1178" t="b">
        <f>C1178&gt;T1178</f>
        <v>0</v>
      </c>
    </row>
    <row r="1179" spans="1:21" x14ac:dyDescent="0.25">
      <c r="A1179" t="s">
        <v>968</v>
      </c>
      <c r="B1179" s="1">
        <v>46105</v>
      </c>
      <c r="C1179" s="1">
        <v>46107</v>
      </c>
      <c r="D1179" t="s">
        <v>787</v>
      </c>
      <c r="E1179" t="s">
        <v>23</v>
      </c>
      <c r="F1179" t="s">
        <v>24</v>
      </c>
      <c r="G1179" t="s">
        <v>25</v>
      </c>
      <c r="H1179" t="s">
        <v>206</v>
      </c>
      <c r="I1179" s="2">
        <v>15</v>
      </c>
      <c r="J1179" s="3">
        <v>34</v>
      </c>
      <c r="K1179" s="4">
        <v>0.02</v>
      </c>
      <c r="L1179" s="3">
        <v>499.8</v>
      </c>
      <c r="M1179" t="b">
        <v>1</v>
      </c>
      <c r="N1179" s="2">
        <f>YEAR(B1179)</f>
        <v>2026</v>
      </c>
      <c r="O1179" t="str">
        <f>INDEX(Agences!$C:$C,MATCH(F1179,Agences!$A:$A,0))</f>
        <v>Nord</v>
      </c>
      <c r="P1179" t="str">
        <f>INDEX(Produits!$C:$C,MATCH(H1179,Produits!$A:$A,0))</f>
        <v>Fournitures</v>
      </c>
      <c r="Q1179" s="3">
        <f>I1179*INDEX(Produits!$E:$E,MATCH(H1179,Produits!$A:$A,0))</f>
        <v>290.7</v>
      </c>
      <c r="R1179" s="3">
        <f>L1179-Q1179</f>
        <v>209.10000000000002</v>
      </c>
      <c r="S1179" s="2">
        <f>NETWORKDAYS(B1179,C1179)-1</f>
        <v>2</v>
      </c>
      <c r="T1179" s="1">
        <f>WORKDAY(B1179,5)</f>
        <v>46112</v>
      </c>
      <c r="U1179" t="b">
        <f>C1179&gt;T1179</f>
        <v>0</v>
      </c>
    </row>
    <row r="1180" spans="1:21" x14ac:dyDescent="0.25">
      <c r="A1180" t="s">
        <v>968</v>
      </c>
      <c r="B1180" s="1">
        <v>46105</v>
      </c>
      <c r="C1180" s="1">
        <v>46107</v>
      </c>
      <c r="D1180" t="s">
        <v>787</v>
      </c>
      <c r="E1180" t="s">
        <v>23</v>
      </c>
      <c r="F1180" t="s">
        <v>24</v>
      </c>
      <c r="G1180" t="s">
        <v>25</v>
      </c>
      <c r="H1180" t="s">
        <v>205</v>
      </c>
      <c r="I1180" s="2">
        <v>1</v>
      </c>
      <c r="J1180" s="3">
        <v>359</v>
      </c>
      <c r="K1180" s="4">
        <v>0.05</v>
      </c>
      <c r="L1180" s="3">
        <v>341.05</v>
      </c>
      <c r="M1180" t="b">
        <v>1</v>
      </c>
      <c r="N1180" s="2">
        <f>YEAR(B1180)</f>
        <v>2026</v>
      </c>
      <c r="O1180" t="str">
        <f>INDEX(Agences!$C:$C,MATCH(F1180,Agences!$A:$A,0))</f>
        <v>Nord</v>
      </c>
      <c r="P1180" t="str">
        <f>INDEX(Produits!$C:$C,MATCH(H1180,Produits!$A:$A,0))</f>
        <v>Mobilier</v>
      </c>
      <c r="Q1180" s="3">
        <f>I1180*INDEX(Produits!$E:$E,MATCH(H1180,Produits!$A:$A,0))</f>
        <v>204.63</v>
      </c>
      <c r="R1180" s="3">
        <f>L1180-Q1180</f>
        <v>136.42000000000002</v>
      </c>
      <c r="S1180" s="2">
        <f>NETWORKDAYS(B1180,C1180)-1</f>
        <v>2</v>
      </c>
      <c r="T1180" s="1">
        <f>WORKDAY(B1180,5)</f>
        <v>46112</v>
      </c>
      <c r="U1180" t="b">
        <f>C1180&gt;T1180</f>
        <v>0</v>
      </c>
    </row>
    <row r="1181" spans="1:21" x14ac:dyDescent="0.25">
      <c r="A1181" t="s">
        <v>968</v>
      </c>
      <c r="B1181" s="1">
        <v>46105</v>
      </c>
      <c r="C1181" s="1">
        <v>46107</v>
      </c>
      <c r="D1181" t="s">
        <v>787</v>
      </c>
      <c r="E1181" t="s">
        <v>23</v>
      </c>
      <c r="F1181" t="s">
        <v>24</v>
      </c>
      <c r="G1181" t="s">
        <v>25</v>
      </c>
      <c r="H1181" t="s">
        <v>83</v>
      </c>
      <c r="I1181" s="2">
        <v>1</v>
      </c>
      <c r="J1181" s="3">
        <v>49</v>
      </c>
      <c r="K1181" s="4">
        <v>0.05</v>
      </c>
      <c r="L1181" s="3">
        <v>46.55</v>
      </c>
      <c r="M1181" t="b">
        <v>1</v>
      </c>
      <c r="N1181" s="2">
        <f>YEAR(B1181)</f>
        <v>2026</v>
      </c>
      <c r="O1181" t="str">
        <f>INDEX(Agences!$C:$C,MATCH(F1181,Agences!$A:$A,0))</f>
        <v>Nord</v>
      </c>
      <c r="P1181" t="str">
        <f>INDEX(Produits!$C:$C,MATCH(H1181,Produits!$A:$A,0))</f>
        <v>Mobilier</v>
      </c>
      <c r="Q1181" s="3">
        <f>I1181*INDEX(Produits!$E:$E,MATCH(H1181,Produits!$A:$A,0))</f>
        <v>28.42</v>
      </c>
      <c r="R1181" s="3">
        <f>L1181-Q1181</f>
        <v>18.129999999999995</v>
      </c>
      <c r="S1181" s="2">
        <f>NETWORKDAYS(B1181,C1181)-1</f>
        <v>2</v>
      </c>
      <c r="T1181" s="1">
        <f>WORKDAY(B1181,5)</f>
        <v>46112</v>
      </c>
      <c r="U1181" t="b">
        <f>C1181&gt;T1181</f>
        <v>0</v>
      </c>
    </row>
    <row r="1182" spans="1:21" x14ac:dyDescent="0.25">
      <c r="A1182" t="s">
        <v>969</v>
      </c>
      <c r="B1182" s="1">
        <v>46105</v>
      </c>
      <c r="C1182" s="1">
        <v>46106</v>
      </c>
      <c r="D1182" t="s">
        <v>970</v>
      </c>
      <c r="E1182" t="s">
        <v>242</v>
      </c>
      <c r="F1182" t="s">
        <v>94</v>
      </c>
      <c r="G1182" t="s">
        <v>95</v>
      </c>
      <c r="H1182" t="s">
        <v>42</v>
      </c>
      <c r="I1182" s="2">
        <v>1</v>
      </c>
      <c r="J1182" s="3">
        <v>55</v>
      </c>
      <c r="K1182" s="4">
        <v>0</v>
      </c>
      <c r="L1182" s="3">
        <v>55</v>
      </c>
      <c r="M1182" t="b">
        <v>1</v>
      </c>
      <c r="N1182" s="2">
        <f>YEAR(B1182)</f>
        <v>2026</v>
      </c>
      <c r="O1182" t="str">
        <f>INDEX(Agences!$C:$C,MATCH(F1182,Agences!$A:$A,0))</f>
        <v>Méditerranée</v>
      </c>
      <c r="P1182" t="str">
        <f>INDEX(Produits!$C:$C,MATCH(H1182,Produits!$A:$A,0))</f>
        <v>Maintenance</v>
      </c>
      <c r="Q1182" s="3">
        <f>I1182*INDEX(Produits!$E:$E,MATCH(H1182,Produits!$A:$A,0))</f>
        <v>24.75</v>
      </c>
      <c r="R1182" s="3">
        <f>L1182-Q1182</f>
        <v>30.25</v>
      </c>
      <c r="S1182" s="2">
        <f>NETWORKDAYS(B1182,C1182)-1</f>
        <v>1</v>
      </c>
      <c r="T1182" s="1">
        <f>WORKDAY(B1182,5)</f>
        <v>46112</v>
      </c>
      <c r="U1182" t="b">
        <f>C1182&gt;T1182</f>
        <v>0</v>
      </c>
    </row>
    <row r="1183" spans="1:21" x14ac:dyDescent="0.25">
      <c r="A1183" t="s">
        <v>969</v>
      </c>
      <c r="B1183" s="1">
        <v>46105</v>
      </c>
      <c r="C1183" s="1">
        <v>46106</v>
      </c>
      <c r="D1183" t="s">
        <v>970</v>
      </c>
      <c r="E1183" t="s">
        <v>242</v>
      </c>
      <c r="F1183" t="s">
        <v>94</v>
      </c>
      <c r="G1183" t="s">
        <v>95</v>
      </c>
      <c r="H1183" t="s">
        <v>79</v>
      </c>
      <c r="I1183" s="2">
        <v>5</v>
      </c>
      <c r="J1183" s="3">
        <v>14.9</v>
      </c>
      <c r="K1183" s="4">
        <v>0</v>
      </c>
      <c r="L1183" s="3">
        <v>74.5</v>
      </c>
      <c r="M1183" t="b">
        <v>1</v>
      </c>
      <c r="N1183" s="2">
        <f>YEAR(B1183)</f>
        <v>2026</v>
      </c>
      <c r="O1183" t="str">
        <f>INDEX(Agences!$C:$C,MATCH(F1183,Agences!$A:$A,0))</f>
        <v>Méditerranée</v>
      </c>
      <c r="P1183" t="str">
        <f>INDEX(Produits!$C:$C,MATCH(H1183,Produits!$A:$A,0))</f>
        <v>Fournitures</v>
      </c>
      <c r="Q1183" s="3">
        <f>I1183*INDEX(Produits!$E:$E,MATCH(H1183,Produits!$A:$A,0))</f>
        <v>40.25</v>
      </c>
      <c r="R1183" s="3">
        <f>L1183-Q1183</f>
        <v>34.25</v>
      </c>
      <c r="S1183" s="2">
        <f>NETWORKDAYS(B1183,C1183)-1</f>
        <v>1</v>
      </c>
      <c r="T1183" s="1">
        <f>WORKDAY(B1183,5)</f>
        <v>46112</v>
      </c>
      <c r="U1183" t="b">
        <f>C1183&gt;T1183</f>
        <v>0</v>
      </c>
    </row>
    <row r="1184" spans="1:21" x14ac:dyDescent="0.25">
      <c r="A1184" t="s">
        <v>969</v>
      </c>
      <c r="B1184" s="1">
        <v>46105</v>
      </c>
      <c r="C1184" s="1">
        <v>46106</v>
      </c>
      <c r="D1184" t="s">
        <v>970</v>
      </c>
      <c r="E1184" t="s">
        <v>242</v>
      </c>
      <c r="F1184" t="s">
        <v>94</v>
      </c>
      <c r="G1184" t="s">
        <v>95</v>
      </c>
      <c r="H1184" t="s">
        <v>205</v>
      </c>
      <c r="I1184" s="2">
        <v>4</v>
      </c>
      <c r="J1184" s="3">
        <v>359</v>
      </c>
      <c r="K1184" s="4">
        <v>0.08</v>
      </c>
      <c r="L1184" s="3">
        <v>1321.12</v>
      </c>
      <c r="M1184" t="b">
        <v>1</v>
      </c>
      <c r="N1184" s="2">
        <f>YEAR(B1184)</f>
        <v>2026</v>
      </c>
      <c r="O1184" t="str">
        <f>INDEX(Agences!$C:$C,MATCH(F1184,Agences!$A:$A,0))</f>
        <v>Méditerranée</v>
      </c>
      <c r="P1184" t="str">
        <f>INDEX(Produits!$C:$C,MATCH(H1184,Produits!$A:$A,0))</f>
        <v>Mobilier</v>
      </c>
      <c r="Q1184" s="3">
        <f>I1184*INDEX(Produits!$E:$E,MATCH(H1184,Produits!$A:$A,0))</f>
        <v>818.52</v>
      </c>
      <c r="R1184" s="3">
        <f>L1184-Q1184</f>
        <v>502.5999999999999</v>
      </c>
      <c r="S1184" s="2">
        <f>NETWORKDAYS(B1184,C1184)-1</f>
        <v>1</v>
      </c>
      <c r="T1184" s="1">
        <f>WORKDAY(B1184,5)</f>
        <v>46112</v>
      </c>
      <c r="U1184" t="b">
        <f>C1184&gt;T1184</f>
        <v>0</v>
      </c>
    </row>
    <row r="1185" spans="1:21" x14ac:dyDescent="0.25">
      <c r="A1185" t="s">
        <v>969</v>
      </c>
      <c r="B1185" s="1">
        <v>46105</v>
      </c>
      <c r="C1185" s="1">
        <v>46106</v>
      </c>
      <c r="D1185" t="s">
        <v>970</v>
      </c>
      <c r="E1185" t="s">
        <v>242</v>
      </c>
      <c r="F1185" t="s">
        <v>94</v>
      </c>
      <c r="G1185" t="s">
        <v>95</v>
      </c>
      <c r="H1185" t="s">
        <v>50</v>
      </c>
      <c r="I1185" s="2">
        <v>1</v>
      </c>
      <c r="J1185" s="3">
        <v>69</v>
      </c>
      <c r="K1185" s="4">
        <v>0.02</v>
      </c>
      <c r="L1185" s="3">
        <v>67.62</v>
      </c>
      <c r="M1185" t="b">
        <v>1</v>
      </c>
      <c r="N1185" s="2">
        <f>YEAR(B1185)</f>
        <v>2026</v>
      </c>
      <c r="O1185" t="str">
        <f>INDEX(Agences!$C:$C,MATCH(F1185,Agences!$A:$A,0))</f>
        <v>Méditerranée</v>
      </c>
      <c r="P1185" t="str">
        <f>INDEX(Produits!$C:$C,MATCH(H1185,Produits!$A:$A,0))</f>
        <v>Informatique</v>
      </c>
      <c r="Q1185" s="3">
        <f>I1185*INDEX(Produits!$E:$E,MATCH(H1185,Produits!$A:$A,0))</f>
        <v>54.51</v>
      </c>
      <c r="R1185" s="3">
        <f>L1185-Q1185</f>
        <v>13.110000000000007</v>
      </c>
      <c r="S1185" s="2">
        <f>NETWORKDAYS(B1185,C1185)-1</f>
        <v>1</v>
      </c>
      <c r="T1185" s="1">
        <f>WORKDAY(B1185,5)</f>
        <v>46112</v>
      </c>
      <c r="U1185" t="b">
        <f>C1185&gt;T1185</f>
        <v>0</v>
      </c>
    </row>
    <row r="1186" spans="1:21" x14ac:dyDescent="0.25">
      <c r="A1186" t="s">
        <v>971</v>
      </c>
      <c r="B1186" s="1">
        <v>46105</v>
      </c>
      <c r="C1186" s="1">
        <v>46111</v>
      </c>
      <c r="D1186" t="s">
        <v>972</v>
      </c>
      <c r="E1186" t="s">
        <v>316</v>
      </c>
      <c r="F1186" t="s">
        <v>46</v>
      </c>
      <c r="G1186" t="s">
        <v>47</v>
      </c>
      <c r="H1186" t="s">
        <v>51</v>
      </c>
      <c r="I1186" s="2">
        <v>2</v>
      </c>
      <c r="J1186" s="3">
        <v>180</v>
      </c>
      <c r="K1186" s="4">
        <v>0</v>
      </c>
      <c r="L1186" s="3">
        <v>360</v>
      </c>
      <c r="M1186" t="b">
        <v>1</v>
      </c>
      <c r="N1186" s="2">
        <f>YEAR(B1186)</f>
        <v>2026</v>
      </c>
      <c r="O1186" t="str">
        <f>INDEX(Agences!$C:$C,MATCH(F1186,Agences!$A:$A,0))</f>
        <v>Est</v>
      </c>
      <c r="P1186" t="str">
        <f>INDEX(Produits!$C:$C,MATCH(H1186,Produits!$A:$A,0))</f>
        <v>Maintenance</v>
      </c>
      <c r="Q1186" s="3">
        <f>I1186*INDEX(Produits!$E:$E,MATCH(H1186,Produits!$A:$A,0))</f>
        <v>165.6</v>
      </c>
      <c r="R1186" s="3">
        <f>L1186-Q1186</f>
        <v>194.4</v>
      </c>
      <c r="S1186" s="2">
        <f>NETWORKDAYS(B1186,C1186)-1</f>
        <v>4</v>
      </c>
      <c r="T1186" s="1">
        <f>WORKDAY(B1186,5)</f>
        <v>46112</v>
      </c>
      <c r="U1186" t="b">
        <f>C1186&gt;T1186</f>
        <v>0</v>
      </c>
    </row>
    <row r="1187" spans="1:21" x14ac:dyDescent="0.25">
      <c r="A1187" t="s">
        <v>973</v>
      </c>
      <c r="B1187" s="1">
        <v>46104</v>
      </c>
      <c r="C1187" s="1">
        <v>46108</v>
      </c>
      <c r="D1187" t="s">
        <v>436</v>
      </c>
      <c r="E1187" t="s">
        <v>98</v>
      </c>
      <c r="F1187" t="s">
        <v>99</v>
      </c>
      <c r="G1187" t="s">
        <v>265</v>
      </c>
      <c r="H1187" t="s">
        <v>58</v>
      </c>
      <c r="I1187" s="2">
        <v>1</v>
      </c>
      <c r="J1187" s="3">
        <v>649</v>
      </c>
      <c r="K1187" s="4">
        <v>0</v>
      </c>
      <c r="L1187" s="3">
        <v>649</v>
      </c>
      <c r="M1187" t="b">
        <v>1</v>
      </c>
      <c r="N1187" s="2">
        <f>YEAR(B1187)</f>
        <v>2026</v>
      </c>
      <c r="O1187" t="str">
        <f>INDEX(Agences!$C:$C,MATCH(F1187,Agences!$A:$A,0))</f>
        <v>Nord</v>
      </c>
      <c r="P1187" t="str">
        <f>INDEX(Produits!$C:$C,MATCH(H1187,Produits!$A:$A,0))</f>
        <v>Mobilier</v>
      </c>
      <c r="Q1187" s="3">
        <f>I1187*INDEX(Produits!$E:$E,MATCH(H1187,Produits!$A:$A,0))</f>
        <v>408.87</v>
      </c>
      <c r="R1187" s="3">
        <f>L1187-Q1187</f>
        <v>240.13</v>
      </c>
      <c r="S1187" s="2">
        <f>NETWORKDAYS(B1187,C1187)-1</f>
        <v>4</v>
      </c>
      <c r="T1187" s="1">
        <f>WORKDAY(B1187,5)</f>
        <v>46111</v>
      </c>
      <c r="U1187" t="b">
        <f>C1187&gt;T1187</f>
        <v>0</v>
      </c>
    </row>
    <row r="1188" spans="1:21" x14ac:dyDescent="0.25">
      <c r="A1188" t="s">
        <v>974</v>
      </c>
      <c r="B1188" s="1">
        <v>46104</v>
      </c>
      <c r="C1188" s="1">
        <v>46105</v>
      </c>
      <c r="D1188" t="s">
        <v>975</v>
      </c>
      <c r="E1188" t="s">
        <v>175</v>
      </c>
      <c r="F1188" t="s">
        <v>76</v>
      </c>
      <c r="G1188" t="s">
        <v>77</v>
      </c>
      <c r="H1188" t="s">
        <v>319</v>
      </c>
      <c r="I1188" s="2">
        <v>3</v>
      </c>
      <c r="J1188" s="3">
        <v>289</v>
      </c>
      <c r="K1188" s="4">
        <v>0.02</v>
      </c>
      <c r="L1188" s="3">
        <v>849.66</v>
      </c>
      <c r="M1188" t="b">
        <v>1</v>
      </c>
      <c r="N1188" s="2">
        <f>YEAR(B1188)</f>
        <v>2026</v>
      </c>
      <c r="O1188" t="str">
        <f>INDEX(Agences!$C:$C,MATCH(F1188,Agences!$A:$A,0))</f>
        <v>Île-de-France</v>
      </c>
      <c r="P1188" t="str">
        <f>INDEX(Produits!$C:$C,MATCH(H1188,Produits!$A:$A,0))</f>
        <v>Informatique</v>
      </c>
      <c r="Q1188" s="3">
        <f>I1188*INDEX(Produits!$E:$E,MATCH(H1188,Produits!$A:$A,0))</f>
        <v>641.58</v>
      </c>
      <c r="R1188" s="3">
        <f>L1188-Q1188</f>
        <v>208.07999999999993</v>
      </c>
      <c r="S1188" s="2">
        <f>NETWORKDAYS(B1188,C1188)-1</f>
        <v>1</v>
      </c>
      <c r="T1188" s="1">
        <f>WORKDAY(B1188,5)</f>
        <v>46111</v>
      </c>
      <c r="U1188" t="b">
        <f>C1188&gt;T1188</f>
        <v>0</v>
      </c>
    </row>
    <row r="1189" spans="1:21" x14ac:dyDescent="0.25">
      <c r="A1189" t="s">
        <v>974</v>
      </c>
      <c r="B1189" s="1">
        <v>46104</v>
      </c>
      <c r="C1189" s="1">
        <v>46105</v>
      </c>
      <c r="D1189" t="s">
        <v>975</v>
      </c>
      <c r="E1189" t="s">
        <v>175</v>
      </c>
      <c r="F1189" t="s">
        <v>76</v>
      </c>
      <c r="G1189" t="s">
        <v>77</v>
      </c>
      <c r="H1189" t="s">
        <v>72</v>
      </c>
      <c r="I1189" s="2">
        <v>1</v>
      </c>
      <c r="J1189" s="3">
        <v>179</v>
      </c>
      <c r="K1189" s="4">
        <v>0</v>
      </c>
      <c r="L1189" s="3">
        <v>179</v>
      </c>
      <c r="M1189" t="b">
        <v>1</v>
      </c>
      <c r="N1189" s="2">
        <f>YEAR(B1189)</f>
        <v>2026</v>
      </c>
      <c r="O1189" t="str">
        <f>INDEX(Agences!$C:$C,MATCH(F1189,Agences!$A:$A,0))</f>
        <v>Île-de-France</v>
      </c>
      <c r="P1189" t="str">
        <f>INDEX(Produits!$C:$C,MATCH(H1189,Produits!$A:$A,0))</f>
        <v>Informatique</v>
      </c>
      <c r="Q1189" s="3">
        <f>I1189*INDEX(Produits!$E:$E,MATCH(H1189,Produits!$A:$A,0))</f>
        <v>146.78</v>
      </c>
      <c r="R1189" s="3">
        <f>L1189-Q1189</f>
        <v>32.22</v>
      </c>
      <c r="S1189" s="2">
        <f>NETWORKDAYS(B1189,C1189)-1</f>
        <v>1</v>
      </c>
      <c r="T1189" s="1">
        <f>WORKDAY(B1189,5)</f>
        <v>46111</v>
      </c>
      <c r="U1189" t="b">
        <f>C1189&gt;T1189</f>
        <v>0</v>
      </c>
    </row>
    <row r="1190" spans="1:21" x14ac:dyDescent="0.25">
      <c r="A1190" t="s">
        <v>976</v>
      </c>
      <c r="B1190" s="1">
        <v>46104</v>
      </c>
      <c r="C1190" s="1">
        <v>46107</v>
      </c>
      <c r="D1190" t="s">
        <v>977</v>
      </c>
      <c r="E1190" t="s">
        <v>336</v>
      </c>
      <c r="F1190" t="s">
        <v>166</v>
      </c>
      <c r="G1190" t="s">
        <v>167</v>
      </c>
      <c r="H1190" t="s">
        <v>27</v>
      </c>
      <c r="I1190" s="2">
        <v>4</v>
      </c>
      <c r="J1190" s="3">
        <v>310</v>
      </c>
      <c r="K1190" s="4">
        <v>0.08</v>
      </c>
      <c r="L1190" s="3">
        <v>1140.8</v>
      </c>
      <c r="M1190" t="b">
        <v>1</v>
      </c>
      <c r="N1190" s="2">
        <f>YEAR(B1190)</f>
        <v>2026</v>
      </c>
      <c r="O1190" t="str">
        <f>INDEX(Agences!$C:$C,MATCH(F1190,Agences!$A:$A,0))</f>
        <v>Ouest</v>
      </c>
      <c r="P1190" t="str">
        <f>INDEX(Produits!$C:$C,MATCH(H1190,Produits!$A:$A,0))</f>
        <v>Mobilier</v>
      </c>
      <c r="Q1190" s="3">
        <f>I1190*INDEX(Produits!$E:$E,MATCH(H1190,Produits!$A:$A,0))</f>
        <v>744</v>
      </c>
      <c r="R1190" s="3">
        <f>L1190-Q1190</f>
        <v>396.79999999999995</v>
      </c>
      <c r="S1190" s="2">
        <f>NETWORKDAYS(B1190,C1190)-1</f>
        <v>3</v>
      </c>
      <c r="T1190" s="1">
        <f>WORKDAY(B1190,5)</f>
        <v>46111</v>
      </c>
      <c r="U1190" t="b">
        <f>C1190&gt;T1190</f>
        <v>0</v>
      </c>
    </row>
    <row r="1191" spans="1:21" x14ac:dyDescent="0.25">
      <c r="A1191" t="s">
        <v>978</v>
      </c>
      <c r="B1191" s="1">
        <v>46104</v>
      </c>
      <c r="C1191" s="1">
        <v>46105</v>
      </c>
      <c r="D1191" t="s">
        <v>704</v>
      </c>
      <c r="E1191" t="s">
        <v>67</v>
      </c>
      <c r="F1191" t="s">
        <v>62</v>
      </c>
      <c r="G1191" t="s">
        <v>68</v>
      </c>
      <c r="H1191" t="s">
        <v>26</v>
      </c>
      <c r="I1191" s="2">
        <v>1</v>
      </c>
      <c r="J1191" s="3">
        <v>290</v>
      </c>
      <c r="K1191" s="4">
        <v>0</v>
      </c>
      <c r="L1191" s="3">
        <v>290</v>
      </c>
      <c r="M1191" t="b">
        <v>1</v>
      </c>
      <c r="N1191" s="2">
        <f>YEAR(B1191)</f>
        <v>2026</v>
      </c>
      <c r="O1191" t="str">
        <f>INDEX(Agences!$C:$C,MATCH(F1191,Agences!$A:$A,0))</f>
        <v>Méditerranée</v>
      </c>
      <c r="P1191" t="str">
        <f>INDEX(Produits!$C:$C,MATCH(H1191,Produits!$A:$A,0))</f>
        <v>Maintenance</v>
      </c>
      <c r="Q1191" s="3">
        <f>I1191*INDEX(Produits!$E:$E,MATCH(H1191,Produits!$A:$A,0))</f>
        <v>139.2</v>
      </c>
      <c r="R1191" s="3">
        <f>L1191-Q1191</f>
        <v>150.8</v>
      </c>
      <c r="S1191" s="2">
        <f>NETWORKDAYS(B1191,C1191)-1</f>
        <v>1</v>
      </c>
      <c r="T1191" s="1">
        <f>WORKDAY(B1191,5)</f>
        <v>46111</v>
      </c>
      <c r="U1191" t="b">
        <f>C1191&gt;T1191</f>
        <v>0</v>
      </c>
    </row>
    <row r="1192" spans="1:21" x14ac:dyDescent="0.25">
      <c r="A1192" t="s">
        <v>978</v>
      </c>
      <c r="B1192" s="1">
        <v>46104</v>
      </c>
      <c r="C1192" s="1">
        <v>46105</v>
      </c>
      <c r="D1192" t="s">
        <v>704</v>
      </c>
      <c r="E1192" t="s">
        <v>67</v>
      </c>
      <c r="F1192" t="s">
        <v>62</v>
      </c>
      <c r="G1192" t="s">
        <v>68</v>
      </c>
      <c r="H1192" t="s">
        <v>112</v>
      </c>
      <c r="I1192" s="2">
        <v>5</v>
      </c>
      <c r="J1192" s="3">
        <v>129</v>
      </c>
      <c r="K1192" s="4">
        <v>0.05</v>
      </c>
      <c r="L1192" s="3">
        <v>612.75</v>
      </c>
      <c r="M1192" t="b">
        <v>1</v>
      </c>
      <c r="N1192" s="2">
        <f>YEAR(B1192)</f>
        <v>2026</v>
      </c>
      <c r="O1192" t="str">
        <f>INDEX(Agences!$C:$C,MATCH(F1192,Agences!$A:$A,0))</f>
        <v>Méditerranée</v>
      </c>
      <c r="P1192" t="str">
        <f>INDEX(Produits!$C:$C,MATCH(H1192,Produits!$A:$A,0))</f>
        <v>Mobilier</v>
      </c>
      <c r="Q1192" s="3">
        <f>I1192*INDEX(Produits!$E:$E,MATCH(H1192,Produits!$A:$A,0))</f>
        <v>432.15000000000003</v>
      </c>
      <c r="R1192" s="3">
        <f>L1192-Q1192</f>
        <v>180.59999999999997</v>
      </c>
      <c r="S1192" s="2">
        <f>NETWORKDAYS(B1192,C1192)-1</f>
        <v>1</v>
      </c>
      <c r="T1192" s="1">
        <f>WORKDAY(B1192,5)</f>
        <v>46111</v>
      </c>
      <c r="U1192" t="b">
        <f>C1192&gt;T1192</f>
        <v>0</v>
      </c>
    </row>
    <row r="1193" spans="1:21" x14ac:dyDescent="0.25">
      <c r="A1193" t="s">
        <v>978</v>
      </c>
      <c r="B1193" s="1">
        <v>46104</v>
      </c>
      <c r="C1193" s="1">
        <v>46105</v>
      </c>
      <c r="D1193" t="s">
        <v>704</v>
      </c>
      <c r="E1193" t="s">
        <v>67</v>
      </c>
      <c r="F1193" t="s">
        <v>62</v>
      </c>
      <c r="G1193" t="s">
        <v>68</v>
      </c>
      <c r="H1193" t="s">
        <v>34</v>
      </c>
      <c r="I1193" s="2">
        <v>3</v>
      </c>
      <c r="J1193" s="3">
        <v>340</v>
      </c>
      <c r="K1193" s="4">
        <v>0.02</v>
      </c>
      <c r="L1193" s="3">
        <v>999.6</v>
      </c>
      <c r="M1193" t="b">
        <v>1</v>
      </c>
      <c r="N1193" s="2">
        <f>YEAR(B1193)</f>
        <v>2026</v>
      </c>
      <c r="O1193" t="str">
        <f>INDEX(Agences!$C:$C,MATCH(F1193,Agences!$A:$A,0))</f>
        <v>Méditerranée</v>
      </c>
      <c r="P1193" t="str">
        <f>INDEX(Produits!$C:$C,MATCH(H1193,Produits!$A:$A,0))</f>
        <v>Informatique</v>
      </c>
      <c r="Q1193" s="3">
        <f>I1193*INDEX(Produits!$E:$E,MATCH(H1193,Produits!$A:$A,0))</f>
        <v>826.1999999999999</v>
      </c>
      <c r="R1193" s="3">
        <f>L1193-Q1193</f>
        <v>173.4000000000001</v>
      </c>
      <c r="S1193" s="2">
        <f>NETWORKDAYS(B1193,C1193)-1</f>
        <v>1</v>
      </c>
      <c r="T1193" s="1">
        <f>WORKDAY(B1193,5)</f>
        <v>46111</v>
      </c>
      <c r="U1193" t="b">
        <f>C1193&gt;T1193</f>
        <v>0</v>
      </c>
    </row>
    <row r="1194" spans="1:21" x14ac:dyDescent="0.25">
      <c r="A1194" t="s">
        <v>979</v>
      </c>
      <c r="B1194" s="1">
        <v>46101</v>
      </c>
      <c r="C1194" s="1">
        <v>46106</v>
      </c>
      <c r="D1194" t="s">
        <v>480</v>
      </c>
      <c r="E1194" t="s">
        <v>399</v>
      </c>
      <c r="F1194" t="s">
        <v>166</v>
      </c>
      <c r="G1194" t="s">
        <v>248</v>
      </c>
      <c r="H1194" t="s">
        <v>42</v>
      </c>
      <c r="I1194" s="2">
        <v>1</v>
      </c>
      <c r="J1194" s="3">
        <v>55</v>
      </c>
      <c r="K1194" s="4">
        <v>0.05</v>
      </c>
      <c r="L1194" s="3">
        <v>52.25</v>
      </c>
      <c r="M1194" t="b">
        <v>1</v>
      </c>
      <c r="N1194" s="2">
        <f>YEAR(B1194)</f>
        <v>2026</v>
      </c>
      <c r="O1194" t="str">
        <f>INDEX(Agences!$C:$C,MATCH(F1194,Agences!$A:$A,0))</f>
        <v>Ouest</v>
      </c>
      <c r="P1194" t="str">
        <f>INDEX(Produits!$C:$C,MATCH(H1194,Produits!$A:$A,0))</f>
        <v>Maintenance</v>
      </c>
      <c r="Q1194" s="3">
        <f>I1194*INDEX(Produits!$E:$E,MATCH(H1194,Produits!$A:$A,0))</f>
        <v>24.75</v>
      </c>
      <c r="R1194" s="3">
        <f>L1194-Q1194</f>
        <v>27.5</v>
      </c>
      <c r="S1194" s="2">
        <f>NETWORKDAYS(B1194,C1194)-1</f>
        <v>3</v>
      </c>
      <c r="T1194" s="1">
        <f>WORKDAY(B1194,5)</f>
        <v>46108</v>
      </c>
      <c r="U1194" t="b">
        <f>C1194&gt;T1194</f>
        <v>0</v>
      </c>
    </row>
    <row r="1195" spans="1:21" x14ac:dyDescent="0.25">
      <c r="A1195" t="s">
        <v>979</v>
      </c>
      <c r="B1195" s="1">
        <v>46101</v>
      </c>
      <c r="C1195" s="1">
        <v>46106</v>
      </c>
      <c r="D1195" t="s">
        <v>480</v>
      </c>
      <c r="E1195" t="s">
        <v>399</v>
      </c>
      <c r="F1195" t="s">
        <v>166</v>
      </c>
      <c r="G1195" t="s">
        <v>248</v>
      </c>
      <c r="H1195" t="s">
        <v>26</v>
      </c>
      <c r="I1195" s="2">
        <v>1</v>
      </c>
      <c r="J1195" s="3">
        <v>290</v>
      </c>
      <c r="K1195" s="4">
        <v>0.08</v>
      </c>
      <c r="L1195" s="3">
        <v>266.8</v>
      </c>
      <c r="M1195" t="b">
        <v>1</v>
      </c>
      <c r="N1195" s="2">
        <f>YEAR(B1195)</f>
        <v>2026</v>
      </c>
      <c r="O1195" t="str">
        <f>INDEX(Agences!$C:$C,MATCH(F1195,Agences!$A:$A,0))</f>
        <v>Ouest</v>
      </c>
      <c r="P1195" t="str">
        <f>INDEX(Produits!$C:$C,MATCH(H1195,Produits!$A:$A,0))</f>
        <v>Maintenance</v>
      </c>
      <c r="Q1195" s="3">
        <f>I1195*INDEX(Produits!$E:$E,MATCH(H1195,Produits!$A:$A,0))</f>
        <v>139.2</v>
      </c>
      <c r="R1195" s="3">
        <f>L1195-Q1195</f>
        <v>127.60000000000002</v>
      </c>
      <c r="S1195" s="2">
        <f>NETWORKDAYS(B1195,C1195)-1</f>
        <v>3</v>
      </c>
      <c r="T1195" s="1">
        <f>WORKDAY(B1195,5)</f>
        <v>46108</v>
      </c>
      <c r="U1195" t="b">
        <f>C1195&gt;T1195</f>
        <v>0</v>
      </c>
    </row>
    <row r="1196" spans="1:21" x14ac:dyDescent="0.25">
      <c r="A1196" t="s">
        <v>979</v>
      </c>
      <c r="B1196" s="1">
        <v>46101</v>
      </c>
      <c r="C1196" s="1">
        <v>46106</v>
      </c>
      <c r="D1196" t="s">
        <v>480</v>
      </c>
      <c r="E1196" t="s">
        <v>399</v>
      </c>
      <c r="F1196" t="s">
        <v>166</v>
      </c>
      <c r="G1196" t="s">
        <v>248</v>
      </c>
      <c r="H1196" t="s">
        <v>196</v>
      </c>
      <c r="I1196" s="2">
        <v>25</v>
      </c>
      <c r="J1196" s="3">
        <v>18.5</v>
      </c>
      <c r="K1196" s="4">
        <v>0</v>
      </c>
      <c r="L1196" s="3">
        <v>462.5</v>
      </c>
      <c r="M1196" t="b">
        <v>1</v>
      </c>
      <c r="N1196" s="2">
        <f>YEAR(B1196)</f>
        <v>2026</v>
      </c>
      <c r="O1196" t="str">
        <f>INDEX(Agences!$C:$C,MATCH(F1196,Agences!$A:$A,0))</f>
        <v>Ouest</v>
      </c>
      <c r="P1196" t="str">
        <f>INDEX(Produits!$C:$C,MATCH(H1196,Produits!$A:$A,0))</f>
        <v>Fournitures</v>
      </c>
      <c r="Q1196" s="3">
        <f>I1196*INDEX(Produits!$E:$E,MATCH(H1196,Produits!$A:$A,0))</f>
        <v>236</v>
      </c>
      <c r="R1196" s="3">
        <f>L1196-Q1196</f>
        <v>226.5</v>
      </c>
      <c r="S1196" s="2">
        <f>NETWORKDAYS(B1196,C1196)-1</f>
        <v>3</v>
      </c>
      <c r="T1196" s="1">
        <f>WORKDAY(B1196,5)</f>
        <v>46108</v>
      </c>
      <c r="U1196" t="b">
        <f>C1196&gt;T1196</f>
        <v>0</v>
      </c>
    </row>
    <row r="1197" spans="1:21" x14ac:dyDescent="0.25">
      <c r="A1197" t="s">
        <v>980</v>
      </c>
      <c r="B1197" s="1">
        <v>46101</v>
      </c>
      <c r="C1197" s="1">
        <v>46104</v>
      </c>
      <c r="D1197" t="s">
        <v>29</v>
      </c>
      <c r="E1197" t="s">
        <v>30</v>
      </c>
      <c r="F1197" t="s">
        <v>31</v>
      </c>
      <c r="G1197" t="s">
        <v>375</v>
      </c>
      <c r="H1197" t="s">
        <v>35</v>
      </c>
      <c r="I1197" s="2">
        <v>4</v>
      </c>
      <c r="J1197" s="3">
        <v>79</v>
      </c>
      <c r="K1197" s="4">
        <v>0.08</v>
      </c>
      <c r="L1197" s="3">
        <v>290.72</v>
      </c>
      <c r="M1197" t="b">
        <v>1</v>
      </c>
      <c r="N1197" s="2">
        <f>YEAR(B1197)</f>
        <v>2026</v>
      </c>
      <c r="O1197" t="str">
        <f>INDEX(Agences!$C:$C,MATCH(F1197,Agences!$A:$A,0))</f>
        <v>Ouest</v>
      </c>
      <c r="P1197" t="str">
        <f>INDEX(Produits!$C:$C,MATCH(H1197,Produits!$A:$A,0))</f>
        <v>Mobilier</v>
      </c>
      <c r="Q1197" s="3">
        <f>I1197*INDEX(Produits!$E:$E,MATCH(H1197,Produits!$A:$A,0))</f>
        <v>186.44</v>
      </c>
      <c r="R1197" s="3">
        <f>L1197-Q1197</f>
        <v>104.28000000000003</v>
      </c>
      <c r="S1197" s="2">
        <f>NETWORKDAYS(B1197,C1197)-1</f>
        <v>1</v>
      </c>
      <c r="T1197" s="1">
        <f>WORKDAY(B1197,5)</f>
        <v>46108</v>
      </c>
      <c r="U1197" t="b">
        <f>C1197&gt;T1197</f>
        <v>0</v>
      </c>
    </row>
    <row r="1198" spans="1:21" x14ac:dyDescent="0.25">
      <c r="A1198" t="s">
        <v>980</v>
      </c>
      <c r="B1198" s="1">
        <v>46101</v>
      </c>
      <c r="C1198" s="1">
        <v>46104</v>
      </c>
      <c r="D1198" t="s">
        <v>29</v>
      </c>
      <c r="E1198" t="s">
        <v>30</v>
      </c>
      <c r="F1198" t="s">
        <v>31</v>
      </c>
      <c r="G1198" t="s">
        <v>375</v>
      </c>
      <c r="H1198" t="s">
        <v>26</v>
      </c>
      <c r="I1198" s="2">
        <v>1</v>
      </c>
      <c r="J1198" s="3">
        <v>290</v>
      </c>
      <c r="K1198" s="4">
        <v>0.05</v>
      </c>
      <c r="L1198" s="3">
        <v>275.5</v>
      </c>
      <c r="M1198" t="b">
        <v>1</v>
      </c>
      <c r="N1198" s="2">
        <f>YEAR(B1198)</f>
        <v>2026</v>
      </c>
      <c r="O1198" t="str">
        <f>INDEX(Agences!$C:$C,MATCH(F1198,Agences!$A:$A,0))</f>
        <v>Ouest</v>
      </c>
      <c r="P1198" t="str">
        <f>INDEX(Produits!$C:$C,MATCH(H1198,Produits!$A:$A,0))</f>
        <v>Maintenance</v>
      </c>
      <c r="Q1198" s="3">
        <f>I1198*INDEX(Produits!$E:$E,MATCH(H1198,Produits!$A:$A,0))</f>
        <v>139.2</v>
      </c>
      <c r="R1198" s="3">
        <f>L1198-Q1198</f>
        <v>136.3</v>
      </c>
      <c r="S1198" s="2">
        <f>NETWORKDAYS(B1198,C1198)-1</f>
        <v>1</v>
      </c>
      <c r="T1198" s="1">
        <f>WORKDAY(B1198,5)</f>
        <v>46108</v>
      </c>
      <c r="U1198" t="b">
        <f>C1198&gt;T1198</f>
        <v>0</v>
      </c>
    </row>
    <row r="1199" spans="1:21" x14ac:dyDescent="0.25">
      <c r="A1199" t="s">
        <v>980</v>
      </c>
      <c r="B1199" s="1">
        <v>46101</v>
      </c>
      <c r="C1199" s="1">
        <v>46104</v>
      </c>
      <c r="D1199" t="s">
        <v>29</v>
      </c>
      <c r="E1199" t="s">
        <v>30</v>
      </c>
      <c r="F1199" t="s">
        <v>31</v>
      </c>
      <c r="G1199" t="s">
        <v>375</v>
      </c>
      <c r="H1199" t="s">
        <v>233</v>
      </c>
      <c r="I1199" s="2">
        <v>5</v>
      </c>
      <c r="J1199" s="3">
        <v>27.5</v>
      </c>
      <c r="K1199" s="4">
        <v>0</v>
      </c>
      <c r="L1199" s="3">
        <v>137.5</v>
      </c>
      <c r="M1199" t="b">
        <v>1</v>
      </c>
      <c r="N1199" s="2">
        <f>YEAR(B1199)</f>
        <v>2026</v>
      </c>
      <c r="O1199" t="str">
        <f>INDEX(Agences!$C:$C,MATCH(F1199,Agences!$A:$A,0))</f>
        <v>Ouest</v>
      </c>
      <c r="P1199" t="str">
        <f>INDEX(Produits!$C:$C,MATCH(H1199,Produits!$A:$A,0))</f>
        <v>Fournitures</v>
      </c>
      <c r="Q1199" s="3">
        <f>I1199*INDEX(Produits!$E:$E,MATCH(H1199,Produits!$A:$A,0))</f>
        <v>77</v>
      </c>
      <c r="R1199" s="3">
        <f>L1199-Q1199</f>
        <v>60.5</v>
      </c>
      <c r="S1199" s="2">
        <f>NETWORKDAYS(B1199,C1199)-1</f>
        <v>1</v>
      </c>
      <c r="T1199" s="1">
        <f>WORKDAY(B1199,5)</f>
        <v>46108</v>
      </c>
      <c r="U1199" t="b">
        <f>C1199&gt;T1199</f>
        <v>0</v>
      </c>
    </row>
    <row r="1200" spans="1:21" x14ac:dyDescent="0.25">
      <c r="A1200" t="s">
        <v>981</v>
      </c>
      <c r="B1200" s="1">
        <v>46100</v>
      </c>
      <c r="C1200" s="1">
        <v>46104</v>
      </c>
      <c r="D1200" t="s">
        <v>982</v>
      </c>
      <c r="E1200" t="s">
        <v>339</v>
      </c>
      <c r="F1200" t="s">
        <v>31</v>
      </c>
      <c r="G1200" t="s">
        <v>32</v>
      </c>
      <c r="H1200" t="s">
        <v>50</v>
      </c>
      <c r="I1200" s="2">
        <v>1</v>
      </c>
      <c r="J1200" s="3">
        <v>69</v>
      </c>
      <c r="K1200" s="4">
        <v>0.02</v>
      </c>
      <c r="L1200" s="3">
        <v>67.62</v>
      </c>
      <c r="M1200" t="b">
        <v>1</v>
      </c>
      <c r="N1200" s="2">
        <f>YEAR(B1200)</f>
        <v>2026</v>
      </c>
      <c r="O1200" t="str">
        <f>INDEX(Agences!$C:$C,MATCH(F1200,Agences!$A:$A,0))</f>
        <v>Ouest</v>
      </c>
      <c r="P1200" t="str">
        <f>INDEX(Produits!$C:$C,MATCH(H1200,Produits!$A:$A,0))</f>
        <v>Informatique</v>
      </c>
      <c r="Q1200" s="3">
        <f>I1200*INDEX(Produits!$E:$E,MATCH(H1200,Produits!$A:$A,0))</f>
        <v>54.51</v>
      </c>
      <c r="R1200" s="3">
        <f>L1200-Q1200</f>
        <v>13.110000000000007</v>
      </c>
      <c r="S1200" s="2">
        <f>NETWORKDAYS(B1200,C1200)-1</f>
        <v>2</v>
      </c>
      <c r="T1200" s="1">
        <f>WORKDAY(B1200,5)</f>
        <v>46107</v>
      </c>
      <c r="U1200" t="b">
        <f>C1200&gt;T1200</f>
        <v>0</v>
      </c>
    </row>
    <row r="1201" spans="1:21" x14ac:dyDescent="0.25">
      <c r="A1201" t="s">
        <v>981</v>
      </c>
      <c r="B1201" s="1">
        <v>46100</v>
      </c>
      <c r="C1201" s="1">
        <v>46104</v>
      </c>
      <c r="D1201" t="s">
        <v>982</v>
      </c>
      <c r="E1201" t="s">
        <v>339</v>
      </c>
      <c r="F1201" t="s">
        <v>31</v>
      </c>
      <c r="G1201" t="s">
        <v>32</v>
      </c>
      <c r="H1201" t="s">
        <v>112</v>
      </c>
      <c r="I1201" s="2">
        <v>1</v>
      </c>
      <c r="J1201" s="3">
        <v>129</v>
      </c>
      <c r="K1201" s="4">
        <v>0</v>
      </c>
      <c r="L1201" s="3">
        <v>129</v>
      </c>
      <c r="M1201" t="b">
        <v>1</v>
      </c>
      <c r="N1201" s="2">
        <f>YEAR(B1201)</f>
        <v>2026</v>
      </c>
      <c r="O1201" t="str">
        <f>INDEX(Agences!$C:$C,MATCH(F1201,Agences!$A:$A,0))</f>
        <v>Ouest</v>
      </c>
      <c r="P1201" t="str">
        <f>INDEX(Produits!$C:$C,MATCH(H1201,Produits!$A:$A,0))</f>
        <v>Mobilier</v>
      </c>
      <c r="Q1201" s="3">
        <f>I1201*INDEX(Produits!$E:$E,MATCH(H1201,Produits!$A:$A,0))</f>
        <v>86.43</v>
      </c>
      <c r="R1201" s="3">
        <f>L1201-Q1201</f>
        <v>42.56999999999999</v>
      </c>
      <c r="S1201" s="2">
        <f>NETWORKDAYS(B1201,C1201)-1</f>
        <v>2</v>
      </c>
      <c r="T1201" s="1">
        <f>WORKDAY(B1201,5)</f>
        <v>46107</v>
      </c>
      <c r="U1201" t="b">
        <f>C1201&gt;T1201</f>
        <v>0</v>
      </c>
    </row>
    <row r="1202" spans="1:21" x14ac:dyDescent="0.25">
      <c r="A1202" t="s">
        <v>981</v>
      </c>
      <c r="B1202" s="1">
        <v>46100</v>
      </c>
      <c r="C1202" s="1">
        <v>46104</v>
      </c>
      <c r="D1202" t="s">
        <v>982</v>
      </c>
      <c r="E1202" t="s">
        <v>339</v>
      </c>
      <c r="F1202" t="s">
        <v>31</v>
      </c>
      <c r="G1202" t="s">
        <v>32</v>
      </c>
      <c r="H1202" t="s">
        <v>205</v>
      </c>
      <c r="I1202" s="2">
        <v>3</v>
      </c>
      <c r="J1202" s="3">
        <v>359</v>
      </c>
      <c r="K1202" s="4">
        <v>0</v>
      </c>
      <c r="L1202" s="3">
        <v>1077</v>
      </c>
      <c r="M1202" t="b">
        <v>1</v>
      </c>
      <c r="N1202" s="2">
        <f>YEAR(B1202)</f>
        <v>2026</v>
      </c>
      <c r="O1202" t="str">
        <f>INDEX(Agences!$C:$C,MATCH(F1202,Agences!$A:$A,0))</f>
        <v>Ouest</v>
      </c>
      <c r="P1202" t="str">
        <f>INDEX(Produits!$C:$C,MATCH(H1202,Produits!$A:$A,0))</f>
        <v>Mobilier</v>
      </c>
      <c r="Q1202" s="3">
        <f>I1202*INDEX(Produits!$E:$E,MATCH(H1202,Produits!$A:$A,0))</f>
        <v>613.89</v>
      </c>
      <c r="R1202" s="3">
        <f>L1202-Q1202</f>
        <v>463.11</v>
      </c>
      <c r="S1202" s="2">
        <f>NETWORKDAYS(B1202,C1202)-1</f>
        <v>2</v>
      </c>
      <c r="T1202" s="1">
        <f>WORKDAY(B1202,5)</f>
        <v>46107</v>
      </c>
      <c r="U1202" t="b">
        <f>C1202&gt;T1202</f>
        <v>0</v>
      </c>
    </row>
    <row r="1203" spans="1:21" x14ac:dyDescent="0.25">
      <c r="A1203" t="s">
        <v>983</v>
      </c>
      <c r="B1203" s="1">
        <v>46100</v>
      </c>
      <c r="C1203" s="1">
        <v>46104</v>
      </c>
      <c r="D1203" t="s">
        <v>913</v>
      </c>
      <c r="E1203" t="s">
        <v>339</v>
      </c>
      <c r="F1203" t="s">
        <v>31</v>
      </c>
      <c r="G1203" t="s">
        <v>375</v>
      </c>
      <c r="H1203" t="s">
        <v>107</v>
      </c>
      <c r="I1203" s="2">
        <v>4</v>
      </c>
      <c r="J1203" s="3">
        <v>99</v>
      </c>
      <c r="K1203" s="4">
        <v>0.02</v>
      </c>
      <c r="L1203" s="3">
        <v>388.08</v>
      </c>
      <c r="M1203" t="b">
        <v>1</v>
      </c>
      <c r="N1203" s="2">
        <f>YEAR(B1203)</f>
        <v>2026</v>
      </c>
      <c r="O1203" t="str">
        <f>INDEX(Agences!$C:$C,MATCH(F1203,Agences!$A:$A,0))</f>
        <v>Ouest</v>
      </c>
      <c r="P1203" t="str">
        <f>INDEX(Produits!$C:$C,MATCH(H1203,Produits!$A:$A,0))</f>
        <v>Informatique</v>
      </c>
      <c r="Q1203" s="3">
        <f>I1203*INDEX(Produits!$E:$E,MATCH(H1203,Produits!$A:$A,0))</f>
        <v>300.96</v>
      </c>
      <c r="R1203" s="3">
        <f>L1203-Q1203</f>
        <v>87.12</v>
      </c>
      <c r="S1203" s="2">
        <f>NETWORKDAYS(B1203,C1203)-1</f>
        <v>2</v>
      </c>
      <c r="T1203" s="1">
        <f>WORKDAY(B1203,5)</f>
        <v>46107</v>
      </c>
      <c r="U1203" t="b">
        <f>C1203&gt;T1203</f>
        <v>0</v>
      </c>
    </row>
    <row r="1204" spans="1:21" x14ac:dyDescent="0.25">
      <c r="A1204" t="s">
        <v>983</v>
      </c>
      <c r="B1204" s="1">
        <v>46100</v>
      </c>
      <c r="C1204" s="1">
        <v>46104</v>
      </c>
      <c r="D1204" t="s">
        <v>913</v>
      </c>
      <c r="E1204" t="s">
        <v>339</v>
      </c>
      <c r="F1204" t="s">
        <v>31</v>
      </c>
      <c r="G1204" t="s">
        <v>375</v>
      </c>
      <c r="H1204" t="s">
        <v>51</v>
      </c>
      <c r="I1204" s="2">
        <v>1</v>
      </c>
      <c r="J1204" s="3">
        <v>180</v>
      </c>
      <c r="K1204" s="4">
        <v>0</v>
      </c>
      <c r="L1204" s="3">
        <v>180</v>
      </c>
      <c r="M1204" t="b">
        <v>1</v>
      </c>
      <c r="N1204" s="2">
        <f>YEAR(B1204)</f>
        <v>2026</v>
      </c>
      <c r="O1204" t="str">
        <f>INDEX(Agences!$C:$C,MATCH(F1204,Agences!$A:$A,0))</f>
        <v>Ouest</v>
      </c>
      <c r="P1204" t="str">
        <f>INDEX(Produits!$C:$C,MATCH(H1204,Produits!$A:$A,0))</f>
        <v>Maintenance</v>
      </c>
      <c r="Q1204" s="3">
        <f>I1204*INDEX(Produits!$E:$E,MATCH(H1204,Produits!$A:$A,0))</f>
        <v>82.8</v>
      </c>
      <c r="R1204" s="3">
        <f>L1204-Q1204</f>
        <v>97.2</v>
      </c>
      <c r="S1204" s="2">
        <f>NETWORKDAYS(B1204,C1204)-1</f>
        <v>2</v>
      </c>
      <c r="T1204" s="1">
        <f>WORKDAY(B1204,5)</f>
        <v>46107</v>
      </c>
      <c r="U1204" t="b">
        <f>C1204&gt;T1204</f>
        <v>0</v>
      </c>
    </row>
    <row r="1205" spans="1:21" x14ac:dyDescent="0.25">
      <c r="A1205" t="s">
        <v>984</v>
      </c>
      <c r="B1205" s="1">
        <v>46100</v>
      </c>
      <c r="C1205" s="1">
        <v>46105</v>
      </c>
      <c r="D1205" t="s">
        <v>294</v>
      </c>
      <c r="E1205" t="s">
        <v>82</v>
      </c>
      <c r="F1205" t="s">
        <v>39</v>
      </c>
      <c r="G1205" t="s">
        <v>131</v>
      </c>
      <c r="H1205" t="s">
        <v>27</v>
      </c>
      <c r="I1205" s="2">
        <v>1</v>
      </c>
      <c r="J1205" s="3">
        <v>310</v>
      </c>
      <c r="K1205" s="4">
        <v>0</v>
      </c>
      <c r="L1205" s="3">
        <v>310</v>
      </c>
      <c r="M1205" t="b">
        <v>1</v>
      </c>
      <c r="N1205" s="2">
        <f>YEAR(B1205)</f>
        <v>2026</v>
      </c>
      <c r="O1205" t="str">
        <f>INDEX(Agences!$C:$C,MATCH(F1205,Agences!$A:$A,0))</f>
        <v>Sud-Ouest</v>
      </c>
      <c r="P1205" t="str">
        <f>INDEX(Produits!$C:$C,MATCH(H1205,Produits!$A:$A,0))</f>
        <v>Mobilier</v>
      </c>
      <c r="Q1205" s="3">
        <f>I1205*INDEX(Produits!$E:$E,MATCH(H1205,Produits!$A:$A,0))</f>
        <v>186</v>
      </c>
      <c r="R1205" s="3">
        <f>L1205-Q1205</f>
        <v>124</v>
      </c>
      <c r="S1205" s="2">
        <f>NETWORKDAYS(B1205,C1205)-1</f>
        <v>3</v>
      </c>
      <c r="T1205" s="1">
        <f>WORKDAY(B1205,5)</f>
        <v>46107</v>
      </c>
      <c r="U1205" t="b">
        <f>C1205&gt;T1205</f>
        <v>0</v>
      </c>
    </row>
    <row r="1206" spans="1:21" x14ac:dyDescent="0.25">
      <c r="A1206" t="s">
        <v>984</v>
      </c>
      <c r="B1206" s="1">
        <v>46100</v>
      </c>
      <c r="C1206" s="1">
        <v>46105</v>
      </c>
      <c r="D1206" t="s">
        <v>294</v>
      </c>
      <c r="E1206" t="s">
        <v>82</v>
      </c>
      <c r="F1206" t="s">
        <v>39</v>
      </c>
      <c r="G1206" t="s">
        <v>131</v>
      </c>
      <c r="H1206" t="s">
        <v>57</v>
      </c>
      <c r="I1206" s="2">
        <v>2</v>
      </c>
      <c r="J1206" s="3">
        <v>149</v>
      </c>
      <c r="K1206" s="4">
        <v>0.05</v>
      </c>
      <c r="L1206" s="3">
        <v>283.1</v>
      </c>
      <c r="M1206" t="b">
        <v>1</v>
      </c>
      <c r="N1206" s="2">
        <f>YEAR(B1206)</f>
        <v>2026</v>
      </c>
      <c r="O1206" t="str">
        <f>INDEX(Agences!$C:$C,MATCH(F1206,Agences!$A:$A,0))</f>
        <v>Sud-Ouest</v>
      </c>
      <c r="P1206" t="str">
        <f>INDEX(Produits!$C:$C,MATCH(H1206,Produits!$A:$A,0))</f>
        <v>Informatique</v>
      </c>
      <c r="Q1206" s="3">
        <f>I1206*INDEX(Produits!$E:$E,MATCH(H1206,Produits!$A:$A,0))</f>
        <v>229.46</v>
      </c>
      <c r="R1206" s="3">
        <f>L1206-Q1206</f>
        <v>53.640000000000015</v>
      </c>
      <c r="S1206" s="2">
        <f>NETWORKDAYS(B1206,C1206)-1</f>
        <v>3</v>
      </c>
      <c r="T1206" s="1">
        <f>WORKDAY(B1206,5)</f>
        <v>46107</v>
      </c>
      <c r="U1206" t="b">
        <f>C1206&gt;T1206</f>
        <v>0</v>
      </c>
    </row>
    <row r="1207" spans="1:21" x14ac:dyDescent="0.25">
      <c r="A1207" t="s">
        <v>985</v>
      </c>
      <c r="B1207" s="1">
        <v>46100</v>
      </c>
      <c r="C1207" s="1">
        <v>46105</v>
      </c>
      <c r="D1207" t="s">
        <v>353</v>
      </c>
      <c r="E1207" t="s">
        <v>149</v>
      </c>
      <c r="F1207" t="s">
        <v>88</v>
      </c>
      <c r="G1207" t="s">
        <v>142</v>
      </c>
      <c r="H1207" t="s">
        <v>83</v>
      </c>
      <c r="I1207" s="2">
        <v>3</v>
      </c>
      <c r="J1207" s="3">
        <v>49</v>
      </c>
      <c r="K1207" s="4">
        <v>0.1</v>
      </c>
      <c r="L1207" s="3">
        <v>132.3</v>
      </c>
      <c r="M1207" t="b">
        <v>1</v>
      </c>
      <c r="N1207" s="2">
        <f>YEAR(B1207)</f>
        <v>2026</v>
      </c>
      <c r="O1207" t="str">
        <f>INDEX(Agences!$C:$C,MATCH(F1207,Agences!$A:$A,0))</f>
        <v>Sud-Ouest</v>
      </c>
      <c r="P1207" t="str">
        <f>INDEX(Produits!$C:$C,MATCH(H1207,Produits!$A:$A,0))</f>
        <v>Mobilier</v>
      </c>
      <c r="Q1207" s="3">
        <f>I1207*INDEX(Produits!$E:$E,MATCH(H1207,Produits!$A:$A,0))</f>
        <v>85.26</v>
      </c>
      <c r="R1207" s="3">
        <f>L1207-Q1207</f>
        <v>47.040000000000006</v>
      </c>
      <c r="S1207" s="2">
        <f>NETWORKDAYS(B1207,C1207)-1</f>
        <v>3</v>
      </c>
      <c r="T1207" s="1">
        <f>WORKDAY(B1207,5)</f>
        <v>46107</v>
      </c>
      <c r="U1207" t="b">
        <f>C1207&gt;T1207</f>
        <v>0</v>
      </c>
    </row>
    <row r="1208" spans="1:21" x14ac:dyDescent="0.25">
      <c r="A1208" t="s">
        <v>985</v>
      </c>
      <c r="B1208" s="1">
        <v>46100</v>
      </c>
      <c r="C1208" s="1">
        <v>46105</v>
      </c>
      <c r="D1208" t="s">
        <v>353</v>
      </c>
      <c r="E1208" t="s">
        <v>149</v>
      </c>
      <c r="F1208" t="s">
        <v>88</v>
      </c>
      <c r="G1208" t="s">
        <v>142</v>
      </c>
      <c r="H1208" t="s">
        <v>79</v>
      </c>
      <c r="I1208" s="2">
        <v>25</v>
      </c>
      <c r="J1208" s="3">
        <v>14.9</v>
      </c>
      <c r="K1208" s="4">
        <v>0</v>
      </c>
      <c r="L1208" s="3">
        <v>372.5</v>
      </c>
      <c r="M1208" t="b">
        <v>1</v>
      </c>
      <c r="N1208" s="2">
        <f>YEAR(B1208)</f>
        <v>2026</v>
      </c>
      <c r="O1208" t="str">
        <f>INDEX(Agences!$C:$C,MATCH(F1208,Agences!$A:$A,0))</f>
        <v>Sud-Ouest</v>
      </c>
      <c r="P1208" t="str">
        <f>INDEX(Produits!$C:$C,MATCH(H1208,Produits!$A:$A,0))</f>
        <v>Fournitures</v>
      </c>
      <c r="Q1208" s="3">
        <f>I1208*INDEX(Produits!$E:$E,MATCH(H1208,Produits!$A:$A,0))</f>
        <v>201.25000000000003</v>
      </c>
      <c r="R1208" s="3">
        <f>L1208-Q1208</f>
        <v>171.24999999999997</v>
      </c>
      <c r="S1208" s="2">
        <f>NETWORKDAYS(B1208,C1208)-1</f>
        <v>3</v>
      </c>
      <c r="T1208" s="1">
        <f>WORKDAY(B1208,5)</f>
        <v>46107</v>
      </c>
      <c r="U1208" t="b">
        <f>C1208&gt;T1208</f>
        <v>0</v>
      </c>
    </row>
    <row r="1209" spans="1:21" x14ac:dyDescent="0.25">
      <c r="A1209" t="s">
        <v>986</v>
      </c>
      <c r="B1209" s="1">
        <v>46100</v>
      </c>
      <c r="C1209" s="1">
        <v>46104</v>
      </c>
      <c r="D1209" t="s">
        <v>169</v>
      </c>
      <c r="E1209" t="s">
        <v>67</v>
      </c>
      <c r="F1209" t="s">
        <v>62</v>
      </c>
      <c r="G1209" t="s">
        <v>63</v>
      </c>
      <c r="H1209" t="s">
        <v>35</v>
      </c>
      <c r="I1209" s="2">
        <v>2</v>
      </c>
      <c r="J1209" s="3">
        <v>79</v>
      </c>
      <c r="K1209" s="4">
        <v>0.05</v>
      </c>
      <c r="L1209" s="3">
        <v>150.1</v>
      </c>
      <c r="M1209" t="b">
        <v>1</v>
      </c>
      <c r="N1209" s="2">
        <f>YEAR(B1209)</f>
        <v>2026</v>
      </c>
      <c r="O1209" t="str">
        <f>INDEX(Agences!$C:$C,MATCH(F1209,Agences!$A:$A,0))</f>
        <v>Méditerranée</v>
      </c>
      <c r="P1209" t="str">
        <f>INDEX(Produits!$C:$C,MATCH(H1209,Produits!$A:$A,0))</f>
        <v>Mobilier</v>
      </c>
      <c r="Q1209" s="3">
        <f>I1209*INDEX(Produits!$E:$E,MATCH(H1209,Produits!$A:$A,0))</f>
        <v>93.22</v>
      </c>
      <c r="R1209" s="3">
        <f>L1209-Q1209</f>
        <v>56.879999999999995</v>
      </c>
      <c r="S1209" s="2">
        <f>NETWORKDAYS(B1209,C1209)-1</f>
        <v>2</v>
      </c>
      <c r="T1209" s="1">
        <f>WORKDAY(B1209,5)</f>
        <v>46107</v>
      </c>
      <c r="U1209" t="b">
        <f>C1209&gt;T1209</f>
        <v>0</v>
      </c>
    </row>
    <row r="1210" spans="1:21" x14ac:dyDescent="0.25">
      <c r="A1210" t="s">
        <v>986</v>
      </c>
      <c r="B1210" s="1">
        <v>46100</v>
      </c>
      <c r="C1210" s="1">
        <v>46104</v>
      </c>
      <c r="D1210" t="s">
        <v>169</v>
      </c>
      <c r="E1210" t="s">
        <v>67</v>
      </c>
      <c r="F1210" t="s">
        <v>62</v>
      </c>
      <c r="G1210" t="s">
        <v>63</v>
      </c>
      <c r="H1210" t="s">
        <v>64</v>
      </c>
      <c r="I1210" s="2">
        <v>10</v>
      </c>
      <c r="J1210" s="3">
        <v>16.8</v>
      </c>
      <c r="K1210" s="4">
        <v>0</v>
      </c>
      <c r="L1210" s="3">
        <v>168</v>
      </c>
      <c r="M1210" t="b">
        <v>1</v>
      </c>
      <c r="N1210" s="2">
        <f>YEAR(B1210)</f>
        <v>2026</v>
      </c>
      <c r="O1210" t="str">
        <f>INDEX(Agences!$C:$C,MATCH(F1210,Agences!$A:$A,0))</f>
        <v>Méditerranée</v>
      </c>
      <c r="P1210" t="str">
        <f>INDEX(Produits!$C:$C,MATCH(H1210,Produits!$A:$A,0))</f>
        <v>Fournitures</v>
      </c>
      <c r="Q1210" s="3">
        <f>I1210*INDEX(Produits!$E:$E,MATCH(H1210,Produits!$A:$A,0))</f>
        <v>87.4</v>
      </c>
      <c r="R1210" s="3">
        <f>L1210-Q1210</f>
        <v>80.6</v>
      </c>
      <c r="S1210" s="2">
        <f>NETWORKDAYS(B1210,C1210)-1</f>
        <v>2</v>
      </c>
      <c r="T1210" s="1">
        <f>WORKDAY(B1210,5)</f>
        <v>46107</v>
      </c>
      <c r="U1210" t="b">
        <f>C1210&gt;T1210</f>
        <v>0</v>
      </c>
    </row>
    <row r="1211" spans="1:21" x14ac:dyDescent="0.25">
      <c r="A1211" t="s">
        <v>986</v>
      </c>
      <c r="B1211" s="1">
        <v>46100</v>
      </c>
      <c r="C1211" s="1">
        <v>46104</v>
      </c>
      <c r="D1211" t="s">
        <v>169</v>
      </c>
      <c r="E1211" t="s">
        <v>67</v>
      </c>
      <c r="F1211" t="s">
        <v>62</v>
      </c>
      <c r="G1211" t="s">
        <v>63</v>
      </c>
      <c r="H1211" t="s">
        <v>34</v>
      </c>
      <c r="I1211" s="2">
        <v>2</v>
      </c>
      <c r="J1211" s="3">
        <v>340</v>
      </c>
      <c r="K1211" s="4">
        <v>0.08</v>
      </c>
      <c r="L1211" s="3">
        <v>625.6</v>
      </c>
      <c r="M1211" t="b">
        <v>1</v>
      </c>
      <c r="N1211" s="2">
        <f>YEAR(B1211)</f>
        <v>2026</v>
      </c>
      <c r="O1211" t="str">
        <f>INDEX(Agences!$C:$C,MATCH(F1211,Agences!$A:$A,0))</f>
        <v>Méditerranée</v>
      </c>
      <c r="P1211" t="str">
        <f>INDEX(Produits!$C:$C,MATCH(H1211,Produits!$A:$A,0))</f>
        <v>Informatique</v>
      </c>
      <c r="Q1211" s="3">
        <f>I1211*INDEX(Produits!$E:$E,MATCH(H1211,Produits!$A:$A,0))</f>
        <v>550.8</v>
      </c>
      <c r="R1211" s="3">
        <f>L1211-Q1211</f>
        <v>74.80000000000007</v>
      </c>
      <c r="S1211" s="2">
        <f>NETWORKDAYS(B1211,C1211)-1</f>
        <v>2</v>
      </c>
      <c r="T1211" s="1">
        <f>WORKDAY(B1211,5)</f>
        <v>46107</v>
      </c>
      <c r="U1211" t="b">
        <f>C1211&gt;T1211</f>
        <v>0</v>
      </c>
    </row>
    <row r="1212" spans="1:21" x14ac:dyDescent="0.25">
      <c r="A1212" t="s">
        <v>986</v>
      </c>
      <c r="B1212" s="1">
        <v>46100</v>
      </c>
      <c r="C1212" s="1">
        <v>46104</v>
      </c>
      <c r="D1212" t="s">
        <v>169</v>
      </c>
      <c r="E1212" t="s">
        <v>67</v>
      </c>
      <c r="F1212" t="s">
        <v>62</v>
      </c>
      <c r="G1212" t="s">
        <v>63</v>
      </c>
      <c r="H1212" t="s">
        <v>90</v>
      </c>
      <c r="I1212" s="2">
        <v>10</v>
      </c>
      <c r="J1212" s="3">
        <v>22.9</v>
      </c>
      <c r="K1212" s="4">
        <v>0.1</v>
      </c>
      <c r="L1212" s="3">
        <v>206.1</v>
      </c>
      <c r="M1212" t="b">
        <v>1</v>
      </c>
      <c r="N1212" s="2">
        <f>YEAR(B1212)</f>
        <v>2026</v>
      </c>
      <c r="O1212" t="str">
        <f>INDEX(Agences!$C:$C,MATCH(F1212,Agences!$A:$A,0))</f>
        <v>Méditerranée</v>
      </c>
      <c r="P1212" t="str">
        <f>INDEX(Produits!$C:$C,MATCH(H1212,Produits!$A:$A,0))</f>
        <v>Fournitures</v>
      </c>
      <c r="Q1212" s="3">
        <f>I1212*INDEX(Produits!$E:$E,MATCH(H1212,Produits!$A:$A,0))</f>
        <v>128.2</v>
      </c>
      <c r="R1212" s="3">
        <f>L1212-Q1212</f>
        <v>77.9</v>
      </c>
      <c r="S1212" s="2">
        <f>NETWORKDAYS(B1212,C1212)-1</f>
        <v>2</v>
      </c>
      <c r="T1212" s="1">
        <f>WORKDAY(B1212,5)</f>
        <v>46107</v>
      </c>
      <c r="U1212" t="b">
        <f>C1212&gt;T1212</f>
        <v>0</v>
      </c>
    </row>
    <row r="1213" spans="1:21" x14ac:dyDescent="0.25">
      <c r="A1213" t="s">
        <v>986</v>
      </c>
      <c r="B1213" s="1">
        <v>46100</v>
      </c>
      <c r="C1213" s="1">
        <v>46104</v>
      </c>
      <c r="D1213" t="s">
        <v>169</v>
      </c>
      <c r="E1213" t="s">
        <v>67</v>
      </c>
      <c r="F1213" t="s">
        <v>62</v>
      </c>
      <c r="G1213" t="s">
        <v>63</v>
      </c>
      <c r="H1213" t="s">
        <v>42</v>
      </c>
      <c r="I1213" s="2">
        <v>1</v>
      </c>
      <c r="J1213" s="3">
        <v>55</v>
      </c>
      <c r="K1213" s="4">
        <v>0</v>
      </c>
      <c r="L1213" s="3">
        <v>55</v>
      </c>
      <c r="M1213" t="b">
        <v>1</v>
      </c>
      <c r="N1213" s="2">
        <f>YEAR(B1213)</f>
        <v>2026</v>
      </c>
      <c r="O1213" t="str">
        <f>INDEX(Agences!$C:$C,MATCH(F1213,Agences!$A:$A,0))</f>
        <v>Méditerranée</v>
      </c>
      <c r="P1213" t="str">
        <f>INDEX(Produits!$C:$C,MATCH(H1213,Produits!$A:$A,0))</f>
        <v>Maintenance</v>
      </c>
      <c r="Q1213" s="3">
        <f>I1213*INDEX(Produits!$E:$E,MATCH(H1213,Produits!$A:$A,0))</f>
        <v>24.75</v>
      </c>
      <c r="R1213" s="3">
        <f>L1213-Q1213</f>
        <v>30.25</v>
      </c>
      <c r="S1213" s="2">
        <f>NETWORKDAYS(B1213,C1213)-1</f>
        <v>2</v>
      </c>
      <c r="T1213" s="1">
        <f>WORKDAY(B1213,5)</f>
        <v>46107</v>
      </c>
      <c r="U1213" t="b">
        <f>C1213&gt;T1213</f>
        <v>0</v>
      </c>
    </row>
    <row r="1214" spans="1:21" x14ac:dyDescent="0.25">
      <c r="A1214" t="s">
        <v>987</v>
      </c>
      <c r="B1214" s="1">
        <v>46100</v>
      </c>
      <c r="C1214" s="1">
        <v>46105</v>
      </c>
      <c r="D1214" t="s">
        <v>988</v>
      </c>
      <c r="E1214" t="s">
        <v>242</v>
      </c>
      <c r="F1214" t="s">
        <v>94</v>
      </c>
      <c r="G1214" t="s">
        <v>154</v>
      </c>
      <c r="H1214" t="s">
        <v>162</v>
      </c>
      <c r="I1214" s="2">
        <v>1</v>
      </c>
      <c r="J1214" s="3">
        <v>289</v>
      </c>
      <c r="K1214" s="4">
        <v>0.02</v>
      </c>
      <c r="L1214" s="3">
        <v>283.22</v>
      </c>
      <c r="M1214" t="b">
        <v>1</v>
      </c>
      <c r="N1214" s="2">
        <f>YEAR(B1214)</f>
        <v>2026</v>
      </c>
      <c r="O1214" t="str">
        <f>INDEX(Agences!$C:$C,MATCH(F1214,Agences!$A:$A,0))</f>
        <v>Méditerranée</v>
      </c>
      <c r="P1214" t="str">
        <f>INDEX(Produits!$C:$C,MATCH(H1214,Produits!$A:$A,0))</f>
        <v>Mobilier</v>
      </c>
      <c r="Q1214" s="3">
        <f>I1214*INDEX(Produits!$E:$E,MATCH(H1214,Produits!$A:$A,0))</f>
        <v>193.63</v>
      </c>
      <c r="R1214" s="3">
        <f>L1214-Q1214</f>
        <v>89.59000000000003</v>
      </c>
      <c r="S1214" s="2">
        <f>NETWORKDAYS(B1214,C1214)-1</f>
        <v>3</v>
      </c>
      <c r="T1214" s="1">
        <f>WORKDAY(B1214,5)</f>
        <v>46107</v>
      </c>
      <c r="U1214" t="b">
        <f>C1214&gt;T1214</f>
        <v>0</v>
      </c>
    </row>
    <row r="1215" spans="1:21" x14ac:dyDescent="0.25">
      <c r="A1215" t="s">
        <v>987</v>
      </c>
      <c r="B1215" s="1">
        <v>46100</v>
      </c>
      <c r="C1215" s="1">
        <v>46105</v>
      </c>
      <c r="D1215" t="s">
        <v>988</v>
      </c>
      <c r="E1215" t="s">
        <v>242</v>
      </c>
      <c r="F1215" t="s">
        <v>94</v>
      </c>
      <c r="G1215" t="s">
        <v>154</v>
      </c>
      <c r="H1215" t="s">
        <v>64</v>
      </c>
      <c r="I1215" s="2">
        <v>10</v>
      </c>
      <c r="J1215" s="3">
        <v>16.8</v>
      </c>
      <c r="K1215" s="4">
        <v>0</v>
      </c>
      <c r="L1215" s="3">
        <v>168</v>
      </c>
      <c r="M1215" t="b">
        <v>1</v>
      </c>
      <c r="N1215" s="2">
        <f>YEAR(B1215)</f>
        <v>2026</v>
      </c>
      <c r="O1215" t="str">
        <f>INDEX(Agences!$C:$C,MATCH(F1215,Agences!$A:$A,0))</f>
        <v>Méditerranée</v>
      </c>
      <c r="P1215" t="str">
        <f>INDEX(Produits!$C:$C,MATCH(H1215,Produits!$A:$A,0))</f>
        <v>Fournitures</v>
      </c>
      <c r="Q1215" s="3">
        <f>I1215*INDEX(Produits!$E:$E,MATCH(H1215,Produits!$A:$A,0))</f>
        <v>87.4</v>
      </c>
      <c r="R1215" s="3">
        <f>L1215-Q1215</f>
        <v>80.6</v>
      </c>
      <c r="S1215" s="2">
        <f>NETWORKDAYS(B1215,C1215)-1</f>
        <v>3</v>
      </c>
      <c r="T1215" s="1">
        <f>WORKDAY(B1215,5)</f>
        <v>46107</v>
      </c>
      <c r="U1215" t="b">
        <f>C1215&gt;T1215</f>
        <v>0</v>
      </c>
    </row>
    <row r="1216" spans="1:21" x14ac:dyDescent="0.25">
      <c r="A1216" t="s">
        <v>987</v>
      </c>
      <c r="B1216" s="1">
        <v>46100</v>
      </c>
      <c r="C1216" s="1">
        <v>46105</v>
      </c>
      <c r="D1216" t="s">
        <v>988</v>
      </c>
      <c r="E1216" t="s">
        <v>242</v>
      </c>
      <c r="F1216" t="s">
        <v>94</v>
      </c>
      <c r="G1216" t="s">
        <v>154</v>
      </c>
      <c r="H1216" t="s">
        <v>161</v>
      </c>
      <c r="I1216" s="2">
        <v>10</v>
      </c>
      <c r="J1216" s="3">
        <v>32</v>
      </c>
      <c r="K1216" s="4">
        <v>0.1</v>
      </c>
      <c r="L1216" s="3">
        <v>288</v>
      </c>
      <c r="M1216" t="b">
        <v>1</v>
      </c>
      <c r="N1216" s="2">
        <f>YEAR(B1216)</f>
        <v>2026</v>
      </c>
      <c r="O1216" t="str">
        <f>INDEX(Agences!$C:$C,MATCH(F1216,Agences!$A:$A,0))</f>
        <v>Méditerranée</v>
      </c>
      <c r="P1216" t="str">
        <f>INDEX(Produits!$C:$C,MATCH(H1216,Produits!$A:$A,0))</f>
        <v>Fournitures</v>
      </c>
      <c r="Q1216" s="3">
        <f>I1216*INDEX(Produits!$E:$E,MATCH(H1216,Produits!$A:$A,0))</f>
        <v>176</v>
      </c>
      <c r="R1216" s="3">
        <f>L1216-Q1216</f>
        <v>112</v>
      </c>
      <c r="S1216" s="2">
        <f>NETWORKDAYS(B1216,C1216)-1</f>
        <v>3</v>
      </c>
      <c r="T1216" s="1">
        <f>WORKDAY(B1216,5)</f>
        <v>46107</v>
      </c>
      <c r="U1216" t="b">
        <f>C1216&gt;T1216</f>
        <v>0</v>
      </c>
    </row>
    <row r="1217" spans="1:21" x14ac:dyDescent="0.25">
      <c r="A1217" t="s">
        <v>989</v>
      </c>
      <c r="B1217" s="1">
        <v>46100</v>
      </c>
      <c r="C1217" s="1">
        <v>46104</v>
      </c>
      <c r="D1217" t="s">
        <v>381</v>
      </c>
      <c r="E1217" t="s">
        <v>157</v>
      </c>
      <c r="F1217" t="s">
        <v>46</v>
      </c>
      <c r="G1217" t="s">
        <v>158</v>
      </c>
      <c r="H1217" t="s">
        <v>233</v>
      </c>
      <c r="I1217" s="2">
        <v>15</v>
      </c>
      <c r="J1217" s="3">
        <v>27.5</v>
      </c>
      <c r="K1217" s="4">
        <v>0</v>
      </c>
      <c r="L1217" s="3">
        <v>412.5</v>
      </c>
      <c r="M1217" t="b">
        <v>1</v>
      </c>
      <c r="N1217" s="2">
        <f>YEAR(B1217)</f>
        <v>2026</v>
      </c>
      <c r="O1217" t="str">
        <f>INDEX(Agences!$C:$C,MATCH(F1217,Agences!$A:$A,0))</f>
        <v>Est</v>
      </c>
      <c r="P1217" t="str">
        <f>INDEX(Produits!$C:$C,MATCH(H1217,Produits!$A:$A,0))</f>
        <v>Fournitures</v>
      </c>
      <c r="Q1217" s="3">
        <f>I1217*INDEX(Produits!$E:$E,MATCH(H1217,Produits!$A:$A,0))</f>
        <v>231</v>
      </c>
      <c r="R1217" s="3">
        <f>L1217-Q1217</f>
        <v>181.5</v>
      </c>
      <c r="S1217" s="2">
        <f>NETWORKDAYS(B1217,C1217)-1</f>
        <v>2</v>
      </c>
      <c r="T1217" s="1">
        <f>WORKDAY(B1217,5)</f>
        <v>46107</v>
      </c>
      <c r="U1217" t="b">
        <f>C1217&gt;T1217</f>
        <v>0</v>
      </c>
    </row>
    <row r="1218" spans="1:21" x14ac:dyDescent="0.25">
      <c r="A1218" t="s">
        <v>989</v>
      </c>
      <c r="B1218" s="1">
        <v>46100</v>
      </c>
      <c r="C1218" s="1">
        <v>46104</v>
      </c>
      <c r="D1218" t="s">
        <v>381</v>
      </c>
      <c r="E1218" t="s">
        <v>157</v>
      </c>
      <c r="F1218" t="s">
        <v>46</v>
      </c>
      <c r="G1218" t="s">
        <v>158</v>
      </c>
      <c r="H1218" t="s">
        <v>33</v>
      </c>
      <c r="I1218" s="2">
        <v>1</v>
      </c>
      <c r="J1218" s="3">
        <v>219</v>
      </c>
      <c r="K1218" s="4">
        <v>0.08</v>
      </c>
      <c r="L1218" s="3">
        <v>201.48</v>
      </c>
      <c r="M1218" t="b">
        <v>1</v>
      </c>
      <c r="N1218" s="2">
        <f>YEAR(B1218)</f>
        <v>2026</v>
      </c>
      <c r="O1218" t="str">
        <f>INDEX(Agences!$C:$C,MATCH(F1218,Agences!$A:$A,0))</f>
        <v>Est</v>
      </c>
      <c r="P1218" t="str">
        <f>INDEX(Produits!$C:$C,MATCH(H1218,Produits!$A:$A,0))</f>
        <v>Informatique</v>
      </c>
      <c r="Q1218" s="3">
        <f>I1218*INDEX(Produits!$E:$E,MATCH(H1218,Produits!$A:$A,0))</f>
        <v>179.58</v>
      </c>
      <c r="R1218" s="3">
        <f>L1218-Q1218</f>
        <v>21.899999999999977</v>
      </c>
      <c r="S1218" s="2">
        <f>NETWORKDAYS(B1218,C1218)-1</f>
        <v>2</v>
      </c>
      <c r="T1218" s="1">
        <f>WORKDAY(B1218,5)</f>
        <v>46107</v>
      </c>
      <c r="U1218" t="b">
        <f>C1218&gt;T1218</f>
        <v>0</v>
      </c>
    </row>
    <row r="1219" spans="1:21" x14ac:dyDescent="0.25">
      <c r="A1219" t="s">
        <v>990</v>
      </c>
      <c r="B1219" s="1">
        <v>46099</v>
      </c>
      <c r="C1219" s="1">
        <v>46106</v>
      </c>
      <c r="D1219" t="s">
        <v>991</v>
      </c>
      <c r="E1219" t="s">
        <v>115</v>
      </c>
      <c r="F1219" t="s">
        <v>24</v>
      </c>
      <c r="G1219" t="s">
        <v>199</v>
      </c>
      <c r="H1219" t="s">
        <v>112</v>
      </c>
      <c r="I1219" s="2">
        <v>4</v>
      </c>
      <c r="J1219" s="3">
        <v>129</v>
      </c>
      <c r="K1219" s="4">
        <v>0</v>
      </c>
      <c r="L1219" s="3">
        <v>516</v>
      </c>
      <c r="M1219" t="b">
        <v>1</v>
      </c>
      <c r="N1219" s="2">
        <f>YEAR(B1219)</f>
        <v>2026</v>
      </c>
      <c r="O1219" t="str">
        <f>INDEX(Agences!$C:$C,MATCH(F1219,Agences!$A:$A,0))</f>
        <v>Nord</v>
      </c>
      <c r="P1219" t="str">
        <f>INDEX(Produits!$C:$C,MATCH(H1219,Produits!$A:$A,0))</f>
        <v>Mobilier</v>
      </c>
      <c r="Q1219" s="3">
        <f>I1219*INDEX(Produits!$E:$E,MATCH(H1219,Produits!$A:$A,0))</f>
        <v>345.72</v>
      </c>
      <c r="R1219" s="3">
        <f>L1219-Q1219</f>
        <v>170.27999999999997</v>
      </c>
      <c r="S1219" s="2">
        <f>NETWORKDAYS(B1219,C1219)-1</f>
        <v>5</v>
      </c>
      <c r="T1219" s="1">
        <f>WORKDAY(B1219,5)</f>
        <v>46106</v>
      </c>
      <c r="U1219" t="b">
        <f>C1219&gt;T1219</f>
        <v>0</v>
      </c>
    </row>
    <row r="1220" spans="1:21" x14ac:dyDescent="0.25">
      <c r="A1220" t="s">
        <v>990</v>
      </c>
      <c r="B1220" s="1">
        <v>46099</v>
      </c>
      <c r="C1220" s="1">
        <v>46106</v>
      </c>
      <c r="D1220" t="s">
        <v>991</v>
      </c>
      <c r="E1220" t="s">
        <v>115</v>
      </c>
      <c r="F1220" t="s">
        <v>24</v>
      </c>
      <c r="G1220" t="s">
        <v>199</v>
      </c>
      <c r="H1220" t="s">
        <v>162</v>
      </c>
      <c r="I1220" s="2">
        <v>2</v>
      </c>
      <c r="J1220" s="3">
        <v>289</v>
      </c>
      <c r="K1220" s="4">
        <v>0.05</v>
      </c>
      <c r="L1220" s="3">
        <v>549.1</v>
      </c>
      <c r="M1220" t="b">
        <v>1</v>
      </c>
      <c r="N1220" s="2">
        <f>YEAR(B1220)</f>
        <v>2026</v>
      </c>
      <c r="O1220" t="str">
        <f>INDEX(Agences!$C:$C,MATCH(F1220,Agences!$A:$A,0))</f>
        <v>Nord</v>
      </c>
      <c r="P1220" t="str">
        <f>INDEX(Produits!$C:$C,MATCH(H1220,Produits!$A:$A,0))</f>
        <v>Mobilier</v>
      </c>
      <c r="Q1220" s="3">
        <f>I1220*INDEX(Produits!$E:$E,MATCH(H1220,Produits!$A:$A,0))</f>
        <v>387.26</v>
      </c>
      <c r="R1220" s="3">
        <f>L1220-Q1220</f>
        <v>161.84000000000003</v>
      </c>
      <c r="S1220" s="2">
        <f>NETWORKDAYS(B1220,C1220)-1</f>
        <v>5</v>
      </c>
      <c r="T1220" s="1">
        <f>WORKDAY(B1220,5)</f>
        <v>46106</v>
      </c>
      <c r="U1220" t="b">
        <f>C1220&gt;T1220</f>
        <v>0</v>
      </c>
    </row>
    <row r="1221" spans="1:21" x14ac:dyDescent="0.25">
      <c r="A1221" t="s">
        <v>990</v>
      </c>
      <c r="B1221" s="1">
        <v>46099</v>
      </c>
      <c r="C1221" s="1">
        <v>46106</v>
      </c>
      <c r="D1221" t="s">
        <v>991</v>
      </c>
      <c r="E1221" t="s">
        <v>115</v>
      </c>
      <c r="F1221" t="s">
        <v>24</v>
      </c>
      <c r="G1221" t="s">
        <v>199</v>
      </c>
      <c r="H1221" t="s">
        <v>123</v>
      </c>
      <c r="I1221" s="2">
        <v>5</v>
      </c>
      <c r="J1221" s="3">
        <v>39.9</v>
      </c>
      <c r="K1221" s="4">
        <v>0.02</v>
      </c>
      <c r="L1221" s="3">
        <v>195.51</v>
      </c>
      <c r="M1221" t="b">
        <v>1</v>
      </c>
      <c r="N1221" s="2">
        <f>YEAR(B1221)</f>
        <v>2026</v>
      </c>
      <c r="O1221" t="str">
        <f>INDEX(Agences!$C:$C,MATCH(F1221,Agences!$A:$A,0))</f>
        <v>Nord</v>
      </c>
      <c r="P1221" t="str">
        <f>INDEX(Produits!$C:$C,MATCH(H1221,Produits!$A:$A,0))</f>
        <v>Fournitures</v>
      </c>
      <c r="Q1221" s="3">
        <f>I1221*INDEX(Produits!$E:$E,MATCH(H1221,Produits!$A:$A,0))</f>
        <v>111.7</v>
      </c>
      <c r="R1221" s="3">
        <f>L1221-Q1221</f>
        <v>83.80999999999999</v>
      </c>
      <c r="S1221" s="2">
        <f>NETWORKDAYS(B1221,C1221)-1</f>
        <v>5</v>
      </c>
      <c r="T1221" s="1">
        <f>WORKDAY(B1221,5)</f>
        <v>46106</v>
      </c>
      <c r="U1221" t="b">
        <f>C1221&gt;T1221</f>
        <v>0</v>
      </c>
    </row>
    <row r="1222" spans="1:21" x14ac:dyDescent="0.25">
      <c r="A1222" t="s">
        <v>992</v>
      </c>
      <c r="B1222" s="1">
        <v>46099</v>
      </c>
      <c r="C1222" s="1">
        <v>46104</v>
      </c>
      <c r="D1222" t="s">
        <v>121</v>
      </c>
      <c r="E1222" t="s">
        <v>122</v>
      </c>
      <c r="F1222" t="s">
        <v>24</v>
      </c>
      <c r="G1222" t="s">
        <v>199</v>
      </c>
      <c r="H1222" t="s">
        <v>205</v>
      </c>
      <c r="I1222" s="2">
        <v>1</v>
      </c>
      <c r="J1222" s="3">
        <v>359</v>
      </c>
      <c r="K1222" s="4">
        <v>0</v>
      </c>
      <c r="L1222" s="3">
        <v>359</v>
      </c>
      <c r="M1222" t="b">
        <v>1</v>
      </c>
      <c r="N1222" s="2">
        <f>YEAR(B1222)</f>
        <v>2026</v>
      </c>
      <c r="O1222" t="str">
        <f>INDEX(Agences!$C:$C,MATCH(F1222,Agences!$A:$A,0))</f>
        <v>Nord</v>
      </c>
      <c r="P1222" t="str">
        <f>INDEX(Produits!$C:$C,MATCH(H1222,Produits!$A:$A,0))</f>
        <v>Mobilier</v>
      </c>
      <c r="Q1222" s="3">
        <f>I1222*INDEX(Produits!$E:$E,MATCH(H1222,Produits!$A:$A,0))</f>
        <v>204.63</v>
      </c>
      <c r="R1222" s="3">
        <f>L1222-Q1222</f>
        <v>154.37</v>
      </c>
      <c r="S1222" s="2">
        <f>NETWORKDAYS(B1222,C1222)-1</f>
        <v>3</v>
      </c>
      <c r="T1222" s="1">
        <f>WORKDAY(B1222,5)</f>
        <v>46106</v>
      </c>
      <c r="U1222" t="b">
        <f>C1222&gt;T1222</f>
        <v>0</v>
      </c>
    </row>
    <row r="1223" spans="1:21" x14ac:dyDescent="0.25">
      <c r="A1223" t="s">
        <v>992</v>
      </c>
      <c r="B1223" s="1">
        <v>46099</v>
      </c>
      <c r="C1223" s="1">
        <v>46104</v>
      </c>
      <c r="D1223" t="s">
        <v>121</v>
      </c>
      <c r="E1223" t="s">
        <v>122</v>
      </c>
      <c r="F1223" t="s">
        <v>24</v>
      </c>
      <c r="G1223" t="s">
        <v>199</v>
      </c>
      <c r="H1223" t="s">
        <v>50</v>
      </c>
      <c r="I1223" s="2">
        <v>1</v>
      </c>
      <c r="J1223" s="3">
        <v>69</v>
      </c>
      <c r="K1223" s="4">
        <v>0</v>
      </c>
      <c r="L1223" s="3">
        <v>69</v>
      </c>
      <c r="M1223" t="b">
        <v>1</v>
      </c>
      <c r="N1223" s="2">
        <f>YEAR(B1223)</f>
        <v>2026</v>
      </c>
      <c r="O1223" t="str">
        <f>INDEX(Agences!$C:$C,MATCH(F1223,Agences!$A:$A,0))</f>
        <v>Nord</v>
      </c>
      <c r="P1223" t="str">
        <f>INDEX(Produits!$C:$C,MATCH(H1223,Produits!$A:$A,0))</f>
        <v>Informatique</v>
      </c>
      <c r="Q1223" s="3">
        <f>I1223*INDEX(Produits!$E:$E,MATCH(H1223,Produits!$A:$A,0))</f>
        <v>54.51</v>
      </c>
      <c r="R1223" s="3">
        <f>L1223-Q1223</f>
        <v>14.490000000000002</v>
      </c>
      <c r="S1223" s="2">
        <f>NETWORKDAYS(B1223,C1223)-1</f>
        <v>3</v>
      </c>
      <c r="T1223" s="1">
        <f>WORKDAY(B1223,5)</f>
        <v>46106</v>
      </c>
      <c r="U1223" t="b">
        <f>C1223&gt;T1223</f>
        <v>0</v>
      </c>
    </row>
    <row r="1224" spans="1:21" x14ac:dyDescent="0.25">
      <c r="A1224" t="s">
        <v>992</v>
      </c>
      <c r="B1224" s="1">
        <v>46099</v>
      </c>
      <c r="C1224" s="1">
        <v>46104</v>
      </c>
      <c r="D1224" t="s">
        <v>121</v>
      </c>
      <c r="E1224" t="s">
        <v>122</v>
      </c>
      <c r="F1224" t="s">
        <v>24</v>
      </c>
      <c r="G1224" t="s">
        <v>199</v>
      </c>
      <c r="H1224" t="s">
        <v>48</v>
      </c>
      <c r="I1224" s="2">
        <v>1</v>
      </c>
      <c r="J1224" s="3">
        <v>165</v>
      </c>
      <c r="K1224" s="4">
        <v>0.05</v>
      </c>
      <c r="L1224" s="3">
        <v>156.75</v>
      </c>
      <c r="M1224" t="b">
        <v>1</v>
      </c>
      <c r="N1224" s="2">
        <f>YEAR(B1224)</f>
        <v>2026</v>
      </c>
      <c r="O1224" t="str">
        <f>INDEX(Agences!$C:$C,MATCH(F1224,Agences!$A:$A,0))</f>
        <v>Nord</v>
      </c>
      <c r="P1224" t="str">
        <f>INDEX(Produits!$C:$C,MATCH(H1224,Produits!$A:$A,0))</f>
        <v>Mobilier</v>
      </c>
      <c r="Q1224" s="3">
        <f>I1224*INDEX(Produits!$E:$E,MATCH(H1224,Produits!$A:$A,0))</f>
        <v>107.25</v>
      </c>
      <c r="R1224" s="3">
        <f>L1224-Q1224</f>
        <v>49.5</v>
      </c>
      <c r="S1224" s="2">
        <f>NETWORKDAYS(B1224,C1224)-1</f>
        <v>3</v>
      </c>
      <c r="T1224" s="1">
        <f>WORKDAY(B1224,5)</f>
        <v>46106</v>
      </c>
      <c r="U1224" t="b">
        <f>C1224&gt;T1224</f>
        <v>0</v>
      </c>
    </row>
    <row r="1225" spans="1:21" x14ac:dyDescent="0.25">
      <c r="A1225" t="s">
        <v>992</v>
      </c>
      <c r="B1225" s="1">
        <v>46099</v>
      </c>
      <c r="C1225" s="1">
        <v>46104</v>
      </c>
      <c r="D1225" t="s">
        <v>121</v>
      </c>
      <c r="E1225" t="s">
        <v>122</v>
      </c>
      <c r="F1225" t="s">
        <v>24</v>
      </c>
      <c r="G1225" t="s">
        <v>199</v>
      </c>
      <c r="H1225" t="s">
        <v>72</v>
      </c>
      <c r="I1225" s="2">
        <v>1</v>
      </c>
      <c r="J1225" s="3">
        <v>179</v>
      </c>
      <c r="K1225" s="4">
        <v>0</v>
      </c>
      <c r="L1225" s="3">
        <v>179</v>
      </c>
      <c r="M1225" t="b">
        <v>1</v>
      </c>
      <c r="N1225" s="2">
        <f>YEAR(B1225)</f>
        <v>2026</v>
      </c>
      <c r="O1225" t="str">
        <f>INDEX(Agences!$C:$C,MATCH(F1225,Agences!$A:$A,0))</f>
        <v>Nord</v>
      </c>
      <c r="P1225" t="str">
        <f>INDEX(Produits!$C:$C,MATCH(H1225,Produits!$A:$A,0))</f>
        <v>Informatique</v>
      </c>
      <c r="Q1225" s="3">
        <f>I1225*INDEX(Produits!$E:$E,MATCH(H1225,Produits!$A:$A,0))</f>
        <v>146.78</v>
      </c>
      <c r="R1225" s="3">
        <f>L1225-Q1225</f>
        <v>32.22</v>
      </c>
      <c r="S1225" s="2">
        <f>NETWORKDAYS(B1225,C1225)-1</f>
        <v>3</v>
      </c>
      <c r="T1225" s="1">
        <f>WORKDAY(B1225,5)</f>
        <v>46106</v>
      </c>
      <c r="U1225" t="b">
        <f>C1225&gt;T1225</f>
        <v>0</v>
      </c>
    </row>
    <row r="1226" spans="1:21" x14ac:dyDescent="0.25">
      <c r="A1226" t="s">
        <v>992</v>
      </c>
      <c r="B1226" s="1">
        <v>46099</v>
      </c>
      <c r="C1226" s="1">
        <v>46104</v>
      </c>
      <c r="D1226" t="s">
        <v>121</v>
      </c>
      <c r="E1226" t="s">
        <v>122</v>
      </c>
      <c r="F1226" t="s">
        <v>24</v>
      </c>
      <c r="G1226" t="s">
        <v>199</v>
      </c>
      <c r="H1226" t="s">
        <v>26</v>
      </c>
      <c r="I1226" s="2">
        <v>1</v>
      </c>
      <c r="J1226" s="3">
        <v>290</v>
      </c>
      <c r="K1226" s="4">
        <v>0</v>
      </c>
      <c r="L1226" s="3">
        <v>290</v>
      </c>
      <c r="M1226" t="b">
        <v>1</v>
      </c>
      <c r="N1226" s="2">
        <f>YEAR(B1226)</f>
        <v>2026</v>
      </c>
      <c r="O1226" t="str">
        <f>INDEX(Agences!$C:$C,MATCH(F1226,Agences!$A:$A,0))</f>
        <v>Nord</v>
      </c>
      <c r="P1226" t="str">
        <f>INDEX(Produits!$C:$C,MATCH(H1226,Produits!$A:$A,0))</f>
        <v>Maintenance</v>
      </c>
      <c r="Q1226" s="3">
        <f>I1226*INDEX(Produits!$E:$E,MATCH(H1226,Produits!$A:$A,0))</f>
        <v>139.2</v>
      </c>
      <c r="R1226" s="3">
        <f>L1226-Q1226</f>
        <v>150.8</v>
      </c>
      <c r="S1226" s="2">
        <f>NETWORKDAYS(B1226,C1226)-1</f>
        <v>3</v>
      </c>
      <c r="T1226" s="1">
        <f>WORKDAY(B1226,5)</f>
        <v>46106</v>
      </c>
      <c r="U1226" t="b">
        <f>C1226&gt;T1226</f>
        <v>0</v>
      </c>
    </row>
    <row r="1227" spans="1:21" x14ac:dyDescent="0.25">
      <c r="A1227" t="s">
        <v>993</v>
      </c>
      <c r="B1227" s="1">
        <v>46099</v>
      </c>
      <c r="C1227" s="1">
        <v>46105</v>
      </c>
      <c r="D1227" t="s">
        <v>994</v>
      </c>
      <c r="E1227" t="s">
        <v>75</v>
      </c>
      <c r="F1227" t="s">
        <v>76</v>
      </c>
      <c r="G1227" t="s">
        <v>77</v>
      </c>
      <c r="H1227" t="s">
        <v>107</v>
      </c>
      <c r="I1227" s="2">
        <v>3</v>
      </c>
      <c r="J1227" s="3">
        <v>99</v>
      </c>
      <c r="K1227" s="4">
        <v>0</v>
      </c>
      <c r="L1227" s="3">
        <v>297</v>
      </c>
      <c r="M1227" t="b">
        <v>1</v>
      </c>
      <c r="N1227" s="2">
        <f>YEAR(B1227)</f>
        <v>2026</v>
      </c>
      <c r="O1227" t="str">
        <f>INDEX(Agences!$C:$C,MATCH(F1227,Agences!$A:$A,0))</f>
        <v>Île-de-France</v>
      </c>
      <c r="P1227" t="str">
        <f>INDEX(Produits!$C:$C,MATCH(H1227,Produits!$A:$A,0))</f>
        <v>Informatique</v>
      </c>
      <c r="Q1227" s="3">
        <f>I1227*INDEX(Produits!$E:$E,MATCH(H1227,Produits!$A:$A,0))</f>
        <v>225.71999999999997</v>
      </c>
      <c r="R1227" s="3">
        <f>L1227-Q1227</f>
        <v>71.28000000000003</v>
      </c>
      <c r="S1227" s="2">
        <f>NETWORKDAYS(B1227,C1227)-1</f>
        <v>4</v>
      </c>
      <c r="T1227" s="1">
        <f>WORKDAY(B1227,5)</f>
        <v>46106</v>
      </c>
      <c r="U1227" t="b">
        <f>C1227&gt;T1227</f>
        <v>0</v>
      </c>
    </row>
    <row r="1228" spans="1:21" x14ac:dyDescent="0.25">
      <c r="A1228" t="s">
        <v>995</v>
      </c>
      <c r="B1228" s="1">
        <v>46099</v>
      </c>
      <c r="C1228" s="1">
        <v>46100</v>
      </c>
      <c r="D1228" t="s">
        <v>977</v>
      </c>
      <c r="E1228" t="s">
        <v>336</v>
      </c>
      <c r="F1228" t="s">
        <v>166</v>
      </c>
      <c r="G1228" t="s">
        <v>248</v>
      </c>
      <c r="H1228" t="s">
        <v>57</v>
      </c>
      <c r="I1228" s="2">
        <v>1</v>
      </c>
      <c r="J1228" s="3">
        <v>149</v>
      </c>
      <c r="K1228" s="4">
        <v>0</v>
      </c>
      <c r="L1228" s="3">
        <v>149</v>
      </c>
      <c r="M1228" t="b">
        <v>1</v>
      </c>
      <c r="N1228" s="2">
        <f>YEAR(B1228)</f>
        <v>2026</v>
      </c>
      <c r="O1228" t="str">
        <f>INDEX(Agences!$C:$C,MATCH(F1228,Agences!$A:$A,0))</f>
        <v>Ouest</v>
      </c>
      <c r="P1228" t="str">
        <f>INDEX(Produits!$C:$C,MATCH(H1228,Produits!$A:$A,0))</f>
        <v>Informatique</v>
      </c>
      <c r="Q1228" s="3">
        <f>I1228*INDEX(Produits!$E:$E,MATCH(H1228,Produits!$A:$A,0))</f>
        <v>114.73</v>
      </c>
      <c r="R1228" s="3">
        <f>L1228-Q1228</f>
        <v>34.269999999999996</v>
      </c>
      <c r="S1228" s="2">
        <f>NETWORKDAYS(B1228,C1228)-1</f>
        <v>1</v>
      </c>
      <c r="T1228" s="1">
        <f>WORKDAY(B1228,5)</f>
        <v>46106</v>
      </c>
      <c r="U1228" t="b">
        <f>C1228&gt;T1228</f>
        <v>0</v>
      </c>
    </row>
    <row r="1229" spans="1:21" x14ac:dyDescent="0.25">
      <c r="A1229" t="s">
        <v>995</v>
      </c>
      <c r="B1229" s="1">
        <v>46099</v>
      </c>
      <c r="C1229" s="1">
        <v>46100</v>
      </c>
      <c r="D1229" t="s">
        <v>977</v>
      </c>
      <c r="E1229" t="s">
        <v>336</v>
      </c>
      <c r="F1229" t="s">
        <v>166</v>
      </c>
      <c r="G1229" t="s">
        <v>248</v>
      </c>
      <c r="H1229" t="s">
        <v>112</v>
      </c>
      <c r="I1229" s="2">
        <v>2</v>
      </c>
      <c r="J1229" s="3">
        <v>129</v>
      </c>
      <c r="K1229" s="4">
        <v>0</v>
      </c>
      <c r="L1229" s="3">
        <v>258</v>
      </c>
      <c r="M1229" t="b">
        <v>1</v>
      </c>
      <c r="N1229" s="2">
        <f>YEAR(B1229)</f>
        <v>2026</v>
      </c>
      <c r="O1229" t="str">
        <f>INDEX(Agences!$C:$C,MATCH(F1229,Agences!$A:$A,0))</f>
        <v>Ouest</v>
      </c>
      <c r="P1229" t="str">
        <f>INDEX(Produits!$C:$C,MATCH(H1229,Produits!$A:$A,0))</f>
        <v>Mobilier</v>
      </c>
      <c r="Q1229" s="3">
        <f>I1229*INDEX(Produits!$E:$E,MATCH(H1229,Produits!$A:$A,0))</f>
        <v>172.86</v>
      </c>
      <c r="R1229" s="3">
        <f>L1229-Q1229</f>
        <v>85.13999999999999</v>
      </c>
      <c r="S1229" s="2">
        <f>NETWORKDAYS(B1229,C1229)-1</f>
        <v>1</v>
      </c>
      <c r="T1229" s="1">
        <f>WORKDAY(B1229,5)</f>
        <v>46106</v>
      </c>
      <c r="U1229" t="b">
        <f>C1229&gt;T1229</f>
        <v>0</v>
      </c>
    </row>
    <row r="1230" spans="1:21" x14ac:dyDescent="0.25">
      <c r="A1230" t="s">
        <v>995</v>
      </c>
      <c r="B1230" s="1">
        <v>46099</v>
      </c>
      <c r="C1230" s="1">
        <v>46100</v>
      </c>
      <c r="D1230" t="s">
        <v>977</v>
      </c>
      <c r="E1230" t="s">
        <v>336</v>
      </c>
      <c r="F1230" t="s">
        <v>166</v>
      </c>
      <c r="G1230" t="s">
        <v>248</v>
      </c>
      <c r="H1230" t="s">
        <v>127</v>
      </c>
      <c r="I1230" s="2">
        <v>2</v>
      </c>
      <c r="J1230" s="3">
        <v>649</v>
      </c>
      <c r="K1230" s="4">
        <v>0.05</v>
      </c>
      <c r="L1230" s="3">
        <v>1233.1</v>
      </c>
      <c r="M1230" t="b">
        <v>1</v>
      </c>
      <c r="N1230" s="2">
        <f>YEAR(B1230)</f>
        <v>2026</v>
      </c>
      <c r="O1230" t="str">
        <f>INDEX(Agences!$C:$C,MATCH(F1230,Agences!$A:$A,0))</f>
        <v>Ouest</v>
      </c>
      <c r="P1230" t="str">
        <f>INDEX(Produits!$C:$C,MATCH(H1230,Produits!$A:$A,0))</f>
        <v>Informatique</v>
      </c>
      <c r="Q1230" s="3">
        <f>I1230*INDEX(Produits!$E:$E,MATCH(H1230,Produits!$A:$A,0))</f>
        <v>960.52</v>
      </c>
      <c r="R1230" s="3">
        <f>L1230-Q1230</f>
        <v>272.5799999999999</v>
      </c>
      <c r="S1230" s="2">
        <f>NETWORKDAYS(B1230,C1230)-1</f>
        <v>1</v>
      </c>
      <c r="T1230" s="1">
        <f>WORKDAY(B1230,5)</f>
        <v>46106</v>
      </c>
      <c r="U1230" t="b">
        <f>C1230&gt;T1230</f>
        <v>0</v>
      </c>
    </row>
    <row r="1231" spans="1:21" x14ac:dyDescent="0.25">
      <c r="A1231" t="s">
        <v>996</v>
      </c>
      <c r="B1231" s="1">
        <v>46099</v>
      </c>
      <c r="C1231" s="1">
        <v>46100</v>
      </c>
      <c r="D1231" t="s">
        <v>997</v>
      </c>
      <c r="E1231" t="s">
        <v>149</v>
      </c>
      <c r="F1231" t="s">
        <v>88</v>
      </c>
      <c r="G1231" t="s">
        <v>89</v>
      </c>
      <c r="H1231" t="s">
        <v>107</v>
      </c>
      <c r="I1231" s="2">
        <v>6</v>
      </c>
      <c r="J1231" s="3">
        <v>99</v>
      </c>
      <c r="K1231" s="4">
        <v>0</v>
      </c>
      <c r="L1231" s="3">
        <v>594</v>
      </c>
      <c r="M1231" t="b">
        <v>1</v>
      </c>
      <c r="N1231" s="2">
        <f>YEAR(B1231)</f>
        <v>2026</v>
      </c>
      <c r="O1231" t="str">
        <f>INDEX(Agences!$C:$C,MATCH(F1231,Agences!$A:$A,0))</f>
        <v>Sud-Ouest</v>
      </c>
      <c r="P1231" t="str">
        <f>INDEX(Produits!$C:$C,MATCH(H1231,Produits!$A:$A,0))</f>
        <v>Informatique</v>
      </c>
      <c r="Q1231" s="3">
        <f>I1231*INDEX(Produits!$E:$E,MATCH(H1231,Produits!$A:$A,0))</f>
        <v>451.43999999999994</v>
      </c>
      <c r="R1231" s="3">
        <f>L1231-Q1231</f>
        <v>142.56000000000006</v>
      </c>
      <c r="S1231" s="2">
        <f>NETWORKDAYS(B1231,C1231)-1</f>
        <v>1</v>
      </c>
      <c r="T1231" s="1">
        <f>WORKDAY(B1231,5)</f>
        <v>46106</v>
      </c>
      <c r="U1231" t="b">
        <f>C1231&gt;T1231</f>
        <v>0</v>
      </c>
    </row>
    <row r="1232" spans="1:21" x14ac:dyDescent="0.25">
      <c r="A1232" t="s">
        <v>996</v>
      </c>
      <c r="B1232" s="1">
        <v>46099</v>
      </c>
      <c r="C1232" s="1">
        <v>46100</v>
      </c>
      <c r="D1232" t="s">
        <v>997</v>
      </c>
      <c r="E1232" t="s">
        <v>149</v>
      </c>
      <c r="F1232" t="s">
        <v>88</v>
      </c>
      <c r="G1232" t="s">
        <v>89</v>
      </c>
      <c r="H1232" t="s">
        <v>42</v>
      </c>
      <c r="I1232" s="2">
        <v>1</v>
      </c>
      <c r="J1232" s="3">
        <v>55</v>
      </c>
      <c r="K1232" s="4">
        <v>0</v>
      </c>
      <c r="L1232" s="3">
        <v>55</v>
      </c>
      <c r="M1232" t="b">
        <v>1</v>
      </c>
      <c r="N1232" s="2">
        <f>YEAR(B1232)</f>
        <v>2026</v>
      </c>
      <c r="O1232" t="str">
        <f>INDEX(Agences!$C:$C,MATCH(F1232,Agences!$A:$A,0))</f>
        <v>Sud-Ouest</v>
      </c>
      <c r="P1232" t="str">
        <f>INDEX(Produits!$C:$C,MATCH(H1232,Produits!$A:$A,0))</f>
        <v>Maintenance</v>
      </c>
      <c r="Q1232" s="3">
        <f>I1232*INDEX(Produits!$E:$E,MATCH(H1232,Produits!$A:$A,0))</f>
        <v>24.75</v>
      </c>
      <c r="R1232" s="3">
        <f>L1232-Q1232</f>
        <v>30.25</v>
      </c>
      <c r="S1232" s="2">
        <f>NETWORKDAYS(B1232,C1232)-1</f>
        <v>1</v>
      </c>
      <c r="T1232" s="1">
        <f>WORKDAY(B1232,5)</f>
        <v>46106</v>
      </c>
      <c r="U1232" t="b">
        <f>C1232&gt;T1232</f>
        <v>0</v>
      </c>
    </row>
    <row r="1233" spans="1:21" x14ac:dyDescent="0.25">
      <c r="A1233" t="s">
        <v>996</v>
      </c>
      <c r="B1233" s="1">
        <v>46099</v>
      </c>
      <c r="C1233" s="1">
        <v>46100</v>
      </c>
      <c r="D1233" t="s">
        <v>997</v>
      </c>
      <c r="E1233" t="s">
        <v>149</v>
      </c>
      <c r="F1233" t="s">
        <v>88</v>
      </c>
      <c r="G1233" t="s">
        <v>89</v>
      </c>
      <c r="H1233" t="s">
        <v>162</v>
      </c>
      <c r="I1233" s="2">
        <v>4</v>
      </c>
      <c r="J1233" s="3">
        <v>289</v>
      </c>
      <c r="K1233" s="4">
        <v>0</v>
      </c>
      <c r="L1233" s="3">
        <v>1156</v>
      </c>
      <c r="M1233" t="b">
        <v>1</v>
      </c>
      <c r="N1233" s="2">
        <f>YEAR(B1233)</f>
        <v>2026</v>
      </c>
      <c r="O1233" t="str">
        <f>INDEX(Agences!$C:$C,MATCH(F1233,Agences!$A:$A,0))</f>
        <v>Sud-Ouest</v>
      </c>
      <c r="P1233" t="str">
        <f>INDEX(Produits!$C:$C,MATCH(H1233,Produits!$A:$A,0))</f>
        <v>Mobilier</v>
      </c>
      <c r="Q1233" s="3">
        <f>I1233*INDEX(Produits!$E:$E,MATCH(H1233,Produits!$A:$A,0))</f>
        <v>774.52</v>
      </c>
      <c r="R1233" s="3">
        <f>L1233-Q1233</f>
        <v>381.48</v>
      </c>
      <c r="S1233" s="2">
        <f>NETWORKDAYS(B1233,C1233)-1</f>
        <v>1</v>
      </c>
      <c r="T1233" s="1">
        <f>WORKDAY(B1233,5)</f>
        <v>46106</v>
      </c>
      <c r="U1233" t="b">
        <f>C1233&gt;T1233</f>
        <v>0</v>
      </c>
    </row>
    <row r="1234" spans="1:21" x14ac:dyDescent="0.25">
      <c r="A1234" t="s">
        <v>998</v>
      </c>
      <c r="B1234" s="1">
        <v>46098</v>
      </c>
      <c r="C1234" s="1">
        <v>46100</v>
      </c>
      <c r="D1234" t="s">
        <v>740</v>
      </c>
      <c r="E1234" t="s">
        <v>172</v>
      </c>
      <c r="F1234" t="s">
        <v>99</v>
      </c>
      <c r="G1234" t="s">
        <v>210</v>
      </c>
      <c r="H1234" t="s">
        <v>26</v>
      </c>
      <c r="I1234" s="2">
        <v>1</v>
      </c>
      <c r="J1234" s="3">
        <v>290</v>
      </c>
      <c r="K1234" s="4">
        <v>0.08</v>
      </c>
      <c r="L1234" s="3">
        <v>266.8</v>
      </c>
      <c r="M1234" t="b">
        <v>1</v>
      </c>
      <c r="N1234" s="2">
        <f>YEAR(B1234)</f>
        <v>2026</v>
      </c>
      <c r="O1234" t="str">
        <f>INDEX(Agences!$C:$C,MATCH(F1234,Agences!$A:$A,0))</f>
        <v>Nord</v>
      </c>
      <c r="P1234" t="str">
        <f>INDEX(Produits!$C:$C,MATCH(H1234,Produits!$A:$A,0))</f>
        <v>Maintenance</v>
      </c>
      <c r="Q1234" s="3">
        <f>I1234*INDEX(Produits!$E:$E,MATCH(H1234,Produits!$A:$A,0))</f>
        <v>139.2</v>
      </c>
      <c r="R1234" s="3">
        <f>L1234-Q1234</f>
        <v>127.60000000000002</v>
      </c>
      <c r="S1234" s="2">
        <f>NETWORKDAYS(B1234,C1234)-1</f>
        <v>2</v>
      </c>
      <c r="T1234" s="1">
        <f>WORKDAY(B1234,5)</f>
        <v>46105</v>
      </c>
      <c r="U1234" t="b">
        <f>C1234&gt;T1234</f>
        <v>0</v>
      </c>
    </row>
    <row r="1235" spans="1:21" x14ac:dyDescent="0.25">
      <c r="A1235" t="s">
        <v>998</v>
      </c>
      <c r="B1235" s="1">
        <v>46098</v>
      </c>
      <c r="C1235" s="1">
        <v>46100</v>
      </c>
      <c r="D1235" t="s">
        <v>740</v>
      </c>
      <c r="E1235" t="s">
        <v>172</v>
      </c>
      <c r="F1235" t="s">
        <v>99</v>
      </c>
      <c r="G1235" t="s">
        <v>210</v>
      </c>
      <c r="H1235" t="s">
        <v>107</v>
      </c>
      <c r="I1235" s="2">
        <v>6</v>
      </c>
      <c r="J1235" s="3">
        <v>99</v>
      </c>
      <c r="K1235" s="4">
        <v>0</v>
      </c>
      <c r="L1235" s="3">
        <v>594</v>
      </c>
      <c r="M1235" t="b">
        <v>1</v>
      </c>
      <c r="N1235" s="2">
        <f>YEAR(B1235)</f>
        <v>2026</v>
      </c>
      <c r="O1235" t="str">
        <f>INDEX(Agences!$C:$C,MATCH(F1235,Agences!$A:$A,0))</f>
        <v>Nord</v>
      </c>
      <c r="P1235" t="str">
        <f>INDEX(Produits!$C:$C,MATCH(H1235,Produits!$A:$A,0))</f>
        <v>Informatique</v>
      </c>
      <c r="Q1235" s="3">
        <f>I1235*INDEX(Produits!$E:$E,MATCH(H1235,Produits!$A:$A,0))</f>
        <v>451.43999999999994</v>
      </c>
      <c r="R1235" s="3">
        <f>L1235-Q1235</f>
        <v>142.56000000000006</v>
      </c>
      <c r="S1235" s="2">
        <f>NETWORKDAYS(B1235,C1235)-1</f>
        <v>2</v>
      </c>
      <c r="T1235" s="1">
        <f>WORKDAY(B1235,5)</f>
        <v>46105</v>
      </c>
      <c r="U1235" t="b">
        <f>C1235&gt;T1235</f>
        <v>0</v>
      </c>
    </row>
    <row r="1236" spans="1:21" x14ac:dyDescent="0.25">
      <c r="A1236" t="s">
        <v>998</v>
      </c>
      <c r="B1236" s="1">
        <v>46098</v>
      </c>
      <c r="C1236" s="1">
        <v>46100</v>
      </c>
      <c r="D1236" t="s">
        <v>740</v>
      </c>
      <c r="E1236" t="s">
        <v>172</v>
      </c>
      <c r="F1236" t="s">
        <v>99</v>
      </c>
      <c r="G1236" t="s">
        <v>210</v>
      </c>
      <c r="H1236" t="s">
        <v>79</v>
      </c>
      <c r="I1236" s="2">
        <v>15</v>
      </c>
      <c r="J1236" s="3">
        <v>14.9</v>
      </c>
      <c r="K1236" s="4">
        <v>0.02</v>
      </c>
      <c r="L1236" s="3">
        <v>219.03</v>
      </c>
      <c r="M1236" t="b">
        <v>1</v>
      </c>
      <c r="N1236" s="2">
        <f>YEAR(B1236)</f>
        <v>2026</v>
      </c>
      <c r="O1236" t="str">
        <f>INDEX(Agences!$C:$C,MATCH(F1236,Agences!$A:$A,0))</f>
        <v>Nord</v>
      </c>
      <c r="P1236" t="str">
        <f>INDEX(Produits!$C:$C,MATCH(H1236,Produits!$A:$A,0))</f>
        <v>Fournitures</v>
      </c>
      <c r="Q1236" s="3">
        <f>I1236*INDEX(Produits!$E:$E,MATCH(H1236,Produits!$A:$A,0))</f>
        <v>120.75000000000001</v>
      </c>
      <c r="R1236" s="3">
        <f>L1236-Q1236</f>
        <v>98.27999999999999</v>
      </c>
      <c r="S1236" s="2">
        <f>NETWORKDAYS(B1236,C1236)-1</f>
        <v>2</v>
      </c>
      <c r="T1236" s="1">
        <f>WORKDAY(B1236,5)</f>
        <v>46105</v>
      </c>
      <c r="U1236" t="b">
        <f>C1236&gt;T1236</f>
        <v>0</v>
      </c>
    </row>
    <row r="1237" spans="1:21" x14ac:dyDescent="0.25">
      <c r="A1237" t="s">
        <v>999</v>
      </c>
      <c r="B1237" s="1">
        <v>46098</v>
      </c>
      <c r="C1237" s="1">
        <v>46101</v>
      </c>
      <c r="D1237" t="s">
        <v>532</v>
      </c>
      <c r="E1237" t="s">
        <v>165</v>
      </c>
      <c r="F1237" t="s">
        <v>166</v>
      </c>
      <c r="G1237" t="s">
        <v>179</v>
      </c>
      <c r="H1237" t="s">
        <v>57</v>
      </c>
      <c r="I1237" s="2">
        <v>1</v>
      </c>
      <c r="J1237" s="3">
        <v>149</v>
      </c>
      <c r="K1237" s="4">
        <v>0.02</v>
      </c>
      <c r="L1237" s="3">
        <v>146.02</v>
      </c>
      <c r="M1237" t="b">
        <v>1</v>
      </c>
      <c r="N1237" s="2">
        <f>YEAR(B1237)</f>
        <v>2026</v>
      </c>
      <c r="O1237" t="str">
        <f>INDEX(Agences!$C:$C,MATCH(F1237,Agences!$A:$A,0))</f>
        <v>Ouest</v>
      </c>
      <c r="P1237" t="str">
        <f>INDEX(Produits!$C:$C,MATCH(H1237,Produits!$A:$A,0))</f>
        <v>Informatique</v>
      </c>
      <c r="Q1237" s="3">
        <f>I1237*INDEX(Produits!$E:$E,MATCH(H1237,Produits!$A:$A,0))</f>
        <v>114.73</v>
      </c>
      <c r="R1237" s="3">
        <f>L1237-Q1237</f>
        <v>31.290000000000006</v>
      </c>
      <c r="S1237" s="2">
        <f>NETWORKDAYS(B1237,C1237)-1</f>
        <v>3</v>
      </c>
      <c r="T1237" s="1">
        <f>WORKDAY(B1237,5)</f>
        <v>46105</v>
      </c>
      <c r="U1237" t="b">
        <f>C1237&gt;T1237</f>
        <v>0</v>
      </c>
    </row>
    <row r="1238" spans="1:21" x14ac:dyDescent="0.25">
      <c r="A1238" t="s">
        <v>1000</v>
      </c>
      <c r="B1238" s="1">
        <v>46098</v>
      </c>
      <c r="C1238" s="1">
        <v>46104</v>
      </c>
      <c r="D1238" t="s">
        <v>416</v>
      </c>
      <c r="E1238" t="s">
        <v>61</v>
      </c>
      <c r="F1238" t="s">
        <v>62</v>
      </c>
      <c r="G1238" t="s">
        <v>63</v>
      </c>
      <c r="H1238" t="s">
        <v>35</v>
      </c>
      <c r="I1238" s="2">
        <v>5</v>
      </c>
      <c r="J1238" s="3">
        <v>79</v>
      </c>
      <c r="K1238" s="4">
        <v>0.02</v>
      </c>
      <c r="L1238" s="3">
        <v>387.1</v>
      </c>
      <c r="M1238" t="b">
        <v>1</v>
      </c>
      <c r="N1238" s="2">
        <f>YEAR(B1238)</f>
        <v>2026</v>
      </c>
      <c r="O1238" t="str">
        <f>INDEX(Agences!$C:$C,MATCH(F1238,Agences!$A:$A,0))</f>
        <v>Méditerranée</v>
      </c>
      <c r="P1238" t="str">
        <f>INDEX(Produits!$C:$C,MATCH(H1238,Produits!$A:$A,0))</f>
        <v>Mobilier</v>
      </c>
      <c r="Q1238" s="3">
        <f>I1238*INDEX(Produits!$E:$E,MATCH(H1238,Produits!$A:$A,0))</f>
        <v>233.05</v>
      </c>
      <c r="R1238" s="3">
        <f>L1238-Q1238</f>
        <v>154.05</v>
      </c>
      <c r="S1238" s="2">
        <f>NETWORKDAYS(B1238,C1238)-1</f>
        <v>4</v>
      </c>
      <c r="T1238" s="1">
        <f>WORKDAY(B1238,5)</f>
        <v>46105</v>
      </c>
      <c r="U1238" t="b">
        <f>C1238&gt;T1238</f>
        <v>0</v>
      </c>
    </row>
    <row r="1239" spans="1:21" x14ac:dyDescent="0.25">
      <c r="A1239" t="s">
        <v>1000</v>
      </c>
      <c r="B1239" s="1">
        <v>46098</v>
      </c>
      <c r="C1239" s="1">
        <v>46104</v>
      </c>
      <c r="D1239" t="s">
        <v>416</v>
      </c>
      <c r="E1239" t="s">
        <v>61</v>
      </c>
      <c r="F1239" t="s">
        <v>62</v>
      </c>
      <c r="G1239" t="s">
        <v>63</v>
      </c>
      <c r="H1239" t="s">
        <v>57</v>
      </c>
      <c r="I1239" s="2">
        <v>4</v>
      </c>
      <c r="J1239" s="3">
        <v>149</v>
      </c>
      <c r="K1239" s="4">
        <v>0</v>
      </c>
      <c r="L1239" s="3">
        <v>596</v>
      </c>
      <c r="M1239" t="b">
        <v>1</v>
      </c>
      <c r="N1239" s="2">
        <f>YEAR(B1239)</f>
        <v>2026</v>
      </c>
      <c r="O1239" t="str">
        <f>INDEX(Agences!$C:$C,MATCH(F1239,Agences!$A:$A,0))</f>
        <v>Méditerranée</v>
      </c>
      <c r="P1239" t="str">
        <f>INDEX(Produits!$C:$C,MATCH(H1239,Produits!$A:$A,0))</f>
        <v>Informatique</v>
      </c>
      <c r="Q1239" s="3">
        <f>I1239*INDEX(Produits!$E:$E,MATCH(H1239,Produits!$A:$A,0))</f>
        <v>458.92</v>
      </c>
      <c r="R1239" s="3">
        <f>L1239-Q1239</f>
        <v>137.07999999999998</v>
      </c>
      <c r="S1239" s="2">
        <f>NETWORKDAYS(B1239,C1239)-1</f>
        <v>4</v>
      </c>
      <c r="T1239" s="1">
        <f>WORKDAY(B1239,5)</f>
        <v>46105</v>
      </c>
      <c r="U1239" t="b">
        <f>C1239&gt;T1239</f>
        <v>0</v>
      </c>
    </row>
    <row r="1240" spans="1:21" x14ac:dyDescent="0.25">
      <c r="A1240" t="s">
        <v>1000</v>
      </c>
      <c r="B1240" s="1">
        <v>46098</v>
      </c>
      <c r="C1240" s="1">
        <v>46104</v>
      </c>
      <c r="D1240" t="s">
        <v>416</v>
      </c>
      <c r="E1240" t="s">
        <v>61</v>
      </c>
      <c r="F1240" t="s">
        <v>62</v>
      </c>
      <c r="G1240" t="s">
        <v>63</v>
      </c>
      <c r="H1240" t="s">
        <v>112</v>
      </c>
      <c r="I1240" s="2">
        <v>1</v>
      </c>
      <c r="J1240" s="3">
        <v>129</v>
      </c>
      <c r="K1240" s="4">
        <v>0.02</v>
      </c>
      <c r="L1240" s="3">
        <v>126.42</v>
      </c>
      <c r="M1240" t="b">
        <v>1</v>
      </c>
      <c r="N1240" s="2">
        <f>YEAR(B1240)</f>
        <v>2026</v>
      </c>
      <c r="O1240" t="str">
        <f>INDEX(Agences!$C:$C,MATCH(F1240,Agences!$A:$A,0))</f>
        <v>Méditerranée</v>
      </c>
      <c r="P1240" t="str">
        <f>INDEX(Produits!$C:$C,MATCH(H1240,Produits!$A:$A,0))</f>
        <v>Mobilier</v>
      </c>
      <c r="Q1240" s="3">
        <f>I1240*INDEX(Produits!$E:$E,MATCH(H1240,Produits!$A:$A,0))</f>
        <v>86.43</v>
      </c>
      <c r="R1240" s="3">
        <f>L1240-Q1240</f>
        <v>39.989999999999995</v>
      </c>
      <c r="S1240" s="2">
        <f>NETWORKDAYS(B1240,C1240)-1</f>
        <v>4</v>
      </c>
      <c r="T1240" s="1">
        <f>WORKDAY(B1240,5)</f>
        <v>46105</v>
      </c>
      <c r="U1240" t="b">
        <f>C1240&gt;T1240</f>
        <v>0</v>
      </c>
    </row>
    <row r="1241" spans="1:21" x14ac:dyDescent="0.25">
      <c r="A1241" t="s">
        <v>1001</v>
      </c>
      <c r="B1241" s="1">
        <v>46098</v>
      </c>
      <c r="C1241" s="1">
        <v>46111</v>
      </c>
      <c r="D1241" t="s">
        <v>1002</v>
      </c>
      <c r="E1241" t="s">
        <v>229</v>
      </c>
      <c r="F1241" t="s">
        <v>55</v>
      </c>
      <c r="G1241" t="s">
        <v>56</v>
      </c>
      <c r="H1241" t="s">
        <v>42</v>
      </c>
      <c r="I1241" s="2">
        <v>2</v>
      </c>
      <c r="J1241" s="3">
        <v>55</v>
      </c>
      <c r="K1241" s="4">
        <v>0.05</v>
      </c>
      <c r="L1241" s="3">
        <v>104.5</v>
      </c>
      <c r="M1241" t="b">
        <v>1</v>
      </c>
      <c r="N1241" s="2">
        <f>YEAR(B1241)</f>
        <v>2026</v>
      </c>
      <c r="O1241" t="str">
        <f>INDEX(Agences!$C:$C,MATCH(F1241,Agences!$A:$A,0))</f>
        <v>Est</v>
      </c>
      <c r="P1241" t="str">
        <f>INDEX(Produits!$C:$C,MATCH(H1241,Produits!$A:$A,0))</f>
        <v>Maintenance</v>
      </c>
      <c r="Q1241" s="3">
        <f>I1241*INDEX(Produits!$E:$E,MATCH(H1241,Produits!$A:$A,0))</f>
        <v>49.5</v>
      </c>
      <c r="R1241" s="3">
        <f>L1241-Q1241</f>
        <v>55</v>
      </c>
      <c r="S1241" s="2">
        <f>NETWORKDAYS(B1241,C1241)-1</f>
        <v>9</v>
      </c>
      <c r="T1241" s="1">
        <f>WORKDAY(B1241,5)</f>
        <v>46105</v>
      </c>
      <c r="U1241" t="b">
        <f>C1241&gt;T1241</f>
        <v>1</v>
      </c>
    </row>
    <row r="1242" spans="1:21" x14ac:dyDescent="0.25">
      <c r="A1242" t="s">
        <v>1003</v>
      </c>
      <c r="B1242" s="1">
        <v>46097</v>
      </c>
      <c r="C1242" s="1">
        <v>46101</v>
      </c>
      <c r="D1242" t="s">
        <v>81</v>
      </c>
      <c r="E1242" t="s">
        <v>82</v>
      </c>
      <c r="F1242" t="s">
        <v>39</v>
      </c>
      <c r="G1242" t="s">
        <v>40</v>
      </c>
      <c r="H1242" t="s">
        <v>64</v>
      </c>
      <c r="I1242" s="2">
        <v>10</v>
      </c>
      <c r="J1242" s="3">
        <v>16.8</v>
      </c>
      <c r="K1242" s="4">
        <v>0.05</v>
      </c>
      <c r="L1242" s="3">
        <v>159.6</v>
      </c>
      <c r="M1242" t="b">
        <v>1</v>
      </c>
      <c r="N1242" s="2">
        <f>YEAR(B1242)</f>
        <v>2026</v>
      </c>
      <c r="O1242" t="str">
        <f>INDEX(Agences!$C:$C,MATCH(F1242,Agences!$A:$A,0))</f>
        <v>Sud-Ouest</v>
      </c>
      <c r="P1242" t="str">
        <f>INDEX(Produits!$C:$C,MATCH(H1242,Produits!$A:$A,0))</f>
        <v>Fournitures</v>
      </c>
      <c r="Q1242" s="3">
        <f>I1242*INDEX(Produits!$E:$E,MATCH(H1242,Produits!$A:$A,0))</f>
        <v>87.4</v>
      </c>
      <c r="R1242" s="3">
        <f>L1242-Q1242</f>
        <v>72.19999999999999</v>
      </c>
      <c r="S1242" s="2">
        <f>NETWORKDAYS(B1242,C1242)-1</f>
        <v>4</v>
      </c>
      <c r="T1242" s="1">
        <f>WORKDAY(B1242,5)</f>
        <v>46104</v>
      </c>
      <c r="U1242" t="b">
        <f>C1242&gt;T1242</f>
        <v>0</v>
      </c>
    </row>
    <row r="1243" spans="1:21" x14ac:dyDescent="0.25">
      <c r="A1243" t="s">
        <v>1004</v>
      </c>
      <c r="B1243" s="1">
        <v>46097</v>
      </c>
      <c r="C1243" s="1">
        <v>46099</v>
      </c>
      <c r="D1243" t="s">
        <v>765</v>
      </c>
      <c r="E1243" t="s">
        <v>419</v>
      </c>
      <c r="F1243" t="s">
        <v>62</v>
      </c>
      <c r="G1243" t="s">
        <v>68</v>
      </c>
      <c r="H1243" t="s">
        <v>35</v>
      </c>
      <c r="I1243" s="2">
        <v>1</v>
      </c>
      <c r="J1243" s="3">
        <v>79</v>
      </c>
      <c r="K1243" s="4">
        <v>0.02</v>
      </c>
      <c r="L1243" s="3">
        <v>77.42</v>
      </c>
      <c r="M1243" t="b">
        <v>1</v>
      </c>
      <c r="N1243" s="2">
        <f>YEAR(B1243)</f>
        <v>2026</v>
      </c>
      <c r="O1243" t="str">
        <f>INDEX(Agences!$C:$C,MATCH(F1243,Agences!$A:$A,0))</f>
        <v>Méditerranée</v>
      </c>
      <c r="P1243" t="str">
        <f>INDEX(Produits!$C:$C,MATCH(H1243,Produits!$A:$A,0))</f>
        <v>Mobilier</v>
      </c>
      <c r="Q1243" s="3">
        <f>I1243*INDEX(Produits!$E:$E,MATCH(H1243,Produits!$A:$A,0))</f>
        <v>46.61</v>
      </c>
      <c r="R1243" s="3">
        <f>L1243-Q1243</f>
        <v>30.810000000000002</v>
      </c>
      <c r="S1243" s="2">
        <f>NETWORKDAYS(B1243,C1243)-1</f>
        <v>2</v>
      </c>
      <c r="T1243" s="1">
        <f>WORKDAY(B1243,5)</f>
        <v>46104</v>
      </c>
      <c r="U1243" t="b">
        <f>C1243&gt;T1243</f>
        <v>0</v>
      </c>
    </row>
    <row r="1244" spans="1:21" x14ac:dyDescent="0.25">
      <c r="A1244" t="s">
        <v>1004</v>
      </c>
      <c r="B1244" s="1">
        <v>46097</v>
      </c>
      <c r="C1244" s="1">
        <v>46099</v>
      </c>
      <c r="D1244" t="s">
        <v>765</v>
      </c>
      <c r="E1244" t="s">
        <v>419</v>
      </c>
      <c r="F1244" t="s">
        <v>62</v>
      </c>
      <c r="G1244" t="s">
        <v>68</v>
      </c>
      <c r="H1244" t="s">
        <v>108</v>
      </c>
      <c r="I1244" s="2">
        <v>10</v>
      </c>
      <c r="J1244" s="3">
        <v>24.5</v>
      </c>
      <c r="K1244" s="4">
        <v>0</v>
      </c>
      <c r="L1244" s="3">
        <v>245</v>
      </c>
      <c r="M1244" t="b">
        <v>1</v>
      </c>
      <c r="N1244" s="2">
        <f>YEAR(B1244)</f>
        <v>2026</v>
      </c>
      <c r="O1244" t="str">
        <f>INDEX(Agences!$C:$C,MATCH(F1244,Agences!$A:$A,0))</f>
        <v>Méditerranée</v>
      </c>
      <c r="P1244" t="str">
        <f>INDEX(Produits!$C:$C,MATCH(H1244,Produits!$A:$A,0))</f>
        <v>Fournitures</v>
      </c>
      <c r="Q1244" s="3">
        <f>I1244*INDEX(Produits!$E:$E,MATCH(H1244,Produits!$A:$A,0))</f>
        <v>147</v>
      </c>
      <c r="R1244" s="3">
        <f>L1244-Q1244</f>
        <v>98</v>
      </c>
      <c r="S1244" s="2">
        <f>NETWORKDAYS(B1244,C1244)-1</f>
        <v>2</v>
      </c>
      <c r="T1244" s="1">
        <f>WORKDAY(B1244,5)</f>
        <v>46104</v>
      </c>
      <c r="U1244" t="b">
        <f>C1244&gt;T1244</f>
        <v>0</v>
      </c>
    </row>
    <row r="1245" spans="1:21" x14ac:dyDescent="0.25">
      <c r="A1245" t="s">
        <v>1004</v>
      </c>
      <c r="B1245" s="1">
        <v>46097</v>
      </c>
      <c r="C1245" s="1">
        <v>46099</v>
      </c>
      <c r="D1245" t="s">
        <v>765</v>
      </c>
      <c r="E1245" t="s">
        <v>419</v>
      </c>
      <c r="F1245" t="s">
        <v>62</v>
      </c>
      <c r="G1245" t="s">
        <v>68</v>
      </c>
      <c r="H1245" t="s">
        <v>83</v>
      </c>
      <c r="I1245" s="2">
        <v>3</v>
      </c>
      <c r="J1245" s="3">
        <v>49</v>
      </c>
      <c r="K1245" s="4">
        <v>0.02</v>
      </c>
      <c r="L1245" s="3">
        <v>144.06</v>
      </c>
      <c r="M1245" t="b">
        <v>1</v>
      </c>
      <c r="N1245" s="2">
        <f>YEAR(B1245)</f>
        <v>2026</v>
      </c>
      <c r="O1245" t="str">
        <f>INDEX(Agences!$C:$C,MATCH(F1245,Agences!$A:$A,0))</f>
        <v>Méditerranée</v>
      </c>
      <c r="P1245" t="str">
        <f>INDEX(Produits!$C:$C,MATCH(H1245,Produits!$A:$A,0))</f>
        <v>Mobilier</v>
      </c>
      <c r="Q1245" s="3">
        <f>I1245*INDEX(Produits!$E:$E,MATCH(H1245,Produits!$A:$A,0))</f>
        <v>85.26</v>
      </c>
      <c r="R1245" s="3">
        <f>L1245-Q1245</f>
        <v>58.8</v>
      </c>
      <c r="S1245" s="2">
        <f>NETWORKDAYS(B1245,C1245)-1</f>
        <v>2</v>
      </c>
      <c r="T1245" s="1">
        <f>WORKDAY(B1245,5)</f>
        <v>46104</v>
      </c>
      <c r="U1245" t="b">
        <f>C1245&gt;T1245</f>
        <v>0</v>
      </c>
    </row>
    <row r="1246" spans="1:21" x14ac:dyDescent="0.25">
      <c r="A1246" t="s">
        <v>1005</v>
      </c>
      <c r="B1246" s="1">
        <v>46094</v>
      </c>
      <c r="C1246" s="1">
        <v>46097</v>
      </c>
      <c r="D1246" t="s">
        <v>1006</v>
      </c>
      <c r="E1246" t="s">
        <v>122</v>
      </c>
      <c r="F1246" t="s">
        <v>24</v>
      </c>
      <c r="G1246" t="s">
        <v>116</v>
      </c>
      <c r="H1246" t="s">
        <v>34</v>
      </c>
      <c r="I1246" s="2">
        <v>3</v>
      </c>
      <c r="J1246" s="3">
        <v>340</v>
      </c>
      <c r="K1246" s="4">
        <v>0.08</v>
      </c>
      <c r="L1246" s="3">
        <v>938.4</v>
      </c>
      <c r="M1246" t="b">
        <v>1</v>
      </c>
      <c r="N1246" s="2">
        <f>YEAR(B1246)</f>
        <v>2026</v>
      </c>
      <c r="O1246" t="str">
        <f>INDEX(Agences!$C:$C,MATCH(F1246,Agences!$A:$A,0))</f>
        <v>Nord</v>
      </c>
      <c r="P1246" t="str">
        <f>INDEX(Produits!$C:$C,MATCH(H1246,Produits!$A:$A,0))</f>
        <v>Informatique</v>
      </c>
      <c r="Q1246" s="3">
        <f>I1246*INDEX(Produits!$E:$E,MATCH(H1246,Produits!$A:$A,0))</f>
        <v>826.1999999999999</v>
      </c>
      <c r="R1246" s="3">
        <f>L1246-Q1246</f>
        <v>112.20000000000005</v>
      </c>
      <c r="S1246" s="2">
        <f>NETWORKDAYS(B1246,C1246)-1</f>
        <v>1</v>
      </c>
      <c r="T1246" s="1">
        <f>WORKDAY(B1246,5)</f>
        <v>46101</v>
      </c>
      <c r="U1246" t="b">
        <f>C1246&gt;T1246</f>
        <v>0</v>
      </c>
    </row>
    <row r="1247" spans="1:21" x14ac:dyDescent="0.25">
      <c r="A1247" t="s">
        <v>1005</v>
      </c>
      <c r="B1247" s="1">
        <v>46094</v>
      </c>
      <c r="C1247" s="1">
        <v>46097</v>
      </c>
      <c r="D1247" t="s">
        <v>1006</v>
      </c>
      <c r="E1247" t="s">
        <v>122</v>
      </c>
      <c r="F1247" t="s">
        <v>24</v>
      </c>
      <c r="G1247" t="s">
        <v>116</v>
      </c>
      <c r="H1247" t="s">
        <v>42</v>
      </c>
      <c r="I1247" s="2">
        <v>1</v>
      </c>
      <c r="J1247" s="3">
        <v>55</v>
      </c>
      <c r="K1247" s="4">
        <v>0.02</v>
      </c>
      <c r="L1247" s="3">
        <v>53.9</v>
      </c>
      <c r="M1247" t="b">
        <v>1</v>
      </c>
      <c r="N1247" s="2">
        <f>YEAR(B1247)</f>
        <v>2026</v>
      </c>
      <c r="O1247" t="str">
        <f>INDEX(Agences!$C:$C,MATCH(F1247,Agences!$A:$A,0))</f>
        <v>Nord</v>
      </c>
      <c r="P1247" t="str">
        <f>INDEX(Produits!$C:$C,MATCH(H1247,Produits!$A:$A,0))</f>
        <v>Maintenance</v>
      </c>
      <c r="Q1247" s="3">
        <f>I1247*INDEX(Produits!$E:$E,MATCH(H1247,Produits!$A:$A,0))</f>
        <v>24.75</v>
      </c>
      <c r="R1247" s="3">
        <f>L1247-Q1247</f>
        <v>29.15</v>
      </c>
      <c r="S1247" s="2">
        <f>NETWORKDAYS(B1247,C1247)-1</f>
        <v>1</v>
      </c>
      <c r="T1247" s="1">
        <f>WORKDAY(B1247,5)</f>
        <v>46101</v>
      </c>
      <c r="U1247" t="b">
        <f>C1247&gt;T1247</f>
        <v>0</v>
      </c>
    </row>
    <row r="1248" spans="1:21" x14ac:dyDescent="0.25">
      <c r="A1248" t="s">
        <v>1007</v>
      </c>
      <c r="B1248" s="1">
        <v>46094</v>
      </c>
      <c r="C1248" s="1">
        <v>46098</v>
      </c>
      <c r="D1248" t="s">
        <v>966</v>
      </c>
      <c r="E1248" t="s">
        <v>172</v>
      </c>
      <c r="F1248" t="s">
        <v>99</v>
      </c>
      <c r="G1248" t="s">
        <v>210</v>
      </c>
      <c r="H1248" t="s">
        <v>107</v>
      </c>
      <c r="I1248" s="2">
        <v>2</v>
      </c>
      <c r="J1248" s="3">
        <v>99</v>
      </c>
      <c r="K1248" s="4">
        <v>0.05</v>
      </c>
      <c r="L1248" s="3">
        <v>188.1</v>
      </c>
      <c r="M1248" t="b">
        <v>1</v>
      </c>
      <c r="N1248" s="2">
        <f>YEAR(B1248)</f>
        <v>2026</v>
      </c>
      <c r="O1248" t="str">
        <f>INDEX(Agences!$C:$C,MATCH(F1248,Agences!$A:$A,0))</f>
        <v>Nord</v>
      </c>
      <c r="P1248" t="str">
        <f>INDEX(Produits!$C:$C,MATCH(H1248,Produits!$A:$A,0))</f>
        <v>Informatique</v>
      </c>
      <c r="Q1248" s="3">
        <f>I1248*INDEX(Produits!$E:$E,MATCH(H1248,Produits!$A:$A,0))</f>
        <v>150.48</v>
      </c>
      <c r="R1248" s="3">
        <f>L1248-Q1248</f>
        <v>37.620000000000005</v>
      </c>
      <c r="S1248" s="2">
        <f>NETWORKDAYS(B1248,C1248)-1</f>
        <v>2</v>
      </c>
      <c r="T1248" s="1">
        <f>WORKDAY(B1248,5)</f>
        <v>46101</v>
      </c>
      <c r="U1248" t="b">
        <f>C1248&gt;T1248</f>
        <v>0</v>
      </c>
    </row>
    <row r="1249" spans="1:21" x14ac:dyDescent="0.25">
      <c r="A1249" t="s">
        <v>1008</v>
      </c>
      <c r="B1249" s="1">
        <v>46094</v>
      </c>
      <c r="C1249" s="1">
        <v>46098</v>
      </c>
      <c r="D1249" t="s">
        <v>1009</v>
      </c>
      <c r="E1249" t="s">
        <v>165</v>
      </c>
      <c r="F1249" t="s">
        <v>166</v>
      </c>
      <c r="G1249" t="s">
        <v>248</v>
      </c>
      <c r="H1249" t="s">
        <v>42</v>
      </c>
      <c r="I1249" s="2">
        <v>1</v>
      </c>
      <c r="J1249" s="3">
        <v>55</v>
      </c>
      <c r="K1249" s="4">
        <v>0</v>
      </c>
      <c r="L1249" s="3">
        <v>55</v>
      </c>
      <c r="M1249" t="b">
        <v>1</v>
      </c>
      <c r="N1249" s="2">
        <f>YEAR(B1249)</f>
        <v>2026</v>
      </c>
      <c r="O1249" t="str">
        <f>INDEX(Agences!$C:$C,MATCH(F1249,Agences!$A:$A,0))</f>
        <v>Ouest</v>
      </c>
      <c r="P1249" t="str">
        <f>INDEX(Produits!$C:$C,MATCH(H1249,Produits!$A:$A,0))</f>
        <v>Maintenance</v>
      </c>
      <c r="Q1249" s="3">
        <f>I1249*INDEX(Produits!$E:$E,MATCH(H1249,Produits!$A:$A,0))</f>
        <v>24.75</v>
      </c>
      <c r="R1249" s="3">
        <f>L1249-Q1249</f>
        <v>30.25</v>
      </c>
      <c r="S1249" s="2">
        <f>NETWORKDAYS(B1249,C1249)-1</f>
        <v>2</v>
      </c>
      <c r="T1249" s="1">
        <f>WORKDAY(B1249,5)</f>
        <v>46101</v>
      </c>
      <c r="U1249" t="b">
        <f>C1249&gt;T1249</f>
        <v>0</v>
      </c>
    </row>
    <row r="1250" spans="1:21" x14ac:dyDescent="0.25">
      <c r="A1250" t="s">
        <v>1008</v>
      </c>
      <c r="B1250" s="1">
        <v>46094</v>
      </c>
      <c r="C1250" s="1">
        <v>46098</v>
      </c>
      <c r="D1250" t="s">
        <v>1009</v>
      </c>
      <c r="E1250" t="s">
        <v>165</v>
      </c>
      <c r="F1250" t="s">
        <v>166</v>
      </c>
      <c r="G1250" t="s">
        <v>248</v>
      </c>
      <c r="H1250" t="s">
        <v>49</v>
      </c>
      <c r="I1250" s="2">
        <v>2</v>
      </c>
      <c r="J1250" s="3">
        <v>120</v>
      </c>
      <c r="K1250" s="4">
        <v>0</v>
      </c>
      <c r="L1250" s="3">
        <v>240</v>
      </c>
      <c r="M1250" t="b">
        <v>1</v>
      </c>
      <c r="N1250" s="2">
        <f>YEAR(B1250)</f>
        <v>2026</v>
      </c>
      <c r="O1250" t="str">
        <f>INDEX(Agences!$C:$C,MATCH(F1250,Agences!$A:$A,0))</f>
        <v>Ouest</v>
      </c>
      <c r="P1250" t="str">
        <f>INDEX(Produits!$C:$C,MATCH(H1250,Produits!$A:$A,0))</f>
        <v>Maintenance</v>
      </c>
      <c r="Q1250" s="3">
        <f>I1250*INDEX(Produits!$E:$E,MATCH(H1250,Produits!$A:$A,0))</f>
        <v>110.4</v>
      </c>
      <c r="R1250" s="3">
        <f>L1250-Q1250</f>
        <v>129.6</v>
      </c>
      <c r="S1250" s="2">
        <f>NETWORKDAYS(B1250,C1250)-1</f>
        <v>2</v>
      </c>
      <c r="T1250" s="1">
        <f>WORKDAY(B1250,5)</f>
        <v>46101</v>
      </c>
      <c r="U1250" t="b">
        <f>C1250&gt;T1250</f>
        <v>0</v>
      </c>
    </row>
    <row r="1251" spans="1:21" x14ac:dyDescent="0.25">
      <c r="A1251" t="s">
        <v>1010</v>
      </c>
      <c r="B1251" s="1">
        <v>46094</v>
      </c>
      <c r="C1251" s="1">
        <v>46098</v>
      </c>
      <c r="D1251" t="s">
        <v>770</v>
      </c>
      <c r="E1251" t="s">
        <v>38</v>
      </c>
      <c r="F1251" t="s">
        <v>39</v>
      </c>
      <c r="G1251" t="s">
        <v>322</v>
      </c>
      <c r="H1251" t="s">
        <v>83</v>
      </c>
      <c r="I1251" s="2">
        <v>3</v>
      </c>
      <c r="J1251" s="3">
        <v>49</v>
      </c>
      <c r="K1251" s="4">
        <v>0.1</v>
      </c>
      <c r="L1251" s="3">
        <v>132.3</v>
      </c>
      <c r="M1251" t="b">
        <v>1</v>
      </c>
      <c r="N1251" s="2">
        <f>YEAR(B1251)</f>
        <v>2026</v>
      </c>
      <c r="O1251" t="str">
        <f>INDEX(Agences!$C:$C,MATCH(F1251,Agences!$A:$A,0))</f>
        <v>Sud-Ouest</v>
      </c>
      <c r="P1251" t="str">
        <f>INDEX(Produits!$C:$C,MATCH(H1251,Produits!$A:$A,0))</f>
        <v>Mobilier</v>
      </c>
      <c r="Q1251" s="3">
        <f>I1251*INDEX(Produits!$E:$E,MATCH(H1251,Produits!$A:$A,0))</f>
        <v>85.26</v>
      </c>
      <c r="R1251" s="3">
        <f>L1251-Q1251</f>
        <v>47.040000000000006</v>
      </c>
      <c r="S1251" s="2">
        <f>NETWORKDAYS(B1251,C1251)-1</f>
        <v>2</v>
      </c>
      <c r="T1251" s="1">
        <f>WORKDAY(B1251,5)</f>
        <v>46101</v>
      </c>
      <c r="U1251" t="b">
        <f>C1251&gt;T1251</f>
        <v>0</v>
      </c>
    </row>
    <row r="1252" spans="1:21" x14ac:dyDescent="0.25">
      <c r="A1252" t="s">
        <v>1010</v>
      </c>
      <c r="B1252" s="1">
        <v>46094</v>
      </c>
      <c r="C1252" s="1">
        <v>46098</v>
      </c>
      <c r="D1252" t="s">
        <v>770</v>
      </c>
      <c r="E1252" t="s">
        <v>38</v>
      </c>
      <c r="F1252" t="s">
        <v>39</v>
      </c>
      <c r="G1252" t="s">
        <v>322</v>
      </c>
      <c r="H1252" t="s">
        <v>103</v>
      </c>
      <c r="I1252" s="2">
        <v>4</v>
      </c>
      <c r="J1252" s="3">
        <v>245</v>
      </c>
      <c r="K1252" s="4">
        <v>0.1</v>
      </c>
      <c r="L1252" s="3">
        <v>882</v>
      </c>
      <c r="M1252" t="b">
        <v>1</v>
      </c>
      <c r="N1252" s="2">
        <f>YEAR(B1252)</f>
        <v>2026</v>
      </c>
      <c r="O1252" t="str">
        <f>INDEX(Agences!$C:$C,MATCH(F1252,Agences!$A:$A,0))</f>
        <v>Sud-Ouest</v>
      </c>
      <c r="P1252" t="str">
        <f>INDEX(Produits!$C:$C,MATCH(H1252,Produits!$A:$A,0))</f>
        <v>Mobilier</v>
      </c>
      <c r="Q1252" s="3">
        <f>I1252*INDEX(Produits!$E:$E,MATCH(H1252,Produits!$A:$A,0))</f>
        <v>656.6</v>
      </c>
      <c r="R1252" s="3">
        <f>L1252-Q1252</f>
        <v>225.39999999999998</v>
      </c>
      <c r="S1252" s="2">
        <f>NETWORKDAYS(B1252,C1252)-1</f>
        <v>2</v>
      </c>
      <c r="T1252" s="1">
        <f>WORKDAY(B1252,5)</f>
        <v>46101</v>
      </c>
      <c r="U1252" t="b">
        <f>C1252&gt;T1252</f>
        <v>0</v>
      </c>
    </row>
    <row r="1253" spans="1:21" x14ac:dyDescent="0.25">
      <c r="A1253" t="s">
        <v>1011</v>
      </c>
      <c r="B1253" s="1">
        <v>46094</v>
      </c>
      <c r="C1253" s="1">
        <v>46098</v>
      </c>
      <c r="D1253" t="s">
        <v>328</v>
      </c>
      <c r="E1253" t="s">
        <v>153</v>
      </c>
      <c r="F1253" t="s">
        <v>94</v>
      </c>
      <c r="G1253" t="s">
        <v>182</v>
      </c>
      <c r="H1253" t="s">
        <v>49</v>
      </c>
      <c r="I1253" s="2">
        <v>3</v>
      </c>
      <c r="J1253" s="3">
        <v>120</v>
      </c>
      <c r="K1253" s="4">
        <v>0.1</v>
      </c>
      <c r="L1253" s="3">
        <v>324</v>
      </c>
      <c r="M1253" t="b">
        <v>1</v>
      </c>
      <c r="N1253" s="2">
        <f>YEAR(B1253)</f>
        <v>2026</v>
      </c>
      <c r="O1253" t="str">
        <f>INDEX(Agences!$C:$C,MATCH(F1253,Agences!$A:$A,0))</f>
        <v>Méditerranée</v>
      </c>
      <c r="P1253" t="str">
        <f>INDEX(Produits!$C:$C,MATCH(H1253,Produits!$A:$A,0))</f>
        <v>Maintenance</v>
      </c>
      <c r="Q1253" s="3">
        <f>I1253*INDEX(Produits!$E:$E,MATCH(H1253,Produits!$A:$A,0))</f>
        <v>165.60000000000002</v>
      </c>
      <c r="R1253" s="3">
        <f>L1253-Q1253</f>
        <v>158.39999999999998</v>
      </c>
      <c r="S1253" s="2">
        <f>NETWORKDAYS(B1253,C1253)-1</f>
        <v>2</v>
      </c>
      <c r="T1253" s="1">
        <f>WORKDAY(B1253,5)</f>
        <v>46101</v>
      </c>
      <c r="U1253" t="b">
        <f>C1253&gt;T1253</f>
        <v>0</v>
      </c>
    </row>
    <row r="1254" spans="1:21" x14ac:dyDescent="0.25">
      <c r="A1254" t="s">
        <v>1012</v>
      </c>
      <c r="B1254" s="1">
        <v>46094</v>
      </c>
      <c r="C1254" s="1">
        <v>46097</v>
      </c>
      <c r="D1254" t="s">
        <v>1013</v>
      </c>
      <c r="E1254" t="s">
        <v>449</v>
      </c>
      <c r="F1254" t="s">
        <v>94</v>
      </c>
      <c r="G1254" t="s">
        <v>95</v>
      </c>
      <c r="H1254" t="s">
        <v>83</v>
      </c>
      <c r="I1254" s="2">
        <v>2</v>
      </c>
      <c r="J1254" s="3">
        <v>49</v>
      </c>
      <c r="K1254" s="4">
        <v>0</v>
      </c>
      <c r="L1254" s="3">
        <v>98</v>
      </c>
      <c r="M1254" t="b">
        <v>1</v>
      </c>
      <c r="N1254" s="2">
        <f>YEAR(B1254)</f>
        <v>2026</v>
      </c>
      <c r="O1254" t="str">
        <f>INDEX(Agences!$C:$C,MATCH(F1254,Agences!$A:$A,0))</f>
        <v>Méditerranée</v>
      </c>
      <c r="P1254" t="str">
        <f>INDEX(Produits!$C:$C,MATCH(H1254,Produits!$A:$A,0))</f>
        <v>Mobilier</v>
      </c>
      <c r="Q1254" s="3">
        <f>I1254*INDEX(Produits!$E:$E,MATCH(H1254,Produits!$A:$A,0))</f>
        <v>56.84</v>
      </c>
      <c r="R1254" s="3">
        <f>L1254-Q1254</f>
        <v>41.16</v>
      </c>
      <c r="S1254" s="2">
        <f>NETWORKDAYS(B1254,C1254)-1</f>
        <v>1</v>
      </c>
      <c r="T1254" s="1">
        <f>WORKDAY(B1254,5)</f>
        <v>46101</v>
      </c>
      <c r="U1254" t="b">
        <f>C1254&gt;T1254</f>
        <v>0</v>
      </c>
    </row>
    <row r="1255" spans="1:21" x14ac:dyDescent="0.25">
      <c r="A1255" t="s">
        <v>1014</v>
      </c>
      <c r="B1255" s="1">
        <v>46094</v>
      </c>
      <c r="C1255" s="1">
        <v>46100</v>
      </c>
      <c r="D1255" t="s">
        <v>926</v>
      </c>
      <c r="E1255" t="s">
        <v>45</v>
      </c>
      <c r="F1255" t="s">
        <v>46</v>
      </c>
      <c r="G1255" t="s">
        <v>158</v>
      </c>
      <c r="H1255" t="s">
        <v>606</v>
      </c>
      <c r="I1255" s="2">
        <v>1</v>
      </c>
      <c r="J1255" s="3">
        <v>1150</v>
      </c>
      <c r="K1255" s="4">
        <v>0.02</v>
      </c>
      <c r="L1255" s="3">
        <v>1127</v>
      </c>
      <c r="M1255" t="b">
        <v>1</v>
      </c>
      <c r="N1255" s="2">
        <f>YEAR(B1255)</f>
        <v>2026</v>
      </c>
      <c r="O1255" t="str">
        <f>INDEX(Agences!$C:$C,MATCH(F1255,Agences!$A:$A,0))</f>
        <v>Est</v>
      </c>
      <c r="P1255" t="str">
        <f>INDEX(Produits!$C:$C,MATCH(H1255,Produits!$A:$A,0))</f>
        <v>Mobilier</v>
      </c>
      <c r="Q1255" s="3">
        <f>I1255*INDEX(Produits!$E:$E,MATCH(H1255,Produits!$A:$A,0))</f>
        <v>713</v>
      </c>
      <c r="R1255" s="3">
        <f>L1255-Q1255</f>
        <v>414</v>
      </c>
      <c r="S1255" s="2">
        <f>NETWORKDAYS(B1255,C1255)-1</f>
        <v>4</v>
      </c>
      <c r="T1255" s="1">
        <f>WORKDAY(B1255,5)</f>
        <v>46101</v>
      </c>
      <c r="U1255" t="b">
        <f>C1255&gt;T1255</f>
        <v>0</v>
      </c>
    </row>
    <row r="1256" spans="1:21" x14ac:dyDescent="0.25">
      <c r="A1256" t="s">
        <v>1014</v>
      </c>
      <c r="B1256" s="1">
        <v>46094</v>
      </c>
      <c r="C1256" s="1">
        <v>46100</v>
      </c>
      <c r="D1256" t="s">
        <v>926</v>
      </c>
      <c r="E1256" t="s">
        <v>45</v>
      </c>
      <c r="F1256" t="s">
        <v>46</v>
      </c>
      <c r="G1256" t="s">
        <v>158</v>
      </c>
      <c r="H1256" t="s">
        <v>127</v>
      </c>
      <c r="I1256" s="2">
        <v>3</v>
      </c>
      <c r="J1256" s="3">
        <v>649</v>
      </c>
      <c r="K1256" s="4">
        <v>0</v>
      </c>
      <c r="L1256" s="3">
        <v>1947</v>
      </c>
      <c r="M1256" t="b">
        <v>1</v>
      </c>
      <c r="N1256" s="2">
        <f>YEAR(B1256)</f>
        <v>2026</v>
      </c>
      <c r="O1256" t="str">
        <f>INDEX(Agences!$C:$C,MATCH(F1256,Agences!$A:$A,0))</f>
        <v>Est</v>
      </c>
      <c r="P1256" t="str">
        <f>INDEX(Produits!$C:$C,MATCH(H1256,Produits!$A:$A,0))</f>
        <v>Informatique</v>
      </c>
      <c r="Q1256" s="3">
        <f>I1256*INDEX(Produits!$E:$E,MATCH(H1256,Produits!$A:$A,0))</f>
        <v>1440.78</v>
      </c>
      <c r="R1256" s="3">
        <f>L1256-Q1256</f>
        <v>506.22</v>
      </c>
      <c r="S1256" s="2">
        <f>NETWORKDAYS(B1256,C1256)-1</f>
        <v>4</v>
      </c>
      <c r="T1256" s="1">
        <f>WORKDAY(B1256,5)</f>
        <v>46101</v>
      </c>
      <c r="U1256" t="b">
        <f>C1256&gt;T1256</f>
        <v>0</v>
      </c>
    </row>
    <row r="1257" spans="1:21" x14ac:dyDescent="0.25">
      <c r="A1257" t="s">
        <v>1014</v>
      </c>
      <c r="B1257" s="1">
        <v>46094</v>
      </c>
      <c r="C1257" s="1">
        <v>46100</v>
      </c>
      <c r="D1257" t="s">
        <v>926</v>
      </c>
      <c r="E1257" t="s">
        <v>45</v>
      </c>
      <c r="F1257" t="s">
        <v>46</v>
      </c>
      <c r="G1257" t="s">
        <v>158</v>
      </c>
      <c r="H1257" t="s">
        <v>112</v>
      </c>
      <c r="I1257" s="2">
        <v>2</v>
      </c>
      <c r="J1257" s="3">
        <v>129</v>
      </c>
      <c r="K1257" s="4">
        <v>0</v>
      </c>
      <c r="L1257" s="3">
        <v>258</v>
      </c>
      <c r="M1257" t="b">
        <v>1</v>
      </c>
      <c r="N1257" s="2">
        <f>YEAR(B1257)</f>
        <v>2026</v>
      </c>
      <c r="O1257" t="str">
        <f>INDEX(Agences!$C:$C,MATCH(F1257,Agences!$A:$A,0))</f>
        <v>Est</v>
      </c>
      <c r="P1257" t="str">
        <f>INDEX(Produits!$C:$C,MATCH(H1257,Produits!$A:$A,0))</f>
        <v>Mobilier</v>
      </c>
      <c r="Q1257" s="3">
        <f>I1257*INDEX(Produits!$E:$E,MATCH(H1257,Produits!$A:$A,0))</f>
        <v>172.86</v>
      </c>
      <c r="R1257" s="3">
        <f>L1257-Q1257</f>
        <v>85.13999999999999</v>
      </c>
      <c r="S1257" s="2">
        <f>NETWORKDAYS(B1257,C1257)-1</f>
        <v>4</v>
      </c>
      <c r="T1257" s="1">
        <f>WORKDAY(B1257,5)</f>
        <v>46101</v>
      </c>
      <c r="U1257" t="b">
        <f>C1257&gt;T1257</f>
        <v>0</v>
      </c>
    </row>
    <row r="1258" spans="1:21" x14ac:dyDescent="0.25">
      <c r="A1258" t="s">
        <v>1015</v>
      </c>
      <c r="B1258" s="1">
        <v>46094</v>
      </c>
      <c r="C1258" s="1">
        <v>46100</v>
      </c>
      <c r="D1258" t="s">
        <v>1016</v>
      </c>
      <c r="E1258" t="s">
        <v>384</v>
      </c>
      <c r="F1258" t="s">
        <v>46</v>
      </c>
      <c r="G1258" t="s">
        <v>158</v>
      </c>
      <c r="H1258" t="s">
        <v>49</v>
      </c>
      <c r="I1258" s="2">
        <v>1</v>
      </c>
      <c r="J1258" s="3">
        <v>120</v>
      </c>
      <c r="K1258" s="4">
        <v>0</v>
      </c>
      <c r="L1258" s="3">
        <v>120</v>
      </c>
      <c r="M1258" t="b">
        <v>1</v>
      </c>
      <c r="N1258" s="2">
        <f>YEAR(B1258)</f>
        <v>2026</v>
      </c>
      <c r="O1258" t="str">
        <f>INDEX(Agences!$C:$C,MATCH(F1258,Agences!$A:$A,0))</f>
        <v>Est</v>
      </c>
      <c r="P1258" t="str">
        <f>INDEX(Produits!$C:$C,MATCH(H1258,Produits!$A:$A,0))</f>
        <v>Maintenance</v>
      </c>
      <c r="Q1258" s="3">
        <f>I1258*INDEX(Produits!$E:$E,MATCH(H1258,Produits!$A:$A,0))</f>
        <v>55.2</v>
      </c>
      <c r="R1258" s="3">
        <f>L1258-Q1258</f>
        <v>64.8</v>
      </c>
      <c r="S1258" s="2">
        <f>NETWORKDAYS(B1258,C1258)-1</f>
        <v>4</v>
      </c>
      <c r="T1258" s="1">
        <f>WORKDAY(B1258,5)</f>
        <v>46101</v>
      </c>
      <c r="U1258" t="b">
        <f>C1258&gt;T1258</f>
        <v>0</v>
      </c>
    </row>
    <row r="1259" spans="1:21" x14ac:dyDescent="0.25">
      <c r="A1259" t="s">
        <v>1017</v>
      </c>
      <c r="B1259" s="1">
        <v>46093</v>
      </c>
      <c r="C1259" s="1">
        <v>46097</v>
      </c>
      <c r="D1259" t="s">
        <v>74</v>
      </c>
      <c r="E1259" t="s">
        <v>75</v>
      </c>
      <c r="F1259" t="s">
        <v>76</v>
      </c>
      <c r="G1259" t="s">
        <v>77</v>
      </c>
      <c r="H1259" t="s">
        <v>50</v>
      </c>
      <c r="I1259" s="2">
        <v>6</v>
      </c>
      <c r="J1259" s="3">
        <v>69</v>
      </c>
      <c r="K1259" s="4">
        <v>0</v>
      </c>
      <c r="L1259" s="3">
        <v>414</v>
      </c>
      <c r="M1259" t="b">
        <v>1</v>
      </c>
      <c r="N1259" s="2">
        <f>YEAR(B1259)</f>
        <v>2026</v>
      </c>
      <c r="O1259" t="str">
        <f>INDEX(Agences!$C:$C,MATCH(F1259,Agences!$A:$A,0))</f>
        <v>Île-de-France</v>
      </c>
      <c r="P1259" t="str">
        <f>INDEX(Produits!$C:$C,MATCH(H1259,Produits!$A:$A,0))</f>
        <v>Informatique</v>
      </c>
      <c r="Q1259" s="3">
        <f>I1259*INDEX(Produits!$E:$E,MATCH(H1259,Produits!$A:$A,0))</f>
        <v>327.06</v>
      </c>
      <c r="R1259" s="3">
        <f>L1259-Q1259</f>
        <v>86.94</v>
      </c>
      <c r="S1259" s="2">
        <f>NETWORKDAYS(B1259,C1259)-1</f>
        <v>2</v>
      </c>
      <c r="T1259" s="1">
        <f>WORKDAY(B1259,5)</f>
        <v>46100</v>
      </c>
      <c r="U1259" t="b">
        <f>C1259&gt;T1259</f>
        <v>0</v>
      </c>
    </row>
    <row r="1260" spans="1:21" x14ac:dyDescent="0.25">
      <c r="A1260" t="s">
        <v>1018</v>
      </c>
      <c r="B1260" s="1">
        <v>46093</v>
      </c>
      <c r="C1260" s="1">
        <v>46098</v>
      </c>
      <c r="D1260" t="s">
        <v>543</v>
      </c>
      <c r="E1260" t="s">
        <v>130</v>
      </c>
      <c r="F1260" t="s">
        <v>39</v>
      </c>
      <c r="G1260" t="s">
        <v>40</v>
      </c>
      <c r="H1260" t="s">
        <v>79</v>
      </c>
      <c r="I1260" s="2">
        <v>10</v>
      </c>
      <c r="J1260" s="3">
        <v>14.9</v>
      </c>
      <c r="K1260" s="4">
        <v>0</v>
      </c>
      <c r="L1260" s="3">
        <v>149</v>
      </c>
      <c r="M1260" t="b">
        <v>1</v>
      </c>
      <c r="N1260" s="2">
        <f>YEAR(B1260)</f>
        <v>2026</v>
      </c>
      <c r="O1260" t="str">
        <f>INDEX(Agences!$C:$C,MATCH(F1260,Agences!$A:$A,0))</f>
        <v>Sud-Ouest</v>
      </c>
      <c r="P1260" t="str">
        <f>INDEX(Produits!$C:$C,MATCH(H1260,Produits!$A:$A,0))</f>
        <v>Fournitures</v>
      </c>
      <c r="Q1260" s="3">
        <f>I1260*INDEX(Produits!$E:$E,MATCH(H1260,Produits!$A:$A,0))</f>
        <v>80.5</v>
      </c>
      <c r="R1260" s="3">
        <f>L1260-Q1260</f>
        <v>68.5</v>
      </c>
      <c r="S1260" s="2">
        <f>NETWORKDAYS(B1260,C1260)-1</f>
        <v>3</v>
      </c>
      <c r="T1260" s="1">
        <f>WORKDAY(B1260,5)</f>
        <v>46100</v>
      </c>
      <c r="U1260" t="b">
        <f>C1260&gt;T1260</f>
        <v>0</v>
      </c>
    </row>
    <row r="1261" spans="1:21" x14ac:dyDescent="0.25">
      <c r="A1261" t="s">
        <v>1018</v>
      </c>
      <c r="B1261" s="1">
        <v>46093</v>
      </c>
      <c r="C1261" s="1">
        <v>46098</v>
      </c>
      <c r="D1261" t="s">
        <v>543</v>
      </c>
      <c r="E1261" t="s">
        <v>130</v>
      </c>
      <c r="F1261" t="s">
        <v>39</v>
      </c>
      <c r="G1261" t="s">
        <v>40</v>
      </c>
      <c r="H1261" t="s">
        <v>49</v>
      </c>
      <c r="I1261" s="2">
        <v>1</v>
      </c>
      <c r="J1261" s="3">
        <v>120</v>
      </c>
      <c r="K1261" s="4">
        <v>0.1</v>
      </c>
      <c r="L1261" s="3">
        <v>108</v>
      </c>
      <c r="M1261" t="b">
        <v>1</v>
      </c>
      <c r="N1261" s="2">
        <f>YEAR(B1261)</f>
        <v>2026</v>
      </c>
      <c r="O1261" t="str">
        <f>INDEX(Agences!$C:$C,MATCH(F1261,Agences!$A:$A,0))</f>
        <v>Sud-Ouest</v>
      </c>
      <c r="P1261" t="str">
        <f>INDEX(Produits!$C:$C,MATCH(H1261,Produits!$A:$A,0))</f>
        <v>Maintenance</v>
      </c>
      <c r="Q1261" s="3">
        <f>I1261*INDEX(Produits!$E:$E,MATCH(H1261,Produits!$A:$A,0))</f>
        <v>55.2</v>
      </c>
      <c r="R1261" s="3">
        <f>L1261-Q1261</f>
        <v>52.8</v>
      </c>
      <c r="S1261" s="2">
        <f>NETWORKDAYS(B1261,C1261)-1</f>
        <v>3</v>
      </c>
      <c r="T1261" s="1">
        <f>WORKDAY(B1261,5)</f>
        <v>46100</v>
      </c>
      <c r="U1261" t="b">
        <f>C1261&gt;T1261</f>
        <v>0</v>
      </c>
    </row>
    <row r="1262" spans="1:21" x14ac:dyDescent="0.25">
      <c r="A1262" t="s">
        <v>1019</v>
      </c>
      <c r="B1262" s="1">
        <v>46093</v>
      </c>
      <c r="C1262" s="1">
        <v>46094</v>
      </c>
      <c r="D1262" t="s">
        <v>141</v>
      </c>
      <c r="E1262" t="s">
        <v>87</v>
      </c>
      <c r="F1262" t="s">
        <v>88</v>
      </c>
      <c r="G1262" t="s">
        <v>142</v>
      </c>
      <c r="H1262" t="s">
        <v>112</v>
      </c>
      <c r="I1262" s="2">
        <v>1</v>
      </c>
      <c r="J1262" s="3">
        <v>129</v>
      </c>
      <c r="K1262" s="4">
        <v>0</v>
      </c>
      <c r="L1262" s="3">
        <v>129</v>
      </c>
      <c r="M1262" t="b">
        <v>1</v>
      </c>
      <c r="N1262" s="2">
        <f>YEAR(B1262)</f>
        <v>2026</v>
      </c>
      <c r="O1262" t="str">
        <f>INDEX(Agences!$C:$C,MATCH(F1262,Agences!$A:$A,0))</f>
        <v>Sud-Ouest</v>
      </c>
      <c r="P1262" t="str">
        <f>INDEX(Produits!$C:$C,MATCH(H1262,Produits!$A:$A,0))</f>
        <v>Mobilier</v>
      </c>
      <c r="Q1262" s="3">
        <f>I1262*INDEX(Produits!$E:$E,MATCH(H1262,Produits!$A:$A,0))</f>
        <v>86.43</v>
      </c>
      <c r="R1262" s="3">
        <f>L1262-Q1262</f>
        <v>42.56999999999999</v>
      </c>
      <c r="S1262" s="2">
        <f>NETWORKDAYS(B1262,C1262)-1</f>
        <v>1</v>
      </c>
      <c r="T1262" s="1">
        <f>WORKDAY(B1262,5)</f>
        <v>46100</v>
      </c>
      <c r="U1262" t="b">
        <f>C1262&gt;T1262</f>
        <v>0</v>
      </c>
    </row>
    <row r="1263" spans="1:21" x14ac:dyDescent="0.25">
      <c r="A1263" t="s">
        <v>1019</v>
      </c>
      <c r="B1263" s="1">
        <v>46093</v>
      </c>
      <c r="C1263" s="1">
        <v>46094</v>
      </c>
      <c r="D1263" t="s">
        <v>141</v>
      </c>
      <c r="E1263" t="s">
        <v>87</v>
      </c>
      <c r="F1263" t="s">
        <v>88</v>
      </c>
      <c r="G1263" t="s">
        <v>142</v>
      </c>
      <c r="H1263" t="s">
        <v>27</v>
      </c>
      <c r="I1263" s="2">
        <v>2</v>
      </c>
      <c r="J1263" s="3">
        <v>310</v>
      </c>
      <c r="K1263" s="4">
        <v>0.1</v>
      </c>
      <c r="L1263" s="3">
        <v>558</v>
      </c>
      <c r="M1263" t="b">
        <v>1</v>
      </c>
      <c r="N1263" s="2">
        <f>YEAR(B1263)</f>
        <v>2026</v>
      </c>
      <c r="O1263" t="str">
        <f>INDEX(Agences!$C:$C,MATCH(F1263,Agences!$A:$A,0))</f>
        <v>Sud-Ouest</v>
      </c>
      <c r="P1263" t="str">
        <f>INDEX(Produits!$C:$C,MATCH(H1263,Produits!$A:$A,0))</f>
        <v>Mobilier</v>
      </c>
      <c r="Q1263" s="3">
        <f>I1263*INDEX(Produits!$E:$E,MATCH(H1263,Produits!$A:$A,0))</f>
        <v>372</v>
      </c>
      <c r="R1263" s="3">
        <f>L1263-Q1263</f>
        <v>186</v>
      </c>
      <c r="S1263" s="2">
        <f>NETWORKDAYS(B1263,C1263)-1</f>
        <v>1</v>
      </c>
      <c r="T1263" s="1">
        <f>WORKDAY(B1263,5)</f>
        <v>46100</v>
      </c>
      <c r="U1263" t="b">
        <f>C1263&gt;T1263</f>
        <v>0</v>
      </c>
    </row>
    <row r="1264" spans="1:21" x14ac:dyDescent="0.25">
      <c r="A1264" t="s">
        <v>1020</v>
      </c>
      <c r="B1264" s="1">
        <v>46093</v>
      </c>
      <c r="C1264" s="1">
        <v>46100</v>
      </c>
      <c r="D1264" t="s">
        <v>1021</v>
      </c>
      <c r="E1264" t="s">
        <v>242</v>
      </c>
      <c r="F1264" t="s">
        <v>94</v>
      </c>
      <c r="G1264" t="s">
        <v>182</v>
      </c>
      <c r="H1264" t="s">
        <v>42</v>
      </c>
      <c r="I1264" s="2">
        <v>2</v>
      </c>
      <c r="J1264" s="3">
        <v>55</v>
      </c>
      <c r="K1264" s="4">
        <v>0</v>
      </c>
      <c r="L1264" s="3">
        <v>110</v>
      </c>
      <c r="M1264" t="b">
        <v>1</v>
      </c>
      <c r="N1264" s="2">
        <f>YEAR(B1264)</f>
        <v>2026</v>
      </c>
      <c r="O1264" t="str">
        <f>INDEX(Agences!$C:$C,MATCH(F1264,Agences!$A:$A,0))</f>
        <v>Méditerranée</v>
      </c>
      <c r="P1264" t="str">
        <f>INDEX(Produits!$C:$C,MATCH(H1264,Produits!$A:$A,0))</f>
        <v>Maintenance</v>
      </c>
      <c r="Q1264" s="3">
        <f>I1264*INDEX(Produits!$E:$E,MATCH(H1264,Produits!$A:$A,0))</f>
        <v>49.5</v>
      </c>
      <c r="R1264" s="3">
        <f>L1264-Q1264</f>
        <v>60.5</v>
      </c>
      <c r="S1264" s="2">
        <f>NETWORKDAYS(B1264,C1264)-1</f>
        <v>5</v>
      </c>
      <c r="T1264" s="1">
        <f>WORKDAY(B1264,5)</f>
        <v>46100</v>
      </c>
      <c r="U1264" t="b">
        <f>C1264&gt;T1264</f>
        <v>0</v>
      </c>
    </row>
    <row r="1265" spans="1:21" x14ac:dyDescent="0.25">
      <c r="A1265" t="s">
        <v>1020</v>
      </c>
      <c r="B1265" s="1">
        <v>46093</v>
      </c>
      <c r="C1265" s="1">
        <v>46100</v>
      </c>
      <c r="D1265" t="s">
        <v>1021</v>
      </c>
      <c r="E1265" t="s">
        <v>242</v>
      </c>
      <c r="F1265" t="s">
        <v>94</v>
      </c>
      <c r="G1265" t="s">
        <v>182</v>
      </c>
      <c r="H1265" t="s">
        <v>150</v>
      </c>
      <c r="I1265" s="2">
        <v>2</v>
      </c>
      <c r="J1265" s="3">
        <v>790</v>
      </c>
      <c r="K1265" s="4">
        <v>0</v>
      </c>
      <c r="L1265" s="3">
        <v>1580</v>
      </c>
      <c r="M1265" t="b">
        <v>1</v>
      </c>
      <c r="N1265" s="2">
        <f>YEAR(B1265)</f>
        <v>2026</v>
      </c>
      <c r="O1265" t="str">
        <f>INDEX(Agences!$C:$C,MATCH(F1265,Agences!$A:$A,0))</f>
        <v>Méditerranée</v>
      </c>
      <c r="P1265" t="str">
        <f>INDEX(Produits!$C:$C,MATCH(H1265,Produits!$A:$A,0))</f>
        <v>Informatique</v>
      </c>
      <c r="Q1265" s="3">
        <f>I1265*INDEX(Produits!$E:$E,MATCH(H1265,Produits!$A:$A,0))</f>
        <v>1169.2</v>
      </c>
      <c r="R1265" s="3">
        <f>L1265-Q1265</f>
        <v>410.79999999999995</v>
      </c>
      <c r="S1265" s="2">
        <f>NETWORKDAYS(B1265,C1265)-1</f>
        <v>5</v>
      </c>
      <c r="T1265" s="1">
        <f>WORKDAY(B1265,5)</f>
        <v>46100</v>
      </c>
      <c r="U1265" t="b">
        <f>C1265&gt;T1265</f>
        <v>0</v>
      </c>
    </row>
    <row r="1266" spans="1:21" x14ac:dyDescent="0.25">
      <c r="A1266" t="s">
        <v>1022</v>
      </c>
      <c r="B1266" s="1">
        <v>46093</v>
      </c>
      <c r="C1266" s="1">
        <v>46098</v>
      </c>
      <c r="D1266" t="s">
        <v>970</v>
      </c>
      <c r="E1266" t="s">
        <v>242</v>
      </c>
      <c r="F1266" t="s">
        <v>94</v>
      </c>
      <c r="G1266" t="s">
        <v>95</v>
      </c>
      <c r="H1266" t="s">
        <v>107</v>
      </c>
      <c r="I1266" s="2">
        <v>3</v>
      </c>
      <c r="J1266" s="3">
        <v>99</v>
      </c>
      <c r="K1266" s="4">
        <v>0</v>
      </c>
      <c r="L1266" s="3">
        <v>297</v>
      </c>
      <c r="M1266" t="b">
        <v>1</v>
      </c>
      <c r="N1266" s="2">
        <f>YEAR(B1266)</f>
        <v>2026</v>
      </c>
      <c r="O1266" t="str">
        <f>INDEX(Agences!$C:$C,MATCH(F1266,Agences!$A:$A,0))</f>
        <v>Méditerranée</v>
      </c>
      <c r="P1266" t="str">
        <f>INDEX(Produits!$C:$C,MATCH(H1266,Produits!$A:$A,0))</f>
        <v>Informatique</v>
      </c>
      <c r="Q1266" s="3">
        <f>I1266*INDEX(Produits!$E:$E,MATCH(H1266,Produits!$A:$A,0))</f>
        <v>225.71999999999997</v>
      </c>
      <c r="R1266" s="3">
        <f>L1266-Q1266</f>
        <v>71.28000000000003</v>
      </c>
      <c r="S1266" s="2">
        <f>NETWORKDAYS(B1266,C1266)-1</f>
        <v>3</v>
      </c>
      <c r="T1266" s="1">
        <f>WORKDAY(B1266,5)</f>
        <v>46100</v>
      </c>
      <c r="U1266" t="b">
        <f>C1266&gt;T1266</f>
        <v>0</v>
      </c>
    </row>
    <row r="1267" spans="1:21" x14ac:dyDescent="0.25">
      <c r="A1267" t="s">
        <v>1023</v>
      </c>
      <c r="B1267" s="1">
        <v>46092</v>
      </c>
      <c r="C1267" s="1">
        <v>46094</v>
      </c>
      <c r="D1267" t="s">
        <v>815</v>
      </c>
      <c r="E1267" t="s">
        <v>119</v>
      </c>
      <c r="F1267" t="s">
        <v>24</v>
      </c>
      <c r="G1267" t="s">
        <v>116</v>
      </c>
      <c r="H1267" t="s">
        <v>42</v>
      </c>
      <c r="I1267" s="2">
        <v>3</v>
      </c>
      <c r="J1267" s="3">
        <v>55</v>
      </c>
      <c r="K1267" s="4">
        <v>0</v>
      </c>
      <c r="L1267" s="3">
        <v>165</v>
      </c>
      <c r="M1267" t="b">
        <v>1</v>
      </c>
      <c r="N1267" s="2">
        <f>YEAR(B1267)</f>
        <v>2026</v>
      </c>
      <c r="O1267" t="str">
        <f>INDEX(Agences!$C:$C,MATCH(F1267,Agences!$A:$A,0))</f>
        <v>Nord</v>
      </c>
      <c r="P1267" t="str">
        <f>INDEX(Produits!$C:$C,MATCH(H1267,Produits!$A:$A,0))</f>
        <v>Maintenance</v>
      </c>
      <c r="Q1267" s="3">
        <f>I1267*INDEX(Produits!$E:$E,MATCH(H1267,Produits!$A:$A,0))</f>
        <v>74.25</v>
      </c>
      <c r="R1267" s="3">
        <f>L1267-Q1267</f>
        <v>90.75</v>
      </c>
      <c r="S1267" s="2">
        <f>NETWORKDAYS(B1267,C1267)-1</f>
        <v>2</v>
      </c>
      <c r="T1267" s="1">
        <f>WORKDAY(B1267,5)</f>
        <v>46099</v>
      </c>
      <c r="U1267" t="b">
        <f>C1267&gt;T1267</f>
        <v>0</v>
      </c>
    </row>
    <row r="1268" spans="1:21" x14ac:dyDescent="0.25">
      <c r="A1268" t="s">
        <v>1024</v>
      </c>
      <c r="B1268" s="1">
        <v>46092</v>
      </c>
      <c r="C1268" s="1">
        <v>46099</v>
      </c>
      <c r="D1268" t="s">
        <v>721</v>
      </c>
      <c r="E1268" t="s">
        <v>307</v>
      </c>
      <c r="F1268" t="s">
        <v>76</v>
      </c>
      <c r="G1268" t="s">
        <v>232</v>
      </c>
      <c r="H1268" t="s">
        <v>51</v>
      </c>
      <c r="I1268" s="2">
        <v>1</v>
      </c>
      <c r="J1268" s="3">
        <v>180</v>
      </c>
      <c r="K1268" s="4">
        <v>0</v>
      </c>
      <c r="L1268" s="3">
        <v>180</v>
      </c>
      <c r="M1268" t="b">
        <v>1</v>
      </c>
      <c r="N1268" s="2">
        <f>YEAR(B1268)</f>
        <v>2026</v>
      </c>
      <c r="O1268" t="str">
        <f>INDEX(Agences!$C:$C,MATCH(F1268,Agences!$A:$A,0))</f>
        <v>Île-de-France</v>
      </c>
      <c r="P1268" t="str">
        <f>INDEX(Produits!$C:$C,MATCH(H1268,Produits!$A:$A,0))</f>
        <v>Maintenance</v>
      </c>
      <c r="Q1268" s="3">
        <f>I1268*INDEX(Produits!$E:$E,MATCH(H1268,Produits!$A:$A,0))</f>
        <v>82.8</v>
      </c>
      <c r="R1268" s="3">
        <f>L1268-Q1268</f>
        <v>97.2</v>
      </c>
      <c r="S1268" s="2">
        <f>NETWORKDAYS(B1268,C1268)-1</f>
        <v>5</v>
      </c>
      <c r="T1268" s="1">
        <f>WORKDAY(B1268,5)</f>
        <v>46099</v>
      </c>
      <c r="U1268" t="b">
        <f>C1268&gt;T1268</f>
        <v>0</v>
      </c>
    </row>
    <row r="1269" spans="1:21" x14ac:dyDescent="0.25">
      <c r="A1269" t="s">
        <v>1025</v>
      </c>
      <c r="B1269" s="1">
        <v>46092</v>
      </c>
      <c r="C1269" s="1">
        <v>46094</v>
      </c>
      <c r="D1269" t="s">
        <v>1026</v>
      </c>
      <c r="E1269" t="s">
        <v>225</v>
      </c>
      <c r="F1269" t="s">
        <v>88</v>
      </c>
      <c r="G1269" t="s">
        <v>89</v>
      </c>
      <c r="H1269" t="s">
        <v>42</v>
      </c>
      <c r="I1269" s="2">
        <v>1</v>
      </c>
      <c r="J1269" s="3">
        <v>55</v>
      </c>
      <c r="K1269" s="4">
        <v>0.08</v>
      </c>
      <c r="L1269" s="3">
        <v>50.6</v>
      </c>
      <c r="M1269" t="b">
        <v>1</v>
      </c>
      <c r="N1269" s="2">
        <f>YEAR(B1269)</f>
        <v>2026</v>
      </c>
      <c r="O1269" t="str">
        <f>INDEX(Agences!$C:$C,MATCH(F1269,Agences!$A:$A,0))</f>
        <v>Sud-Ouest</v>
      </c>
      <c r="P1269" t="str">
        <f>INDEX(Produits!$C:$C,MATCH(H1269,Produits!$A:$A,0))</f>
        <v>Maintenance</v>
      </c>
      <c r="Q1269" s="3">
        <f>I1269*INDEX(Produits!$E:$E,MATCH(H1269,Produits!$A:$A,0))</f>
        <v>24.75</v>
      </c>
      <c r="R1269" s="3">
        <f>L1269-Q1269</f>
        <v>25.85</v>
      </c>
      <c r="S1269" s="2">
        <f>NETWORKDAYS(B1269,C1269)-1</f>
        <v>2</v>
      </c>
      <c r="T1269" s="1">
        <f>WORKDAY(B1269,5)</f>
        <v>46099</v>
      </c>
      <c r="U1269" t="b">
        <f>C1269&gt;T1269</f>
        <v>0</v>
      </c>
    </row>
    <row r="1270" spans="1:21" x14ac:dyDescent="0.25">
      <c r="A1270" t="s">
        <v>1027</v>
      </c>
      <c r="B1270" s="1">
        <v>46092</v>
      </c>
      <c r="C1270" s="1">
        <v>46106</v>
      </c>
      <c r="D1270" t="s">
        <v>395</v>
      </c>
      <c r="E1270" t="s">
        <v>229</v>
      </c>
      <c r="F1270" t="s">
        <v>55</v>
      </c>
      <c r="G1270" t="s">
        <v>56</v>
      </c>
      <c r="H1270" t="s">
        <v>112</v>
      </c>
      <c r="I1270" s="2">
        <v>4</v>
      </c>
      <c r="J1270" s="3">
        <v>129</v>
      </c>
      <c r="K1270" s="4">
        <v>0.08</v>
      </c>
      <c r="L1270" s="3">
        <v>474.72</v>
      </c>
      <c r="M1270" t="b">
        <v>1</v>
      </c>
      <c r="N1270" s="2">
        <f>YEAR(B1270)</f>
        <v>2026</v>
      </c>
      <c r="O1270" t="str">
        <f>INDEX(Agences!$C:$C,MATCH(F1270,Agences!$A:$A,0))</f>
        <v>Est</v>
      </c>
      <c r="P1270" t="str">
        <f>INDEX(Produits!$C:$C,MATCH(H1270,Produits!$A:$A,0))</f>
        <v>Mobilier</v>
      </c>
      <c r="Q1270" s="3">
        <f>I1270*INDEX(Produits!$E:$E,MATCH(H1270,Produits!$A:$A,0))</f>
        <v>345.72</v>
      </c>
      <c r="R1270" s="3">
        <f>L1270-Q1270</f>
        <v>129</v>
      </c>
      <c r="S1270" s="2">
        <f>NETWORKDAYS(B1270,C1270)-1</f>
        <v>10</v>
      </c>
      <c r="T1270" s="1">
        <f>WORKDAY(B1270,5)</f>
        <v>46099</v>
      </c>
      <c r="U1270" t="b">
        <f>C1270&gt;T1270</f>
        <v>1</v>
      </c>
    </row>
    <row r="1271" spans="1:21" x14ac:dyDescent="0.25">
      <c r="A1271" t="s">
        <v>1028</v>
      </c>
      <c r="B1271" s="1">
        <v>46091</v>
      </c>
      <c r="C1271" s="1">
        <v>46094</v>
      </c>
      <c r="D1271" t="s">
        <v>561</v>
      </c>
      <c r="E1271" t="s">
        <v>137</v>
      </c>
      <c r="F1271" t="s">
        <v>138</v>
      </c>
      <c r="G1271" t="s">
        <v>214</v>
      </c>
      <c r="H1271" t="s">
        <v>72</v>
      </c>
      <c r="I1271" s="2">
        <v>4</v>
      </c>
      <c r="J1271" s="3">
        <v>179</v>
      </c>
      <c r="K1271" s="4">
        <v>0.05</v>
      </c>
      <c r="L1271" s="3">
        <v>680.2</v>
      </c>
      <c r="M1271" t="b">
        <v>1</v>
      </c>
      <c r="N1271" s="2">
        <f>YEAR(B1271)</f>
        <v>2026</v>
      </c>
      <c r="O1271" t="str">
        <f>INDEX(Agences!$C:$C,MATCH(F1271,Agences!$A:$A,0))</f>
        <v>Île-de-France</v>
      </c>
      <c r="P1271" t="str">
        <f>INDEX(Produits!$C:$C,MATCH(H1271,Produits!$A:$A,0))</f>
        <v>Informatique</v>
      </c>
      <c r="Q1271" s="3">
        <f>I1271*INDEX(Produits!$E:$E,MATCH(H1271,Produits!$A:$A,0))</f>
        <v>587.12</v>
      </c>
      <c r="R1271" s="3">
        <f>L1271-Q1271</f>
        <v>93.08000000000004</v>
      </c>
      <c r="S1271" s="2">
        <f>NETWORKDAYS(B1271,C1271)-1</f>
        <v>3</v>
      </c>
      <c r="T1271" s="1">
        <f>WORKDAY(B1271,5)</f>
        <v>46098</v>
      </c>
      <c r="U1271" t="b">
        <f>C1271&gt;T1271</f>
        <v>0</v>
      </c>
    </row>
    <row r="1272" spans="1:21" x14ac:dyDescent="0.25">
      <c r="A1272" t="s">
        <v>1028</v>
      </c>
      <c r="B1272" s="1">
        <v>46091</v>
      </c>
      <c r="C1272" s="1">
        <v>46094</v>
      </c>
      <c r="D1272" t="s">
        <v>561</v>
      </c>
      <c r="E1272" t="s">
        <v>137</v>
      </c>
      <c r="F1272" t="s">
        <v>138</v>
      </c>
      <c r="G1272" t="s">
        <v>214</v>
      </c>
      <c r="H1272" t="s">
        <v>51</v>
      </c>
      <c r="I1272" s="2">
        <v>1</v>
      </c>
      <c r="J1272" s="3">
        <v>180</v>
      </c>
      <c r="K1272" s="4">
        <v>0.02</v>
      </c>
      <c r="L1272" s="3">
        <v>176.4</v>
      </c>
      <c r="M1272" t="b">
        <v>1</v>
      </c>
      <c r="N1272" s="2">
        <f>YEAR(B1272)</f>
        <v>2026</v>
      </c>
      <c r="O1272" t="str">
        <f>INDEX(Agences!$C:$C,MATCH(F1272,Agences!$A:$A,0))</f>
        <v>Île-de-France</v>
      </c>
      <c r="P1272" t="str">
        <f>INDEX(Produits!$C:$C,MATCH(H1272,Produits!$A:$A,0))</f>
        <v>Maintenance</v>
      </c>
      <c r="Q1272" s="3">
        <f>I1272*INDEX(Produits!$E:$E,MATCH(H1272,Produits!$A:$A,0))</f>
        <v>82.8</v>
      </c>
      <c r="R1272" s="3">
        <f>L1272-Q1272</f>
        <v>93.60000000000001</v>
      </c>
      <c r="S1272" s="2">
        <f>NETWORKDAYS(B1272,C1272)-1</f>
        <v>3</v>
      </c>
      <c r="T1272" s="1">
        <f>WORKDAY(B1272,5)</f>
        <v>46098</v>
      </c>
      <c r="U1272" t="b">
        <f>C1272&gt;T1272</f>
        <v>0</v>
      </c>
    </row>
    <row r="1273" spans="1:21" x14ac:dyDescent="0.25">
      <c r="A1273" t="s">
        <v>1029</v>
      </c>
      <c r="B1273" s="1">
        <v>46091</v>
      </c>
      <c r="C1273" s="1">
        <v>46093</v>
      </c>
      <c r="D1273" t="s">
        <v>1030</v>
      </c>
      <c r="E1273" t="s">
        <v>175</v>
      </c>
      <c r="F1273" t="s">
        <v>76</v>
      </c>
      <c r="G1273" t="s">
        <v>176</v>
      </c>
      <c r="H1273" t="s">
        <v>42</v>
      </c>
      <c r="I1273" s="2">
        <v>1</v>
      </c>
      <c r="J1273" s="3">
        <v>55</v>
      </c>
      <c r="K1273" s="4">
        <v>0</v>
      </c>
      <c r="L1273" s="3">
        <v>55</v>
      </c>
      <c r="M1273" t="b">
        <v>1</v>
      </c>
      <c r="N1273" s="2">
        <f>YEAR(B1273)</f>
        <v>2026</v>
      </c>
      <c r="O1273" t="str">
        <f>INDEX(Agences!$C:$C,MATCH(F1273,Agences!$A:$A,0))</f>
        <v>Île-de-France</v>
      </c>
      <c r="P1273" t="str">
        <f>INDEX(Produits!$C:$C,MATCH(H1273,Produits!$A:$A,0))</f>
        <v>Maintenance</v>
      </c>
      <c r="Q1273" s="3">
        <f>I1273*INDEX(Produits!$E:$E,MATCH(H1273,Produits!$A:$A,0))</f>
        <v>24.75</v>
      </c>
      <c r="R1273" s="3">
        <f>L1273-Q1273</f>
        <v>30.25</v>
      </c>
      <c r="S1273" s="2">
        <f>NETWORKDAYS(B1273,C1273)-1</f>
        <v>2</v>
      </c>
      <c r="T1273" s="1">
        <f>WORKDAY(B1273,5)</f>
        <v>46098</v>
      </c>
      <c r="U1273" t="b">
        <f>C1273&gt;T1273</f>
        <v>0</v>
      </c>
    </row>
    <row r="1274" spans="1:21" x14ac:dyDescent="0.25">
      <c r="A1274" t="s">
        <v>1029</v>
      </c>
      <c r="B1274" s="1">
        <v>46091</v>
      </c>
      <c r="C1274" s="1">
        <v>46093</v>
      </c>
      <c r="D1274" t="s">
        <v>1030</v>
      </c>
      <c r="E1274" t="s">
        <v>175</v>
      </c>
      <c r="F1274" t="s">
        <v>76</v>
      </c>
      <c r="G1274" t="s">
        <v>176</v>
      </c>
      <c r="H1274" t="s">
        <v>50</v>
      </c>
      <c r="I1274" s="2">
        <v>1</v>
      </c>
      <c r="J1274" s="3">
        <v>69</v>
      </c>
      <c r="K1274" s="4">
        <v>0.1</v>
      </c>
      <c r="L1274" s="3">
        <v>62.1</v>
      </c>
      <c r="M1274" t="b">
        <v>1</v>
      </c>
      <c r="N1274" s="2">
        <f>YEAR(B1274)</f>
        <v>2026</v>
      </c>
      <c r="O1274" t="str">
        <f>INDEX(Agences!$C:$C,MATCH(F1274,Agences!$A:$A,0))</f>
        <v>Île-de-France</v>
      </c>
      <c r="P1274" t="str">
        <f>INDEX(Produits!$C:$C,MATCH(H1274,Produits!$A:$A,0))</f>
        <v>Informatique</v>
      </c>
      <c r="Q1274" s="3">
        <f>I1274*INDEX(Produits!$E:$E,MATCH(H1274,Produits!$A:$A,0))</f>
        <v>54.51</v>
      </c>
      <c r="R1274" s="3">
        <f>L1274-Q1274</f>
        <v>7.590000000000003</v>
      </c>
      <c r="S1274" s="2">
        <f>NETWORKDAYS(B1274,C1274)-1</f>
        <v>2</v>
      </c>
      <c r="T1274" s="1">
        <f>WORKDAY(B1274,5)</f>
        <v>46098</v>
      </c>
      <c r="U1274" t="b">
        <f>C1274&gt;T1274</f>
        <v>0</v>
      </c>
    </row>
    <row r="1275" spans="1:21" x14ac:dyDescent="0.25">
      <c r="A1275" t="s">
        <v>1029</v>
      </c>
      <c r="B1275" s="1">
        <v>46091</v>
      </c>
      <c r="C1275" s="1">
        <v>46093</v>
      </c>
      <c r="D1275" t="s">
        <v>1030</v>
      </c>
      <c r="E1275" t="s">
        <v>175</v>
      </c>
      <c r="F1275" t="s">
        <v>76</v>
      </c>
      <c r="G1275" t="s">
        <v>176</v>
      </c>
      <c r="H1275" t="s">
        <v>606</v>
      </c>
      <c r="I1275" s="2">
        <v>1</v>
      </c>
      <c r="J1275" s="3">
        <v>1150</v>
      </c>
      <c r="K1275" s="4">
        <v>0.05</v>
      </c>
      <c r="L1275" s="3">
        <v>1092.5</v>
      </c>
      <c r="M1275" t="b">
        <v>1</v>
      </c>
      <c r="N1275" s="2">
        <f>YEAR(B1275)</f>
        <v>2026</v>
      </c>
      <c r="O1275" t="str">
        <f>INDEX(Agences!$C:$C,MATCH(F1275,Agences!$A:$A,0))</f>
        <v>Île-de-France</v>
      </c>
      <c r="P1275" t="str">
        <f>INDEX(Produits!$C:$C,MATCH(H1275,Produits!$A:$A,0))</f>
        <v>Mobilier</v>
      </c>
      <c r="Q1275" s="3">
        <f>I1275*INDEX(Produits!$E:$E,MATCH(H1275,Produits!$A:$A,0))</f>
        <v>713</v>
      </c>
      <c r="R1275" s="3">
        <f>L1275-Q1275</f>
        <v>379.5</v>
      </c>
      <c r="S1275" s="2">
        <f>NETWORKDAYS(B1275,C1275)-1</f>
        <v>2</v>
      </c>
      <c r="T1275" s="1">
        <f>WORKDAY(B1275,5)</f>
        <v>46098</v>
      </c>
      <c r="U1275" t="b">
        <f>C1275&gt;T1275</f>
        <v>0</v>
      </c>
    </row>
    <row r="1276" spans="1:21" x14ac:dyDescent="0.25">
      <c r="A1276" t="s">
        <v>1031</v>
      </c>
      <c r="B1276" s="1">
        <v>46091</v>
      </c>
      <c r="C1276" s="1">
        <v>46093</v>
      </c>
      <c r="D1276" t="s">
        <v>861</v>
      </c>
      <c r="E1276" t="s">
        <v>175</v>
      </c>
      <c r="F1276" t="s">
        <v>76</v>
      </c>
      <c r="G1276" t="s">
        <v>176</v>
      </c>
      <c r="H1276" t="s">
        <v>161</v>
      </c>
      <c r="I1276" s="2">
        <v>20</v>
      </c>
      <c r="J1276" s="3">
        <v>32</v>
      </c>
      <c r="K1276" s="4">
        <v>0.05</v>
      </c>
      <c r="L1276" s="3">
        <v>608</v>
      </c>
      <c r="M1276" t="b">
        <v>1</v>
      </c>
      <c r="N1276" s="2">
        <f>YEAR(B1276)</f>
        <v>2026</v>
      </c>
      <c r="O1276" t="str">
        <f>INDEX(Agences!$C:$C,MATCH(F1276,Agences!$A:$A,0))</f>
        <v>Île-de-France</v>
      </c>
      <c r="P1276" t="str">
        <f>INDEX(Produits!$C:$C,MATCH(H1276,Produits!$A:$A,0))</f>
        <v>Fournitures</v>
      </c>
      <c r="Q1276" s="3">
        <f>I1276*INDEX(Produits!$E:$E,MATCH(H1276,Produits!$A:$A,0))</f>
        <v>352</v>
      </c>
      <c r="R1276" s="3">
        <f>L1276-Q1276</f>
        <v>256</v>
      </c>
      <c r="S1276" s="2">
        <f>NETWORKDAYS(B1276,C1276)-1</f>
        <v>2</v>
      </c>
      <c r="T1276" s="1">
        <f>WORKDAY(B1276,5)</f>
        <v>46098</v>
      </c>
      <c r="U1276" t="b">
        <f>C1276&gt;T1276</f>
        <v>0</v>
      </c>
    </row>
    <row r="1277" spans="1:21" x14ac:dyDescent="0.25">
      <c r="A1277" t="s">
        <v>1032</v>
      </c>
      <c r="B1277" s="1">
        <v>46090</v>
      </c>
      <c r="C1277" s="1">
        <v>46093</v>
      </c>
      <c r="D1277" t="s">
        <v>198</v>
      </c>
      <c r="E1277" t="s">
        <v>122</v>
      </c>
      <c r="F1277" t="s">
        <v>24</v>
      </c>
      <c r="G1277" t="s">
        <v>116</v>
      </c>
      <c r="H1277" t="s">
        <v>83</v>
      </c>
      <c r="I1277" s="2">
        <v>5</v>
      </c>
      <c r="J1277" s="3">
        <v>49</v>
      </c>
      <c r="K1277" s="4">
        <v>0</v>
      </c>
      <c r="L1277" s="3">
        <v>245</v>
      </c>
      <c r="M1277" t="b">
        <v>1</v>
      </c>
      <c r="N1277" s="2">
        <f>YEAR(B1277)</f>
        <v>2026</v>
      </c>
      <c r="O1277" t="str">
        <f>INDEX(Agences!$C:$C,MATCH(F1277,Agences!$A:$A,0))</f>
        <v>Nord</v>
      </c>
      <c r="P1277" t="str">
        <f>INDEX(Produits!$C:$C,MATCH(H1277,Produits!$A:$A,0))</f>
        <v>Mobilier</v>
      </c>
      <c r="Q1277" s="3">
        <f>I1277*INDEX(Produits!$E:$E,MATCH(H1277,Produits!$A:$A,0))</f>
        <v>142.10000000000002</v>
      </c>
      <c r="R1277" s="3">
        <f>L1277-Q1277</f>
        <v>102.89999999999998</v>
      </c>
      <c r="S1277" s="2">
        <f>NETWORKDAYS(B1277,C1277)-1</f>
        <v>3</v>
      </c>
      <c r="T1277" s="1">
        <f>WORKDAY(B1277,5)</f>
        <v>46097</v>
      </c>
      <c r="U1277" t="b">
        <f>C1277&gt;T1277</f>
        <v>0</v>
      </c>
    </row>
    <row r="1278" spans="1:21" x14ac:dyDescent="0.25">
      <c r="A1278" t="s">
        <v>1032</v>
      </c>
      <c r="B1278" s="1">
        <v>46090</v>
      </c>
      <c r="C1278" s="1">
        <v>46093</v>
      </c>
      <c r="D1278" t="s">
        <v>198</v>
      </c>
      <c r="E1278" t="s">
        <v>122</v>
      </c>
      <c r="F1278" t="s">
        <v>24</v>
      </c>
      <c r="G1278" t="s">
        <v>116</v>
      </c>
      <c r="H1278" t="s">
        <v>34</v>
      </c>
      <c r="I1278" s="2">
        <v>1</v>
      </c>
      <c r="J1278" s="3">
        <v>340</v>
      </c>
      <c r="K1278" s="4">
        <v>0</v>
      </c>
      <c r="L1278" s="3">
        <v>340</v>
      </c>
      <c r="M1278" t="b">
        <v>1</v>
      </c>
      <c r="N1278" s="2">
        <f>YEAR(B1278)</f>
        <v>2026</v>
      </c>
      <c r="O1278" t="str">
        <f>INDEX(Agences!$C:$C,MATCH(F1278,Agences!$A:$A,0))</f>
        <v>Nord</v>
      </c>
      <c r="P1278" t="str">
        <f>INDEX(Produits!$C:$C,MATCH(H1278,Produits!$A:$A,0))</f>
        <v>Informatique</v>
      </c>
      <c r="Q1278" s="3">
        <f>I1278*INDEX(Produits!$E:$E,MATCH(H1278,Produits!$A:$A,0))</f>
        <v>275.4</v>
      </c>
      <c r="R1278" s="3">
        <f>L1278-Q1278</f>
        <v>64.60000000000002</v>
      </c>
      <c r="S1278" s="2">
        <f>NETWORKDAYS(B1278,C1278)-1</f>
        <v>3</v>
      </c>
      <c r="T1278" s="1">
        <f>WORKDAY(B1278,5)</f>
        <v>46097</v>
      </c>
      <c r="U1278" t="b">
        <f>C1278&gt;T1278</f>
        <v>0</v>
      </c>
    </row>
    <row r="1279" spans="1:21" x14ac:dyDescent="0.25">
      <c r="A1279" t="s">
        <v>1032</v>
      </c>
      <c r="B1279" s="1">
        <v>46090</v>
      </c>
      <c r="C1279" s="1">
        <v>46093</v>
      </c>
      <c r="D1279" t="s">
        <v>198</v>
      </c>
      <c r="E1279" t="s">
        <v>122</v>
      </c>
      <c r="F1279" t="s">
        <v>24</v>
      </c>
      <c r="G1279" t="s">
        <v>116</v>
      </c>
      <c r="H1279" t="s">
        <v>103</v>
      </c>
      <c r="I1279" s="2">
        <v>1</v>
      </c>
      <c r="J1279" s="3">
        <v>245</v>
      </c>
      <c r="K1279" s="4">
        <v>0.05</v>
      </c>
      <c r="L1279" s="3">
        <v>232.75</v>
      </c>
      <c r="M1279" t="b">
        <v>1</v>
      </c>
      <c r="N1279" s="2">
        <f>YEAR(B1279)</f>
        <v>2026</v>
      </c>
      <c r="O1279" t="str">
        <f>INDEX(Agences!$C:$C,MATCH(F1279,Agences!$A:$A,0))</f>
        <v>Nord</v>
      </c>
      <c r="P1279" t="str">
        <f>INDEX(Produits!$C:$C,MATCH(H1279,Produits!$A:$A,0))</f>
        <v>Mobilier</v>
      </c>
      <c r="Q1279" s="3">
        <f>I1279*INDEX(Produits!$E:$E,MATCH(H1279,Produits!$A:$A,0))</f>
        <v>164.15</v>
      </c>
      <c r="R1279" s="3">
        <f>L1279-Q1279</f>
        <v>68.6</v>
      </c>
      <c r="S1279" s="2">
        <f>NETWORKDAYS(B1279,C1279)-1</f>
        <v>3</v>
      </c>
      <c r="T1279" s="1">
        <f>WORKDAY(B1279,5)</f>
        <v>46097</v>
      </c>
      <c r="U1279" t="b">
        <f>C1279&gt;T1279</f>
        <v>0</v>
      </c>
    </row>
    <row r="1280" spans="1:21" x14ac:dyDescent="0.25">
      <c r="A1280" t="s">
        <v>1033</v>
      </c>
      <c r="B1280" s="1">
        <v>46090</v>
      </c>
      <c r="C1280" s="1">
        <v>46092</v>
      </c>
      <c r="D1280" t="s">
        <v>731</v>
      </c>
      <c r="E1280" t="s">
        <v>209</v>
      </c>
      <c r="F1280" t="s">
        <v>99</v>
      </c>
      <c r="G1280" t="s">
        <v>265</v>
      </c>
      <c r="H1280" t="s">
        <v>319</v>
      </c>
      <c r="I1280" s="2">
        <v>2</v>
      </c>
      <c r="J1280" s="3">
        <v>289</v>
      </c>
      <c r="K1280" s="4">
        <v>0.1</v>
      </c>
      <c r="L1280" s="3">
        <v>520.2</v>
      </c>
      <c r="M1280" t="b">
        <v>1</v>
      </c>
      <c r="N1280" s="2">
        <f>YEAR(B1280)</f>
        <v>2026</v>
      </c>
      <c r="O1280" t="str">
        <f>INDEX(Agences!$C:$C,MATCH(F1280,Agences!$A:$A,0))</f>
        <v>Nord</v>
      </c>
      <c r="P1280" t="str">
        <f>INDEX(Produits!$C:$C,MATCH(H1280,Produits!$A:$A,0))</f>
        <v>Informatique</v>
      </c>
      <c r="Q1280" s="3">
        <f>I1280*INDEX(Produits!$E:$E,MATCH(H1280,Produits!$A:$A,0))</f>
        <v>427.72</v>
      </c>
      <c r="R1280" s="3">
        <f>L1280-Q1280</f>
        <v>92.48000000000002</v>
      </c>
      <c r="S1280" s="2">
        <f>NETWORKDAYS(B1280,C1280)-1</f>
        <v>2</v>
      </c>
      <c r="T1280" s="1">
        <f>WORKDAY(B1280,5)</f>
        <v>46097</v>
      </c>
      <c r="U1280" t="b">
        <f>C1280&gt;T1280</f>
        <v>0</v>
      </c>
    </row>
    <row r="1281" spans="1:21" x14ac:dyDescent="0.25">
      <c r="A1281" t="s">
        <v>1033</v>
      </c>
      <c r="B1281" s="1">
        <v>46090</v>
      </c>
      <c r="C1281" s="1">
        <v>46092</v>
      </c>
      <c r="D1281" t="s">
        <v>731</v>
      </c>
      <c r="E1281" t="s">
        <v>209</v>
      </c>
      <c r="F1281" t="s">
        <v>99</v>
      </c>
      <c r="G1281" t="s">
        <v>265</v>
      </c>
      <c r="H1281" t="s">
        <v>50</v>
      </c>
      <c r="I1281" s="2">
        <v>1</v>
      </c>
      <c r="J1281" s="3">
        <v>69</v>
      </c>
      <c r="K1281" s="4">
        <v>0</v>
      </c>
      <c r="L1281" s="3">
        <v>69</v>
      </c>
      <c r="M1281" t="b">
        <v>1</v>
      </c>
      <c r="N1281" s="2">
        <f>YEAR(B1281)</f>
        <v>2026</v>
      </c>
      <c r="O1281" t="str">
        <f>INDEX(Agences!$C:$C,MATCH(F1281,Agences!$A:$A,0))</f>
        <v>Nord</v>
      </c>
      <c r="P1281" t="str">
        <f>INDEX(Produits!$C:$C,MATCH(H1281,Produits!$A:$A,0))</f>
        <v>Informatique</v>
      </c>
      <c r="Q1281" s="3">
        <f>I1281*INDEX(Produits!$E:$E,MATCH(H1281,Produits!$A:$A,0))</f>
        <v>54.51</v>
      </c>
      <c r="R1281" s="3">
        <f>L1281-Q1281</f>
        <v>14.490000000000002</v>
      </c>
      <c r="S1281" s="2">
        <f>NETWORKDAYS(B1281,C1281)-1</f>
        <v>2</v>
      </c>
      <c r="T1281" s="1">
        <f>WORKDAY(B1281,5)</f>
        <v>46097</v>
      </c>
      <c r="U1281" t="b">
        <f>C1281&gt;T1281</f>
        <v>0</v>
      </c>
    </row>
    <row r="1282" spans="1:21" x14ac:dyDescent="0.25">
      <c r="A1282" t="s">
        <v>1033</v>
      </c>
      <c r="B1282" s="1">
        <v>46090</v>
      </c>
      <c r="C1282" s="1">
        <v>46092</v>
      </c>
      <c r="D1282" t="s">
        <v>731</v>
      </c>
      <c r="E1282" t="s">
        <v>209</v>
      </c>
      <c r="F1282" t="s">
        <v>99</v>
      </c>
      <c r="G1282" t="s">
        <v>265</v>
      </c>
      <c r="H1282" t="s">
        <v>42</v>
      </c>
      <c r="I1282" s="2">
        <v>1</v>
      </c>
      <c r="J1282" s="3">
        <v>55</v>
      </c>
      <c r="K1282" s="4">
        <v>0.05</v>
      </c>
      <c r="L1282" s="3">
        <v>52.25</v>
      </c>
      <c r="M1282" t="b">
        <v>1</v>
      </c>
      <c r="N1282" s="2">
        <f>YEAR(B1282)</f>
        <v>2026</v>
      </c>
      <c r="O1282" t="str">
        <f>INDEX(Agences!$C:$C,MATCH(F1282,Agences!$A:$A,0))</f>
        <v>Nord</v>
      </c>
      <c r="P1282" t="str">
        <f>INDEX(Produits!$C:$C,MATCH(H1282,Produits!$A:$A,0))</f>
        <v>Maintenance</v>
      </c>
      <c r="Q1282" s="3">
        <f>I1282*INDEX(Produits!$E:$E,MATCH(H1282,Produits!$A:$A,0))</f>
        <v>24.75</v>
      </c>
      <c r="R1282" s="3">
        <f>L1282-Q1282</f>
        <v>27.5</v>
      </c>
      <c r="S1282" s="2">
        <f>NETWORKDAYS(B1282,C1282)-1</f>
        <v>2</v>
      </c>
      <c r="T1282" s="1">
        <f>WORKDAY(B1282,5)</f>
        <v>46097</v>
      </c>
      <c r="U1282" t="b">
        <f>C1282&gt;T1282</f>
        <v>0</v>
      </c>
    </row>
    <row r="1283" spans="1:21" x14ac:dyDescent="0.25">
      <c r="A1283" t="s">
        <v>1034</v>
      </c>
      <c r="B1283" s="1">
        <v>46090</v>
      </c>
      <c r="C1283" s="1">
        <v>46093</v>
      </c>
      <c r="D1283" t="s">
        <v>558</v>
      </c>
      <c r="E1283" t="s">
        <v>316</v>
      </c>
      <c r="F1283" t="s">
        <v>46</v>
      </c>
      <c r="G1283" t="s">
        <v>47</v>
      </c>
      <c r="H1283" t="s">
        <v>48</v>
      </c>
      <c r="I1283" s="2">
        <v>1</v>
      </c>
      <c r="J1283" s="3">
        <v>165</v>
      </c>
      <c r="K1283" s="4">
        <v>0.02</v>
      </c>
      <c r="L1283" s="3">
        <v>161.7</v>
      </c>
      <c r="M1283" t="b">
        <v>1</v>
      </c>
      <c r="N1283" s="2">
        <f>YEAR(B1283)</f>
        <v>2026</v>
      </c>
      <c r="O1283" t="str">
        <f>INDEX(Agences!$C:$C,MATCH(F1283,Agences!$A:$A,0))</f>
        <v>Est</v>
      </c>
      <c r="P1283" t="str">
        <f>INDEX(Produits!$C:$C,MATCH(H1283,Produits!$A:$A,0))</f>
        <v>Mobilier</v>
      </c>
      <c r="Q1283" s="3">
        <f>I1283*INDEX(Produits!$E:$E,MATCH(H1283,Produits!$A:$A,0))</f>
        <v>107.25</v>
      </c>
      <c r="R1283" s="3">
        <f>L1283-Q1283</f>
        <v>54.44999999999999</v>
      </c>
      <c r="S1283" s="2">
        <f>NETWORKDAYS(B1283,C1283)-1</f>
        <v>3</v>
      </c>
      <c r="T1283" s="1">
        <f>WORKDAY(B1283,5)</f>
        <v>46097</v>
      </c>
      <c r="U1283" t="b">
        <f>C1283&gt;T1283</f>
        <v>0</v>
      </c>
    </row>
    <row r="1284" spans="1:21" x14ac:dyDescent="0.25">
      <c r="A1284" t="s">
        <v>1034</v>
      </c>
      <c r="B1284" s="1">
        <v>46090</v>
      </c>
      <c r="C1284" s="1">
        <v>46093</v>
      </c>
      <c r="D1284" t="s">
        <v>558</v>
      </c>
      <c r="E1284" t="s">
        <v>316</v>
      </c>
      <c r="F1284" t="s">
        <v>46</v>
      </c>
      <c r="G1284" t="s">
        <v>47</v>
      </c>
      <c r="H1284" t="s">
        <v>50</v>
      </c>
      <c r="I1284" s="2">
        <v>1</v>
      </c>
      <c r="J1284" s="3">
        <v>69</v>
      </c>
      <c r="K1284" s="4">
        <v>0.05</v>
      </c>
      <c r="L1284" s="3">
        <v>65.55</v>
      </c>
      <c r="M1284" t="b">
        <v>1</v>
      </c>
      <c r="N1284" s="2">
        <f>YEAR(B1284)</f>
        <v>2026</v>
      </c>
      <c r="O1284" t="str">
        <f>INDEX(Agences!$C:$C,MATCH(F1284,Agences!$A:$A,0))</f>
        <v>Est</v>
      </c>
      <c r="P1284" t="str">
        <f>INDEX(Produits!$C:$C,MATCH(H1284,Produits!$A:$A,0))</f>
        <v>Informatique</v>
      </c>
      <c r="Q1284" s="3">
        <f>I1284*INDEX(Produits!$E:$E,MATCH(H1284,Produits!$A:$A,0))</f>
        <v>54.51</v>
      </c>
      <c r="R1284" s="3">
        <f>L1284-Q1284</f>
        <v>11.04</v>
      </c>
      <c r="S1284" s="2">
        <f>NETWORKDAYS(B1284,C1284)-1</f>
        <v>3</v>
      </c>
      <c r="T1284" s="1">
        <f>WORKDAY(B1284,5)</f>
        <v>46097</v>
      </c>
      <c r="U1284" t="b">
        <f>C1284&gt;T1284</f>
        <v>0</v>
      </c>
    </row>
    <row r="1285" spans="1:21" x14ac:dyDescent="0.25">
      <c r="A1285" t="s">
        <v>1034</v>
      </c>
      <c r="B1285" s="1">
        <v>46090</v>
      </c>
      <c r="C1285" s="1">
        <v>46093</v>
      </c>
      <c r="D1285" t="s">
        <v>558</v>
      </c>
      <c r="E1285" t="s">
        <v>316</v>
      </c>
      <c r="F1285" t="s">
        <v>46</v>
      </c>
      <c r="G1285" t="s">
        <v>47</v>
      </c>
      <c r="H1285" t="s">
        <v>64</v>
      </c>
      <c r="I1285" s="2">
        <v>25</v>
      </c>
      <c r="J1285" s="3">
        <v>16.8</v>
      </c>
      <c r="K1285" s="4">
        <v>0.08</v>
      </c>
      <c r="L1285" s="3">
        <v>386.4</v>
      </c>
      <c r="M1285" t="b">
        <v>1</v>
      </c>
      <c r="N1285" s="2">
        <f>YEAR(B1285)</f>
        <v>2026</v>
      </c>
      <c r="O1285" t="str">
        <f>INDEX(Agences!$C:$C,MATCH(F1285,Agences!$A:$A,0))</f>
        <v>Est</v>
      </c>
      <c r="P1285" t="str">
        <f>INDEX(Produits!$C:$C,MATCH(H1285,Produits!$A:$A,0))</f>
        <v>Fournitures</v>
      </c>
      <c r="Q1285" s="3">
        <f>I1285*INDEX(Produits!$E:$E,MATCH(H1285,Produits!$A:$A,0))</f>
        <v>218.5</v>
      </c>
      <c r="R1285" s="3">
        <f>L1285-Q1285</f>
        <v>167.89999999999998</v>
      </c>
      <c r="S1285" s="2">
        <f>NETWORKDAYS(B1285,C1285)-1</f>
        <v>3</v>
      </c>
      <c r="T1285" s="1">
        <f>WORKDAY(B1285,5)</f>
        <v>46097</v>
      </c>
      <c r="U1285" t="b">
        <f>C1285&gt;T1285</f>
        <v>0</v>
      </c>
    </row>
    <row r="1286" spans="1:21" x14ac:dyDescent="0.25">
      <c r="A1286" t="s">
        <v>1034</v>
      </c>
      <c r="B1286" s="1">
        <v>46090</v>
      </c>
      <c r="C1286" s="1">
        <v>46093</v>
      </c>
      <c r="D1286" t="s">
        <v>558</v>
      </c>
      <c r="E1286" t="s">
        <v>316</v>
      </c>
      <c r="F1286" t="s">
        <v>46</v>
      </c>
      <c r="G1286" t="s">
        <v>47</v>
      </c>
      <c r="H1286" t="s">
        <v>319</v>
      </c>
      <c r="I1286" s="2">
        <v>1</v>
      </c>
      <c r="J1286" s="3">
        <v>289</v>
      </c>
      <c r="K1286" s="4">
        <v>0.02</v>
      </c>
      <c r="L1286" s="3">
        <v>283.22</v>
      </c>
      <c r="M1286" t="b">
        <v>1</v>
      </c>
      <c r="N1286" s="2">
        <f>YEAR(B1286)</f>
        <v>2026</v>
      </c>
      <c r="O1286" t="str">
        <f>INDEX(Agences!$C:$C,MATCH(F1286,Agences!$A:$A,0))</f>
        <v>Est</v>
      </c>
      <c r="P1286" t="str">
        <f>INDEX(Produits!$C:$C,MATCH(H1286,Produits!$A:$A,0))</f>
        <v>Informatique</v>
      </c>
      <c r="Q1286" s="3">
        <f>I1286*INDEX(Produits!$E:$E,MATCH(H1286,Produits!$A:$A,0))</f>
        <v>213.86</v>
      </c>
      <c r="R1286" s="3">
        <f>L1286-Q1286</f>
        <v>69.36000000000001</v>
      </c>
      <c r="S1286" s="2">
        <f>NETWORKDAYS(B1286,C1286)-1</f>
        <v>3</v>
      </c>
      <c r="T1286" s="1">
        <f>WORKDAY(B1286,5)</f>
        <v>46097</v>
      </c>
      <c r="U1286" t="b">
        <f>C1286&gt;T1286</f>
        <v>0</v>
      </c>
    </row>
    <row r="1287" spans="1:21" x14ac:dyDescent="0.25">
      <c r="A1287" t="s">
        <v>1035</v>
      </c>
      <c r="B1287" s="1">
        <v>46087</v>
      </c>
      <c r="C1287" s="1">
        <v>46091</v>
      </c>
      <c r="D1287" t="s">
        <v>1036</v>
      </c>
      <c r="E1287" t="s">
        <v>333</v>
      </c>
      <c r="F1287" t="s">
        <v>138</v>
      </c>
      <c r="G1287" t="s">
        <v>139</v>
      </c>
      <c r="H1287" t="s">
        <v>34</v>
      </c>
      <c r="I1287" s="2">
        <v>4</v>
      </c>
      <c r="J1287" s="3">
        <v>340</v>
      </c>
      <c r="K1287" s="4">
        <v>0.05</v>
      </c>
      <c r="L1287" s="3">
        <v>1292</v>
      </c>
      <c r="M1287" t="b">
        <v>1</v>
      </c>
      <c r="N1287" s="2">
        <f>YEAR(B1287)</f>
        <v>2026</v>
      </c>
      <c r="O1287" t="str">
        <f>INDEX(Agences!$C:$C,MATCH(F1287,Agences!$A:$A,0))</f>
        <v>Île-de-France</v>
      </c>
      <c r="P1287" t="str">
        <f>INDEX(Produits!$C:$C,MATCH(H1287,Produits!$A:$A,0))</f>
        <v>Informatique</v>
      </c>
      <c r="Q1287" s="3">
        <f>I1287*INDEX(Produits!$E:$E,MATCH(H1287,Produits!$A:$A,0))</f>
        <v>1101.6</v>
      </c>
      <c r="R1287" s="3">
        <f>L1287-Q1287</f>
        <v>190.4000000000001</v>
      </c>
      <c r="S1287" s="2">
        <f>NETWORKDAYS(B1287,C1287)-1</f>
        <v>2</v>
      </c>
      <c r="T1287" s="1">
        <f>WORKDAY(B1287,5)</f>
        <v>46094</v>
      </c>
      <c r="U1287" t="b">
        <f>C1287&gt;T1287</f>
        <v>0</v>
      </c>
    </row>
    <row r="1288" spans="1:21" x14ac:dyDescent="0.25">
      <c r="A1288" t="s">
        <v>1035</v>
      </c>
      <c r="B1288" s="1">
        <v>46087</v>
      </c>
      <c r="C1288" s="1">
        <v>46091</v>
      </c>
      <c r="D1288" t="s">
        <v>1036</v>
      </c>
      <c r="E1288" t="s">
        <v>333</v>
      </c>
      <c r="F1288" t="s">
        <v>138</v>
      </c>
      <c r="G1288" t="s">
        <v>139</v>
      </c>
      <c r="H1288" t="s">
        <v>132</v>
      </c>
      <c r="I1288" s="2">
        <v>1</v>
      </c>
      <c r="J1288" s="3">
        <v>650</v>
      </c>
      <c r="K1288" s="4">
        <v>0</v>
      </c>
      <c r="L1288" s="3">
        <v>650</v>
      </c>
      <c r="M1288" t="b">
        <v>1</v>
      </c>
      <c r="N1288" s="2">
        <f>YEAR(B1288)</f>
        <v>2026</v>
      </c>
      <c r="O1288" t="str">
        <f>INDEX(Agences!$C:$C,MATCH(F1288,Agences!$A:$A,0))</f>
        <v>Île-de-France</v>
      </c>
      <c r="P1288" t="str">
        <f>INDEX(Produits!$C:$C,MATCH(H1288,Produits!$A:$A,0))</f>
        <v>Maintenance</v>
      </c>
      <c r="Q1288" s="3">
        <f>I1288*INDEX(Produits!$E:$E,MATCH(H1288,Produits!$A:$A,0))</f>
        <v>273</v>
      </c>
      <c r="R1288" s="3">
        <f>L1288-Q1288</f>
        <v>377</v>
      </c>
      <c r="S1288" s="2">
        <f>NETWORKDAYS(B1288,C1288)-1</f>
        <v>2</v>
      </c>
      <c r="T1288" s="1">
        <f>WORKDAY(B1288,5)</f>
        <v>46094</v>
      </c>
      <c r="U1288" t="b">
        <f>C1288&gt;T1288</f>
        <v>0</v>
      </c>
    </row>
    <row r="1289" spans="1:21" x14ac:dyDescent="0.25">
      <c r="A1289" t="s">
        <v>1035</v>
      </c>
      <c r="B1289" s="1">
        <v>46087</v>
      </c>
      <c r="C1289" s="1">
        <v>46091</v>
      </c>
      <c r="D1289" t="s">
        <v>1036</v>
      </c>
      <c r="E1289" t="s">
        <v>333</v>
      </c>
      <c r="F1289" t="s">
        <v>138</v>
      </c>
      <c r="G1289" t="s">
        <v>139</v>
      </c>
      <c r="H1289" t="s">
        <v>42</v>
      </c>
      <c r="I1289" s="2">
        <v>1</v>
      </c>
      <c r="J1289" s="3">
        <v>55</v>
      </c>
      <c r="K1289" s="4">
        <v>0.02</v>
      </c>
      <c r="L1289" s="3">
        <v>53.9</v>
      </c>
      <c r="M1289" t="b">
        <v>1</v>
      </c>
      <c r="N1289" s="2">
        <f>YEAR(B1289)</f>
        <v>2026</v>
      </c>
      <c r="O1289" t="str">
        <f>INDEX(Agences!$C:$C,MATCH(F1289,Agences!$A:$A,0))</f>
        <v>Île-de-France</v>
      </c>
      <c r="P1289" t="str">
        <f>INDEX(Produits!$C:$C,MATCH(H1289,Produits!$A:$A,0))</f>
        <v>Maintenance</v>
      </c>
      <c r="Q1289" s="3">
        <f>I1289*INDEX(Produits!$E:$E,MATCH(H1289,Produits!$A:$A,0))</f>
        <v>24.75</v>
      </c>
      <c r="R1289" s="3">
        <f>L1289-Q1289</f>
        <v>29.15</v>
      </c>
      <c r="S1289" s="2">
        <f>NETWORKDAYS(B1289,C1289)-1</f>
        <v>2</v>
      </c>
      <c r="T1289" s="1">
        <f>WORKDAY(B1289,5)</f>
        <v>46094</v>
      </c>
      <c r="U1289" t="b">
        <f>C1289&gt;T1289</f>
        <v>0</v>
      </c>
    </row>
    <row r="1290" spans="1:21" x14ac:dyDescent="0.25">
      <c r="A1290" t="s">
        <v>1035</v>
      </c>
      <c r="B1290" s="1">
        <v>46087</v>
      </c>
      <c r="C1290" s="1">
        <v>46091</v>
      </c>
      <c r="D1290" t="s">
        <v>1036</v>
      </c>
      <c r="E1290" t="s">
        <v>333</v>
      </c>
      <c r="F1290" t="s">
        <v>138</v>
      </c>
      <c r="G1290" t="s">
        <v>139</v>
      </c>
      <c r="H1290" t="s">
        <v>64</v>
      </c>
      <c r="I1290" s="2">
        <v>30</v>
      </c>
      <c r="J1290" s="3">
        <v>16.8</v>
      </c>
      <c r="K1290" s="4">
        <v>0</v>
      </c>
      <c r="L1290" s="3">
        <v>504</v>
      </c>
      <c r="M1290" t="b">
        <v>1</v>
      </c>
      <c r="N1290" s="2">
        <f>YEAR(B1290)</f>
        <v>2026</v>
      </c>
      <c r="O1290" t="str">
        <f>INDEX(Agences!$C:$C,MATCH(F1290,Agences!$A:$A,0))</f>
        <v>Île-de-France</v>
      </c>
      <c r="P1290" t="str">
        <f>INDEX(Produits!$C:$C,MATCH(H1290,Produits!$A:$A,0))</f>
        <v>Fournitures</v>
      </c>
      <c r="Q1290" s="3">
        <f>I1290*INDEX(Produits!$E:$E,MATCH(H1290,Produits!$A:$A,0))</f>
        <v>262.2</v>
      </c>
      <c r="R1290" s="3">
        <f>L1290-Q1290</f>
        <v>241.8</v>
      </c>
      <c r="S1290" s="2">
        <f>NETWORKDAYS(B1290,C1290)-1</f>
        <v>2</v>
      </c>
      <c r="T1290" s="1">
        <f>WORKDAY(B1290,5)</f>
        <v>46094</v>
      </c>
      <c r="U1290" t="b">
        <f>C1290&gt;T1290</f>
        <v>0</v>
      </c>
    </row>
    <row r="1291" spans="1:21" x14ac:dyDescent="0.25">
      <c r="A1291" t="s">
        <v>1035</v>
      </c>
      <c r="B1291" s="1">
        <v>46087</v>
      </c>
      <c r="C1291" s="1">
        <v>46091</v>
      </c>
      <c r="D1291" t="s">
        <v>1036</v>
      </c>
      <c r="E1291" t="s">
        <v>333</v>
      </c>
      <c r="F1291" t="s">
        <v>138</v>
      </c>
      <c r="G1291" t="s">
        <v>139</v>
      </c>
      <c r="H1291" t="s">
        <v>237</v>
      </c>
      <c r="I1291" s="2">
        <v>2</v>
      </c>
      <c r="J1291" s="3">
        <v>890</v>
      </c>
      <c r="K1291" s="4">
        <v>0.05</v>
      </c>
      <c r="L1291" s="3">
        <v>1691</v>
      </c>
      <c r="M1291" t="b">
        <v>1</v>
      </c>
      <c r="N1291" s="2">
        <f>YEAR(B1291)</f>
        <v>2026</v>
      </c>
      <c r="O1291" t="str">
        <f>INDEX(Agences!$C:$C,MATCH(F1291,Agences!$A:$A,0))</f>
        <v>Île-de-France</v>
      </c>
      <c r="P1291" t="str">
        <f>INDEX(Produits!$C:$C,MATCH(H1291,Produits!$A:$A,0))</f>
        <v>Mobilier</v>
      </c>
      <c r="Q1291" s="3">
        <f>I1291*INDEX(Produits!$E:$E,MATCH(H1291,Produits!$A:$A,0))</f>
        <v>1192.6</v>
      </c>
      <c r="R1291" s="3">
        <f>L1291-Q1291</f>
        <v>498.4000000000001</v>
      </c>
      <c r="S1291" s="2">
        <f>NETWORKDAYS(B1291,C1291)-1</f>
        <v>2</v>
      </c>
      <c r="T1291" s="1">
        <f>WORKDAY(B1291,5)</f>
        <v>46094</v>
      </c>
      <c r="U1291" t="b">
        <f>C1291&gt;T1291</f>
        <v>0</v>
      </c>
    </row>
    <row r="1292" spans="1:21" x14ac:dyDescent="0.25">
      <c r="A1292" t="s">
        <v>1037</v>
      </c>
      <c r="B1292" s="1">
        <v>46087</v>
      </c>
      <c r="C1292" s="1">
        <v>46093</v>
      </c>
      <c r="D1292" t="s">
        <v>886</v>
      </c>
      <c r="E1292" t="s">
        <v>333</v>
      </c>
      <c r="F1292" t="s">
        <v>138</v>
      </c>
      <c r="G1292" t="s">
        <v>220</v>
      </c>
      <c r="H1292" t="s">
        <v>35</v>
      </c>
      <c r="I1292" s="2">
        <v>6</v>
      </c>
      <c r="J1292" s="3">
        <v>79</v>
      </c>
      <c r="K1292" s="4">
        <v>0</v>
      </c>
      <c r="L1292" s="3">
        <v>474</v>
      </c>
      <c r="M1292" t="b">
        <v>1</v>
      </c>
      <c r="N1292" s="2">
        <f>YEAR(B1292)</f>
        <v>2026</v>
      </c>
      <c r="O1292" t="str">
        <f>INDEX(Agences!$C:$C,MATCH(F1292,Agences!$A:$A,0))</f>
        <v>Île-de-France</v>
      </c>
      <c r="P1292" t="str">
        <f>INDEX(Produits!$C:$C,MATCH(H1292,Produits!$A:$A,0))</f>
        <v>Mobilier</v>
      </c>
      <c r="Q1292" s="3">
        <f>I1292*INDEX(Produits!$E:$E,MATCH(H1292,Produits!$A:$A,0))</f>
        <v>279.65999999999997</v>
      </c>
      <c r="R1292" s="3">
        <f>L1292-Q1292</f>
        <v>194.34000000000003</v>
      </c>
      <c r="S1292" s="2">
        <f>NETWORKDAYS(B1292,C1292)-1</f>
        <v>4</v>
      </c>
      <c r="T1292" s="1">
        <f>WORKDAY(B1292,5)</f>
        <v>46094</v>
      </c>
      <c r="U1292" t="b">
        <f>C1292&gt;T1292</f>
        <v>0</v>
      </c>
    </row>
    <row r="1293" spans="1:21" x14ac:dyDescent="0.25">
      <c r="A1293" t="s">
        <v>1038</v>
      </c>
      <c r="B1293" s="1">
        <v>46087</v>
      </c>
      <c r="C1293" s="1">
        <v>46094</v>
      </c>
      <c r="D1293" t="s">
        <v>1039</v>
      </c>
      <c r="E1293" t="s">
        <v>374</v>
      </c>
      <c r="F1293" t="s">
        <v>31</v>
      </c>
      <c r="G1293" t="s">
        <v>375</v>
      </c>
      <c r="H1293" t="s">
        <v>42</v>
      </c>
      <c r="I1293" s="2">
        <v>1</v>
      </c>
      <c r="J1293" s="3">
        <v>55</v>
      </c>
      <c r="K1293" s="4">
        <v>0.05</v>
      </c>
      <c r="L1293" s="3">
        <v>52.25</v>
      </c>
      <c r="M1293" t="b">
        <v>1</v>
      </c>
      <c r="N1293" s="2">
        <f>YEAR(B1293)</f>
        <v>2026</v>
      </c>
      <c r="O1293" t="str">
        <f>INDEX(Agences!$C:$C,MATCH(F1293,Agences!$A:$A,0))</f>
        <v>Ouest</v>
      </c>
      <c r="P1293" t="str">
        <f>INDEX(Produits!$C:$C,MATCH(H1293,Produits!$A:$A,0))</f>
        <v>Maintenance</v>
      </c>
      <c r="Q1293" s="3">
        <f>I1293*INDEX(Produits!$E:$E,MATCH(H1293,Produits!$A:$A,0))</f>
        <v>24.75</v>
      </c>
      <c r="R1293" s="3">
        <f>L1293-Q1293</f>
        <v>27.5</v>
      </c>
      <c r="S1293" s="2">
        <f>NETWORKDAYS(B1293,C1293)-1</f>
        <v>5</v>
      </c>
      <c r="T1293" s="1">
        <f>WORKDAY(B1293,5)</f>
        <v>46094</v>
      </c>
      <c r="U1293" t="b">
        <f>C1293&gt;T1293</f>
        <v>0</v>
      </c>
    </row>
    <row r="1294" spans="1:21" x14ac:dyDescent="0.25">
      <c r="A1294" t="s">
        <v>1038</v>
      </c>
      <c r="B1294" s="1">
        <v>46087</v>
      </c>
      <c r="C1294" s="1">
        <v>46094</v>
      </c>
      <c r="D1294" t="s">
        <v>1039</v>
      </c>
      <c r="E1294" t="s">
        <v>374</v>
      </c>
      <c r="F1294" t="s">
        <v>31</v>
      </c>
      <c r="G1294" t="s">
        <v>375</v>
      </c>
      <c r="H1294" t="s">
        <v>233</v>
      </c>
      <c r="I1294" s="2">
        <v>5</v>
      </c>
      <c r="J1294" s="3">
        <v>27.5</v>
      </c>
      <c r="K1294" s="4">
        <v>0</v>
      </c>
      <c r="L1294" s="3">
        <v>137.5</v>
      </c>
      <c r="M1294" t="b">
        <v>1</v>
      </c>
      <c r="N1294" s="2">
        <f>YEAR(B1294)</f>
        <v>2026</v>
      </c>
      <c r="O1294" t="str">
        <f>INDEX(Agences!$C:$C,MATCH(F1294,Agences!$A:$A,0))</f>
        <v>Ouest</v>
      </c>
      <c r="P1294" t="str">
        <f>INDEX(Produits!$C:$C,MATCH(H1294,Produits!$A:$A,0))</f>
        <v>Fournitures</v>
      </c>
      <c r="Q1294" s="3">
        <f>I1294*INDEX(Produits!$E:$E,MATCH(H1294,Produits!$A:$A,0))</f>
        <v>77</v>
      </c>
      <c r="R1294" s="3">
        <f>L1294-Q1294</f>
        <v>60.5</v>
      </c>
      <c r="S1294" s="2">
        <f>NETWORKDAYS(B1294,C1294)-1</f>
        <v>5</v>
      </c>
      <c r="T1294" s="1">
        <f>WORKDAY(B1294,5)</f>
        <v>46094</v>
      </c>
      <c r="U1294" t="b">
        <f>C1294&gt;T1294</f>
        <v>0</v>
      </c>
    </row>
    <row r="1295" spans="1:21" x14ac:dyDescent="0.25">
      <c r="A1295" t="s">
        <v>1038</v>
      </c>
      <c r="B1295" s="1">
        <v>46087</v>
      </c>
      <c r="C1295" s="1">
        <v>46094</v>
      </c>
      <c r="D1295" t="s">
        <v>1039</v>
      </c>
      <c r="E1295" t="s">
        <v>374</v>
      </c>
      <c r="F1295" t="s">
        <v>31</v>
      </c>
      <c r="G1295" t="s">
        <v>375</v>
      </c>
      <c r="H1295" t="s">
        <v>35</v>
      </c>
      <c r="I1295" s="2">
        <v>2</v>
      </c>
      <c r="J1295" s="3">
        <v>79</v>
      </c>
      <c r="K1295" s="4">
        <v>0.05</v>
      </c>
      <c r="L1295" s="3">
        <v>150.1</v>
      </c>
      <c r="M1295" t="b">
        <v>1</v>
      </c>
      <c r="N1295" s="2">
        <f>YEAR(B1295)</f>
        <v>2026</v>
      </c>
      <c r="O1295" t="str">
        <f>INDEX(Agences!$C:$C,MATCH(F1295,Agences!$A:$A,0))</f>
        <v>Ouest</v>
      </c>
      <c r="P1295" t="str">
        <f>INDEX(Produits!$C:$C,MATCH(H1295,Produits!$A:$A,0))</f>
        <v>Mobilier</v>
      </c>
      <c r="Q1295" s="3">
        <f>I1295*INDEX(Produits!$E:$E,MATCH(H1295,Produits!$A:$A,0))</f>
        <v>93.22</v>
      </c>
      <c r="R1295" s="3">
        <f>L1295-Q1295</f>
        <v>56.879999999999995</v>
      </c>
      <c r="S1295" s="2">
        <f>NETWORKDAYS(B1295,C1295)-1</f>
        <v>5</v>
      </c>
      <c r="T1295" s="1">
        <f>WORKDAY(B1295,5)</f>
        <v>46094</v>
      </c>
      <c r="U1295" t="b">
        <f>C1295&gt;T1295</f>
        <v>0</v>
      </c>
    </row>
    <row r="1296" spans="1:21" x14ac:dyDescent="0.25">
      <c r="A1296" t="s">
        <v>1040</v>
      </c>
      <c r="B1296" s="1">
        <v>46087</v>
      </c>
      <c r="C1296" s="1">
        <v>46094</v>
      </c>
      <c r="D1296" t="s">
        <v>1041</v>
      </c>
      <c r="E1296" t="s">
        <v>38</v>
      </c>
      <c r="F1296" t="s">
        <v>39</v>
      </c>
      <c r="G1296" t="s">
        <v>131</v>
      </c>
      <c r="H1296" t="s">
        <v>83</v>
      </c>
      <c r="I1296" s="2">
        <v>3</v>
      </c>
      <c r="J1296" s="3">
        <v>49</v>
      </c>
      <c r="K1296" s="4">
        <v>0.05</v>
      </c>
      <c r="L1296" s="3">
        <v>139.65</v>
      </c>
      <c r="M1296" t="b">
        <v>1</v>
      </c>
      <c r="N1296" s="2">
        <f>YEAR(B1296)</f>
        <v>2026</v>
      </c>
      <c r="O1296" t="str">
        <f>INDEX(Agences!$C:$C,MATCH(F1296,Agences!$A:$A,0))</f>
        <v>Sud-Ouest</v>
      </c>
      <c r="P1296" t="str">
        <f>INDEX(Produits!$C:$C,MATCH(H1296,Produits!$A:$A,0))</f>
        <v>Mobilier</v>
      </c>
      <c r="Q1296" s="3">
        <f>I1296*INDEX(Produits!$E:$E,MATCH(H1296,Produits!$A:$A,0))</f>
        <v>85.26</v>
      </c>
      <c r="R1296" s="3">
        <f>L1296-Q1296</f>
        <v>54.39</v>
      </c>
      <c r="S1296" s="2">
        <f>NETWORKDAYS(B1296,C1296)-1</f>
        <v>5</v>
      </c>
      <c r="T1296" s="1">
        <f>WORKDAY(B1296,5)</f>
        <v>46094</v>
      </c>
      <c r="U1296" t="b">
        <f>C1296&gt;T1296</f>
        <v>0</v>
      </c>
    </row>
    <row r="1297" spans="1:21" x14ac:dyDescent="0.25">
      <c r="A1297" t="s">
        <v>1040</v>
      </c>
      <c r="B1297" s="1">
        <v>46087</v>
      </c>
      <c r="C1297" s="1">
        <v>46094</v>
      </c>
      <c r="D1297" t="s">
        <v>1041</v>
      </c>
      <c r="E1297" t="s">
        <v>38</v>
      </c>
      <c r="F1297" t="s">
        <v>39</v>
      </c>
      <c r="G1297" t="s">
        <v>131</v>
      </c>
      <c r="H1297" t="s">
        <v>26</v>
      </c>
      <c r="I1297" s="2">
        <v>1</v>
      </c>
      <c r="J1297" s="3">
        <v>290</v>
      </c>
      <c r="K1297" s="4">
        <v>0.05</v>
      </c>
      <c r="L1297" s="3">
        <v>275.5</v>
      </c>
      <c r="M1297" t="b">
        <v>1</v>
      </c>
      <c r="N1297" s="2">
        <f>YEAR(B1297)</f>
        <v>2026</v>
      </c>
      <c r="O1297" t="str">
        <f>INDEX(Agences!$C:$C,MATCH(F1297,Agences!$A:$A,0))</f>
        <v>Sud-Ouest</v>
      </c>
      <c r="P1297" t="str">
        <f>INDEX(Produits!$C:$C,MATCH(H1297,Produits!$A:$A,0))</f>
        <v>Maintenance</v>
      </c>
      <c r="Q1297" s="3">
        <f>I1297*INDEX(Produits!$E:$E,MATCH(H1297,Produits!$A:$A,0))</f>
        <v>139.2</v>
      </c>
      <c r="R1297" s="3">
        <f>L1297-Q1297</f>
        <v>136.3</v>
      </c>
      <c r="S1297" s="2">
        <f>NETWORKDAYS(B1297,C1297)-1</f>
        <v>5</v>
      </c>
      <c r="T1297" s="1">
        <f>WORKDAY(B1297,5)</f>
        <v>46094</v>
      </c>
      <c r="U1297" t="b">
        <f>C1297&gt;T1297</f>
        <v>0</v>
      </c>
    </row>
    <row r="1298" spans="1:21" x14ac:dyDescent="0.25">
      <c r="A1298" t="s">
        <v>1040</v>
      </c>
      <c r="B1298" s="1">
        <v>46087</v>
      </c>
      <c r="C1298" s="1">
        <v>46094</v>
      </c>
      <c r="D1298" t="s">
        <v>1041</v>
      </c>
      <c r="E1298" t="s">
        <v>38</v>
      </c>
      <c r="F1298" t="s">
        <v>39</v>
      </c>
      <c r="G1298" t="s">
        <v>131</v>
      </c>
      <c r="H1298" t="s">
        <v>35</v>
      </c>
      <c r="I1298" s="2">
        <v>1</v>
      </c>
      <c r="J1298" s="3">
        <v>79</v>
      </c>
      <c r="K1298" s="4">
        <v>0</v>
      </c>
      <c r="L1298" s="3">
        <v>79</v>
      </c>
      <c r="M1298" t="b">
        <v>1</v>
      </c>
      <c r="N1298" s="2">
        <f>YEAR(B1298)</f>
        <v>2026</v>
      </c>
      <c r="O1298" t="str">
        <f>INDEX(Agences!$C:$C,MATCH(F1298,Agences!$A:$A,0))</f>
        <v>Sud-Ouest</v>
      </c>
      <c r="P1298" t="str">
        <f>INDEX(Produits!$C:$C,MATCH(H1298,Produits!$A:$A,0))</f>
        <v>Mobilier</v>
      </c>
      <c r="Q1298" s="3">
        <f>I1298*INDEX(Produits!$E:$E,MATCH(H1298,Produits!$A:$A,0))</f>
        <v>46.61</v>
      </c>
      <c r="R1298" s="3">
        <f>L1298-Q1298</f>
        <v>32.39</v>
      </c>
      <c r="S1298" s="2">
        <f>NETWORKDAYS(B1298,C1298)-1</f>
        <v>5</v>
      </c>
      <c r="T1298" s="1">
        <f>WORKDAY(B1298,5)</f>
        <v>46094</v>
      </c>
      <c r="U1298" t="b">
        <f>C1298&gt;T1298</f>
        <v>0</v>
      </c>
    </row>
    <row r="1299" spans="1:21" x14ac:dyDescent="0.25">
      <c r="A1299" t="s">
        <v>1040</v>
      </c>
      <c r="B1299" s="1">
        <v>46087</v>
      </c>
      <c r="C1299" s="1">
        <v>46094</v>
      </c>
      <c r="D1299" t="s">
        <v>1041</v>
      </c>
      <c r="E1299" t="s">
        <v>38</v>
      </c>
      <c r="F1299" t="s">
        <v>39</v>
      </c>
      <c r="G1299" t="s">
        <v>131</v>
      </c>
      <c r="H1299" t="s">
        <v>57</v>
      </c>
      <c r="I1299" s="2">
        <v>1</v>
      </c>
      <c r="J1299" s="3">
        <v>149</v>
      </c>
      <c r="K1299" s="4">
        <v>0.05</v>
      </c>
      <c r="L1299" s="3">
        <v>141.55</v>
      </c>
      <c r="M1299" t="b">
        <v>1</v>
      </c>
      <c r="N1299" s="2">
        <f>YEAR(B1299)</f>
        <v>2026</v>
      </c>
      <c r="O1299" t="str">
        <f>INDEX(Agences!$C:$C,MATCH(F1299,Agences!$A:$A,0))</f>
        <v>Sud-Ouest</v>
      </c>
      <c r="P1299" t="str">
        <f>INDEX(Produits!$C:$C,MATCH(H1299,Produits!$A:$A,0))</f>
        <v>Informatique</v>
      </c>
      <c r="Q1299" s="3">
        <f>I1299*INDEX(Produits!$E:$E,MATCH(H1299,Produits!$A:$A,0))</f>
        <v>114.73</v>
      </c>
      <c r="R1299" s="3">
        <f>L1299-Q1299</f>
        <v>26.820000000000007</v>
      </c>
      <c r="S1299" s="2">
        <f>NETWORKDAYS(B1299,C1299)-1</f>
        <v>5</v>
      </c>
      <c r="T1299" s="1">
        <f>WORKDAY(B1299,5)</f>
        <v>46094</v>
      </c>
      <c r="U1299" t="b">
        <f>C1299&gt;T1299</f>
        <v>0</v>
      </c>
    </row>
    <row r="1300" spans="1:21" x14ac:dyDescent="0.25">
      <c r="A1300" t="s">
        <v>1040</v>
      </c>
      <c r="B1300" s="1">
        <v>46087</v>
      </c>
      <c r="C1300" s="1">
        <v>46094</v>
      </c>
      <c r="D1300" t="s">
        <v>1041</v>
      </c>
      <c r="E1300" t="s">
        <v>38</v>
      </c>
      <c r="F1300" t="s">
        <v>39</v>
      </c>
      <c r="G1300" t="s">
        <v>131</v>
      </c>
      <c r="H1300" t="s">
        <v>42</v>
      </c>
      <c r="I1300" s="2">
        <v>1</v>
      </c>
      <c r="J1300" s="3">
        <v>55</v>
      </c>
      <c r="K1300" s="4">
        <v>0</v>
      </c>
      <c r="L1300" s="3">
        <v>55</v>
      </c>
      <c r="M1300" t="b">
        <v>1</v>
      </c>
      <c r="N1300" s="2">
        <f>YEAR(B1300)</f>
        <v>2026</v>
      </c>
      <c r="O1300" t="str">
        <f>INDEX(Agences!$C:$C,MATCH(F1300,Agences!$A:$A,0))</f>
        <v>Sud-Ouest</v>
      </c>
      <c r="P1300" t="str">
        <f>INDEX(Produits!$C:$C,MATCH(H1300,Produits!$A:$A,0))</f>
        <v>Maintenance</v>
      </c>
      <c r="Q1300" s="3">
        <f>I1300*INDEX(Produits!$E:$E,MATCH(H1300,Produits!$A:$A,0))</f>
        <v>24.75</v>
      </c>
      <c r="R1300" s="3">
        <f>L1300-Q1300</f>
        <v>30.25</v>
      </c>
      <c r="S1300" s="2">
        <f>NETWORKDAYS(B1300,C1300)-1</f>
        <v>5</v>
      </c>
      <c r="T1300" s="1">
        <f>WORKDAY(B1300,5)</f>
        <v>46094</v>
      </c>
      <c r="U1300" t="b">
        <f>C1300&gt;T1300</f>
        <v>0</v>
      </c>
    </row>
    <row r="1301" spans="1:21" x14ac:dyDescent="0.25">
      <c r="A1301" t="s">
        <v>1042</v>
      </c>
      <c r="B1301" s="1">
        <v>46087</v>
      </c>
      <c r="C1301" s="1">
        <v>46092</v>
      </c>
      <c r="D1301" t="s">
        <v>525</v>
      </c>
      <c r="E1301" t="s">
        <v>130</v>
      </c>
      <c r="F1301" t="s">
        <v>39</v>
      </c>
      <c r="G1301" t="s">
        <v>40</v>
      </c>
      <c r="H1301" t="s">
        <v>72</v>
      </c>
      <c r="I1301" s="2">
        <v>1</v>
      </c>
      <c r="J1301" s="3">
        <v>179</v>
      </c>
      <c r="K1301" s="4">
        <v>0</v>
      </c>
      <c r="L1301" s="3">
        <v>179</v>
      </c>
      <c r="M1301" t="b">
        <v>1</v>
      </c>
      <c r="N1301" s="2">
        <f>YEAR(B1301)</f>
        <v>2026</v>
      </c>
      <c r="O1301" t="str">
        <f>INDEX(Agences!$C:$C,MATCH(F1301,Agences!$A:$A,0))</f>
        <v>Sud-Ouest</v>
      </c>
      <c r="P1301" t="str">
        <f>INDEX(Produits!$C:$C,MATCH(H1301,Produits!$A:$A,0))</f>
        <v>Informatique</v>
      </c>
      <c r="Q1301" s="3">
        <f>I1301*INDEX(Produits!$E:$E,MATCH(H1301,Produits!$A:$A,0))</f>
        <v>146.78</v>
      </c>
      <c r="R1301" s="3">
        <f>L1301-Q1301</f>
        <v>32.22</v>
      </c>
      <c r="S1301" s="2">
        <f>NETWORKDAYS(B1301,C1301)-1</f>
        <v>3</v>
      </c>
      <c r="T1301" s="1">
        <f>WORKDAY(B1301,5)</f>
        <v>46094</v>
      </c>
      <c r="U1301" t="b">
        <f>C1301&gt;T1301</f>
        <v>0</v>
      </c>
    </row>
    <row r="1302" spans="1:21" x14ac:dyDescent="0.25">
      <c r="A1302" t="s">
        <v>1042</v>
      </c>
      <c r="B1302" s="1">
        <v>46087</v>
      </c>
      <c r="C1302" s="1">
        <v>46092</v>
      </c>
      <c r="D1302" t="s">
        <v>525</v>
      </c>
      <c r="E1302" t="s">
        <v>130</v>
      </c>
      <c r="F1302" t="s">
        <v>39</v>
      </c>
      <c r="G1302" t="s">
        <v>40</v>
      </c>
      <c r="H1302" t="s">
        <v>34</v>
      </c>
      <c r="I1302" s="2">
        <v>1</v>
      </c>
      <c r="J1302" s="3">
        <v>340</v>
      </c>
      <c r="K1302" s="4">
        <v>0</v>
      </c>
      <c r="L1302" s="3">
        <v>340</v>
      </c>
      <c r="M1302" t="b">
        <v>1</v>
      </c>
      <c r="N1302" s="2">
        <f>YEAR(B1302)</f>
        <v>2026</v>
      </c>
      <c r="O1302" t="str">
        <f>INDEX(Agences!$C:$C,MATCH(F1302,Agences!$A:$A,0))</f>
        <v>Sud-Ouest</v>
      </c>
      <c r="P1302" t="str">
        <f>INDEX(Produits!$C:$C,MATCH(H1302,Produits!$A:$A,0))</f>
        <v>Informatique</v>
      </c>
      <c r="Q1302" s="3">
        <f>I1302*INDEX(Produits!$E:$E,MATCH(H1302,Produits!$A:$A,0))</f>
        <v>275.4</v>
      </c>
      <c r="R1302" s="3">
        <f>L1302-Q1302</f>
        <v>64.60000000000002</v>
      </c>
      <c r="S1302" s="2">
        <f>NETWORKDAYS(B1302,C1302)-1</f>
        <v>3</v>
      </c>
      <c r="T1302" s="1">
        <f>WORKDAY(B1302,5)</f>
        <v>46094</v>
      </c>
      <c r="U1302" t="b">
        <f>C1302&gt;T1302</f>
        <v>0</v>
      </c>
    </row>
    <row r="1303" spans="1:21" x14ac:dyDescent="0.25">
      <c r="A1303" t="s">
        <v>1042</v>
      </c>
      <c r="B1303" s="1">
        <v>46087</v>
      </c>
      <c r="C1303" s="1">
        <v>46092</v>
      </c>
      <c r="D1303" t="s">
        <v>525</v>
      </c>
      <c r="E1303" t="s">
        <v>130</v>
      </c>
      <c r="F1303" t="s">
        <v>39</v>
      </c>
      <c r="G1303" t="s">
        <v>40</v>
      </c>
      <c r="H1303" t="s">
        <v>50</v>
      </c>
      <c r="I1303" s="2">
        <v>3</v>
      </c>
      <c r="J1303" s="3">
        <v>69</v>
      </c>
      <c r="K1303" s="4">
        <v>0</v>
      </c>
      <c r="L1303" s="3">
        <v>207</v>
      </c>
      <c r="M1303" t="b">
        <v>1</v>
      </c>
      <c r="N1303" s="2">
        <f>YEAR(B1303)</f>
        <v>2026</v>
      </c>
      <c r="O1303" t="str">
        <f>INDEX(Agences!$C:$C,MATCH(F1303,Agences!$A:$A,0))</f>
        <v>Sud-Ouest</v>
      </c>
      <c r="P1303" t="str">
        <f>INDEX(Produits!$C:$C,MATCH(H1303,Produits!$A:$A,0))</f>
        <v>Informatique</v>
      </c>
      <c r="Q1303" s="3">
        <f>I1303*INDEX(Produits!$E:$E,MATCH(H1303,Produits!$A:$A,0))</f>
        <v>163.53</v>
      </c>
      <c r="R1303" s="3">
        <f>L1303-Q1303</f>
        <v>43.47</v>
      </c>
      <c r="S1303" s="2">
        <f>NETWORKDAYS(B1303,C1303)-1</f>
        <v>3</v>
      </c>
      <c r="T1303" s="1">
        <f>WORKDAY(B1303,5)</f>
        <v>46094</v>
      </c>
      <c r="U1303" t="b">
        <f>C1303&gt;T1303</f>
        <v>0</v>
      </c>
    </row>
    <row r="1304" spans="1:21" x14ac:dyDescent="0.25">
      <c r="A1304" t="s">
        <v>1042</v>
      </c>
      <c r="B1304" s="1">
        <v>46087</v>
      </c>
      <c r="C1304" s="1">
        <v>46092</v>
      </c>
      <c r="D1304" t="s">
        <v>525</v>
      </c>
      <c r="E1304" t="s">
        <v>130</v>
      </c>
      <c r="F1304" t="s">
        <v>39</v>
      </c>
      <c r="G1304" t="s">
        <v>40</v>
      </c>
      <c r="H1304" t="s">
        <v>33</v>
      </c>
      <c r="I1304" s="2">
        <v>2</v>
      </c>
      <c r="J1304" s="3">
        <v>219</v>
      </c>
      <c r="K1304" s="4">
        <v>0.02</v>
      </c>
      <c r="L1304" s="3">
        <v>429.24</v>
      </c>
      <c r="M1304" t="b">
        <v>1</v>
      </c>
      <c r="N1304" s="2">
        <f>YEAR(B1304)</f>
        <v>2026</v>
      </c>
      <c r="O1304" t="str">
        <f>INDEX(Agences!$C:$C,MATCH(F1304,Agences!$A:$A,0))</f>
        <v>Sud-Ouest</v>
      </c>
      <c r="P1304" t="str">
        <f>INDEX(Produits!$C:$C,MATCH(H1304,Produits!$A:$A,0))</f>
        <v>Informatique</v>
      </c>
      <c r="Q1304" s="3">
        <f>I1304*INDEX(Produits!$E:$E,MATCH(H1304,Produits!$A:$A,0))</f>
        <v>359.16</v>
      </c>
      <c r="R1304" s="3">
        <f>L1304-Q1304</f>
        <v>70.07999999999998</v>
      </c>
      <c r="S1304" s="2">
        <f>NETWORKDAYS(B1304,C1304)-1</f>
        <v>3</v>
      </c>
      <c r="T1304" s="1">
        <f>WORKDAY(B1304,5)</f>
        <v>46094</v>
      </c>
      <c r="U1304" t="b">
        <f>C1304&gt;T1304</f>
        <v>0</v>
      </c>
    </row>
    <row r="1305" spans="1:21" x14ac:dyDescent="0.25">
      <c r="A1305" t="s">
        <v>1043</v>
      </c>
      <c r="B1305" s="1">
        <v>46087</v>
      </c>
      <c r="C1305" s="1">
        <v>46092</v>
      </c>
      <c r="D1305" t="s">
        <v>830</v>
      </c>
      <c r="E1305" t="s">
        <v>236</v>
      </c>
      <c r="F1305" t="s">
        <v>39</v>
      </c>
      <c r="G1305" t="s">
        <v>131</v>
      </c>
      <c r="H1305" t="s">
        <v>42</v>
      </c>
      <c r="I1305" s="2">
        <v>1</v>
      </c>
      <c r="J1305" s="3">
        <v>55</v>
      </c>
      <c r="K1305" s="4">
        <v>0</v>
      </c>
      <c r="L1305" s="3">
        <v>55</v>
      </c>
      <c r="M1305" t="b">
        <v>1</v>
      </c>
      <c r="N1305" s="2">
        <f>YEAR(B1305)</f>
        <v>2026</v>
      </c>
      <c r="O1305" t="str">
        <f>INDEX(Agences!$C:$C,MATCH(F1305,Agences!$A:$A,0))</f>
        <v>Sud-Ouest</v>
      </c>
      <c r="P1305" t="str">
        <f>INDEX(Produits!$C:$C,MATCH(H1305,Produits!$A:$A,0))</f>
        <v>Maintenance</v>
      </c>
      <c r="Q1305" s="3">
        <f>I1305*INDEX(Produits!$E:$E,MATCH(H1305,Produits!$A:$A,0))</f>
        <v>24.75</v>
      </c>
      <c r="R1305" s="3">
        <f>L1305-Q1305</f>
        <v>30.25</v>
      </c>
      <c r="S1305" s="2">
        <f>NETWORKDAYS(B1305,C1305)-1</f>
        <v>3</v>
      </c>
      <c r="T1305" s="1">
        <f>WORKDAY(B1305,5)</f>
        <v>46094</v>
      </c>
      <c r="U1305" t="b">
        <f>C1305&gt;T1305</f>
        <v>0</v>
      </c>
    </row>
    <row r="1306" spans="1:21" x14ac:dyDescent="0.25">
      <c r="A1306" t="s">
        <v>1043</v>
      </c>
      <c r="B1306" s="1">
        <v>46087</v>
      </c>
      <c r="C1306" s="1">
        <v>46092</v>
      </c>
      <c r="D1306" t="s">
        <v>830</v>
      </c>
      <c r="E1306" t="s">
        <v>236</v>
      </c>
      <c r="F1306" t="s">
        <v>39</v>
      </c>
      <c r="G1306" t="s">
        <v>131</v>
      </c>
      <c r="H1306" t="s">
        <v>107</v>
      </c>
      <c r="I1306" s="2">
        <v>1</v>
      </c>
      <c r="J1306" s="3">
        <v>99</v>
      </c>
      <c r="K1306" s="4">
        <v>0.02</v>
      </c>
      <c r="L1306" s="3">
        <v>97.02</v>
      </c>
      <c r="M1306" t="b">
        <v>1</v>
      </c>
      <c r="N1306" s="2">
        <f>YEAR(B1306)</f>
        <v>2026</v>
      </c>
      <c r="O1306" t="str">
        <f>INDEX(Agences!$C:$C,MATCH(F1306,Agences!$A:$A,0))</f>
        <v>Sud-Ouest</v>
      </c>
      <c r="P1306" t="str">
        <f>INDEX(Produits!$C:$C,MATCH(H1306,Produits!$A:$A,0))</f>
        <v>Informatique</v>
      </c>
      <c r="Q1306" s="3">
        <f>I1306*INDEX(Produits!$E:$E,MATCH(H1306,Produits!$A:$A,0))</f>
        <v>75.24</v>
      </c>
      <c r="R1306" s="3">
        <f>L1306-Q1306</f>
        <v>21.78</v>
      </c>
      <c r="S1306" s="2">
        <f>NETWORKDAYS(B1306,C1306)-1</f>
        <v>3</v>
      </c>
      <c r="T1306" s="1">
        <f>WORKDAY(B1306,5)</f>
        <v>46094</v>
      </c>
      <c r="U1306" t="b">
        <f>C1306&gt;T1306</f>
        <v>0</v>
      </c>
    </row>
    <row r="1307" spans="1:21" x14ac:dyDescent="0.25">
      <c r="A1307" t="s">
        <v>1044</v>
      </c>
      <c r="B1307" s="1">
        <v>46086</v>
      </c>
      <c r="C1307" s="1">
        <v>46090</v>
      </c>
      <c r="D1307" t="s">
        <v>1045</v>
      </c>
      <c r="E1307" t="s">
        <v>185</v>
      </c>
      <c r="F1307" t="s">
        <v>31</v>
      </c>
      <c r="G1307" t="s">
        <v>32</v>
      </c>
      <c r="H1307" t="s">
        <v>35</v>
      </c>
      <c r="I1307" s="2">
        <v>3</v>
      </c>
      <c r="J1307" s="3">
        <v>79</v>
      </c>
      <c r="K1307" s="4">
        <v>0.02</v>
      </c>
      <c r="L1307" s="3">
        <v>232.26</v>
      </c>
      <c r="M1307" t="b">
        <v>1</v>
      </c>
      <c r="N1307" s="2">
        <f>YEAR(B1307)</f>
        <v>2026</v>
      </c>
      <c r="O1307" t="str">
        <f>INDEX(Agences!$C:$C,MATCH(F1307,Agences!$A:$A,0))</f>
        <v>Ouest</v>
      </c>
      <c r="P1307" t="str">
        <f>INDEX(Produits!$C:$C,MATCH(H1307,Produits!$A:$A,0))</f>
        <v>Mobilier</v>
      </c>
      <c r="Q1307" s="3">
        <f>I1307*INDEX(Produits!$E:$E,MATCH(H1307,Produits!$A:$A,0))</f>
        <v>139.82999999999998</v>
      </c>
      <c r="R1307" s="3">
        <f>L1307-Q1307</f>
        <v>92.43</v>
      </c>
      <c r="S1307" s="2">
        <f>NETWORKDAYS(B1307,C1307)-1</f>
        <v>2</v>
      </c>
      <c r="T1307" s="1">
        <f>WORKDAY(B1307,5)</f>
        <v>46093</v>
      </c>
      <c r="U1307" t="b">
        <f>C1307&gt;T1307</f>
        <v>0</v>
      </c>
    </row>
    <row r="1308" spans="1:21" x14ac:dyDescent="0.25">
      <c r="A1308" t="s">
        <v>1046</v>
      </c>
      <c r="B1308" s="1">
        <v>46086</v>
      </c>
      <c r="C1308" s="1">
        <v>46087</v>
      </c>
      <c r="D1308" t="s">
        <v>884</v>
      </c>
      <c r="E1308" t="s">
        <v>384</v>
      </c>
      <c r="F1308" t="s">
        <v>46</v>
      </c>
      <c r="G1308" t="s">
        <v>158</v>
      </c>
      <c r="H1308" t="s">
        <v>49</v>
      </c>
      <c r="I1308" s="2">
        <v>1</v>
      </c>
      <c r="J1308" s="3">
        <v>120</v>
      </c>
      <c r="K1308" s="4">
        <v>0</v>
      </c>
      <c r="L1308" s="3">
        <v>120</v>
      </c>
      <c r="M1308" t="b">
        <v>1</v>
      </c>
      <c r="N1308" s="2">
        <f>YEAR(B1308)</f>
        <v>2026</v>
      </c>
      <c r="O1308" t="str">
        <f>INDEX(Agences!$C:$C,MATCH(F1308,Agences!$A:$A,0))</f>
        <v>Est</v>
      </c>
      <c r="P1308" t="str">
        <f>INDEX(Produits!$C:$C,MATCH(H1308,Produits!$A:$A,0))</f>
        <v>Maintenance</v>
      </c>
      <c r="Q1308" s="3">
        <f>I1308*INDEX(Produits!$E:$E,MATCH(H1308,Produits!$A:$A,0))</f>
        <v>55.2</v>
      </c>
      <c r="R1308" s="3">
        <f>L1308-Q1308</f>
        <v>64.8</v>
      </c>
      <c r="S1308" s="2">
        <f>NETWORKDAYS(B1308,C1308)-1</f>
        <v>1</v>
      </c>
      <c r="T1308" s="1">
        <f>WORKDAY(B1308,5)</f>
        <v>46093</v>
      </c>
      <c r="U1308" t="b">
        <f>C1308&gt;T1308</f>
        <v>0</v>
      </c>
    </row>
    <row r="1309" spans="1:21" x14ac:dyDescent="0.25">
      <c r="A1309" t="s">
        <v>1046</v>
      </c>
      <c r="B1309" s="1">
        <v>46086</v>
      </c>
      <c r="C1309" s="1">
        <v>46087</v>
      </c>
      <c r="D1309" t="s">
        <v>884</v>
      </c>
      <c r="E1309" t="s">
        <v>384</v>
      </c>
      <c r="F1309" t="s">
        <v>46</v>
      </c>
      <c r="G1309" t="s">
        <v>158</v>
      </c>
      <c r="H1309" t="s">
        <v>83</v>
      </c>
      <c r="I1309" s="2">
        <v>1</v>
      </c>
      <c r="J1309" s="3">
        <v>49</v>
      </c>
      <c r="K1309" s="4">
        <v>0</v>
      </c>
      <c r="L1309" s="3">
        <v>49</v>
      </c>
      <c r="M1309" t="b">
        <v>1</v>
      </c>
      <c r="N1309" s="2">
        <f>YEAR(B1309)</f>
        <v>2026</v>
      </c>
      <c r="O1309" t="str">
        <f>INDEX(Agences!$C:$C,MATCH(F1309,Agences!$A:$A,0))</f>
        <v>Est</v>
      </c>
      <c r="P1309" t="str">
        <f>INDEX(Produits!$C:$C,MATCH(H1309,Produits!$A:$A,0))</f>
        <v>Mobilier</v>
      </c>
      <c r="Q1309" s="3">
        <f>I1309*INDEX(Produits!$E:$E,MATCH(H1309,Produits!$A:$A,0))</f>
        <v>28.42</v>
      </c>
      <c r="R1309" s="3">
        <f>L1309-Q1309</f>
        <v>20.58</v>
      </c>
      <c r="S1309" s="2">
        <f>NETWORKDAYS(B1309,C1309)-1</f>
        <v>1</v>
      </c>
      <c r="T1309" s="1">
        <f>WORKDAY(B1309,5)</f>
        <v>46093</v>
      </c>
      <c r="U1309" t="b">
        <f>C1309&gt;T1309</f>
        <v>0</v>
      </c>
    </row>
    <row r="1310" spans="1:21" x14ac:dyDescent="0.25">
      <c r="A1310" t="s">
        <v>1046</v>
      </c>
      <c r="B1310" s="1">
        <v>46086</v>
      </c>
      <c r="C1310" s="1">
        <v>46087</v>
      </c>
      <c r="D1310" t="s">
        <v>884</v>
      </c>
      <c r="E1310" t="s">
        <v>384</v>
      </c>
      <c r="F1310" t="s">
        <v>46</v>
      </c>
      <c r="G1310" t="s">
        <v>158</v>
      </c>
      <c r="H1310" t="s">
        <v>50</v>
      </c>
      <c r="I1310" s="2">
        <v>1</v>
      </c>
      <c r="J1310" s="3">
        <v>69</v>
      </c>
      <c r="K1310" s="4">
        <v>0</v>
      </c>
      <c r="L1310" s="3">
        <v>69</v>
      </c>
      <c r="M1310" t="b">
        <v>1</v>
      </c>
      <c r="N1310" s="2">
        <f>YEAR(B1310)</f>
        <v>2026</v>
      </c>
      <c r="O1310" t="str">
        <f>INDEX(Agences!$C:$C,MATCH(F1310,Agences!$A:$A,0))</f>
        <v>Est</v>
      </c>
      <c r="P1310" t="str">
        <f>INDEX(Produits!$C:$C,MATCH(H1310,Produits!$A:$A,0))</f>
        <v>Informatique</v>
      </c>
      <c r="Q1310" s="3">
        <f>I1310*INDEX(Produits!$E:$E,MATCH(H1310,Produits!$A:$A,0))</f>
        <v>54.51</v>
      </c>
      <c r="R1310" s="3">
        <f>L1310-Q1310</f>
        <v>14.490000000000002</v>
      </c>
      <c r="S1310" s="2">
        <f>NETWORKDAYS(B1310,C1310)-1</f>
        <v>1</v>
      </c>
      <c r="T1310" s="1">
        <f>WORKDAY(B1310,5)</f>
        <v>46093</v>
      </c>
      <c r="U1310" t="b">
        <f>C1310&gt;T1310</f>
        <v>0</v>
      </c>
    </row>
    <row r="1311" spans="1:21" x14ac:dyDescent="0.25">
      <c r="A1311" t="s">
        <v>1047</v>
      </c>
      <c r="B1311" s="1">
        <v>46085</v>
      </c>
      <c r="C1311" s="1">
        <v>46087</v>
      </c>
      <c r="D1311" t="s">
        <v>869</v>
      </c>
      <c r="E1311" t="s">
        <v>175</v>
      </c>
      <c r="F1311" t="s">
        <v>76</v>
      </c>
      <c r="G1311" t="s">
        <v>232</v>
      </c>
      <c r="H1311" t="s">
        <v>34</v>
      </c>
      <c r="I1311" s="2">
        <v>2</v>
      </c>
      <c r="J1311" s="3">
        <v>340</v>
      </c>
      <c r="K1311" s="4">
        <v>0</v>
      </c>
      <c r="L1311" s="3">
        <v>680</v>
      </c>
      <c r="M1311" t="b">
        <v>1</v>
      </c>
      <c r="N1311" s="2">
        <f>YEAR(B1311)</f>
        <v>2026</v>
      </c>
      <c r="O1311" t="str">
        <f>INDEX(Agences!$C:$C,MATCH(F1311,Agences!$A:$A,0))</f>
        <v>Île-de-France</v>
      </c>
      <c r="P1311" t="str">
        <f>INDEX(Produits!$C:$C,MATCH(H1311,Produits!$A:$A,0))</f>
        <v>Informatique</v>
      </c>
      <c r="Q1311" s="3">
        <f>I1311*INDEX(Produits!$E:$E,MATCH(H1311,Produits!$A:$A,0))</f>
        <v>550.8</v>
      </c>
      <c r="R1311" s="3">
        <f>L1311-Q1311</f>
        <v>129.20000000000005</v>
      </c>
      <c r="S1311" s="2">
        <f>NETWORKDAYS(B1311,C1311)-1</f>
        <v>2</v>
      </c>
      <c r="T1311" s="1">
        <f>WORKDAY(B1311,5)</f>
        <v>46092</v>
      </c>
      <c r="U1311" t="b">
        <f>C1311&gt;T1311</f>
        <v>0</v>
      </c>
    </row>
    <row r="1312" spans="1:21" x14ac:dyDescent="0.25">
      <c r="A1312" t="s">
        <v>1047</v>
      </c>
      <c r="B1312" s="1">
        <v>46085</v>
      </c>
      <c r="C1312" s="1">
        <v>46087</v>
      </c>
      <c r="D1312" t="s">
        <v>869</v>
      </c>
      <c r="E1312" t="s">
        <v>175</v>
      </c>
      <c r="F1312" t="s">
        <v>76</v>
      </c>
      <c r="G1312" t="s">
        <v>232</v>
      </c>
      <c r="H1312" t="s">
        <v>72</v>
      </c>
      <c r="I1312" s="2">
        <v>2</v>
      </c>
      <c r="J1312" s="3">
        <v>179</v>
      </c>
      <c r="K1312" s="4">
        <v>0</v>
      </c>
      <c r="L1312" s="3">
        <v>358</v>
      </c>
      <c r="M1312" t="b">
        <v>1</v>
      </c>
      <c r="N1312" s="2">
        <f>YEAR(B1312)</f>
        <v>2026</v>
      </c>
      <c r="O1312" t="str">
        <f>INDEX(Agences!$C:$C,MATCH(F1312,Agences!$A:$A,0))</f>
        <v>Île-de-France</v>
      </c>
      <c r="P1312" t="str">
        <f>INDEX(Produits!$C:$C,MATCH(H1312,Produits!$A:$A,0))</f>
        <v>Informatique</v>
      </c>
      <c r="Q1312" s="3">
        <f>I1312*INDEX(Produits!$E:$E,MATCH(H1312,Produits!$A:$A,0))</f>
        <v>293.56</v>
      </c>
      <c r="R1312" s="3">
        <f>L1312-Q1312</f>
        <v>64.44</v>
      </c>
      <c r="S1312" s="2">
        <f>NETWORKDAYS(B1312,C1312)-1</f>
        <v>2</v>
      </c>
      <c r="T1312" s="1">
        <f>WORKDAY(B1312,5)</f>
        <v>46092</v>
      </c>
      <c r="U1312" t="b">
        <f>C1312&gt;T1312</f>
        <v>0</v>
      </c>
    </row>
    <row r="1313" spans="1:21" x14ac:dyDescent="0.25">
      <c r="A1313" t="s">
        <v>1048</v>
      </c>
      <c r="B1313" s="1">
        <v>46084</v>
      </c>
      <c r="C1313" s="1">
        <v>46086</v>
      </c>
      <c r="D1313" t="s">
        <v>1049</v>
      </c>
      <c r="E1313" t="s">
        <v>23</v>
      </c>
      <c r="F1313" t="s">
        <v>24</v>
      </c>
      <c r="G1313" t="s">
        <v>199</v>
      </c>
      <c r="H1313" t="s">
        <v>50</v>
      </c>
      <c r="I1313" s="2">
        <v>1</v>
      </c>
      <c r="J1313" s="3">
        <v>69</v>
      </c>
      <c r="K1313" s="4">
        <v>0</v>
      </c>
      <c r="L1313" s="3">
        <v>69</v>
      </c>
      <c r="M1313" t="b">
        <v>1</v>
      </c>
      <c r="N1313" s="2">
        <f>YEAR(B1313)</f>
        <v>2026</v>
      </c>
      <c r="O1313" t="str">
        <f>INDEX(Agences!$C:$C,MATCH(F1313,Agences!$A:$A,0))</f>
        <v>Nord</v>
      </c>
      <c r="P1313" t="str">
        <f>INDEX(Produits!$C:$C,MATCH(H1313,Produits!$A:$A,0))</f>
        <v>Informatique</v>
      </c>
      <c r="Q1313" s="3">
        <f>I1313*INDEX(Produits!$E:$E,MATCH(H1313,Produits!$A:$A,0))</f>
        <v>54.51</v>
      </c>
      <c r="R1313" s="3">
        <f>L1313-Q1313</f>
        <v>14.490000000000002</v>
      </c>
      <c r="S1313" s="2">
        <f>NETWORKDAYS(B1313,C1313)-1</f>
        <v>2</v>
      </c>
      <c r="T1313" s="1">
        <f>WORKDAY(B1313,5)</f>
        <v>46091</v>
      </c>
      <c r="U1313" t="b">
        <f>C1313&gt;T1313</f>
        <v>0</v>
      </c>
    </row>
    <row r="1314" spans="1:21" x14ac:dyDescent="0.25">
      <c r="A1314" t="s">
        <v>1048</v>
      </c>
      <c r="B1314" s="1">
        <v>46084</v>
      </c>
      <c r="C1314" s="1">
        <v>46086</v>
      </c>
      <c r="D1314" t="s">
        <v>1049</v>
      </c>
      <c r="E1314" t="s">
        <v>23</v>
      </c>
      <c r="F1314" t="s">
        <v>24</v>
      </c>
      <c r="G1314" t="s">
        <v>199</v>
      </c>
      <c r="H1314" t="s">
        <v>51</v>
      </c>
      <c r="I1314" s="2">
        <v>1</v>
      </c>
      <c r="J1314" s="3">
        <v>180</v>
      </c>
      <c r="K1314" s="4">
        <v>0.02</v>
      </c>
      <c r="L1314" s="3">
        <v>176.4</v>
      </c>
      <c r="M1314" t="b">
        <v>1</v>
      </c>
      <c r="N1314" s="2">
        <f>YEAR(B1314)</f>
        <v>2026</v>
      </c>
      <c r="O1314" t="str">
        <f>INDEX(Agences!$C:$C,MATCH(F1314,Agences!$A:$A,0))</f>
        <v>Nord</v>
      </c>
      <c r="P1314" t="str">
        <f>INDEX(Produits!$C:$C,MATCH(H1314,Produits!$A:$A,0))</f>
        <v>Maintenance</v>
      </c>
      <c r="Q1314" s="3">
        <f>I1314*INDEX(Produits!$E:$E,MATCH(H1314,Produits!$A:$A,0))</f>
        <v>82.8</v>
      </c>
      <c r="R1314" s="3">
        <f>L1314-Q1314</f>
        <v>93.60000000000001</v>
      </c>
      <c r="S1314" s="2">
        <f>NETWORKDAYS(B1314,C1314)-1</f>
        <v>2</v>
      </c>
      <c r="T1314" s="1">
        <f>WORKDAY(B1314,5)</f>
        <v>46091</v>
      </c>
      <c r="U1314" t="b">
        <f>C1314&gt;T1314</f>
        <v>0</v>
      </c>
    </row>
    <row r="1315" spans="1:21" x14ac:dyDescent="0.25">
      <c r="A1315" t="s">
        <v>1048</v>
      </c>
      <c r="B1315" s="1">
        <v>46084</v>
      </c>
      <c r="C1315" s="1">
        <v>46086</v>
      </c>
      <c r="D1315" t="s">
        <v>1049</v>
      </c>
      <c r="E1315" t="s">
        <v>23</v>
      </c>
      <c r="F1315" t="s">
        <v>24</v>
      </c>
      <c r="G1315" t="s">
        <v>199</v>
      </c>
      <c r="H1315" t="s">
        <v>83</v>
      </c>
      <c r="I1315" s="2">
        <v>1</v>
      </c>
      <c r="J1315" s="3">
        <v>49</v>
      </c>
      <c r="K1315" s="4">
        <v>0</v>
      </c>
      <c r="L1315" s="3">
        <v>49</v>
      </c>
      <c r="M1315" t="b">
        <v>1</v>
      </c>
      <c r="N1315" s="2">
        <f>YEAR(B1315)</f>
        <v>2026</v>
      </c>
      <c r="O1315" t="str">
        <f>INDEX(Agences!$C:$C,MATCH(F1315,Agences!$A:$A,0))</f>
        <v>Nord</v>
      </c>
      <c r="P1315" t="str">
        <f>INDEX(Produits!$C:$C,MATCH(H1315,Produits!$A:$A,0))</f>
        <v>Mobilier</v>
      </c>
      <c r="Q1315" s="3">
        <f>I1315*INDEX(Produits!$E:$E,MATCH(H1315,Produits!$A:$A,0))</f>
        <v>28.42</v>
      </c>
      <c r="R1315" s="3">
        <f>L1315-Q1315</f>
        <v>20.58</v>
      </c>
      <c r="S1315" s="2">
        <f>NETWORKDAYS(B1315,C1315)-1</f>
        <v>2</v>
      </c>
      <c r="T1315" s="1">
        <f>WORKDAY(B1315,5)</f>
        <v>46091</v>
      </c>
      <c r="U1315" t="b">
        <f>C1315&gt;T1315</f>
        <v>0</v>
      </c>
    </row>
    <row r="1316" spans="1:21" x14ac:dyDescent="0.25">
      <c r="A1316" t="s">
        <v>1050</v>
      </c>
      <c r="B1316" s="1">
        <v>46084</v>
      </c>
      <c r="C1316" s="1">
        <v>46086</v>
      </c>
      <c r="D1316" t="s">
        <v>1051</v>
      </c>
      <c r="E1316" t="s">
        <v>333</v>
      </c>
      <c r="F1316" t="s">
        <v>138</v>
      </c>
      <c r="G1316" t="s">
        <v>214</v>
      </c>
      <c r="H1316" t="s">
        <v>27</v>
      </c>
      <c r="I1316" s="2">
        <v>1</v>
      </c>
      <c r="J1316" s="3">
        <v>310</v>
      </c>
      <c r="K1316" s="4">
        <v>0.02</v>
      </c>
      <c r="L1316" s="3">
        <v>303.8</v>
      </c>
      <c r="M1316" t="b">
        <v>1</v>
      </c>
      <c r="N1316" s="2">
        <f>YEAR(B1316)</f>
        <v>2026</v>
      </c>
      <c r="O1316" t="str">
        <f>INDEX(Agences!$C:$C,MATCH(F1316,Agences!$A:$A,0))</f>
        <v>Île-de-France</v>
      </c>
      <c r="P1316" t="str">
        <f>INDEX(Produits!$C:$C,MATCH(H1316,Produits!$A:$A,0))</f>
        <v>Mobilier</v>
      </c>
      <c r="Q1316" s="3">
        <f>I1316*INDEX(Produits!$E:$E,MATCH(H1316,Produits!$A:$A,0))</f>
        <v>186</v>
      </c>
      <c r="R1316" s="3">
        <f>L1316-Q1316</f>
        <v>117.80000000000001</v>
      </c>
      <c r="S1316" s="2">
        <f>NETWORKDAYS(B1316,C1316)-1</f>
        <v>2</v>
      </c>
      <c r="T1316" s="1">
        <f>WORKDAY(B1316,5)</f>
        <v>46091</v>
      </c>
      <c r="U1316" t="b">
        <f>C1316&gt;T1316</f>
        <v>0</v>
      </c>
    </row>
    <row r="1317" spans="1:21" x14ac:dyDescent="0.25">
      <c r="A1317" t="s">
        <v>1050</v>
      </c>
      <c r="B1317" s="1">
        <v>46084</v>
      </c>
      <c r="C1317" s="1">
        <v>46086</v>
      </c>
      <c r="D1317" t="s">
        <v>1051</v>
      </c>
      <c r="E1317" t="s">
        <v>333</v>
      </c>
      <c r="F1317" t="s">
        <v>138</v>
      </c>
      <c r="G1317" t="s">
        <v>214</v>
      </c>
      <c r="H1317" t="s">
        <v>108</v>
      </c>
      <c r="I1317" s="2">
        <v>10</v>
      </c>
      <c r="J1317" s="3">
        <v>24.5</v>
      </c>
      <c r="K1317" s="4">
        <v>0.1</v>
      </c>
      <c r="L1317" s="3">
        <v>220.5</v>
      </c>
      <c r="M1317" t="b">
        <v>1</v>
      </c>
      <c r="N1317" s="2">
        <f>YEAR(B1317)</f>
        <v>2026</v>
      </c>
      <c r="O1317" t="str">
        <f>INDEX(Agences!$C:$C,MATCH(F1317,Agences!$A:$A,0))</f>
        <v>Île-de-France</v>
      </c>
      <c r="P1317" t="str">
        <f>INDEX(Produits!$C:$C,MATCH(H1317,Produits!$A:$A,0))</f>
        <v>Fournitures</v>
      </c>
      <c r="Q1317" s="3">
        <f>I1317*INDEX(Produits!$E:$E,MATCH(H1317,Produits!$A:$A,0))</f>
        <v>147</v>
      </c>
      <c r="R1317" s="3">
        <f>L1317-Q1317</f>
        <v>73.5</v>
      </c>
      <c r="S1317" s="2">
        <f>NETWORKDAYS(B1317,C1317)-1</f>
        <v>2</v>
      </c>
      <c r="T1317" s="1">
        <f>WORKDAY(B1317,5)</f>
        <v>46091</v>
      </c>
      <c r="U1317" t="b">
        <f>C1317&gt;T1317</f>
        <v>0</v>
      </c>
    </row>
    <row r="1318" spans="1:21" x14ac:dyDescent="0.25">
      <c r="A1318" t="s">
        <v>1050</v>
      </c>
      <c r="B1318" s="1">
        <v>46084</v>
      </c>
      <c r="C1318" s="1">
        <v>46086</v>
      </c>
      <c r="D1318" t="s">
        <v>1051</v>
      </c>
      <c r="E1318" t="s">
        <v>333</v>
      </c>
      <c r="F1318" t="s">
        <v>138</v>
      </c>
      <c r="G1318" t="s">
        <v>214</v>
      </c>
      <c r="H1318" t="s">
        <v>79</v>
      </c>
      <c r="I1318" s="2">
        <v>10</v>
      </c>
      <c r="J1318" s="3">
        <v>14.9</v>
      </c>
      <c r="K1318" s="4">
        <v>0.1</v>
      </c>
      <c r="L1318" s="3">
        <v>134.1</v>
      </c>
      <c r="M1318" t="b">
        <v>1</v>
      </c>
      <c r="N1318" s="2">
        <f>YEAR(B1318)</f>
        <v>2026</v>
      </c>
      <c r="O1318" t="str">
        <f>INDEX(Agences!$C:$C,MATCH(F1318,Agences!$A:$A,0))</f>
        <v>Île-de-France</v>
      </c>
      <c r="P1318" t="str">
        <f>INDEX(Produits!$C:$C,MATCH(H1318,Produits!$A:$A,0))</f>
        <v>Fournitures</v>
      </c>
      <c r="Q1318" s="3">
        <f>I1318*INDEX(Produits!$E:$E,MATCH(H1318,Produits!$A:$A,0))</f>
        <v>80.5</v>
      </c>
      <c r="R1318" s="3">
        <f>L1318-Q1318</f>
        <v>53.599999999999994</v>
      </c>
      <c r="S1318" s="2">
        <f>NETWORKDAYS(B1318,C1318)-1</f>
        <v>2</v>
      </c>
      <c r="T1318" s="1">
        <f>WORKDAY(B1318,5)</f>
        <v>46091</v>
      </c>
      <c r="U1318" t="b">
        <f>C1318&gt;T1318</f>
        <v>0</v>
      </c>
    </row>
    <row r="1319" spans="1:21" x14ac:dyDescent="0.25">
      <c r="A1319" t="s">
        <v>1050</v>
      </c>
      <c r="B1319" s="1">
        <v>46084</v>
      </c>
      <c r="C1319" s="1">
        <v>46086</v>
      </c>
      <c r="D1319" t="s">
        <v>1051</v>
      </c>
      <c r="E1319" t="s">
        <v>333</v>
      </c>
      <c r="F1319" t="s">
        <v>138</v>
      </c>
      <c r="G1319" t="s">
        <v>214</v>
      </c>
      <c r="H1319" t="s">
        <v>50</v>
      </c>
      <c r="I1319" s="2">
        <v>3</v>
      </c>
      <c r="J1319" s="3">
        <v>69</v>
      </c>
      <c r="K1319" s="4">
        <v>0.05</v>
      </c>
      <c r="L1319" s="3">
        <v>196.65</v>
      </c>
      <c r="M1319" t="b">
        <v>1</v>
      </c>
      <c r="N1319" s="2">
        <f>YEAR(B1319)</f>
        <v>2026</v>
      </c>
      <c r="O1319" t="str">
        <f>INDEX(Agences!$C:$C,MATCH(F1319,Agences!$A:$A,0))</f>
        <v>Île-de-France</v>
      </c>
      <c r="P1319" t="str">
        <f>INDEX(Produits!$C:$C,MATCH(H1319,Produits!$A:$A,0))</f>
        <v>Informatique</v>
      </c>
      <c r="Q1319" s="3">
        <f>I1319*INDEX(Produits!$E:$E,MATCH(H1319,Produits!$A:$A,0))</f>
        <v>163.53</v>
      </c>
      <c r="R1319" s="3">
        <f>L1319-Q1319</f>
        <v>33.120000000000005</v>
      </c>
      <c r="S1319" s="2">
        <f>NETWORKDAYS(B1319,C1319)-1</f>
        <v>2</v>
      </c>
      <c r="T1319" s="1">
        <f>WORKDAY(B1319,5)</f>
        <v>46091</v>
      </c>
      <c r="U1319" t="b">
        <f>C1319&gt;T1319</f>
        <v>0</v>
      </c>
    </row>
    <row r="1320" spans="1:21" x14ac:dyDescent="0.25">
      <c r="A1320" t="s">
        <v>1052</v>
      </c>
      <c r="B1320" s="1">
        <v>46084</v>
      </c>
      <c r="C1320" s="1">
        <v>46090</v>
      </c>
      <c r="D1320" t="s">
        <v>977</v>
      </c>
      <c r="E1320" t="s">
        <v>336</v>
      </c>
      <c r="F1320" t="s">
        <v>166</v>
      </c>
      <c r="G1320" t="s">
        <v>167</v>
      </c>
      <c r="H1320" t="s">
        <v>57</v>
      </c>
      <c r="I1320" s="2">
        <v>1</v>
      </c>
      <c r="J1320" s="3">
        <v>149</v>
      </c>
      <c r="K1320" s="4">
        <v>0.08</v>
      </c>
      <c r="L1320" s="3">
        <v>137.08</v>
      </c>
      <c r="M1320" t="b">
        <v>1</v>
      </c>
      <c r="N1320" s="2">
        <f>YEAR(B1320)</f>
        <v>2026</v>
      </c>
      <c r="O1320" t="str">
        <f>INDEX(Agences!$C:$C,MATCH(F1320,Agences!$A:$A,0))</f>
        <v>Ouest</v>
      </c>
      <c r="P1320" t="str">
        <f>INDEX(Produits!$C:$C,MATCH(H1320,Produits!$A:$A,0))</f>
        <v>Informatique</v>
      </c>
      <c r="Q1320" s="3">
        <f>I1320*INDEX(Produits!$E:$E,MATCH(H1320,Produits!$A:$A,0))</f>
        <v>114.73</v>
      </c>
      <c r="R1320" s="3">
        <f>L1320-Q1320</f>
        <v>22.35000000000001</v>
      </c>
      <c r="S1320" s="2">
        <f>NETWORKDAYS(B1320,C1320)-1</f>
        <v>4</v>
      </c>
      <c r="T1320" s="1">
        <f>WORKDAY(B1320,5)</f>
        <v>46091</v>
      </c>
      <c r="U1320" t="b">
        <f>C1320&gt;T1320</f>
        <v>0</v>
      </c>
    </row>
    <row r="1321" spans="1:21" x14ac:dyDescent="0.25">
      <c r="A1321" t="s">
        <v>1052</v>
      </c>
      <c r="B1321" s="1">
        <v>46084</v>
      </c>
      <c r="C1321" s="1">
        <v>46090</v>
      </c>
      <c r="D1321" t="s">
        <v>977</v>
      </c>
      <c r="E1321" t="s">
        <v>336</v>
      </c>
      <c r="F1321" t="s">
        <v>166</v>
      </c>
      <c r="G1321" t="s">
        <v>167</v>
      </c>
      <c r="H1321" t="s">
        <v>27</v>
      </c>
      <c r="I1321" s="2">
        <v>3</v>
      </c>
      <c r="J1321" s="3">
        <v>310</v>
      </c>
      <c r="K1321" s="4">
        <v>0</v>
      </c>
      <c r="L1321" s="3">
        <v>930</v>
      </c>
      <c r="M1321" t="b">
        <v>1</v>
      </c>
      <c r="N1321" s="2">
        <f>YEAR(B1321)</f>
        <v>2026</v>
      </c>
      <c r="O1321" t="str">
        <f>INDEX(Agences!$C:$C,MATCH(F1321,Agences!$A:$A,0))</f>
        <v>Ouest</v>
      </c>
      <c r="P1321" t="str">
        <f>INDEX(Produits!$C:$C,MATCH(H1321,Produits!$A:$A,0))</f>
        <v>Mobilier</v>
      </c>
      <c r="Q1321" s="3">
        <f>I1321*INDEX(Produits!$E:$E,MATCH(H1321,Produits!$A:$A,0))</f>
        <v>558</v>
      </c>
      <c r="R1321" s="3">
        <f>L1321-Q1321</f>
        <v>372</v>
      </c>
      <c r="S1321" s="2">
        <f>NETWORKDAYS(B1321,C1321)-1</f>
        <v>4</v>
      </c>
      <c r="T1321" s="1">
        <f>WORKDAY(B1321,5)</f>
        <v>46091</v>
      </c>
      <c r="U1321" t="b">
        <f>C1321&gt;T1321</f>
        <v>0</v>
      </c>
    </row>
    <row r="1322" spans="1:21" x14ac:dyDescent="0.25">
      <c r="A1322" t="s">
        <v>1053</v>
      </c>
      <c r="B1322" s="1">
        <v>46084</v>
      </c>
      <c r="C1322" s="1">
        <v>46091</v>
      </c>
      <c r="D1322" t="s">
        <v>523</v>
      </c>
      <c r="E1322" t="s">
        <v>185</v>
      </c>
      <c r="F1322" t="s">
        <v>31</v>
      </c>
      <c r="G1322" t="s">
        <v>375</v>
      </c>
      <c r="H1322" t="s">
        <v>79</v>
      </c>
      <c r="I1322" s="2">
        <v>10</v>
      </c>
      <c r="J1322" s="3">
        <v>14.9</v>
      </c>
      <c r="K1322" s="4">
        <v>0.05</v>
      </c>
      <c r="L1322" s="3">
        <v>141.55</v>
      </c>
      <c r="M1322" t="b">
        <v>1</v>
      </c>
      <c r="N1322" s="2">
        <f>YEAR(B1322)</f>
        <v>2026</v>
      </c>
      <c r="O1322" t="str">
        <f>INDEX(Agences!$C:$C,MATCH(F1322,Agences!$A:$A,0))</f>
        <v>Ouest</v>
      </c>
      <c r="P1322" t="str">
        <f>INDEX(Produits!$C:$C,MATCH(H1322,Produits!$A:$A,0))</f>
        <v>Fournitures</v>
      </c>
      <c r="Q1322" s="3">
        <f>I1322*INDEX(Produits!$E:$E,MATCH(H1322,Produits!$A:$A,0))</f>
        <v>80.5</v>
      </c>
      <c r="R1322" s="3">
        <f>L1322-Q1322</f>
        <v>61.05000000000001</v>
      </c>
      <c r="S1322" s="2">
        <f>NETWORKDAYS(B1322,C1322)-1</f>
        <v>5</v>
      </c>
      <c r="T1322" s="1">
        <f>WORKDAY(B1322,5)</f>
        <v>46091</v>
      </c>
      <c r="U1322" t="b">
        <f>C1322&gt;T1322</f>
        <v>0</v>
      </c>
    </row>
    <row r="1323" spans="1:21" x14ac:dyDescent="0.25">
      <c r="A1323" t="s">
        <v>1053</v>
      </c>
      <c r="B1323" s="1">
        <v>46084</v>
      </c>
      <c r="C1323" s="1">
        <v>46091</v>
      </c>
      <c r="D1323" t="s">
        <v>523</v>
      </c>
      <c r="E1323" t="s">
        <v>185</v>
      </c>
      <c r="F1323" t="s">
        <v>31</v>
      </c>
      <c r="G1323" t="s">
        <v>375</v>
      </c>
      <c r="H1323" t="s">
        <v>57</v>
      </c>
      <c r="I1323" s="2">
        <v>4</v>
      </c>
      <c r="J1323" s="3">
        <v>149</v>
      </c>
      <c r="K1323" s="4">
        <v>0</v>
      </c>
      <c r="L1323" s="3">
        <v>596</v>
      </c>
      <c r="M1323" t="b">
        <v>1</v>
      </c>
      <c r="N1323" s="2">
        <f>YEAR(B1323)</f>
        <v>2026</v>
      </c>
      <c r="O1323" t="str">
        <f>INDEX(Agences!$C:$C,MATCH(F1323,Agences!$A:$A,0))</f>
        <v>Ouest</v>
      </c>
      <c r="P1323" t="str">
        <f>INDEX(Produits!$C:$C,MATCH(H1323,Produits!$A:$A,0))</f>
        <v>Informatique</v>
      </c>
      <c r="Q1323" s="3">
        <f>I1323*INDEX(Produits!$E:$E,MATCH(H1323,Produits!$A:$A,0))</f>
        <v>458.92</v>
      </c>
      <c r="R1323" s="3">
        <f>L1323-Q1323</f>
        <v>137.07999999999998</v>
      </c>
      <c r="S1323" s="2">
        <f>NETWORKDAYS(B1323,C1323)-1</f>
        <v>5</v>
      </c>
      <c r="T1323" s="1">
        <f>WORKDAY(B1323,5)</f>
        <v>46091</v>
      </c>
      <c r="U1323" t="b">
        <f>C1323&gt;T1323</f>
        <v>0</v>
      </c>
    </row>
    <row r="1324" spans="1:21" x14ac:dyDescent="0.25">
      <c r="A1324" t="s">
        <v>1054</v>
      </c>
      <c r="B1324" s="1">
        <v>46084</v>
      </c>
      <c r="C1324" s="1">
        <v>46087</v>
      </c>
      <c r="D1324" t="s">
        <v>660</v>
      </c>
      <c r="E1324" t="s">
        <v>256</v>
      </c>
      <c r="F1324" t="s">
        <v>88</v>
      </c>
      <c r="G1324" t="s">
        <v>142</v>
      </c>
      <c r="H1324" t="s">
        <v>51</v>
      </c>
      <c r="I1324" s="2">
        <v>1</v>
      </c>
      <c r="J1324" s="3">
        <v>180</v>
      </c>
      <c r="K1324" s="4">
        <v>0</v>
      </c>
      <c r="L1324" s="3">
        <v>180</v>
      </c>
      <c r="M1324" t="b">
        <v>1</v>
      </c>
      <c r="N1324" s="2">
        <f>YEAR(B1324)</f>
        <v>2026</v>
      </c>
      <c r="O1324" t="str">
        <f>INDEX(Agences!$C:$C,MATCH(F1324,Agences!$A:$A,0))</f>
        <v>Sud-Ouest</v>
      </c>
      <c r="P1324" t="str">
        <f>INDEX(Produits!$C:$C,MATCH(H1324,Produits!$A:$A,0))</f>
        <v>Maintenance</v>
      </c>
      <c r="Q1324" s="3">
        <f>I1324*INDEX(Produits!$E:$E,MATCH(H1324,Produits!$A:$A,0))</f>
        <v>82.8</v>
      </c>
      <c r="R1324" s="3">
        <f>L1324-Q1324</f>
        <v>97.2</v>
      </c>
      <c r="S1324" s="2">
        <f>NETWORKDAYS(B1324,C1324)-1</f>
        <v>3</v>
      </c>
      <c r="T1324" s="1">
        <f>WORKDAY(B1324,5)</f>
        <v>46091</v>
      </c>
      <c r="U1324" t="b">
        <f>C1324&gt;T1324</f>
        <v>0</v>
      </c>
    </row>
    <row r="1325" spans="1:21" x14ac:dyDescent="0.25">
      <c r="A1325" t="s">
        <v>1054</v>
      </c>
      <c r="B1325" s="1">
        <v>46084</v>
      </c>
      <c r="C1325" s="1">
        <v>46087</v>
      </c>
      <c r="D1325" t="s">
        <v>660</v>
      </c>
      <c r="E1325" t="s">
        <v>256</v>
      </c>
      <c r="F1325" t="s">
        <v>88</v>
      </c>
      <c r="G1325" t="s">
        <v>142</v>
      </c>
      <c r="H1325" t="s">
        <v>83</v>
      </c>
      <c r="I1325" s="2">
        <v>1</v>
      </c>
      <c r="J1325" s="3">
        <v>49</v>
      </c>
      <c r="K1325" s="4">
        <v>0</v>
      </c>
      <c r="L1325" s="3">
        <v>49</v>
      </c>
      <c r="M1325" t="b">
        <v>1</v>
      </c>
      <c r="N1325" s="2">
        <f>YEAR(B1325)</f>
        <v>2026</v>
      </c>
      <c r="O1325" t="str">
        <f>INDEX(Agences!$C:$C,MATCH(F1325,Agences!$A:$A,0))</f>
        <v>Sud-Ouest</v>
      </c>
      <c r="P1325" t="str">
        <f>INDEX(Produits!$C:$C,MATCH(H1325,Produits!$A:$A,0))</f>
        <v>Mobilier</v>
      </c>
      <c r="Q1325" s="3">
        <f>I1325*INDEX(Produits!$E:$E,MATCH(H1325,Produits!$A:$A,0))</f>
        <v>28.42</v>
      </c>
      <c r="R1325" s="3">
        <f>L1325-Q1325</f>
        <v>20.58</v>
      </c>
      <c r="S1325" s="2">
        <f>NETWORKDAYS(B1325,C1325)-1</f>
        <v>3</v>
      </c>
      <c r="T1325" s="1">
        <f>WORKDAY(B1325,5)</f>
        <v>46091</v>
      </c>
      <c r="U1325" t="b">
        <f>C1325&gt;T1325</f>
        <v>0</v>
      </c>
    </row>
    <row r="1326" spans="1:21" x14ac:dyDescent="0.25">
      <c r="A1326" t="s">
        <v>1054</v>
      </c>
      <c r="B1326" s="1">
        <v>46084</v>
      </c>
      <c r="C1326" s="1">
        <v>46087</v>
      </c>
      <c r="D1326" t="s">
        <v>660</v>
      </c>
      <c r="E1326" t="s">
        <v>256</v>
      </c>
      <c r="F1326" t="s">
        <v>88</v>
      </c>
      <c r="G1326" t="s">
        <v>142</v>
      </c>
      <c r="H1326" t="s">
        <v>319</v>
      </c>
      <c r="I1326" s="2">
        <v>6</v>
      </c>
      <c r="J1326" s="3">
        <v>289</v>
      </c>
      <c r="K1326" s="4">
        <v>0.02</v>
      </c>
      <c r="L1326" s="3">
        <v>1699.32</v>
      </c>
      <c r="M1326" t="b">
        <v>1</v>
      </c>
      <c r="N1326" s="2">
        <f>YEAR(B1326)</f>
        <v>2026</v>
      </c>
      <c r="O1326" t="str">
        <f>INDEX(Agences!$C:$C,MATCH(F1326,Agences!$A:$A,0))</f>
        <v>Sud-Ouest</v>
      </c>
      <c r="P1326" t="str">
        <f>INDEX(Produits!$C:$C,MATCH(H1326,Produits!$A:$A,0))</f>
        <v>Informatique</v>
      </c>
      <c r="Q1326" s="3">
        <f>I1326*INDEX(Produits!$E:$E,MATCH(H1326,Produits!$A:$A,0))</f>
        <v>1283.16</v>
      </c>
      <c r="R1326" s="3">
        <f>L1326-Q1326</f>
        <v>416.15999999999985</v>
      </c>
      <c r="S1326" s="2">
        <f>NETWORKDAYS(B1326,C1326)-1</f>
        <v>3</v>
      </c>
      <c r="T1326" s="1">
        <f>WORKDAY(B1326,5)</f>
        <v>46091</v>
      </c>
      <c r="U1326" t="b">
        <f>C1326&gt;T1326</f>
        <v>0</v>
      </c>
    </row>
    <row r="1327" spans="1:21" x14ac:dyDescent="0.25">
      <c r="A1327" t="s">
        <v>1055</v>
      </c>
      <c r="B1327" s="1">
        <v>46084</v>
      </c>
      <c r="C1327" s="1">
        <v>46094</v>
      </c>
      <c r="D1327" t="s">
        <v>1056</v>
      </c>
      <c r="E1327" t="s">
        <v>54</v>
      </c>
      <c r="F1327" t="s">
        <v>55</v>
      </c>
      <c r="G1327" t="s">
        <v>71</v>
      </c>
      <c r="H1327" t="s">
        <v>33</v>
      </c>
      <c r="I1327" s="2">
        <v>1</v>
      </c>
      <c r="J1327" s="3">
        <v>219</v>
      </c>
      <c r="K1327" s="4">
        <v>0.05</v>
      </c>
      <c r="L1327" s="3">
        <v>208.05</v>
      </c>
      <c r="M1327" t="b">
        <v>1</v>
      </c>
      <c r="N1327" s="2">
        <f>YEAR(B1327)</f>
        <v>2026</v>
      </c>
      <c r="O1327" t="str">
        <f>INDEX(Agences!$C:$C,MATCH(F1327,Agences!$A:$A,0))</f>
        <v>Est</v>
      </c>
      <c r="P1327" t="str">
        <f>INDEX(Produits!$C:$C,MATCH(H1327,Produits!$A:$A,0))</f>
        <v>Informatique</v>
      </c>
      <c r="Q1327" s="3">
        <f>I1327*INDEX(Produits!$E:$E,MATCH(H1327,Produits!$A:$A,0))</f>
        <v>179.58</v>
      </c>
      <c r="R1327" s="3">
        <f>L1327-Q1327</f>
        <v>28.47</v>
      </c>
      <c r="S1327" s="2">
        <f>NETWORKDAYS(B1327,C1327)-1</f>
        <v>8</v>
      </c>
      <c r="T1327" s="1">
        <f>WORKDAY(B1327,5)</f>
        <v>46091</v>
      </c>
      <c r="U1327" t="b">
        <f>C1327&gt;T1327</f>
        <v>1</v>
      </c>
    </row>
    <row r="1328" spans="1:21" x14ac:dyDescent="0.25">
      <c r="A1328" t="s">
        <v>1055</v>
      </c>
      <c r="B1328" s="1">
        <v>46084</v>
      </c>
      <c r="C1328" s="1">
        <v>46094</v>
      </c>
      <c r="D1328" t="s">
        <v>1056</v>
      </c>
      <c r="E1328" t="s">
        <v>54</v>
      </c>
      <c r="F1328" t="s">
        <v>55</v>
      </c>
      <c r="G1328" t="s">
        <v>71</v>
      </c>
      <c r="H1328" t="s">
        <v>103</v>
      </c>
      <c r="I1328" s="2">
        <v>5</v>
      </c>
      <c r="J1328" s="3">
        <v>245</v>
      </c>
      <c r="K1328" s="4">
        <v>0.05</v>
      </c>
      <c r="L1328" s="3">
        <v>1163.75</v>
      </c>
      <c r="M1328" t="b">
        <v>1</v>
      </c>
      <c r="N1328" s="2">
        <f>YEAR(B1328)</f>
        <v>2026</v>
      </c>
      <c r="O1328" t="str">
        <f>INDEX(Agences!$C:$C,MATCH(F1328,Agences!$A:$A,0))</f>
        <v>Est</v>
      </c>
      <c r="P1328" t="str">
        <f>INDEX(Produits!$C:$C,MATCH(H1328,Produits!$A:$A,0))</f>
        <v>Mobilier</v>
      </c>
      <c r="Q1328" s="3">
        <f>I1328*INDEX(Produits!$E:$E,MATCH(H1328,Produits!$A:$A,0))</f>
        <v>820.75</v>
      </c>
      <c r="R1328" s="3">
        <f>L1328-Q1328</f>
        <v>343</v>
      </c>
      <c r="S1328" s="2">
        <f>NETWORKDAYS(B1328,C1328)-1</f>
        <v>8</v>
      </c>
      <c r="T1328" s="1">
        <f>WORKDAY(B1328,5)</f>
        <v>46091</v>
      </c>
      <c r="U1328" t="b">
        <f>C1328&gt;T1328</f>
        <v>1</v>
      </c>
    </row>
    <row r="1329" spans="1:21" x14ac:dyDescent="0.25">
      <c r="A1329" t="s">
        <v>1055</v>
      </c>
      <c r="B1329" s="1">
        <v>46084</v>
      </c>
      <c r="C1329" s="1">
        <v>46094</v>
      </c>
      <c r="D1329" t="s">
        <v>1056</v>
      </c>
      <c r="E1329" t="s">
        <v>54</v>
      </c>
      <c r="F1329" t="s">
        <v>55</v>
      </c>
      <c r="G1329" t="s">
        <v>71</v>
      </c>
      <c r="H1329" t="s">
        <v>233</v>
      </c>
      <c r="I1329" s="2">
        <v>5</v>
      </c>
      <c r="J1329" s="3">
        <v>27.5</v>
      </c>
      <c r="K1329" s="4">
        <v>0</v>
      </c>
      <c r="L1329" s="3">
        <v>137.5</v>
      </c>
      <c r="M1329" t="b">
        <v>1</v>
      </c>
      <c r="N1329" s="2">
        <f>YEAR(B1329)</f>
        <v>2026</v>
      </c>
      <c r="O1329" t="str">
        <f>INDEX(Agences!$C:$C,MATCH(F1329,Agences!$A:$A,0))</f>
        <v>Est</v>
      </c>
      <c r="P1329" t="str">
        <f>INDEX(Produits!$C:$C,MATCH(H1329,Produits!$A:$A,0))</f>
        <v>Fournitures</v>
      </c>
      <c r="Q1329" s="3">
        <f>I1329*INDEX(Produits!$E:$E,MATCH(H1329,Produits!$A:$A,0))</f>
        <v>77</v>
      </c>
      <c r="R1329" s="3">
        <f>L1329-Q1329</f>
        <v>60.5</v>
      </c>
      <c r="S1329" s="2">
        <f>NETWORKDAYS(B1329,C1329)-1</f>
        <v>8</v>
      </c>
      <c r="T1329" s="1">
        <f>WORKDAY(B1329,5)</f>
        <v>46091</v>
      </c>
      <c r="U1329" t="b">
        <f>C1329&gt;T1329</f>
        <v>1</v>
      </c>
    </row>
    <row r="1330" spans="1:21" x14ac:dyDescent="0.25">
      <c r="A1330" t="s">
        <v>1057</v>
      </c>
      <c r="B1330" s="1">
        <v>46083</v>
      </c>
      <c r="C1330" s="1">
        <v>46086</v>
      </c>
      <c r="D1330" t="s">
        <v>1058</v>
      </c>
      <c r="E1330" t="s">
        <v>157</v>
      </c>
      <c r="F1330" t="s">
        <v>46</v>
      </c>
      <c r="G1330" t="s">
        <v>47</v>
      </c>
      <c r="H1330" t="s">
        <v>112</v>
      </c>
      <c r="I1330" s="2">
        <v>1</v>
      </c>
      <c r="J1330" s="3">
        <v>129</v>
      </c>
      <c r="K1330" s="4">
        <v>0</v>
      </c>
      <c r="L1330" s="3">
        <v>129</v>
      </c>
      <c r="M1330" t="b">
        <v>1</v>
      </c>
      <c r="N1330" s="2">
        <f>YEAR(B1330)</f>
        <v>2026</v>
      </c>
      <c r="O1330" t="str">
        <f>INDEX(Agences!$C:$C,MATCH(F1330,Agences!$A:$A,0))</f>
        <v>Est</v>
      </c>
      <c r="P1330" t="str">
        <f>INDEX(Produits!$C:$C,MATCH(H1330,Produits!$A:$A,0))</f>
        <v>Mobilier</v>
      </c>
      <c r="Q1330" s="3">
        <f>I1330*INDEX(Produits!$E:$E,MATCH(H1330,Produits!$A:$A,0))</f>
        <v>86.43</v>
      </c>
      <c r="R1330" s="3">
        <f>L1330-Q1330</f>
        <v>42.56999999999999</v>
      </c>
      <c r="S1330" s="2">
        <f>NETWORKDAYS(B1330,C1330)-1</f>
        <v>3</v>
      </c>
      <c r="T1330" s="1">
        <f>WORKDAY(B1330,5)</f>
        <v>46090</v>
      </c>
      <c r="U1330" t="b">
        <f>C1330&gt;T1330</f>
        <v>0</v>
      </c>
    </row>
    <row r="1331" spans="1:21" x14ac:dyDescent="0.25">
      <c r="A1331" t="s">
        <v>1057</v>
      </c>
      <c r="B1331" s="1">
        <v>46083</v>
      </c>
      <c r="C1331" s="1">
        <v>46086</v>
      </c>
      <c r="D1331" t="s">
        <v>1058</v>
      </c>
      <c r="E1331" t="s">
        <v>157</v>
      </c>
      <c r="F1331" t="s">
        <v>46</v>
      </c>
      <c r="G1331" t="s">
        <v>47</v>
      </c>
      <c r="H1331" t="s">
        <v>49</v>
      </c>
      <c r="I1331" s="2">
        <v>2</v>
      </c>
      <c r="J1331" s="3">
        <v>120</v>
      </c>
      <c r="K1331" s="4">
        <v>0.02</v>
      </c>
      <c r="L1331" s="3">
        <v>235.2</v>
      </c>
      <c r="M1331" t="b">
        <v>1</v>
      </c>
      <c r="N1331" s="2">
        <f>YEAR(B1331)</f>
        <v>2026</v>
      </c>
      <c r="O1331" t="str">
        <f>INDEX(Agences!$C:$C,MATCH(F1331,Agences!$A:$A,0))</f>
        <v>Est</v>
      </c>
      <c r="P1331" t="str">
        <f>INDEX(Produits!$C:$C,MATCH(H1331,Produits!$A:$A,0))</f>
        <v>Maintenance</v>
      </c>
      <c r="Q1331" s="3">
        <f>I1331*INDEX(Produits!$E:$E,MATCH(H1331,Produits!$A:$A,0))</f>
        <v>110.4</v>
      </c>
      <c r="R1331" s="3">
        <f>L1331-Q1331</f>
        <v>124.79999999999998</v>
      </c>
      <c r="S1331" s="2">
        <f>NETWORKDAYS(B1331,C1331)-1</f>
        <v>3</v>
      </c>
      <c r="T1331" s="1">
        <f>WORKDAY(B1331,5)</f>
        <v>46090</v>
      </c>
      <c r="U1331" t="b">
        <f>C1331&gt;T1331</f>
        <v>0</v>
      </c>
    </row>
    <row r="1332" spans="1:21" x14ac:dyDescent="0.25">
      <c r="A1332" t="s">
        <v>1057</v>
      </c>
      <c r="B1332" s="1">
        <v>46083</v>
      </c>
      <c r="C1332" s="1">
        <v>46086</v>
      </c>
      <c r="D1332" t="s">
        <v>1058</v>
      </c>
      <c r="E1332" t="s">
        <v>157</v>
      </c>
      <c r="F1332" t="s">
        <v>46</v>
      </c>
      <c r="G1332" t="s">
        <v>47</v>
      </c>
      <c r="H1332" t="s">
        <v>57</v>
      </c>
      <c r="I1332" s="2">
        <v>1</v>
      </c>
      <c r="J1332" s="3">
        <v>149</v>
      </c>
      <c r="K1332" s="4">
        <v>0</v>
      </c>
      <c r="L1332" s="3">
        <v>149</v>
      </c>
      <c r="M1332" t="b">
        <v>1</v>
      </c>
      <c r="N1332" s="2">
        <f>YEAR(B1332)</f>
        <v>2026</v>
      </c>
      <c r="O1332" t="str">
        <f>INDEX(Agences!$C:$C,MATCH(F1332,Agences!$A:$A,0))</f>
        <v>Est</v>
      </c>
      <c r="P1332" t="str">
        <f>INDEX(Produits!$C:$C,MATCH(H1332,Produits!$A:$A,0))</f>
        <v>Informatique</v>
      </c>
      <c r="Q1332" s="3">
        <f>I1332*INDEX(Produits!$E:$E,MATCH(H1332,Produits!$A:$A,0))</f>
        <v>114.73</v>
      </c>
      <c r="R1332" s="3">
        <f>L1332-Q1332</f>
        <v>34.269999999999996</v>
      </c>
      <c r="S1332" s="2">
        <f>NETWORKDAYS(B1332,C1332)-1</f>
        <v>3</v>
      </c>
      <c r="T1332" s="1">
        <f>WORKDAY(B1332,5)</f>
        <v>46090</v>
      </c>
      <c r="U1332" t="b">
        <f>C1332&gt;T1332</f>
        <v>0</v>
      </c>
    </row>
    <row r="1333" spans="1:21" x14ac:dyDescent="0.25">
      <c r="A1333" t="s">
        <v>1059</v>
      </c>
      <c r="B1333" s="1">
        <v>46080</v>
      </c>
      <c r="C1333" s="1">
        <v>46086</v>
      </c>
      <c r="D1333" t="s">
        <v>304</v>
      </c>
      <c r="E1333" t="s">
        <v>119</v>
      </c>
      <c r="F1333" t="s">
        <v>24</v>
      </c>
      <c r="G1333" t="s">
        <v>116</v>
      </c>
      <c r="H1333" t="s">
        <v>79</v>
      </c>
      <c r="I1333" s="2">
        <v>20</v>
      </c>
      <c r="J1333" s="3">
        <v>14.9</v>
      </c>
      <c r="K1333" s="4">
        <v>0.08</v>
      </c>
      <c r="L1333" s="3">
        <v>274.16</v>
      </c>
      <c r="M1333" t="b">
        <v>1</v>
      </c>
      <c r="N1333" s="2">
        <f>YEAR(B1333)</f>
        <v>2026</v>
      </c>
      <c r="O1333" t="str">
        <f>INDEX(Agences!$C:$C,MATCH(F1333,Agences!$A:$A,0))</f>
        <v>Nord</v>
      </c>
      <c r="P1333" t="str">
        <f>INDEX(Produits!$C:$C,MATCH(H1333,Produits!$A:$A,0))</f>
        <v>Fournitures</v>
      </c>
      <c r="Q1333" s="3">
        <f>I1333*INDEX(Produits!$E:$E,MATCH(H1333,Produits!$A:$A,0))</f>
        <v>161</v>
      </c>
      <c r="R1333" s="3">
        <f>L1333-Q1333</f>
        <v>113.16000000000003</v>
      </c>
      <c r="S1333" s="2">
        <f>NETWORKDAYS(B1333,C1333)-1</f>
        <v>4</v>
      </c>
      <c r="T1333" s="1">
        <f>WORKDAY(B1333,5)</f>
        <v>46087</v>
      </c>
      <c r="U1333" t="b">
        <f>C1333&gt;T1333</f>
        <v>0</v>
      </c>
    </row>
    <row r="1334" spans="1:21" x14ac:dyDescent="0.25">
      <c r="A1334" t="s">
        <v>1059</v>
      </c>
      <c r="B1334" s="1">
        <v>46080</v>
      </c>
      <c r="C1334" s="1">
        <v>46086</v>
      </c>
      <c r="D1334" t="s">
        <v>304</v>
      </c>
      <c r="E1334" t="s">
        <v>119</v>
      </c>
      <c r="F1334" t="s">
        <v>24</v>
      </c>
      <c r="G1334" t="s">
        <v>116</v>
      </c>
      <c r="H1334" t="s">
        <v>35</v>
      </c>
      <c r="I1334" s="2">
        <v>1</v>
      </c>
      <c r="J1334" s="3">
        <v>79</v>
      </c>
      <c r="K1334" s="4">
        <v>0.05</v>
      </c>
      <c r="L1334" s="3">
        <v>75.05</v>
      </c>
      <c r="M1334" t="b">
        <v>1</v>
      </c>
      <c r="N1334" s="2">
        <f>YEAR(B1334)</f>
        <v>2026</v>
      </c>
      <c r="O1334" t="str">
        <f>INDEX(Agences!$C:$C,MATCH(F1334,Agences!$A:$A,0))</f>
        <v>Nord</v>
      </c>
      <c r="P1334" t="str">
        <f>INDEX(Produits!$C:$C,MATCH(H1334,Produits!$A:$A,0))</f>
        <v>Mobilier</v>
      </c>
      <c r="Q1334" s="3">
        <f>I1334*INDEX(Produits!$E:$E,MATCH(H1334,Produits!$A:$A,0))</f>
        <v>46.61</v>
      </c>
      <c r="R1334" s="3">
        <f>L1334-Q1334</f>
        <v>28.439999999999998</v>
      </c>
      <c r="S1334" s="2">
        <f>NETWORKDAYS(B1334,C1334)-1</f>
        <v>4</v>
      </c>
      <c r="T1334" s="1">
        <f>WORKDAY(B1334,5)</f>
        <v>46087</v>
      </c>
      <c r="U1334" t="b">
        <f>C1334&gt;T1334</f>
        <v>0</v>
      </c>
    </row>
    <row r="1335" spans="1:21" x14ac:dyDescent="0.25">
      <c r="A1335" t="s">
        <v>1059</v>
      </c>
      <c r="B1335" s="1">
        <v>46080</v>
      </c>
      <c r="C1335" s="1">
        <v>46086</v>
      </c>
      <c r="D1335" t="s">
        <v>304</v>
      </c>
      <c r="E1335" t="s">
        <v>119</v>
      </c>
      <c r="F1335" t="s">
        <v>24</v>
      </c>
      <c r="G1335" t="s">
        <v>116</v>
      </c>
      <c r="H1335" t="s">
        <v>50</v>
      </c>
      <c r="I1335" s="2">
        <v>3</v>
      </c>
      <c r="J1335" s="3">
        <v>69</v>
      </c>
      <c r="K1335" s="4">
        <v>0.05</v>
      </c>
      <c r="L1335" s="3">
        <v>196.65</v>
      </c>
      <c r="M1335" t="b">
        <v>1</v>
      </c>
      <c r="N1335" s="2">
        <f>YEAR(B1335)</f>
        <v>2026</v>
      </c>
      <c r="O1335" t="str">
        <f>INDEX(Agences!$C:$C,MATCH(F1335,Agences!$A:$A,0))</f>
        <v>Nord</v>
      </c>
      <c r="P1335" t="str">
        <f>INDEX(Produits!$C:$C,MATCH(H1335,Produits!$A:$A,0))</f>
        <v>Informatique</v>
      </c>
      <c r="Q1335" s="3">
        <f>I1335*INDEX(Produits!$E:$E,MATCH(H1335,Produits!$A:$A,0))</f>
        <v>163.53</v>
      </c>
      <c r="R1335" s="3">
        <f>L1335-Q1335</f>
        <v>33.120000000000005</v>
      </c>
      <c r="S1335" s="2">
        <f>NETWORKDAYS(B1335,C1335)-1</f>
        <v>4</v>
      </c>
      <c r="T1335" s="1">
        <f>WORKDAY(B1335,5)</f>
        <v>46087</v>
      </c>
      <c r="U1335" t="b">
        <f>C1335&gt;T1335</f>
        <v>0</v>
      </c>
    </row>
    <row r="1336" spans="1:21" x14ac:dyDescent="0.25">
      <c r="A1336" t="s">
        <v>1059</v>
      </c>
      <c r="B1336" s="1">
        <v>46080</v>
      </c>
      <c r="C1336" s="1">
        <v>46086</v>
      </c>
      <c r="D1336" t="s">
        <v>304</v>
      </c>
      <c r="E1336" t="s">
        <v>119</v>
      </c>
      <c r="F1336" t="s">
        <v>24</v>
      </c>
      <c r="G1336" t="s">
        <v>116</v>
      </c>
      <c r="H1336" t="s">
        <v>64</v>
      </c>
      <c r="I1336" s="2">
        <v>10</v>
      </c>
      <c r="J1336" s="3">
        <v>16.8</v>
      </c>
      <c r="K1336" s="4">
        <v>0.08</v>
      </c>
      <c r="L1336" s="3">
        <v>154.56</v>
      </c>
      <c r="M1336" t="b">
        <v>1</v>
      </c>
      <c r="N1336" s="2">
        <f>YEAR(B1336)</f>
        <v>2026</v>
      </c>
      <c r="O1336" t="str">
        <f>INDEX(Agences!$C:$C,MATCH(F1336,Agences!$A:$A,0))</f>
        <v>Nord</v>
      </c>
      <c r="P1336" t="str">
        <f>INDEX(Produits!$C:$C,MATCH(H1336,Produits!$A:$A,0))</f>
        <v>Fournitures</v>
      </c>
      <c r="Q1336" s="3">
        <f>I1336*INDEX(Produits!$E:$E,MATCH(H1336,Produits!$A:$A,0))</f>
        <v>87.4</v>
      </c>
      <c r="R1336" s="3">
        <f>L1336-Q1336</f>
        <v>67.16</v>
      </c>
      <c r="S1336" s="2">
        <f>NETWORKDAYS(B1336,C1336)-1</f>
        <v>4</v>
      </c>
      <c r="T1336" s="1">
        <f>WORKDAY(B1336,5)</f>
        <v>46087</v>
      </c>
      <c r="U1336" t="b">
        <f>C1336&gt;T1336</f>
        <v>0</v>
      </c>
    </row>
    <row r="1337" spans="1:21" x14ac:dyDescent="0.25">
      <c r="A1337" t="s">
        <v>1059</v>
      </c>
      <c r="B1337" s="1">
        <v>46080</v>
      </c>
      <c r="C1337" s="1">
        <v>46086</v>
      </c>
      <c r="D1337" t="s">
        <v>304</v>
      </c>
      <c r="E1337" t="s">
        <v>119</v>
      </c>
      <c r="F1337" t="s">
        <v>24</v>
      </c>
      <c r="G1337" t="s">
        <v>116</v>
      </c>
      <c r="H1337" t="s">
        <v>42</v>
      </c>
      <c r="I1337" s="2">
        <v>1</v>
      </c>
      <c r="J1337" s="3">
        <v>55</v>
      </c>
      <c r="K1337" s="4">
        <v>0.05</v>
      </c>
      <c r="L1337" s="3">
        <v>52.25</v>
      </c>
      <c r="M1337" t="b">
        <v>1</v>
      </c>
      <c r="N1337" s="2">
        <f>YEAR(B1337)</f>
        <v>2026</v>
      </c>
      <c r="O1337" t="str">
        <f>INDEX(Agences!$C:$C,MATCH(F1337,Agences!$A:$A,0))</f>
        <v>Nord</v>
      </c>
      <c r="P1337" t="str">
        <f>INDEX(Produits!$C:$C,MATCH(H1337,Produits!$A:$A,0))</f>
        <v>Maintenance</v>
      </c>
      <c r="Q1337" s="3">
        <f>I1337*INDEX(Produits!$E:$E,MATCH(H1337,Produits!$A:$A,0))</f>
        <v>24.75</v>
      </c>
      <c r="R1337" s="3">
        <f>L1337-Q1337</f>
        <v>27.5</v>
      </c>
      <c r="S1337" s="2">
        <f>NETWORKDAYS(B1337,C1337)-1</f>
        <v>4</v>
      </c>
      <c r="T1337" s="1">
        <f>WORKDAY(B1337,5)</f>
        <v>46087</v>
      </c>
      <c r="U1337" t="b">
        <f>C1337&gt;T1337</f>
        <v>0</v>
      </c>
    </row>
    <row r="1338" spans="1:21" x14ac:dyDescent="0.25">
      <c r="A1338" t="s">
        <v>1060</v>
      </c>
      <c r="B1338" s="1">
        <v>46080</v>
      </c>
      <c r="C1338" s="1">
        <v>46086</v>
      </c>
      <c r="D1338" t="s">
        <v>1061</v>
      </c>
      <c r="E1338" t="s">
        <v>165</v>
      </c>
      <c r="F1338" t="s">
        <v>166</v>
      </c>
      <c r="G1338" t="s">
        <v>179</v>
      </c>
      <c r="H1338" t="s">
        <v>42</v>
      </c>
      <c r="I1338" s="2">
        <v>1</v>
      </c>
      <c r="J1338" s="3">
        <v>55</v>
      </c>
      <c r="K1338" s="4">
        <v>0</v>
      </c>
      <c r="L1338" s="3">
        <v>55</v>
      </c>
      <c r="M1338" t="b">
        <v>1</v>
      </c>
      <c r="N1338" s="2">
        <f>YEAR(B1338)</f>
        <v>2026</v>
      </c>
      <c r="O1338" t="str">
        <f>INDEX(Agences!$C:$C,MATCH(F1338,Agences!$A:$A,0))</f>
        <v>Ouest</v>
      </c>
      <c r="P1338" t="str">
        <f>INDEX(Produits!$C:$C,MATCH(H1338,Produits!$A:$A,0))</f>
        <v>Maintenance</v>
      </c>
      <c r="Q1338" s="3">
        <f>I1338*INDEX(Produits!$E:$E,MATCH(H1338,Produits!$A:$A,0))</f>
        <v>24.75</v>
      </c>
      <c r="R1338" s="3">
        <f>L1338-Q1338</f>
        <v>30.25</v>
      </c>
      <c r="S1338" s="2">
        <f>NETWORKDAYS(B1338,C1338)-1</f>
        <v>4</v>
      </c>
      <c r="T1338" s="1">
        <f>WORKDAY(B1338,5)</f>
        <v>46087</v>
      </c>
      <c r="U1338" t="b">
        <f>C1338&gt;T1338</f>
        <v>0</v>
      </c>
    </row>
    <row r="1339" spans="1:21" x14ac:dyDescent="0.25">
      <c r="A1339" t="s">
        <v>1060</v>
      </c>
      <c r="B1339" s="1">
        <v>46080</v>
      </c>
      <c r="C1339" s="1">
        <v>46086</v>
      </c>
      <c r="D1339" t="s">
        <v>1061</v>
      </c>
      <c r="E1339" t="s">
        <v>165</v>
      </c>
      <c r="F1339" t="s">
        <v>166</v>
      </c>
      <c r="G1339" t="s">
        <v>179</v>
      </c>
      <c r="H1339" t="s">
        <v>50</v>
      </c>
      <c r="I1339" s="2">
        <v>2</v>
      </c>
      <c r="J1339" s="3">
        <v>69</v>
      </c>
      <c r="K1339" s="4">
        <v>0</v>
      </c>
      <c r="L1339" s="3">
        <v>138</v>
      </c>
      <c r="M1339" t="b">
        <v>1</v>
      </c>
      <c r="N1339" s="2">
        <f>YEAR(B1339)</f>
        <v>2026</v>
      </c>
      <c r="O1339" t="str">
        <f>INDEX(Agences!$C:$C,MATCH(F1339,Agences!$A:$A,0))</f>
        <v>Ouest</v>
      </c>
      <c r="P1339" t="str">
        <f>INDEX(Produits!$C:$C,MATCH(H1339,Produits!$A:$A,0))</f>
        <v>Informatique</v>
      </c>
      <c r="Q1339" s="3">
        <f>I1339*INDEX(Produits!$E:$E,MATCH(H1339,Produits!$A:$A,0))</f>
        <v>109.02</v>
      </c>
      <c r="R1339" s="3">
        <f>L1339-Q1339</f>
        <v>28.980000000000004</v>
      </c>
      <c r="S1339" s="2">
        <f>NETWORKDAYS(B1339,C1339)-1</f>
        <v>4</v>
      </c>
      <c r="T1339" s="1">
        <f>WORKDAY(B1339,5)</f>
        <v>46087</v>
      </c>
      <c r="U1339" t="b">
        <f>C1339&gt;T1339</f>
        <v>0</v>
      </c>
    </row>
    <row r="1340" spans="1:21" x14ac:dyDescent="0.25">
      <c r="A1340" t="s">
        <v>1062</v>
      </c>
      <c r="B1340" s="1">
        <v>46080</v>
      </c>
      <c r="C1340" s="1">
        <v>46083</v>
      </c>
      <c r="D1340" t="s">
        <v>451</v>
      </c>
      <c r="E1340" t="s">
        <v>30</v>
      </c>
      <c r="F1340" t="s">
        <v>31</v>
      </c>
      <c r="G1340" t="s">
        <v>375</v>
      </c>
      <c r="H1340" t="s">
        <v>123</v>
      </c>
      <c r="I1340" s="2">
        <v>5</v>
      </c>
      <c r="J1340" s="3">
        <v>39.9</v>
      </c>
      <c r="K1340" s="4">
        <v>0</v>
      </c>
      <c r="L1340" s="3">
        <v>199.5</v>
      </c>
      <c r="M1340" t="b">
        <v>1</v>
      </c>
      <c r="N1340" s="2">
        <f>YEAR(B1340)</f>
        <v>2026</v>
      </c>
      <c r="O1340" t="str">
        <f>INDEX(Agences!$C:$C,MATCH(F1340,Agences!$A:$A,0))</f>
        <v>Ouest</v>
      </c>
      <c r="P1340" t="str">
        <f>INDEX(Produits!$C:$C,MATCH(H1340,Produits!$A:$A,0))</f>
        <v>Fournitures</v>
      </c>
      <c r="Q1340" s="3">
        <f>I1340*INDEX(Produits!$E:$E,MATCH(H1340,Produits!$A:$A,0))</f>
        <v>111.7</v>
      </c>
      <c r="R1340" s="3">
        <f>L1340-Q1340</f>
        <v>87.8</v>
      </c>
      <c r="S1340" s="2">
        <f>NETWORKDAYS(B1340,C1340)-1</f>
        <v>1</v>
      </c>
      <c r="T1340" s="1">
        <f>WORKDAY(B1340,5)</f>
        <v>46087</v>
      </c>
      <c r="U1340" t="b">
        <f>C1340&gt;T1340</f>
        <v>0</v>
      </c>
    </row>
    <row r="1341" spans="1:21" x14ac:dyDescent="0.25">
      <c r="A1341" t="s">
        <v>1063</v>
      </c>
      <c r="B1341" s="1">
        <v>46080</v>
      </c>
      <c r="C1341" s="1">
        <v>46084</v>
      </c>
      <c r="D1341" t="s">
        <v>1064</v>
      </c>
      <c r="E1341" t="s">
        <v>242</v>
      </c>
      <c r="F1341" t="s">
        <v>94</v>
      </c>
      <c r="G1341" t="s">
        <v>95</v>
      </c>
      <c r="H1341" t="s">
        <v>49</v>
      </c>
      <c r="I1341" s="2">
        <v>1</v>
      </c>
      <c r="J1341" s="3">
        <v>120</v>
      </c>
      <c r="K1341" s="4">
        <v>0.05</v>
      </c>
      <c r="L1341" s="3">
        <v>114</v>
      </c>
      <c r="M1341" t="b">
        <v>1</v>
      </c>
      <c r="N1341" s="2">
        <f>YEAR(B1341)</f>
        <v>2026</v>
      </c>
      <c r="O1341" t="str">
        <f>INDEX(Agences!$C:$C,MATCH(F1341,Agences!$A:$A,0))</f>
        <v>Méditerranée</v>
      </c>
      <c r="P1341" t="str">
        <f>INDEX(Produits!$C:$C,MATCH(H1341,Produits!$A:$A,0))</f>
        <v>Maintenance</v>
      </c>
      <c r="Q1341" s="3">
        <f>I1341*INDEX(Produits!$E:$E,MATCH(H1341,Produits!$A:$A,0))</f>
        <v>55.2</v>
      </c>
      <c r="R1341" s="3">
        <f>L1341-Q1341</f>
        <v>58.8</v>
      </c>
      <c r="S1341" s="2">
        <f>NETWORKDAYS(B1341,C1341)-1</f>
        <v>2</v>
      </c>
      <c r="T1341" s="1">
        <f>WORKDAY(B1341,5)</f>
        <v>46087</v>
      </c>
      <c r="U1341" t="b">
        <f>C1341&gt;T1341</f>
        <v>0</v>
      </c>
    </row>
    <row r="1342" spans="1:21" x14ac:dyDescent="0.25">
      <c r="A1342" t="s">
        <v>1063</v>
      </c>
      <c r="B1342" s="1">
        <v>46080</v>
      </c>
      <c r="C1342" s="1">
        <v>46084</v>
      </c>
      <c r="D1342" t="s">
        <v>1064</v>
      </c>
      <c r="E1342" t="s">
        <v>242</v>
      </c>
      <c r="F1342" t="s">
        <v>94</v>
      </c>
      <c r="G1342" t="s">
        <v>95</v>
      </c>
      <c r="H1342" t="s">
        <v>35</v>
      </c>
      <c r="I1342" s="2">
        <v>2</v>
      </c>
      <c r="J1342" s="3">
        <v>79</v>
      </c>
      <c r="K1342" s="4">
        <v>0</v>
      </c>
      <c r="L1342" s="3">
        <v>158</v>
      </c>
      <c r="M1342" t="b">
        <v>1</v>
      </c>
      <c r="N1342" s="2">
        <f>YEAR(B1342)</f>
        <v>2026</v>
      </c>
      <c r="O1342" t="str">
        <f>INDEX(Agences!$C:$C,MATCH(F1342,Agences!$A:$A,0))</f>
        <v>Méditerranée</v>
      </c>
      <c r="P1342" t="str">
        <f>INDEX(Produits!$C:$C,MATCH(H1342,Produits!$A:$A,0))</f>
        <v>Mobilier</v>
      </c>
      <c r="Q1342" s="3">
        <f>I1342*INDEX(Produits!$E:$E,MATCH(H1342,Produits!$A:$A,0))</f>
        <v>93.22</v>
      </c>
      <c r="R1342" s="3">
        <f>L1342-Q1342</f>
        <v>64.78</v>
      </c>
      <c r="S1342" s="2">
        <f>NETWORKDAYS(B1342,C1342)-1</f>
        <v>2</v>
      </c>
      <c r="T1342" s="1">
        <f>WORKDAY(B1342,5)</f>
        <v>46087</v>
      </c>
      <c r="U1342" t="b">
        <f>C1342&gt;T1342</f>
        <v>0</v>
      </c>
    </row>
    <row r="1343" spans="1:21" x14ac:dyDescent="0.25">
      <c r="A1343" t="s">
        <v>1063</v>
      </c>
      <c r="B1343" s="1">
        <v>46080</v>
      </c>
      <c r="C1343" s="1">
        <v>46084</v>
      </c>
      <c r="D1343" t="s">
        <v>1064</v>
      </c>
      <c r="E1343" t="s">
        <v>242</v>
      </c>
      <c r="F1343" t="s">
        <v>94</v>
      </c>
      <c r="G1343" t="s">
        <v>95</v>
      </c>
      <c r="H1343" t="s">
        <v>112</v>
      </c>
      <c r="I1343" s="2">
        <v>1</v>
      </c>
      <c r="J1343" s="3">
        <v>129</v>
      </c>
      <c r="K1343" s="4">
        <v>0.02</v>
      </c>
      <c r="L1343" s="3">
        <v>126.42</v>
      </c>
      <c r="M1343" t="b">
        <v>1</v>
      </c>
      <c r="N1343" s="2">
        <f>YEAR(B1343)</f>
        <v>2026</v>
      </c>
      <c r="O1343" t="str">
        <f>INDEX(Agences!$C:$C,MATCH(F1343,Agences!$A:$A,0))</f>
        <v>Méditerranée</v>
      </c>
      <c r="P1343" t="str">
        <f>INDEX(Produits!$C:$C,MATCH(H1343,Produits!$A:$A,0))</f>
        <v>Mobilier</v>
      </c>
      <c r="Q1343" s="3">
        <f>I1343*INDEX(Produits!$E:$E,MATCH(H1343,Produits!$A:$A,0))</f>
        <v>86.43</v>
      </c>
      <c r="R1343" s="3">
        <f>L1343-Q1343</f>
        <v>39.989999999999995</v>
      </c>
      <c r="S1343" s="2">
        <f>NETWORKDAYS(B1343,C1343)-1</f>
        <v>2</v>
      </c>
      <c r="T1343" s="1">
        <f>WORKDAY(B1343,5)</f>
        <v>46087</v>
      </c>
      <c r="U1343" t="b">
        <f>C1343&gt;T1343</f>
        <v>0</v>
      </c>
    </row>
    <row r="1344" spans="1:21" x14ac:dyDescent="0.25">
      <c r="A1344" t="s">
        <v>1063</v>
      </c>
      <c r="B1344" s="1">
        <v>46080</v>
      </c>
      <c r="C1344" s="1">
        <v>46084</v>
      </c>
      <c r="D1344" t="s">
        <v>1064</v>
      </c>
      <c r="E1344" t="s">
        <v>242</v>
      </c>
      <c r="F1344" t="s">
        <v>94</v>
      </c>
      <c r="G1344" t="s">
        <v>95</v>
      </c>
      <c r="H1344" t="s">
        <v>83</v>
      </c>
      <c r="I1344" s="2">
        <v>1</v>
      </c>
      <c r="J1344" s="3">
        <v>49</v>
      </c>
      <c r="K1344" s="4">
        <v>0</v>
      </c>
      <c r="L1344" s="3">
        <v>49</v>
      </c>
      <c r="M1344" t="b">
        <v>1</v>
      </c>
      <c r="N1344" s="2">
        <f>YEAR(B1344)</f>
        <v>2026</v>
      </c>
      <c r="O1344" t="str">
        <f>INDEX(Agences!$C:$C,MATCH(F1344,Agences!$A:$A,0))</f>
        <v>Méditerranée</v>
      </c>
      <c r="P1344" t="str">
        <f>INDEX(Produits!$C:$C,MATCH(H1344,Produits!$A:$A,0))</f>
        <v>Mobilier</v>
      </c>
      <c r="Q1344" s="3">
        <f>I1344*INDEX(Produits!$E:$E,MATCH(H1344,Produits!$A:$A,0))</f>
        <v>28.42</v>
      </c>
      <c r="R1344" s="3">
        <f>L1344-Q1344</f>
        <v>20.58</v>
      </c>
      <c r="S1344" s="2">
        <f>NETWORKDAYS(B1344,C1344)-1</f>
        <v>2</v>
      </c>
      <c r="T1344" s="1">
        <f>WORKDAY(B1344,5)</f>
        <v>46087</v>
      </c>
      <c r="U1344" t="b">
        <f>C1344&gt;T1344</f>
        <v>0</v>
      </c>
    </row>
    <row r="1345" spans="1:21" x14ac:dyDescent="0.25">
      <c r="A1345" t="s">
        <v>1065</v>
      </c>
      <c r="B1345" s="1">
        <v>46080</v>
      </c>
      <c r="C1345" s="1">
        <v>46084</v>
      </c>
      <c r="D1345" t="s">
        <v>796</v>
      </c>
      <c r="E1345" t="s">
        <v>45</v>
      </c>
      <c r="F1345" t="s">
        <v>46</v>
      </c>
      <c r="G1345" t="s">
        <v>158</v>
      </c>
      <c r="H1345" t="s">
        <v>72</v>
      </c>
      <c r="I1345" s="2">
        <v>1</v>
      </c>
      <c r="J1345" s="3">
        <v>179</v>
      </c>
      <c r="K1345" s="4">
        <v>0.05</v>
      </c>
      <c r="L1345" s="3">
        <v>170.05</v>
      </c>
      <c r="M1345" t="b">
        <v>1</v>
      </c>
      <c r="N1345" s="2">
        <f>YEAR(B1345)</f>
        <v>2026</v>
      </c>
      <c r="O1345" t="str">
        <f>INDEX(Agences!$C:$C,MATCH(F1345,Agences!$A:$A,0))</f>
        <v>Est</v>
      </c>
      <c r="P1345" t="str">
        <f>INDEX(Produits!$C:$C,MATCH(H1345,Produits!$A:$A,0))</f>
        <v>Informatique</v>
      </c>
      <c r="Q1345" s="3">
        <f>I1345*INDEX(Produits!$E:$E,MATCH(H1345,Produits!$A:$A,0))</f>
        <v>146.78</v>
      </c>
      <c r="R1345" s="3">
        <f>L1345-Q1345</f>
        <v>23.27000000000001</v>
      </c>
      <c r="S1345" s="2">
        <f>NETWORKDAYS(B1345,C1345)-1</f>
        <v>2</v>
      </c>
      <c r="T1345" s="1">
        <f>WORKDAY(B1345,5)</f>
        <v>46087</v>
      </c>
      <c r="U1345" t="b">
        <f>C1345&gt;T1345</f>
        <v>0</v>
      </c>
    </row>
    <row r="1346" spans="1:21" x14ac:dyDescent="0.25">
      <c r="A1346" t="s">
        <v>1066</v>
      </c>
      <c r="B1346" s="1">
        <v>46079</v>
      </c>
      <c r="C1346" s="1">
        <v>46084</v>
      </c>
      <c r="D1346" t="s">
        <v>858</v>
      </c>
      <c r="E1346" t="s">
        <v>75</v>
      </c>
      <c r="F1346" t="s">
        <v>76</v>
      </c>
      <c r="G1346" t="s">
        <v>77</v>
      </c>
      <c r="H1346" t="s">
        <v>606</v>
      </c>
      <c r="I1346" s="2">
        <v>1</v>
      </c>
      <c r="J1346" s="3">
        <v>1150</v>
      </c>
      <c r="K1346" s="4">
        <v>0</v>
      </c>
      <c r="L1346" s="3">
        <v>1150</v>
      </c>
      <c r="M1346" t="b">
        <v>1</v>
      </c>
      <c r="N1346" s="2">
        <f>YEAR(B1346)</f>
        <v>2026</v>
      </c>
      <c r="O1346" t="str">
        <f>INDEX(Agences!$C:$C,MATCH(F1346,Agences!$A:$A,0))</f>
        <v>Île-de-France</v>
      </c>
      <c r="P1346" t="str">
        <f>INDEX(Produits!$C:$C,MATCH(H1346,Produits!$A:$A,0))</f>
        <v>Mobilier</v>
      </c>
      <c r="Q1346" s="3">
        <f>I1346*INDEX(Produits!$E:$E,MATCH(H1346,Produits!$A:$A,0))</f>
        <v>713</v>
      </c>
      <c r="R1346" s="3">
        <f>L1346-Q1346</f>
        <v>437</v>
      </c>
      <c r="S1346" s="2">
        <f>NETWORKDAYS(B1346,C1346)-1</f>
        <v>3</v>
      </c>
      <c r="T1346" s="1">
        <f>WORKDAY(B1346,5)</f>
        <v>46086</v>
      </c>
      <c r="U1346" t="b">
        <f>C1346&gt;T1346</f>
        <v>0</v>
      </c>
    </row>
    <row r="1347" spans="1:21" x14ac:dyDescent="0.25">
      <c r="A1347" t="s">
        <v>1066</v>
      </c>
      <c r="B1347" s="1">
        <v>46079</v>
      </c>
      <c r="C1347" s="1">
        <v>46084</v>
      </c>
      <c r="D1347" t="s">
        <v>858</v>
      </c>
      <c r="E1347" t="s">
        <v>75</v>
      </c>
      <c r="F1347" t="s">
        <v>76</v>
      </c>
      <c r="G1347" t="s">
        <v>77</v>
      </c>
      <c r="H1347" t="s">
        <v>57</v>
      </c>
      <c r="I1347" s="2">
        <v>2</v>
      </c>
      <c r="J1347" s="3">
        <v>149</v>
      </c>
      <c r="K1347" s="4">
        <v>0</v>
      </c>
      <c r="L1347" s="3">
        <v>298</v>
      </c>
      <c r="M1347" t="b">
        <v>1</v>
      </c>
      <c r="N1347" s="2">
        <f>YEAR(B1347)</f>
        <v>2026</v>
      </c>
      <c r="O1347" t="str">
        <f>INDEX(Agences!$C:$C,MATCH(F1347,Agences!$A:$A,0))</f>
        <v>Île-de-France</v>
      </c>
      <c r="P1347" t="str">
        <f>INDEX(Produits!$C:$C,MATCH(H1347,Produits!$A:$A,0))</f>
        <v>Informatique</v>
      </c>
      <c r="Q1347" s="3">
        <f>I1347*INDEX(Produits!$E:$E,MATCH(H1347,Produits!$A:$A,0))</f>
        <v>229.46</v>
      </c>
      <c r="R1347" s="3">
        <f>L1347-Q1347</f>
        <v>68.53999999999999</v>
      </c>
      <c r="S1347" s="2">
        <f>NETWORKDAYS(B1347,C1347)-1</f>
        <v>3</v>
      </c>
      <c r="T1347" s="1">
        <f>WORKDAY(B1347,5)</f>
        <v>46086</v>
      </c>
      <c r="U1347" t="b">
        <f>C1347&gt;T1347</f>
        <v>0</v>
      </c>
    </row>
    <row r="1348" spans="1:21" x14ac:dyDescent="0.25">
      <c r="A1348" t="s">
        <v>1066</v>
      </c>
      <c r="B1348" s="1">
        <v>46079</v>
      </c>
      <c r="C1348" s="1">
        <v>46084</v>
      </c>
      <c r="D1348" t="s">
        <v>858</v>
      </c>
      <c r="E1348" t="s">
        <v>75</v>
      </c>
      <c r="F1348" t="s">
        <v>76</v>
      </c>
      <c r="G1348" t="s">
        <v>77</v>
      </c>
      <c r="H1348" t="s">
        <v>42</v>
      </c>
      <c r="I1348" s="2">
        <v>1</v>
      </c>
      <c r="J1348" s="3">
        <v>55</v>
      </c>
      <c r="K1348" s="4">
        <v>0</v>
      </c>
      <c r="L1348" s="3">
        <v>55</v>
      </c>
      <c r="M1348" t="b">
        <v>1</v>
      </c>
      <c r="N1348" s="2">
        <f>YEAR(B1348)</f>
        <v>2026</v>
      </c>
      <c r="O1348" t="str">
        <f>INDEX(Agences!$C:$C,MATCH(F1348,Agences!$A:$A,0))</f>
        <v>Île-de-France</v>
      </c>
      <c r="P1348" t="str">
        <f>INDEX(Produits!$C:$C,MATCH(H1348,Produits!$A:$A,0))</f>
        <v>Maintenance</v>
      </c>
      <c r="Q1348" s="3">
        <f>I1348*INDEX(Produits!$E:$E,MATCH(H1348,Produits!$A:$A,0))</f>
        <v>24.75</v>
      </c>
      <c r="R1348" s="3">
        <f>L1348-Q1348</f>
        <v>30.25</v>
      </c>
      <c r="S1348" s="2">
        <f>NETWORKDAYS(B1348,C1348)-1</f>
        <v>3</v>
      </c>
      <c r="T1348" s="1">
        <f>WORKDAY(B1348,5)</f>
        <v>46086</v>
      </c>
      <c r="U1348" t="b">
        <f>C1348&gt;T1348</f>
        <v>0</v>
      </c>
    </row>
    <row r="1349" spans="1:21" x14ac:dyDescent="0.25">
      <c r="A1349" t="s">
        <v>1066</v>
      </c>
      <c r="B1349" s="1">
        <v>46079</v>
      </c>
      <c r="C1349" s="1">
        <v>46084</v>
      </c>
      <c r="D1349" t="s">
        <v>858</v>
      </c>
      <c r="E1349" t="s">
        <v>75</v>
      </c>
      <c r="F1349" t="s">
        <v>76</v>
      </c>
      <c r="G1349" t="s">
        <v>77</v>
      </c>
      <c r="H1349" t="s">
        <v>33</v>
      </c>
      <c r="I1349" s="2">
        <v>4</v>
      </c>
      <c r="J1349" s="3">
        <v>219</v>
      </c>
      <c r="K1349" s="4">
        <v>0</v>
      </c>
      <c r="L1349" s="3">
        <v>876</v>
      </c>
      <c r="M1349" t="b">
        <v>1</v>
      </c>
      <c r="N1349" s="2">
        <f>YEAR(B1349)</f>
        <v>2026</v>
      </c>
      <c r="O1349" t="str">
        <f>INDEX(Agences!$C:$C,MATCH(F1349,Agences!$A:$A,0))</f>
        <v>Île-de-France</v>
      </c>
      <c r="P1349" t="str">
        <f>INDEX(Produits!$C:$C,MATCH(H1349,Produits!$A:$A,0))</f>
        <v>Informatique</v>
      </c>
      <c r="Q1349" s="3">
        <f>I1349*INDEX(Produits!$E:$E,MATCH(H1349,Produits!$A:$A,0))</f>
        <v>718.32</v>
      </c>
      <c r="R1349" s="3">
        <f>L1349-Q1349</f>
        <v>157.67999999999995</v>
      </c>
      <c r="S1349" s="2">
        <f>NETWORKDAYS(B1349,C1349)-1</f>
        <v>3</v>
      </c>
      <c r="T1349" s="1">
        <f>WORKDAY(B1349,5)</f>
        <v>46086</v>
      </c>
      <c r="U1349" t="b">
        <f>C1349&gt;T1349</f>
        <v>0</v>
      </c>
    </row>
    <row r="1350" spans="1:21" x14ac:dyDescent="0.25">
      <c r="A1350" t="s">
        <v>1066</v>
      </c>
      <c r="B1350" s="1">
        <v>46079</v>
      </c>
      <c r="C1350" s="1">
        <v>46084</v>
      </c>
      <c r="D1350" t="s">
        <v>858</v>
      </c>
      <c r="E1350" t="s">
        <v>75</v>
      </c>
      <c r="F1350" t="s">
        <v>76</v>
      </c>
      <c r="G1350" t="s">
        <v>77</v>
      </c>
      <c r="H1350" t="s">
        <v>34</v>
      </c>
      <c r="I1350" s="2">
        <v>2</v>
      </c>
      <c r="J1350" s="3">
        <v>340</v>
      </c>
      <c r="K1350" s="4">
        <v>0.05</v>
      </c>
      <c r="L1350" s="3">
        <v>646</v>
      </c>
      <c r="M1350" t="b">
        <v>1</v>
      </c>
      <c r="N1350" s="2">
        <f>YEAR(B1350)</f>
        <v>2026</v>
      </c>
      <c r="O1350" t="str">
        <f>INDEX(Agences!$C:$C,MATCH(F1350,Agences!$A:$A,0))</f>
        <v>Île-de-France</v>
      </c>
      <c r="P1350" t="str">
        <f>INDEX(Produits!$C:$C,MATCH(H1350,Produits!$A:$A,0))</f>
        <v>Informatique</v>
      </c>
      <c r="Q1350" s="3">
        <f>I1350*INDEX(Produits!$E:$E,MATCH(H1350,Produits!$A:$A,0))</f>
        <v>550.8</v>
      </c>
      <c r="R1350" s="3">
        <f>L1350-Q1350</f>
        <v>95.20000000000005</v>
      </c>
      <c r="S1350" s="2">
        <f>NETWORKDAYS(B1350,C1350)-1</f>
        <v>3</v>
      </c>
      <c r="T1350" s="1">
        <f>WORKDAY(B1350,5)</f>
        <v>46086</v>
      </c>
      <c r="U1350" t="b">
        <f>C1350&gt;T1350</f>
        <v>0</v>
      </c>
    </row>
    <row r="1351" spans="1:21" x14ac:dyDescent="0.25">
      <c r="A1351" t="s">
        <v>1067</v>
      </c>
      <c r="B1351" s="1">
        <v>46079</v>
      </c>
      <c r="C1351" s="1">
        <v>46084</v>
      </c>
      <c r="D1351" t="s">
        <v>146</v>
      </c>
      <c r="E1351" t="s">
        <v>30</v>
      </c>
      <c r="F1351" t="s">
        <v>31</v>
      </c>
      <c r="G1351" t="s">
        <v>375</v>
      </c>
      <c r="H1351" t="s">
        <v>112</v>
      </c>
      <c r="I1351" s="2">
        <v>3</v>
      </c>
      <c r="J1351" s="3">
        <v>129</v>
      </c>
      <c r="K1351" s="4">
        <v>0.05</v>
      </c>
      <c r="L1351" s="3">
        <v>367.65</v>
      </c>
      <c r="M1351" t="b">
        <v>1</v>
      </c>
      <c r="N1351" s="2">
        <f>YEAR(B1351)</f>
        <v>2026</v>
      </c>
      <c r="O1351" t="str">
        <f>INDEX(Agences!$C:$C,MATCH(F1351,Agences!$A:$A,0))</f>
        <v>Ouest</v>
      </c>
      <c r="P1351" t="str">
        <f>INDEX(Produits!$C:$C,MATCH(H1351,Produits!$A:$A,0))</f>
        <v>Mobilier</v>
      </c>
      <c r="Q1351" s="3">
        <f>I1351*INDEX(Produits!$E:$E,MATCH(H1351,Produits!$A:$A,0))</f>
        <v>259.29</v>
      </c>
      <c r="R1351" s="3">
        <f>L1351-Q1351</f>
        <v>108.35999999999996</v>
      </c>
      <c r="S1351" s="2">
        <f>NETWORKDAYS(B1351,C1351)-1</f>
        <v>3</v>
      </c>
      <c r="T1351" s="1">
        <f>WORKDAY(B1351,5)</f>
        <v>46086</v>
      </c>
      <c r="U1351" t="b">
        <f>C1351&gt;T1351</f>
        <v>0</v>
      </c>
    </row>
    <row r="1352" spans="1:21" x14ac:dyDescent="0.25">
      <c r="A1352" t="s">
        <v>1067</v>
      </c>
      <c r="B1352" s="1">
        <v>46079</v>
      </c>
      <c r="C1352" s="1">
        <v>46084</v>
      </c>
      <c r="D1352" t="s">
        <v>146</v>
      </c>
      <c r="E1352" t="s">
        <v>30</v>
      </c>
      <c r="F1352" t="s">
        <v>31</v>
      </c>
      <c r="G1352" t="s">
        <v>375</v>
      </c>
      <c r="H1352" t="s">
        <v>83</v>
      </c>
      <c r="I1352" s="2">
        <v>2</v>
      </c>
      <c r="J1352" s="3">
        <v>49</v>
      </c>
      <c r="K1352" s="4">
        <v>0</v>
      </c>
      <c r="L1352" s="3">
        <v>98</v>
      </c>
      <c r="M1352" t="b">
        <v>1</v>
      </c>
      <c r="N1352" s="2">
        <f>YEAR(B1352)</f>
        <v>2026</v>
      </c>
      <c r="O1352" t="str">
        <f>INDEX(Agences!$C:$C,MATCH(F1352,Agences!$A:$A,0))</f>
        <v>Ouest</v>
      </c>
      <c r="P1352" t="str">
        <f>INDEX(Produits!$C:$C,MATCH(H1352,Produits!$A:$A,0))</f>
        <v>Mobilier</v>
      </c>
      <c r="Q1352" s="3">
        <f>I1352*INDEX(Produits!$E:$E,MATCH(H1352,Produits!$A:$A,0))</f>
        <v>56.84</v>
      </c>
      <c r="R1352" s="3">
        <f>L1352-Q1352</f>
        <v>41.16</v>
      </c>
      <c r="S1352" s="2">
        <f>NETWORKDAYS(B1352,C1352)-1</f>
        <v>3</v>
      </c>
      <c r="T1352" s="1">
        <f>WORKDAY(B1352,5)</f>
        <v>46086</v>
      </c>
      <c r="U1352" t="b">
        <f>C1352&gt;T1352</f>
        <v>0</v>
      </c>
    </row>
    <row r="1353" spans="1:21" x14ac:dyDescent="0.25">
      <c r="A1353" t="s">
        <v>1067</v>
      </c>
      <c r="B1353" s="1">
        <v>46079</v>
      </c>
      <c r="C1353" s="1">
        <v>46084</v>
      </c>
      <c r="D1353" t="s">
        <v>146</v>
      </c>
      <c r="E1353" t="s">
        <v>30</v>
      </c>
      <c r="F1353" t="s">
        <v>31</v>
      </c>
      <c r="G1353" t="s">
        <v>375</v>
      </c>
      <c r="H1353" t="s">
        <v>107</v>
      </c>
      <c r="I1353" s="2">
        <v>2</v>
      </c>
      <c r="J1353" s="3">
        <v>99</v>
      </c>
      <c r="K1353" s="4">
        <v>0</v>
      </c>
      <c r="L1353" s="3">
        <v>198</v>
      </c>
      <c r="M1353" t="b">
        <v>1</v>
      </c>
      <c r="N1353" s="2">
        <f>YEAR(B1353)</f>
        <v>2026</v>
      </c>
      <c r="O1353" t="str">
        <f>INDEX(Agences!$C:$C,MATCH(F1353,Agences!$A:$A,0))</f>
        <v>Ouest</v>
      </c>
      <c r="P1353" t="str">
        <f>INDEX(Produits!$C:$C,MATCH(H1353,Produits!$A:$A,0))</f>
        <v>Informatique</v>
      </c>
      <c r="Q1353" s="3">
        <f>I1353*INDEX(Produits!$E:$E,MATCH(H1353,Produits!$A:$A,0))</f>
        <v>150.48</v>
      </c>
      <c r="R1353" s="3">
        <f>L1353-Q1353</f>
        <v>47.52000000000001</v>
      </c>
      <c r="S1353" s="2">
        <f>NETWORKDAYS(B1353,C1353)-1</f>
        <v>3</v>
      </c>
      <c r="T1353" s="1">
        <f>WORKDAY(B1353,5)</f>
        <v>46086</v>
      </c>
      <c r="U1353" t="b">
        <f>C1353&gt;T1353</f>
        <v>0</v>
      </c>
    </row>
    <row r="1354" spans="1:21" x14ac:dyDescent="0.25">
      <c r="A1354" t="s">
        <v>1068</v>
      </c>
      <c r="B1354" s="1">
        <v>46078</v>
      </c>
      <c r="C1354" s="1">
        <v>46083</v>
      </c>
      <c r="D1354" t="s">
        <v>597</v>
      </c>
      <c r="E1354" t="s">
        <v>153</v>
      </c>
      <c r="F1354" t="s">
        <v>94</v>
      </c>
      <c r="G1354" t="s">
        <v>95</v>
      </c>
      <c r="H1354" t="s">
        <v>50</v>
      </c>
      <c r="I1354" s="2">
        <v>1</v>
      </c>
      <c r="J1354" s="3">
        <v>69</v>
      </c>
      <c r="K1354" s="4">
        <v>0.05</v>
      </c>
      <c r="L1354" s="3">
        <v>65.55</v>
      </c>
      <c r="M1354" t="b">
        <v>1</v>
      </c>
      <c r="N1354" s="2">
        <f>YEAR(B1354)</f>
        <v>2026</v>
      </c>
      <c r="O1354" t="str">
        <f>INDEX(Agences!$C:$C,MATCH(F1354,Agences!$A:$A,0))</f>
        <v>Méditerranée</v>
      </c>
      <c r="P1354" t="str">
        <f>INDEX(Produits!$C:$C,MATCH(H1354,Produits!$A:$A,0))</f>
        <v>Informatique</v>
      </c>
      <c r="Q1354" s="3">
        <f>I1354*INDEX(Produits!$E:$E,MATCH(H1354,Produits!$A:$A,0))</f>
        <v>54.51</v>
      </c>
      <c r="R1354" s="3">
        <f>L1354-Q1354</f>
        <v>11.04</v>
      </c>
      <c r="S1354" s="2">
        <f>NETWORKDAYS(B1354,C1354)-1</f>
        <v>3</v>
      </c>
      <c r="T1354" s="1">
        <f>WORKDAY(B1354,5)</f>
        <v>46085</v>
      </c>
      <c r="U1354" t="b">
        <f>C1354&gt;T1354</f>
        <v>0</v>
      </c>
    </row>
    <row r="1355" spans="1:21" x14ac:dyDescent="0.25">
      <c r="A1355" t="s">
        <v>1068</v>
      </c>
      <c r="B1355" s="1">
        <v>46078</v>
      </c>
      <c r="C1355" s="1">
        <v>46083</v>
      </c>
      <c r="D1355" t="s">
        <v>597</v>
      </c>
      <c r="E1355" t="s">
        <v>153</v>
      </c>
      <c r="F1355" t="s">
        <v>94</v>
      </c>
      <c r="G1355" t="s">
        <v>95</v>
      </c>
      <c r="H1355" t="s">
        <v>83</v>
      </c>
      <c r="I1355" s="2">
        <v>1</v>
      </c>
      <c r="J1355" s="3">
        <v>49</v>
      </c>
      <c r="K1355" s="4">
        <v>0.02</v>
      </c>
      <c r="L1355" s="3">
        <v>48.02</v>
      </c>
      <c r="M1355" t="b">
        <v>1</v>
      </c>
      <c r="N1355" s="2">
        <f>YEAR(B1355)</f>
        <v>2026</v>
      </c>
      <c r="O1355" t="str">
        <f>INDEX(Agences!$C:$C,MATCH(F1355,Agences!$A:$A,0))</f>
        <v>Méditerranée</v>
      </c>
      <c r="P1355" t="str">
        <f>INDEX(Produits!$C:$C,MATCH(H1355,Produits!$A:$A,0))</f>
        <v>Mobilier</v>
      </c>
      <c r="Q1355" s="3">
        <f>I1355*INDEX(Produits!$E:$E,MATCH(H1355,Produits!$A:$A,0))</f>
        <v>28.42</v>
      </c>
      <c r="R1355" s="3">
        <f>L1355-Q1355</f>
        <v>19.6</v>
      </c>
      <c r="S1355" s="2">
        <f>NETWORKDAYS(B1355,C1355)-1</f>
        <v>3</v>
      </c>
      <c r="T1355" s="1">
        <f>WORKDAY(B1355,5)</f>
        <v>46085</v>
      </c>
      <c r="U1355" t="b">
        <f>C1355&gt;T1355</f>
        <v>0</v>
      </c>
    </row>
    <row r="1356" spans="1:21" x14ac:dyDescent="0.25">
      <c r="A1356" t="s">
        <v>1068</v>
      </c>
      <c r="B1356" s="1">
        <v>46078</v>
      </c>
      <c r="C1356" s="1">
        <v>46083</v>
      </c>
      <c r="D1356" t="s">
        <v>597</v>
      </c>
      <c r="E1356" t="s">
        <v>153</v>
      </c>
      <c r="F1356" t="s">
        <v>94</v>
      </c>
      <c r="G1356" t="s">
        <v>95</v>
      </c>
      <c r="H1356" t="s">
        <v>49</v>
      </c>
      <c r="I1356" s="2">
        <v>2</v>
      </c>
      <c r="J1356" s="3">
        <v>120</v>
      </c>
      <c r="K1356" s="4">
        <v>0</v>
      </c>
      <c r="L1356" s="3">
        <v>240</v>
      </c>
      <c r="M1356" t="b">
        <v>1</v>
      </c>
      <c r="N1356" s="2">
        <f>YEAR(B1356)</f>
        <v>2026</v>
      </c>
      <c r="O1356" t="str">
        <f>INDEX(Agences!$C:$C,MATCH(F1356,Agences!$A:$A,0))</f>
        <v>Méditerranée</v>
      </c>
      <c r="P1356" t="str">
        <f>INDEX(Produits!$C:$C,MATCH(H1356,Produits!$A:$A,0))</f>
        <v>Maintenance</v>
      </c>
      <c r="Q1356" s="3">
        <f>I1356*INDEX(Produits!$E:$E,MATCH(H1356,Produits!$A:$A,0))</f>
        <v>110.4</v>
      </c>
      <c r="R1356" s="3">
        <f>L1356-Q1356</f>
        <v>129.6</v>
      </c>
      <c r="S1356" s="2">
        <f>NETWORKDAYS(B1356,C1356)-1</f>
        <v>3</v>
      </c>
      <c r="T1356" s="1">
        <f>WORKDAY(B1356,5)</f>
        <v>46085</v>
      </c>
      <c r="U1356" t="b">
        <f>C1356&gt;T1356</f>
        <v>0</v>
      </c>
    </row>
    <row r="1357" spans="1:21" x14ac:dyDescent="0.25">
      <c r="A1357" t="s">
        <v>1068</v>
      </c>
      <c r="B1357" s="1">
        <v>46078</v>
      </c>
      <c r="C1357" s="1">
        <v>46083</v>
      </c>
      <c r="D1357" t="s">
        <v>597</v>
      </c>
      <c r="E1357" t="s">
        <v>153</v>
      </c>
      <c r="F1357" t="s">
        <v>94</v>
      </c>
      <c r="G1357" t="s">
        <v>95</v>
      </c>
      <c r="H1357" t="s">
        <v>84</v>
      </c>
      <c r="I1357" s="2">
        <v>3</v>
      </c>
      <c r="J1357" s="3">
        <v>420</v>
      </c>
      <c r="K1357" s="4">
        <v>0.05</v>
      </c>
      <c r="L1357" s="3">
        <v>1197</v>
      </c>
      <c r="M1357" t="b">
        <v>1</v>
      </c>
      <c r="N1357" s="2">
        <f>YEAR(B1357)</f>
        <v>2026</v>
      </c>
      <c r="O1357" t="str">
        <f>INDEX(Agences!$C:$C,MATCH(F1357,Agences!$A:$A,0))</f>
        <v>Méditerranée</v>
      </c>
      <c r="P1357" t="str">
        <f>INDEX(Produits!$C:$C,MATCH(H1357,Produits!$A:$A,0))</f>
        <v>Mobilier</v>
      </c>
      <c r="Q1357" s="3">
        <f>I1357*INDEX(Produits!$E:$E,MATCH(H1357,Produits!$A:$A,0))</f>
        <v>730.8</v>
      </c>
      <c r="R1357" s="3">
        <f>L1357-Q1357</f>
        <v>466.20000000000005</v>
      </c>
      <c r="S1357" s="2">
        <f>NETWORKDAYS(B1357,C1357)-1</f>
        <v>3</v>
      </c>
      <c r="T1357" s="1">
        <f>WORKDAY(B1357,5)</f>
        <v>46085</v>
      </c>
      <c r="U1357" t="b">
        <f>C1357&gt;T1357</f>
        <v>0</v>
      </c>
    </row>
    <row r="1358" spans="1:21" x14ac:dyDescent="0.25">
      <c r="A1358" t="s">
        <v>1068</v>
      </c>
      <c r="B1358" s="1">
        <v>46078</v>
      </c>
      <c r="C1358" s="1">
        <v>46083</v>
      </c>
      <c r="D1358" t="s">
        <v>597</v>
      </c>
      <c r="E1358" t="s">
        <v>153</v>
      </c>
      <c r="F1358" t="s">
        <v>94</v>
      </c>
      <c r="G1358" t="s">
        <v>95</v>
      </c>
      <c r="H1358" t="s">
        <v>42</v>
      </c>
      <c r="I1358" s="2">
        <v>1</v>
      </c>
      <c r="J1358" s="3">
        <v>55</v>
      </c>
      <c r="K1358" s="4">
        <v>0</v>
      </c>
      <c r="L1358" s="3">
        <v>55</v>
      </c>
      <c r="M1358" t="b">
        <v>1</v>
      </c>
      <c r="N1358" s="2">
        <f>YEAR(B1358)</f>
        <v>2026</v>
      </c>
      <c r="O1358" t="str">
        <f>INDEX(Agences!$C:$C,MATCH(F1358,Agences!$A:$A,0))</f>
        <v>Méditerranée</v>
      </c>
      <c r="P1358" t="str">
        <f>INDEX(Produits!$C:$C,MATCH(H1358,Produits!$A:$A,0))</f>
        <v>Maintenance</v>
      </c>
      <c r="Q1358" s="3">
        <f>I1358*INDEX(Produits!$E:$E,MATCH(H1358,Produits!$A:$A,0))</f>
        <v>24.75</v>
      </c>
      <c r="R1358" s="3">
        <f>L1358-Q1358</f>
        <v>30.25</v>
      </c>
      <c r="S1358" s="2">
        <f>NETWORKDAYS(B1358,C1358)-1</f>
        <v>3</v>
      </c>
      <c r="T1358" s="1">
        <f>WORKDAY(B1358,5)</f>
        <v>46085</v>
      </c>
      <c r="U1358" t="b">
        <f>C1358&gt;T1358</f>
        <v>0</v>
      </c>
    </row>
    <row r="1359" spans="1:21" x14ac:dyDescent="0.25">
      <c r="A1359" t="s">
        <v>1069</v>
      </c>
      <c r="B1359" s="1">
        <v>46078</v>
      </c>
      <c r="C1359" s="1">
        <v>46080</v>
      </c>
      <c r="D1359" t="s">
        <v>1070</v>
      </c>
      <c r="E1359" t="s">
        <v>384</v>
      </c>
      <c r="F1359" t="s">
        <v>46</v>
      </c>
      <c r="G1359" t="s">
        <v>111</v>
      </c>
      <c r="H1359" t="s">
        <v>233</v>
      </c>
      <c r="I1359" s="2">
        <v>5</v>
      </c>
      <c r="J1359" s="3">
        <v>27.5</v>
      </c>
      <c r="K1359" s="4">
        <v>0</v>
      </c>
      <c r="L1359" s="3">
        <v>137.5</v>
      </c>
      <c r="M1359" t="b">
        <v>1</v>
      </c>
      <c r="N1359" s="2">
        <f>YEAR(B1359)</f>
        <v>2026</v>
      </c>
      <c r="O1359" t="str">
        <f>INDEX(Agences!$C:$C,MATCH(F1359,Agences!$A:$A,0))</f>
        <v>Est</v>
      </c>
      <c r="P1359" t="str">
        <f>INDEX(Produits!$C:$C,MATCH(H1359,Produits!$A:$A,0))</f>
        <v>Fournitures</v>
      </c>
      <c r="Q1359" s="3">
        <f>I1359*INDEX(Produits!$E:$E,MATCH(H1359,Produits!$A:$A,0))</f>
        <v>77</v>
      </c>
      <c r="R1359" s="3">
        <f>L1359-Q1359</f>
        <v>60.5</v>
      </c>
      <c r="S1359" s="2">
        <f>NETWORKDAYS(B1359,C1359)-1</f>
        <v>2</v>
      </c>
      <c r="T1359" s="1">
        <f>WORKDAY(B1359,5)</f>
        <v>46085</v>
      </c>
      <c r="U1359" t="b">
        <f>C1359&gt;T1359</f>
        <v>0</v>
      </c>
    </row>
    <row r="1360" spans="1:21" x14ac:dyDescent="0.25">
      <c r="A1360" t="s">
        <v>1069</v>
      </c>
      <c r="B1360" s="1">
        <v>46078</v>
      </c>
      <c r="C1360" s="1">
        <v>46080</v>
      </c>
      <c r="D1360" t="s">
        <v>1070</v>
      </c>
      <c r="E1360" t="s">
        <v>384</v>
      </c>
      <c r="F1360" t="s">
        <v>46</v>
      </c>
      <c r="G1360" t="s">
        <v>111</v>
      </c>
      <c r="H1360" t="s">
        <v>42</v>
      </c>
      <c r="I1360" s="2">
        <v>1</v>
      </c>
      <c r="J1360" s="3">
        <v>55</v>
      </c>
      <c r="K1360" s="4">
        <v>0.05</v>
      </c>
      <c r="L1360" s="3">
        <v>52.25</v>
      </c>
      <c r="M1360" t="b">
        <v>1</v>
      </c>
      <c r="N1360" s="2">
        <f>YEAR(B1360)</f>
        <v>2026</v>
      </c>
      <c r="O1360" t="str">
        <f>INDEX(Agences!$C:$C,MATCH(F1360,Agences!$A:$A,0))</f>
        <v>Est</v>
      </c>
      <c r="P1360" t="str">
        <f>INDEX(Produits!$C:$C,MATCH(H1360,Produits!$A:$A,0))</f>
        <v>Maintenance</v>
      </c>
      <c r="Q1360" s="3">
        <f>I1360*INDEX(Produits!$E:$E,MATCH(H1360,Produits!$A:$A,0))</f>
        <v>24.75</v>
      </c>
      <c r="R1360" s="3">
        <f>L1360-Q1360</f>
        <v>27.5</v>
      </c>
      <c r="S1360" s="2">
        <f>NETWORKDAYS(B1360,C1360)-1</f>
        <v>2</v>
      </c>
      <c r="T1360" s="1">
        <f>WORKDAY(B1360,5)</f>
        <v>46085</v>
      </c>
      <c r="U1360" t="b">
        <f>C1360&gt;T1360</f>
        <v>0</v>
      </c>
    </row>
    <row r="1361" spans="1:21" x14ac:dyDescent="0.25">
      <c r="A1361" t="s">
        <v>1069</v>
      </c>
      <c r="B1361" s="1">
        <v>46078</v>
      </c>
      <c r="C1361" s="1">
        <v>46080</v>
      </c>
      <c r="D1361" t="s">
        <v>1070</v>
      </c>
      <c r="E1361" t="s">
        <v>384</v>
      </c>
      <c r="F1361" t="s">
        <v>46</v>
      </c>
      <c r="G1361" t="s">
        <v>111</v>
      </c>
      <c r="H1361" t="s">
        <v>50</v>
      </c>
      <c r="I1361" s="2">
        <v>4</v>
      </c>
      <c r="J1361" s="3">
        <v>69</v>
      </c>
      <c r="K1361" s="4">
        <v>0</v>
      </c>
      <c r="L1361" s="3">
        <v>276</v>
      </c>
      <c r="M1361" t="b">
        <v>1</v>
      </c>
      <c r="N1361" s="2">
        <f>YEAR(B1361)</f>
        <v>2026</v>
      </c>
      <c r="O1361" t="str">
        <f>INDEX(Agences!$C:$C,MATCH(F1361,Agences!$A:$A,0))</f>
        <v>Est</v>
      </c>
      <c r="P1361" t="str">
        <f>INDEX(Produits!$C:$C,MATCH(H1361,Produits!$A:$A,0))</f>
        <v>Informatique</v>
      </c>
      <c r="Q1361" s="3">
        <f>I1361*INDEX(Produits!$E:$E,MATCH(H1361,Produits!$A:$A,0))</f>
        <v>218.04</v>
      </c>
      <c r="R1361" s="3">
        <f>L1361-Q1361</f>
        <v>57.96000000000001</v>
      </c>
      <c r="S1361" s="2">
        <f>NETWORKDAYS(B1361,C1361)-1</f>
        <v>2</v>
      </c>
      <c r="T1361" s="1">
        <f>WORKDAY(B1361,5)</f>
        <v>46085</v>
      </c>
      <c r="U1361" t="b">
        <f>C1361&gt;T1361</f>
        <v>0</v>
      </c>
    </row>
    <row r="1362" spans="1:21" x14ac:dyDescent="0.25">
      <c r="A1362" t="s">
        <v>1069</v>
      </c>
      <c r="B1362" s="1">
        <v>46078</v>
      </c>
      <c r="C1362" s="1">
        <v>46080</v>
      </c>
      <c r="D1362" t="s">
        <v>1070</v>
      </c>
      <c r="E1362" t="s">
        <v>384</v>
      </c>
      <c r="F1362" t="s">
        <v>46</v>
      </c>
      <c r="G1362" t="s">
        <v>111</v>
      </c>
      <c r="H1362" t="s">
        <v>57</v>
      </c>
      <c r="I1362" s="2">
        <v>1</v>
      </c>
      <c r="J1362" s="3">
        <v>149</v>
      </c>
      <c r="K1362" s="4">
        <v>0</v>
      </c>
      <c r="L1362" s="3">
        <v>149</v>
      </c>
      <c r="M1362" t="b">
        <v>1</v>
      </c>
      <c r="N1362" s="2">
        <f>YEAR(B1362)</f>
        <v>2026</v>
      </c>
      <c r="O1362" t="str">
        <f>INDEX(Agences!$C:$C,MATCH(F1362,Agences!$A:$A,0))</f>
        <v>Est</v>
      </c>
      <c r="P1362" t="str">
        <f>INDEX(Produits!$C:$C,MATCH(H1362,Produits!$A:$A,0))</f>
        <v>Informatique</v>
      </c>
      <c r="Q1362" s="3">
        <f>I1362*INDEX(Produits!$E:$E,MATCH(H1362,Produits!$A:$A,0))</f>
        <v>114.73</v>
      </c>
      <c r="R1362" s="3">
        <f>L1362-Q1362</f>
        <v>34.269999999999996</v>
      </c>
      <c r="S1362" s="2">
        <f>NETWORKDAYS(B1362,C1362)-1</f>
        <v>2</v>
      </c>
      <c r="T1362" s="1">
        <f>WORKDAY(B1362,5)</f>
        <v>46085</v>
      </c>
      <c r="U1362" t="b">
        <f>C1362&gt;T1362</f>
        <v>0</v>
      </c>
    </row>
    <row r="1363" spans="1:21" x14ac:dyDescent="0.25">
      <c r="A1363" t="s">
        <v>1071</v>
      </c>
      <c r="B1363" s="1">
        <v>46077</v>
      </c>
      <c r="C1363" s="1">
        <v>46083</v>
      </c>
      <c r="D1363" t="s">
        <v>286</v>
      </c>
      <c r="E1363" t="s">
        <v>115</v>
      </c>
      <c r="F1363" t="s">
        <v>24</v>
      </c>
      <c r="G1363" t="s">
        <v>199</v>
      </c>
      <c r="H1363" t="s">
        <v>606</v>
      </c>
      <c r="I1363" s="2">
        <v>1</v>
      </c>
      <c r="J1363" s="3">
        <v>1150</v>
      </c>
      <c r="K1363" s="4">
        <v>0.1</v>
      </c>
      <c r="L1363" s="3">
        <v>1035</v>
      </c>
      <c r="M1363" t="b">
        <v>1</v>
      </c>
      <c r="N1363" s="2">
        <f>YEAR(B1363)</f>
        <v>2026</v>
      </c>
      <c r="O1363" t="str">
        <f>INDEX(Agences!$C:$C,MATCH(F1363,Agences!$A:$A,0))</f>
        <v>Nord</v>
      </c>
      <c r="P1363" t="str">
        <f>INDEX(Produits!$C:$C,MATCH(H1363,Produits!$A:$A,0))</f>
        <v>Mobilier</v>
      </c>
      <c r="Q1363" s="3">
        <f>I1363*INDEX(Produits!$E:$E,MATCH(H1363,Produits!$A:$A,0))</f>
        <v>713</v>
      </c>
      <c r="R1363" s="3">
        <f>L1363-Q1363</f>
        <v>322</v>
      </c>
      <c r="S1363" s="2">
        <f>NETWORKDAYS(B1363,C1363)-1</f>
        <v>4</v>
      </c>
      <c r="T1363" s="1">
        <f>WORKDAY(B1363,5)</f>
        <v>46084</v>
      </c>
      <c r="U1363" t="b">
        <f>C1363&gt;T1363</f>
        <v>0</v>
      </c>
    </row>
    <row r="1364" spans="1:21" x14ac:dyDescent="0.25">
      <c r="A1364" t="s">
        <v>1072</v>
      </c>
      <c r="B1364" s="1">
        <v>46076</v>
      </c>
      <c r="C1364" s="1">
        <v>46080</v>
      </c>
      <c r="D1364" t="s">
        <v>269</v>
      </c>
      <c r="E1364" t="s">
        <v>270</v>
      </c>
      <c r="F1364" t="s">
        <v>76</v>
      </c>
      <c r="G1364" t="s">
        <v>176</v>
      </c>
      <c r="H1364" t="s">
        <v>64</v>
      </c>
      <c r="I1364" s="2">
        <v>10</v>
      </c>
      <c r="J1364" s="3">
        <v>16.8</v>
      </c>
      <c r="K1364" s="4">
        <v>0.02</v>
      </c>
      <c r="L1364" s="3">
        <v>164.64</v>
      </c>
      <c r="M1364" t="b">
        <v>1</v>
      </c>
      <c r="N1364" s="2">
        <f>YEAR(B1364)</f>
        <v>2026</v>
      </c>
      <c r="O1364" t="str">
        <f>INDEX(Agences!$C:$C,MATCH(F1364,Agences!$A:$A,0))</f>
        <v>Île-de-France</v>
      </c>
      <c r="P1364" t="str">
        <f>INDEX(Produits!$C:$C,MATCH(H1364,Produits!$A:$A,0))</f>
        <v>Fournitures</v>
      </c>
      <c r="Q1364" s="3">
        <f>I1364*INDEX(Produits!$E:$E,MATCH(H1364,Produits!$A:$A,0))</f>
        <v>87.4</v>
      </c>
      <c r="R1364" s="3">
        <f>L1364-Q1364</f>
        <v>77.23999999999998</v>
      </c>
      <c r="S1364" s="2">
        <f>NETWORKDAYS(B1364,C1364)-1</f>
        <v>4</v>
      </c>
      <c r="T1364" s="1">
        <f>WORKDAY(B1364,5)</f>
        <v>46083</v>
      </c>
      <c r="U1364" t="b">
        <f>C1364&gt;T1364</f>
        <v>0</v>
      </c>
    </row>
    <row r="1365" spans="1:21" x14ac:dyDescent="0.25">
      <c r="A1365" t="s">
        <v>1073</v>
      </c>
      <c r="B1365" s="1">
        <v>46076</v>
      </c>
      <c r="C1365" s="1">
        <v>46083</v>
      </c>
      <c r="D1365" t="s">
        <v>810</v>
      </c>
      <c r="E1365" t="s">
        <v>30</v>
      </c>
      <c r="F1365" t="s">
        <v>31</v>
      </c>
      <c r="G1365" t="s">
        <v>186</v>
      </c>
      <c r="H1365" t="s">
        <v>83</v>
      </c>
      <c r="I1365" s="2">
        <v>1</v>
      </c>
      <c r="J1365" s="3">
        <v>49</v>
      </c>
      <c r="K1365" s="4">
        <v>0</v>
      </c>
      <c r="L1365" s="3">
        <v>49</v>
      </c>
      <c r="M1365" t="b">
        <v>1</v>
      </c>
      <c r="N1365" s="2">
        <f>YEAR(B1365)</f>
        <v>2026</v>
      </c>
      <c r="O1365" t="str">
        <f>INDEX(Agences!$C:$C,MATCH(F1365,Agences!$A:$A,0))</f>
        <v>Ouest</v>
      </c>
      <c r="P1365" t="str">
        <f>INDEX(Produits!$C:$C,MATCH(H1365,Produits!$A:$A,0))</f>
        <v>Mobilier</v>
      </c>
      <c r="Q1365" s="3">
        <f>I1365*INDEX(Produits!$E:$E,MATCH(H1365,Produits!$A:$A,0))</f>
        <v>28.42</v>
      </c>
      <c r="R1365" s="3">
        <f>L1365-Q1365</f>
        <v>20.58</v>
      </c>
      <c r="S1365" s="2">
        <f>NETWORKDAYS(B1365,C1365)-1</f>
        <v>5</v>
      </c>
      <c r="T1365" s="1">
        <f>WORKDAY(B1365,5)</f>
        <v>46083</v>
      </c>
      <c r="U1365" t="b">
        <f>C1365&gt;T1365</f>
        <v>0</v>
      </c>
    </row>
    <row r="1366" spans="1:21" x14ac:dyDescent="0.25">
      <c r="A1366" t="s">
        <v>1074</v>
      </c>
      <c r="B1366" s="1">
        <v>46076</v>
      </c>
      <c r="C1366" s="1">
        <v>46083</v>
      </c>
      <c r="D1366" t="s">
        <v>1075</v>
      </c>
      <c r="E1366" t="s">
        <v>316</v>
      </c>
      <c r="F1366" t="s">
        <v>46</v>
      </c>
      <c r="G1366" t="s">
        <v>111</v>
      </c>
      <c r="H1366" t="s">
        <v>162</v>
      </c>
      <c r="I1366" s="2">
        <v>3</v>
      </c>
      <c r="J1366" s="3">
        <v>289</v>
      </c>
      <c r="K1366" s="4">
        <v>0</v>
      </c>
      <c r="L1366" s="3">
        <v>867</v>
      </c>
      <c r="M1366" t="b">
        <v>1</v>
      </c>
      <c r="N1366" s="2">
        <f>YEAR(B1366)</f>
        <v>2026</v>
      </c>
      <c r="O1366" t="str">
        <f>INDEX(Agences!$C:$C,MATCH(F1366,Agences!$A:$A,0))</f>
        <v>Est</v>
      </c>
      <c r="P1366" t="str">
        <f>INDEX(Produits!$C:$C,MATCH(H1366,Produits!$A:$A,0))</f>
        <v>Mobilier</v>
      </c>
      <c r="Q1366" s="3">
        <f>I1366*INDEX(Produits!$E:$E,MATCH(H1366,Produits!$A:$A,0))</f>
        <v>580.89</v>
      </c>
      <c r="R1366" s="3">
        <f>L1366-Q1366</f>
        <v>286.11</v>
      </c>
      <c r="S1366" s="2">
        <f>NETWORKDAYS(B1366,C1366)-1</f>
        <v>5</v>
      </c>
      <c r="T1366" s="1">
        <f>WORKDAY(B1366,5)</f>
        <v>46083</v>
      </c>
      <c r="U1366" t="b">
        <f>C1366&gt;T1366</f>
        <v>0</v>
      </c>
    </row>
    <row r="1367" spans="1:21" x14ac:dyDescent="0.25">
      <c r="A1367" t="s">
        <v>1074</v>
      </c>
      <c r="B1367" s="1">
        <v>46076</v>
      </c>
      <c r="C1367" s="1">
        <v>46083</v>
      </c>
      <c r="D1367" t="s">
        <v>1075</v>
      </c>
      <c r="E1367" t="s">
        <v>316</v>
      </c>
      <c r="F1367" t="s">
        <v>46</v>
      </c>
      <c r="G1367" t="s">
        <v>111</v>
      </c>
      <c r="H1367" t="s">
        <v>79</v>
      </c>
      <c r="I1367" s="2">
        <v>15</v>
      </c>
      <c r="J1367" s="3">
        <v>14.9</v>
      </c>
      <c r="K1367" s="4">
        <v>0</v>
      </c>
      <c r="L1367" s="3">
        <v>223.5</v>
      </c>
      <c r="M1367" t="b">
        <v>1</v>
      </c>
      <c r="N1367" s="2">
        <f>YEAR(B1367)</f>
        <v>2026</v>
      </c>
      <c r="O1367" t="str">
        <f>INDEX(Agences!$C:$C,MATCH(F1367,Agences!$A:$A,0))</f>
        <v>Est</v>
      </c>
      <c r="P1367" t="str">
        <f>INDEX(Produits!$C:$C,MATCH(H1367,Produits!$A:$A,0))</f>
        <v>Fournitures</v>
      </c>
      <c r="Q1367" s="3">
        <f>I1367*INDEX(Produits!$E:$E,MATCH(H1367,Produits!$A:$A,0))</f>
        <v>120.75000000000001</v>
      </c>
      <c r="R1367" s="3">
        <f>L1367-Q1367</f>
        <v>102.74999999999999</v>
      </c>
      <c r="S1367" s="2">
        <f>NETWORKDAYS(B1367,C1367)-1</f>
        <v>5</v>
      </c>
      <c r="T1367" s="1">
        <f>WORKDAY(B1367,5)</f>
        <v>46083</v>
      </c>
      <c r="U1367" t="b">
        <f>C1367&gt;T1367</f>
        <v>0</v>
      </c>
    </row>
    <row r="1368" spans="1:21" x14ac:dyDescent="0.25">
      <c r="A1368" t="s">
        <v>1076</v>
      </c>
      <c r="B1368" s="1">
        <v>46073</v>
      </c>
      <c r="C1368" s="1">
        <v>46076</v>
      </c>
      <c r="D1368" t="s">
        <v>1077</v>
      </c>
      <c r="E1368" t="s">
        <v>175</v>
      </c>
      <c r="F1368" t="s">
        <v>76</v>
      </c>
      <c r="G1368" t="s">
        <v>232</v>
      </c>
      <c r="H1368" t="s">
        <v>34</v>
      </c>
      <c r="I1368" s="2">
        <v>2</v>
      </c>
      <c r="J1368" s="3">
        <v>340</v>
      </c>
      <c r="K1368" s="4">
        <v>0</v>
      </c>
      <c r="L1368" s="3">
        <v>680</v>
      </c>
      <c r="M1368" t="b">
        <v>1</v>
      </c>
      <c r="N1368" s="2">
        <f>YEAR(B1368)</f>
        <v>2026</v>
      </c>
      <c r="O1368" t="str">
        <f>INDEX(Agences!$C:$C,MATCH(F1368,Agences!$A:$A,0))</f>
        <v>Île-de-France</v>
      </c>
      <c r="P1368" t="str">
        <f>INDEX(Produits!$C:$C,MATCH(H1368,Produits!$A:$A,0))</f>
        <v>Informatique</v>
      </c>
      <c r="Q1368" s="3">
        <f>I1368*INDEX(Produits!$E:$E,MATCH(H1368,Produits!$A:$A,0))</f>
        <v>550.8</v>
      </c>
      <c r="R1368" s="3">
        <f>L1368-Q1368</f>
        <v>129.20000000000005</v>
      </c>
      <c r="S1368" s="2">
        <f>NETWORKDAYS(B1368,C1368)-1</f>
        <v>1</v>
      </c>
      <c r="T1368" s="1">
        <f>WORKDAY(B1368,5)</f>
        <v>46080</v>
      </c>
      <c r="U1368" t="b">
        <f>C1368&gt;T1368</f>
        <v>0</v>
      </c>
    </row>
    <row r="1369" spans="1:21" x14ac:dyDescent="0.25">
      <c r="A1369" t="s">
        <v>1076</v>
      </c>
      <c r="B1369" s="1">
        <v>46073</v>
      </c>
      <c r="C1369" s="1">
        <v>46076</v>
      </c>
      <c r="D1369" t="s">
        <v>1077</v>
      </c>
      <c r="E1369" t="s">
        <v>175</v>
      </c>
      <c r="F1369" t="s">
        <v>76</v>
      </c>
      <c r="G1369" t="s">
        <v>232</v>
      </c>
      <c r="H1369" t="s">
        <v>112</v>
      </c>
      <c r="I1369" s="2">
        <v>1</v>
      </c>
      <c r="J1369" s="3">
        <v>129</v>
      </c>
      <c r="K1369" s="4">
        <v>0.08</v>
      </c>
      <c r="L1369" s="3">
        <v>118.68</v>
      </c>
      <c r="M1369" t="b">
        <v>1</v>
      </c>
      <c r="N1369" s="2">
        <f>YEAR(B1369)</f>
        <v>2026</v>
      </c>
      <c r="O1369" t="str">
        <f>INDEX(Agences!$C:$C,MATCH(F1369,Agences!$A:$A,0))</f>
        <v>Île-de-France</v>
      </c>
      <c r="P1369" t="str">
        <f>INDEX(Produits!$C:$C,MATCH(H1369,Produits!$A:$A,0))</f>
        <v>Mobilier</v>
      </c>
      <c r="Q1369" s="3">
        <f>I1369*INDEX(Produits!$E:$E,MATCH(H1369,Produits!$A:$A,0))</f>
        <v>86.43</v>
      </c>
      <c r="R1369" s="3">
        <f>L1369-Q1369</f>
        <v>32.25</v>
      </c>
      <c r="S1369" s="2">
        <f>NETWORKDAYS(B1369,C1369)-1</f>
        <v>1</v>
      </c>
      <c r="T1369" s="1">
        <f>WORKDAY(B1369,5)</f>
        <v>46080</v>
      </c>
      <c r="U1369" t="b">
        <f>C1369&gt;T1369</f>
        <v>0</v>
      </c>
    </row>
    <row r="1370" spans="1:21" x14ac:dyDescent="0.25">
      <c r="A1370" t="s">
        <v>1076</v>
      </c>
      <c r="B1370" s="1">
        <v>46073</v>
      </c>
      <c r="C1370" s="1">
        <v>46076</v>
      </c>
      <c r="D1370" t="s">
        <v>1077</v>
      </c>
      <c r="E1370" t="s">
        <v>175</v>
      </c>
      <c r="F1370" t="s">
        <v>76</v>
      </c>
      <c r="G1370" t="s">
        <v>232</v>
      </c>
      <c r="H1370" t="s">
        <v>196</v>
      </c>
      <c r="I1370" s="2">
        <v>10</v>
      </c>
      <c r="J1370" s="3">
        <v>18.5</v>
      </c>
      <c r="K1370" s="4">
        <v>0.1</v>
      </c>
      <c r="L1370" s="3">
        <v>166.5</v>
      </c>
      <c r="M1370" t="b">
        <v>1</v>
      </c>
      <c r="N1370" s="2">
        <f>YEAR(B1370)</f>
        <v>2026</v>
      </c>
      <c r="O1370" t="str">
        <f>INDEX(Agences!$C:$C,MATCH(F1370,Agences!$A:$A,0))</f>
        <v>Île-de-France</v>
      </c>
      <c r="P1370" t="str">
        <f>INDEX(Produits!$C:$C,MATCH(H1370,Produits!$A:$A,0))</f>
        <v>Fournitures</v>
      </c>
      <c r="Q1370" s="3">
        <f>I1370*INDEX(Produits!$E:$E,MATCH(H1370,Produits!$A:$A,0))</f>
        <v>94.39999999999999</v>
      </c>
      <c r="R1370" s="3">
        <f>L1370-Q1370</f>
        <v>72.10000000000001</v>
      </c>
      <c r="S1370" s="2">
        <f>NETWORKDAYS(B1370,C1370)-1</f>
        <v>1</v>
      </c>
      <c r="T1370" s="1">
        <f>WORKDAY(B1370,5)</f>
        <v>46080</v>
      </c>
      <c r="U1370" t="b">
        <f>C1370&gt;T1370</f>
        <v>0</v>
      </c>
    </row>
    <row r="1371" spans="1:21" x14ac:dyDescent="0.25">
      <c r="A1371" t="s">
        <v>1076</v>
      </c>
      <c r="B1371" s="1">
        <v>46073</v>
      </c>
      <c r="C1371" s="1">
        <v>46076</v>
      </c>
      <c r="D1371" t="s">
        <v>1077</v>
      </c>
      <c r="E1371" t="s">
        <v>175</v>
      </c>
      <c r="F1371" t="s">
        <v>76</v>
      </c>
      <c r="G1371" t="s">
        <v>232</v>
      </c>
      <c r="H1371" t="s">
        <v>50</v>
      </c>
      <c r="I1371" s="2">
        <v>1</v>
      </c>
      <c r="J1371" s="3">
        <v>69</v>
      </c>
      <c r="K1371" s="4">
        <v>0.02</v>
      </c>
      <c r="L1371" s="3">
        <v>67.62</v>
      </c>
      <c r="M1371" t="b">
        <v>1</v>
      </c>
      <c r="N1371" s="2">
        <f>YEAR(B1371)</f>
        <v>2026</v>
      </c>
      <c r="O1371" t="str">
        <f>INDEX(Agences!$C:$C,MATCH(F1371,Agences!$A:$A,0))</f>
        <v>Île-de-France</v>
      </c>
      <c r="P1371" t="str">
        <f>INDEX(Produits!$C:$C,MATCH(H1371,Produits!$A:$A,0))</f>
        <v>Informatique</v>
      </c>
      <c r="Q1371" s="3">
        <f>I1371*INDEX(Produits!$E:$E,MATCH(H1371,Produits!$A:$A,0))</f>
        <v>54.51</v>
      </c>
      <c r="R1371" s="3">
        <f>L1371-Q1371</f>
        <v>13.110000000000007</v>
      </c>
      <c r="S1371" s="2">
        <f>NETWORKDAYS(B1371,C1371)-1</f>
        <v>1</v>
      </c>
      <c r="T1371" s="1">
        <f>WORKDAY(B1371,5)</f>
        <v>46080</v>
      </c>
      <c r="U1371" t="b">
        <f>C1371&gt;T1371</f>
        <v>0</v>
      </c>
    </row>
    <row r="1372" spans="1:21" x14ac:dyDescent="0.25">
      <c r="A1372" t="s">
        <v>1076</v>
      </c>
      <c r="B1372" s="1">
        <v>46073</v>
      </c>
      <c r="C1372" s="1">
        <v>46076</v>
      </c>
      <c r="D1372" t="s">
        <v>1077</v>
      </c>
      <c r="E1372" t="s">
        <v>175</v>
      </c>
      <c r="F1372" t="s">
        <v>76</v>
      </c>
      <c r="G1372" t="s">
        <v>232</v>
      </c>
      <c r="H1372" t="s">
        <v>83</v>
      </c>
      <c r="I1372" s="2">
        <v>1</v>
      </c>
      <c r="J1372" s="3">
        <v>49</v>
      </c>
      <c r="K1372" s="4">
        <v>0</v>
      </c>
      <c r="L1372" s="3">
        <v>49</v>
      </c>
      <c r="M1372" t="b">
        <v>1</v>
      </c>
      <c r="N1372" s="2">
        <f>YEAR(B1372)</f>
        <v>2026</v>
      </c>
      <c r="O1372" t="str">
        <f>INDEX(Agences!$C:$C,MATCH(F1372,Agences!$A:$A,0))</f>
        <v>Île-de-France</v>
      </c>
      <c r="P1372" t="str">
        <f>INDEX(Produits!$C:$C,MATCH(H1372,Produits!$A:$A,0))</f>
        <v>Mobilier</v>
      </c>
      <c r="Q1372" s="3">
        <f>I1372*INDEX(Produits!$E:$E,MATCH(H1372,Produits!$A:$A,0))</f>
        <v>28.42</v>
      </c>
      <c r="R1372" s="3">
        <f>L1372-Q1372</f>
        <v>20.58</v>
      </c>
      <c r="S1372" s="2">
        <f>NETWORKDAYS(B1372,C1372)-1</f>
        <v>1</v>
      </c>
      <c r="T1372" s="1">
        <f>WORKDAY(B1372,5)</f>
        <v>46080</v>
      </c>
      <c r="U1372" t="b">
        <f>C1372&gt;T1372</f>
        <v>0</v>
      </c>
    </row>
    <row r="1373" spans="1:21" x14ac:dyDescent="0.25">
      <c r="A1373" t="s">
        <v>1078</v>
      </c>
      <c r="B1373" s="1">
        <v>46073</v>
      </c>
      <c r="C1373" s="1">
        <v>46077</v>
      </c>
      <c r="D1373" t="s">
        <v>498</v>
      </c>
      <c r="E1373" t="s">
        <v>419</v>
      </c>
      <c r="F1373" t="s">
        <v>62</v>
      </c>
      <c r="G1373" t="s">
        <v>106</v>
      </c>
      <c r="H1373" t="s">
        <v>58</v>
      </c>
      <c r="I1373" s="2">
        <v>2</v>
      </c>
      <c r="J1373" s="3">
        <v>649</v>
      </c>
      <c r="K1373" s="4">
        <v>0.3</v>
      </c>
      <c r="L1373" s="3">
        <v>908.6</v>
      </c>
      <c r="M1373" t="b">
        <v>1</v>
      </c>
      <c r="N1373" s="2">
        <f>YEAR(B1373)</f>
        <v>2026</v>
      </c>
      <c r="O1373" t="str">
        <f>INDEX(Agences!$C:$C,MATCH(F1373,Agences!$A:$A,0))</f>
        <v>Méditerranée</v>
      </c>
      <c r="P1373" t="str">
        <f>INDEX(Produits!$C:$C,MATCH(H1373,Produits!$A:$A,0))</f>
        <v>Mobilier</v>
      </c>
      <c r="Q1373" s="3">
        <f>I1373*INDEX(Produits!$E:$E,MATCH(H1373,Produits!$A:$A,0))</f>
        <v>817.74</v>
      </c>
      <c r="R1373" s="3">
        <f>L1373-Q1373</f>
        <v>90.86000000000001</v>
      </c>
      <c r="S1373" s="2">
        <f>NETWORKDAYS(B1373,C1373)-1</f>
        <v>2</v>
      </c>
      <c r="T1373" s="1">
        <f>WORKDAY(B1373,5)</f>
        <v>46080</v>
      </c>
      <c r="U1373" t="b">
        <f>C1373&gt;T1373</f>
        <v>0</v>
      </c>
    </row>
    <row r="1374" spans="1:21" x14ac:dyDescent="0.25">
      <c r="A1374" t="s">
        <v>1079</v>
      </c>
      <c r="B1374" s="1">
        <v>46073</v>
      </c>
      <c r="C1374" s="1">
        <v>46077</v>
      </c>
      <c r="D1374" t="s">
        <v>258</v>
      </c>
      <c r="E1374" t="s">
        <v>61</v>
      </c>
      <c r="F1374" t="s">
        <v>62</v>
      </c>
      <c r="G1374" t="s">
        <v>106</v>
      </c>
      <c r="H1374" t="s">
        <v>107</v>
      </c>
      <c r="I1374" s="2">
        <v>5</v>
      </c>
      <c r="J1374" s="3">
        <v>99</v>
      </c>
      <c r="K1374" s="4">
        <v>0.2</v>
      </c>
      <c r="L1374" s="3">
        <v>396</v>
      </c>
      <c r="M1374" t="b">
        <v>1</v>
      </c>
      <c r="N1374" s="2">
        <f>YEAR(B1374)</f>
        <v>2026</v>
      </c>
      <c r="O1374" t="str">
        <f>INDEX(Agences!$C:$C,MATCH(F1374,Agences!$A:$A,0))</f>
        <v>Méditerranée</v>
      </c>
      <c r="P1374" t="str">
        <f>INDEX(Produits!$C:$C,MATCH(H1374,Produits!$A:$A,0))</f>
        <v>Informatique</v>
      </c>
      <c r="Q1374" s="3">
        <f>I1374*INDEX(Produits!$E:$E,MATCH(H1374,Produits!$A:$A,0))</f>
        <v>376.2</v>
      </c>
      <c r="R1374" s="3">
        <f>L1374-Q1374</f>
        <v>19.80000000000001</v>
      </c>
      <c r="S1374" s="2">
        <f>NETWORKDAYS(B1374,C1374)-1</f>
        <v>2</v>
      </c>
      <c r="T1374" s="1">
        <f>WORKDAY(B1374,5)</f>
        <v>46080</v>
      </c>
      <c r="U1374" t="b">
        <f>C1374&gt;T1374</f>
        <v>0</v>
      </c>
    </row>
    <row r="1375" spans="1:21" x14ac:dyDescent="0.25">
      <c r="A1375" t="s">
        <v>1079</v>
      </c>
      <c r="B1375" s="1">
        <v>46073</v>
      </c>
      <c r="C1375" s="1">
        <v>46077</v>
      </c>
      <c r="D1375" t="s">
        <v>258</v>
      </c>
      <c r="E1375" t="s">
        <v>61</v>
      </c>
      <c r="F1375" t="s">
        <v>62</v>
      </c>
      <c r="G1375" t="s">
        <v>106</v>
      </c>
      <c r="H1375" t="s">
        <v>84</v>
      </c>
      <c r="I1375" s="2">
        <v>2</v>
      </c>
      <c r="J1375" s="3">
        <v>420</v>
      </c>
      <c r="K1375" s="4">
        <v>0.2</v>
      </c>
      <c r="L1375" s="3">
        <v>672</v>
      </c>
      <c r="M1375" t="b">
        <v>1</v>
      </c>
      <c r="N1375" s="2">
        <f>YEAR(B1375)</f>
        <v>2026</v>
      </c>
      <c r="O1375" t="str">
        <f>INDEX(Agences!$C:$C,MATCH(F1375,Agences!$A:$A,0))</f>
        <v>Méditerranée</v>
      </c>
      <c r="P1375" t="str">
        <f>INDEX(Produits!$C:$C,MATCH(H1375,Produits!$A:$A,0))</f>
        <v>Mobilier</v>
      </c>
      <c r="Q1375" s="3">
        <f>I1375*INDEX(Produits!$E:$E,MATCH(H1375,Produits!$A:$A,0))</f>
        <v>487.2</v>
      </c>
      <c r="R1375" s="3">
        <f>L1375-Q1375</f>
        <v>184.8</v>
      </c>
      <c r="S1375" s="2">
        <f>NETWORKDAYS(B1375,C1375)-1</f>
        <v>2</v>
      </c>
      <c r="T1375" s="1">
        <f>WORKDAY(B1375,5)</f>
        <v>46080</v>
      </c>
      <c r="U1375" t="b">
        <f>C1375&gt;T1375</f>
        <v>0</v>
      </c>
    </row>
    <row r="1376" spans="1:21" x14ac:dyDescent="0.25">
      <c r="A1376" t="s">
        <v>1079</v>
      </c>
      <c r="B1376" s="1">
        <v>46073</v>
      </c>
      <c r="C1376" s="1">
        <v>46077</v>
      </c>
      <c r="D1376" t="s">
        <v>258</v>
      </c>
      <c r="E1376" t="s">
        <v>61</v>
      </c>
      <c r="F1376" t="s">
        <v>62</v>
      </c>
      <c r="G1376" t="s">
        <v>106</v>
      </c>
      <c r="H1376" t="s">
        <v>26</v>
      </c>
      <c r="I1376" s="2">
        <v>1</v>
      </c>
      <c r="J1376" s="3">
        <v>290</v>
      </c>
      <c r="K1376" s="4">
        <v>0.22</v>
      </c>
      <c r="L1376" s="3">
        <v>226.2</v>
      </c>
      <c r="M1376" t="b">
        <v>1</v>
      </c>
      <c r="N1376" s="2">
        <f>YEAR(B1376)</f>
        <v>2026</v>
      </c>
      <c r="O1376" t="str">
        <f>INDEX(Agences!$C:$C,MATCH(F1376,Agences!$A:$A,0))</f>
        <v>Méditerranée</v>
      </c>
      <c r="P1376" t="str">
        <f>INDEX(Produits!$C:$C,MATCH(H1376,Produits!$A:$A,0))</f>
        <v>Maintenance</v>
      </c>
      <c r="Q1376" s="3">
        <f>I1376*INDEX(Produits!$E:$E,MATCH(H1376,Produits!$A:$A,0))</f>
        <v>139.2</v>
      </c>
      <c r="R1376" s="3">
        <f>L1376-Q1376</f>
        <v>87</v>
      </c>
      <c r="S1376" s="2">
        <f>NETWORKDAYS(B1376,C1376)-1</f>
        <v>2</v>
      </c>
      <c r="T1376" s="1">
        <f>WORKDAY(B1376,5)</f>
        <v>46080</v>
      </c>
      <c r="U1376" t="b">
        <f>C1376&gt;T1376</f>
        <v>0</v>
      </c>
    </row>
    <row r="1377" spans="1:21" x14ac:dyDescent="0.25">
      <c r="A1377" t="s">
        <v>1080</v>
      </c>
      <c r="B1377" s="1">
        <v>46073</v>
      </c>
      <c r="C1377" s="1">
        <v>46077</v>
      </c>
      <c r="D1377" t="s">
        <v>302</v>
      </c>
      <c r="E1377" t="s">
        <v>67</v>
      </c>
      <c r="F1377" t="s">
        <v>62</v>
      </c>
      <c r="G1377" t="s">
        <v>68</v>
      </c>
      <c r="H1377" t="s">
        <v>107</v>
      </c>
      <c r="I1377" s="2">
        <v>3</v>
      </c>
      <c r="J1377" s="3">
        <v>99</v>
      </c>
      <c r="K1377" s="4">
        <v>0</v>
      </c>
      <c r="L1377" s="3">
        <v>297</v>
      </c>
      <c r="M1377" t="b">
        <v>1</v>
      </c>
      <c r="N1377" s="2">
        <f>YEAR(B1377)</f>
        <v>2026</v>
      </c>
      <c r="O1377" t="str">
        <f>INDEX(Agences!$C:$C,MATCH(F1377,Agences!$A:$A,0))</f>
        <v>Méditerranée</v>
      </c>
      <c r="P1377" t="str">
        <f>INDEX(Produits!$C:$C,MATCH(H1377,Produits!$A:$A,0))</f>
        <v>Informatique</v>
      </c>
      <c r="Q1377" s="3">
        <f>I1377*INDEX(Produits!$E:$E,MATCH(H1377,Produits!$A:$A,0))</f>
        <v>225.71999999999997</v>
      </c>
      <c r="R1377" s="3">
        <f>L1377-Q1377</f>
        <v>71.28000000000003</v>
      </c>
      <c r="S1377" s="2">
        <f>NETWORKDAYS(B1377,C1377)-1</f>
        <v>2</v>
      </c>
      <c r="T1377" s="1">
        <f>WORKDAY(B1377,5)</f>
        <v>46080</v>
      </c>
      <c r="U1377" t="b">
        <f>C1377&gt;T1377</f>
        <v>0</v>
      </c>
    </row>
    <row r="1378" spans="1:21" x14ac:dyDescent="0.25">
      <c r="A1378" t="s">
        <v>1080</v>
      </c>
      <c r="B1378" s="1">
        <v>46073</v>
      </c>
      <c r="C1378" s="1">
        <v>46077</v>
      </c>
      <c r="D1378" t="s">
        <v>302</v>
      </c>
      <c r="E1378" t="s">
        <v>67</v>
      </c>
      <c r="F1378" t="s">
        <v>62</v>
      </c>
      <c r="G1378" t="s">
        <v>68</v>
      </c>
      <c r="H1378" t="s">
        <v>57</v>
      </c>
      <c r="I1378" s="2">
        <v>1</v>
      </c>
      <c r="J1378" s="3">
        <v>149</v>
      </c>
      <c r="K1378" s="4">
        <v>0.1</v>
      </c>
      <c r="L1378" s="3">
        <v>134.1</v>
      </c>
      <c r="M1378" t="b">
        <v>1</v>
      </c>
      <c r="N1378" s="2">
        <f>YEAR(B1378)</f>
        <v>2026</v>
      </c>
      <c r="O1378" t="str">
        <f>INDEX(Agences!$C:$C,MATCH(F1378,Agences!$A:$A,0))</f>
        <v>Méditerranée</v>
      </c>
      <c r="P1378" t="str">
        <f>INDEX(Produits!$C:$C,MATCH(H1378,Produits!$A:$A,0))</f>
        <v>Informatique</v>
      </c>
      <c r="Q1378" s="3">
        <f>I1378*INDEX(Produits!$E:$E,MATCH(H1378,Produits!$A:$A,0))</f>
        <v>114.73</v>
      </c>
      <c r="R1378" s="3">
        <f>L1378-Q1378</f>
        <v>19.36999999999999</v>
      </c>
      <c r="S1378" s="2">
        <f>NETWORKDAYS(B1378,C1378)-1</f>
        <v>2</v>
      </c>
      <c r="T1378" s="1">
        <f>WORKDAY(B1378,5)</f>
        <v>46080</v>
      </c>
      <c r="U1378" t="b">
        <f>C1378&gt;T1378</f>
        <v>0</v>
      </c>
    </row>
    <row r="1379" spans="1:21" x14ac:dyDescent="0.25">
      <c r="A1379" t="s">
        <v>1080</v>
      </c>
      <c r="B1379" s="1">
        <v>46073</v>
      </c>
      <c r="C1379" s="1">
        <v>46077</v>
      </c>
      <c r="D1379" t="s">
        <v>302</v>
      </c>
      <c r="E1379" t="s">
        <v>67</v>
      </c>
      <c r="F1379" t="s">
        <v>62</v>
      </c>
      <c r="G1379" t="s">
        <v>68</v>
      </c>
      <c r="H1379" t="s">
        <v>49</v>
      </c>
      <c r="I1379" s="2">
        <v>1</v>
      </c>
      <c r="J1379" s="3">
        <v>120</v>
      </c>
      <c r="K1379" s="4">
        <v>0.02</v>
      </c>
      <c r="L1379" s="3">
        <v>117.6</v>
      </c>
      <c r="M1379" t="b">
        <v>1</v>
      </c>
      <c r="N1379" s="2">
        <f>YEAR(B1379)</f>
        <v>2026</v>
      </c>
      <c r="O1379" t="str">
        <f>INDEX(Agences!$C:$C,MATCH(F1379,Agences!$A:$A,0))</f>
        <v>Méditerranée</v>
      </c>
      <c r="P1379" t="str">
        <f>INDEX(Produits!$C:$C,MATCH(H1379,Produits!$A:$A,0))</f>
        <v>Maintenance</v>
      </c>
      <c r="Q1379" s="3">
        <f>I1379*INDEX(Produits!$E:$E,MATCH(H1379,Produits!$A:$A,0))</f>
        <v>55.2</v>
      </c>
      <c r="R1379" s="3">
        <f>L1379-Q1379</f>
        <v>62.39999999999999</v>
      </c>
      <c r="S1379" s="2">
        <f>NETWORKDAYS(B1379,C1379)-1</f>
        <v>2</v>
      </c>
      <c r="T1379" s="1">
        <f>WORKDAY(B1379,5)</f>
        <v>46080</v>
      </c>
      <c r="U1379" t="b">
        <f>C1379&gt;T1379</f>
        <v>0</v>
      </c>
    </row>
    <row r="1380" spans="1:21" x14ac:dyDescent="0.25">
      <c r="A1380" t="s">
        <v>1081</v>
      </c>
      <c r="B1380" s="1">
        <v>46073</v>
      </c>
      <c r="C1380" s="1">
        <v>46076</v>
      </c>
      <c r="D1380" t="s">
        <v>597</v>
      </c>
      <c r="E1380" t="s">
        <v>153</v>
      </c>
      <c r="F1380" t="s">
        <v>94</v>
      </c>
      <c r="G1380" t="s">
        <v>182</v>
      </c>
      <c r="H1380" t="s">
        <v>35</v>
      </c>
      <c r="I1380" s="2">
        <v>2</v>
      </c>
      <c r="J1380" s="3">
        <v>79</v>
      </c>
      <c r="K1380" s="4">
        <v>0.08</v>
      </c>
      <c r="L1380" s="3">
        <v>145.36</v>
      </c>
      <c r="M1380" t="b">
        <v>1</v>
      </c>
      <c r="N1380" s="2">
        <f>YEAR(B1380)</f>
        <v>2026</v>
      </c>
      <c r="O1380" t="str">
        <f>INDEX(Agences!$C:$C,MATCH(F1380,Agences!$A:$A,0))</f>
        <v>Méditerranée</v>
      </c>
      <c r="P1380" t="str">
        <f>INDEX(Produits!$C:$C,MATCH(H1380,Produits!$A:$A,0))</f>
        <v>Mobilier</v>
      </c>
      <c r="Q1380" s="3">
        <f>I1380*INDEX(Produits!$E:$E,MATCH(H1380,Produits!$A:$A,0))</f>
        <v>93.22</v>
      </c>
      <c r="R1380" s="3">
        <f>L1380-Q1380</f>
        <v>52.140000000000015</v>
      </c>
      <c r="S1380" s="2">
        <f>NETWORKDAYS(B1380,C1380)-1</f>
        <v>1</v>
      </c>
      <c r="T1380" s="1">
        <f>WORKDAY(B1380,5)</f>
        <v>46080</v>
      </c>
      <c r="U1380" t="b">
        <f>C1380&gt;T1380</f>
        <v>0</v>
      </c>
    </row>
    <row r="1381" spans="1:21" x14ac:dyDescent="0.25">
      <c r="A1381" t="s">
        <v>1081</v>
      </c>
      <c r="B1381" s="1">
        <v>46073</v>
      </c>
      <c r="C1381" s="1">
        <v>46076</v>
      </c>
      <c r="D1381" t="s">
        <v>597</v>
      </c>
      <c r="E1381" t="s">
        <v>153</v>
      </c>
      <c r="F1381" t="s">
        <v>94</v>
      </c>
      <c r="G1381" t="s">
        <v>182</v>
      </c>
      <c r="H1381" t="s">
        <v>206</v>
      </c>
      <c r="I1381" s="2">
        <v>15</v>
      </c>
      <c r="J1381" s="3">
        <v>34</v>
      </c>
      <c r="K1381" s="4">
        <v>0</v>
      </c>
      <c r="L1381" s="3">
        <v>510</v>
      </c>
      <c r="M1381" t="b">
        <v>1</v>
      </c>
      <c r="N1381" s="2">
        <f>YEAR(B1381)</f>
        <v>2026</v>
      </c>
      <c r="O1381" t="str">
        <f>INDEX(Agences!$C:$C,MATCH(F1381,Agences!$A:$A,0))</f>
        <v>Méditerranée</v>
      </c>
      <c r="P1381" t="str">
        <f>INDEX(Produits!$C:$C,MATCH(H1381,Produits!$A:$A,0))</f>
        <v>Fournitures</v>
      </c>
      <c r="Q1381" s="3">
        <f>I1381*INDEX(Produits!$E:$E,MATCH(H1381,Produits!$A:$A,0))</f>
        <v>290.7</v>
      </c>
      <c r="R1381" s="3">
        <f>L1381-Q1381</f>
        <v>219.3</v>
      </c>
      <c r="S1381" s="2">
        <f>NETWORKDAYS(B1381,C1381)-1</f>
        <v>1</v>
      </c>
      <c r="T1381" s="1">
        <f>WORKDAY(B1381,5)</f>
        <v>46080</v>
      </c>
      <c r="U1381" t="b">
        <f>C1381&gt;T1381</f>
        <v>0</v>
      </c>
    </row>
    <row r="1382" spans="1:21" x14ac:dyDescent="0.25">
      <c r="A1382" t="s">
        <v>1082</v>
      </c>
      <c r="B1382" s="1">
        <v>46072</v>
      </c>
      <c r="C1382" s="1">
        <v>46073</v>
      </c>
      <c r="D1382" t="s">
        <v>304</v>
      </c>
      <c r="E1382" t="s">
        <v>119</v>
      </c>
      <c r="F1382" t="s">
        <v>24</v>
      </c>
      <c r="G1382" t="s">
        <v>116</v>
      </c>
      <c r="H1382" t="s">
        <v>162</v>
      </c>
      <c r="I1382" s="2">
        <v>1</v>
      </c>
      <c r="J1382" s="3">
        <v>289</v>
      </c>
      <c r="K1382" s="4">
        <v>0.02</v>
      </c>
      <c r="L1382" s="3">
        <v>283.22</v>
      </c>
      <c r="M1382" t="b">
        <v>1</v>
      </c>
      <c r="N1382" s="2">
        <f>YEAR(B1382)</f>
        <v>2026</v>
      </c>
      <c r="O1382" t="str">
        <f>INDEX(Agences!$C:$C,MATCH(F1382,Agences!$A:$A,0))</f>
        <v>Nord</v>
      </c>
      <c r="P1382" t="str">
        <f>INDEX(Produits!$C:$C,MATCH(H1382,Produits!$A:$A,0))</f>
        <v>Mobilier</v>
      </c>
      <c r="Q1382" s="3">
        <f>I1382*INDEX(Produits!$E:$E,MATCH(H1382,Produits!$A:$A,0))</f>
        <v>193.63</v>
      </c>
      <c r="R1382" s="3">
        <f>L1382-Q1382</f>
        <v>89.59000000000003</v>
      </c>
      <c r="S1382" s="2">
        <f>NETWORKDAYS(B1382,C1382)-1</f>
        <v>1</v>
      </c>
      <c r="T1382" s="1">
        <f>WORKDAY(B1382,5)</f>
        <v>46079</v>
      </c>
      <c r="U1382" t="b">
        <f>C1382&gt;T1382</f>
        <v>0</v>
      </c>
    </row>
    <row r="1383" spans="1:21" x14ac:dyDescent="0.25">
      <c r="A1383" t="s">
        <v>1082</v>
      </c>
      <c r="B1383" s="1">
        <v>46072</v>
      </c>
      <c r="C1383" s="1">
        <v>46073</v>
      </c>
      <c r="D1383" t="s">
        <v>304</v>
      </c>
      <c r="E1383" t="s">
        <v>119</v>
      </c>
      <c r="F1383" t="s">
        <v>24</v>
      </c>
      <c r="G1383" t="s">
        <v>116</v>
      </c>
      <c r="H1383" t="s">
        <v>132</v>
      </c>
      <c r="I1383" s="2">
        <v>1</v>
      </c>
      <c r="J1383" s="3">
        <v>650</v>
      </c>
      <c r="K1383" s="4">
        <v>0</v>
      </c>
      <c r="L1383" s="3">
        <v>650</v>
      </c>
      <c r="M1383" t="b">
        <v>1</v>
      </c>
      <c r="N1383" s="2">
        <f>YEAR(B1383)</f>
        <v>2026</v>
      </c>
      <c r="O1383" t="str">
        <f>INDEX(Agences!$C:$C,MATCH(F1383,Agences!$A:$A,0))</f>
        <v>Nord</v>
      </c>
      <c r="P1383" t="str">
        <f>INDEX(Produits!$C:$C,MATCH(H1383,Produits!$A:$A,0))</f>
        <v>Maintenance</v>
      </c>
      <c r="Q1383" s="3">
        <f>I1383*INDEX(Produits!$E:$E,MATCH(H1383,Produits!$A:$A,0))</f>
        <v>273</v>
      </c>
      <c r="R1383" s="3">
        <f>L1383-Q1383</f>
        <v>377</v>
      </c>
      <c r="S1383" s="2">
        <f>NETWORKDAYS(B1383,C1383)-1</f>
        <v>1</v>
      </c>
      <c r="T1383" s="1">
        <f>WORKDAY(B1383,5)</f>
        <v>46079</v>
      </c>
      <c r="U1383" t="b">
        <f>C1383&gt;T1383</f>
        <v>0</v>
      </c>
    </row>
    <row r="1384" spans="1:21" x14ac:dyDescent="0.25">
      <c r="A1384" t="s">
        <v>1083</v>
      </c>
      <c r="B1384" s="1">
        <v>46072</v>
      </c>
      <c r="C1384" s="1">
        <v>46076</v>
      </c>
      <c r="D1384" t="s">
        <v>1084</v>
      </c>
      <c r="E1384" t="s">
        <v>172</v>
      </c>
      <c r="F1384" t="s">
        <v>99</v>
      </c>
      <c r="G1384" t="s">
        <v>265</v>
      </c>
      <c r="H1384" t="s">
        <v>41</v>
      </c>
      <c r="I1384" s="2">
        <v>1</v>
      </c>
      <c r="J1384" s="3">
        <v>790</v>
      </c>
      <c r="K1384" s="4">
        <v>0.02</v>
      </c>
      <c r="L1384" s="3">
        <v>774.2</v>
      </c>
      <c r="M1384" t="b">
        <v>1</v>
      </c>
      <c r="N1384" s="2">
        <f>YEAR(B1384)</f>
        <v>2026</v>
      </c>
      <c r="O1384" t="str">
        <f>INDEX(Agences!$C:$C,MATCH(F1384,Agences!$A:$A,0))</f>
        <v>Nord</v>
      </c>
      <c r="P1384" t="str">
        <f>INDEX(Produits!$C:$C,MATCH(H1384,Produits!$A:$A,0))</f>
        <v>Informatique</v>
      </c>
      <c r="Q1384" s="3">
        <f>I1384*INDEX(Produits!$E:$E,MATCH(H1384,Produits!$A:$A,0))</f>
        <v>576.7</v>
      </c>
      <c r="R1384" s="3">
        <f>L1384-Q1384</f>
        <v>197.5</v>
      </c>
      <c r="S1384" s="2">
        <f>NETWORKDAYS(B1384,C1384)-1</f>
        <v>2</v>
      </c>
      <c r="T1384" s="1">
        <f>WORKDAY(B1384,5)</f>
        <v>46079</v>
      </c>
      <c r="U1384" t="b">
        <f>C1384&gt;T1384</f>
        <v>0</v>
      </c>
    </row>
    <row r="1385" spans="1:21" x14ac:dyDescent="0.25">
      <c r="A1385" t="s">
        <v>1085</v>
      </c>
      <c r="B1385" s="1">
        <v>46072</v>
      </c>
      <c r="C1385" s="1">
        <v>46076</v>
      </c>
      <c r="D1385" t="s">
        <v>740</v>
      </c>
      <c r="E1385" t="s">
        <v>172</v>
      </c>
      <c r="F1385" t="s">
        <v>99</v>
      </c>
      <c r="G1385" t="s">
        <v>100</v>
      </c>
      <c r="H1385" t="s">
        <v>103</v>
      </c>
      <c r="I1385" s="2">
        <v>2</v>
      </c>
      <c r="J1385" s="3">
        <v>245</v>
      </c>
      <c r="K1385" s="4">
        <v>0.08</v>
      </c>
      <c r="L1385" s="3">
        <v>450.8</v>
      </c>
      <c r="M1385" t="b">
        <v>1</v>
      </c>
      <c r="N1385" s="2">
        <f>YEAR(B1385)</f>
        <v>2026</v>
      </c>
      <c r="O1385" t="str">
        <f>INDEX(Agences!$C:$C,MATCH(F1385,Agences!$A:$A,0))</f>
        <v>Nord</v>
      </c>
      <c r="P1385" t="str">
        <f>INDEX(Produits!$C:$C,MATCH(H1385,Produits!$A:$A,0))</f>
        <v>Mobilier</v>
      </c>
      <c r="Q1385" s="3">
        <f>I1385*INDEX(Produits!$E:$E,MATCH(H1385,Produits!$A:$A,0))</f>
        <v>328.3</v>
      </c>
      <c r="R1385" s="3">
        <f>L1385-Q1385</f>
        <v>122.5</v>
      </c>
      <c r="S1385" s="2">
        <f>NETWORKDAYS(B1385,C1385)-1</f>
        <v>2</v>
      </c>
      <c r="T1385" s="1">
        <f>WORKDAY(B1385,5)</f>
        <v>46079</v>
      </c>
      <c r="U1385" t="b">
        <f>C1385&gt;T1385</f>
        <v>0</v>
      </c>
    </row>
    <row r="1386" spans="1:21" x14ac:dyDescent="0.25">
      <c r="A1386" t="s">
        <v>1085</v>
      </c>
      <c r="B1386" s="1">
        <v>46072</v>
      </c>
      <c r="C1386" s="1">
        <v>46076</v>
      </c>
      <c r="D1386" t="s">
        <v>740</v>
      </c>
      <c r="E1386" t="s">
        <v>172</v>
      </c>
      <c r="F1386" t="s">
        <v>99</v>
      </c>
      <c r="G1386" t="s">
        <v>100</v>
      </c>
      <c r="H1386" t="s">
        <v>42</v>
      </c>
      <c r="I1386" s="2">
        <v>1</v>
      </c>
      <c r="J1386" s="3">
        <v>55</v>
      </c>
      <c r="K1386" s="4">
        <v>0</v>
      </c>
      <c r="L1386" s="3">
        <v>55</v>
      </c>
      <c r="M1386" t="b">
        <v>1</v>
      </c>
      <c r="N1386" s="2">
        <f>YEAR(B1386)</f>
        <v>2026</v>
      </c>
      <c r="O1386" t="str">
        <f>INDEX(Agences!$C:$C,MATCH(F1386,Agences!$A:$A,0))</f>
        <v>Nord</v>
      </c>
      <c r="P1386" t="str">
        <f>INDEX(Produits!$C:$C,MATCH(H1386,Produits!$A:$A,0))</f>
        <v>Maintenance</v>
      </c>
      <c r="Q1386" s="3">
        <f>I1386*INDEX(Produits!$E:$E,MATCH(H1386,Produits!$A:$A,0))</f>
        <v>24.75</v>
      </c>
      <c r="R1386" s="3">
        <f>L1386-Q1386</f>
        <v>30.25</v>
      </c>
      <c r="S1386" s="2">
        <f>NETWORKDAYS(B1386,C1386)-1</f>
        <v>2</v>
      </c>
      <c r="T1386" s="1">
        <f>WORKDAY(B1386,5)</f>
        <v>46079</v>
      </c>
      <c r="U1386" t="b">
        <f>C1386&gt;T1386</f>
        <v>0</v>
      </c>
    </row>
    <row r="1387" spans="1:21" x14ac:dyDescent="0.25">
      <c r="A1387" t="s">
        <v>1085</v>
      </c>
      <c r="B1387" s="1">
        <v>46072</v>
      </c>
      <c r="C1387" s="1">
        <v>46076</v>
      </c>
      <c r="D1387" t="s">
        <v>740</v>
      </c>
      <c r="E1387" t="s">
        <v>172</v>
      </c>
      <c r="F1387" t="s">
        <v>99</v>
      </c>
      <c r="G1387" t="s">
        <v>100</v>
      </c>
      <c r="H1387" t="s">
        <v>206</v>
      </c>
      <c r="I1387" s="2">
        <v>5</v>
      </c>
      <c r="J1387" s="3">
        <v>34</v>
      </c>
      <c r="K1387" s="4">
        <v>0.05</v>
      </c>
      <c r="L1387" s="3">
        <v>161.5</v>
      </c>
      <c r="M1387" t="b">
        <v>1</v>
      </c>
      <c r="N1387" s="2">
        <f>YEAR(B1387)</f>
        <v>2026</v>
      </c>
      <c r="O1387" t="str">
        <f>INDEX(Agences!$C:$C,MATCH(F1387,Agences!$A:$A,0))</f>
        <v>Nord</v>
      </c>
      <c r="P1387" t="str">
        <f>INDEX(Produits!$C:$C,MATCH(H1387,Produits!$A:$A,0))</f>
        <v>Fournitures</v>
      </c>
      <c r="Q1387" s="3">
        <f>I1387*INDEX(Produits!$E:$E,MATCH(H1387,Produits!$A:$A,0))</f>
        <v>96.89999999999999</v>
      </c>
      <c r="R1387" s="3">
        <f>L1387-Q1387</f>
        <v>64.60000000000001</v>
      </c>
      <c r="S1387" s="2">
        <f>NETWORKDAYS(B1387,C1387)-1</f>
        <v>2</v>
      </c>
      <c r="T1387" s="1">
        <f>WORKDAY(B1387,5)</f>
        <v>46079</v>
      </c>
      <c r="U1387" t="b">
        <f>C1387&gt;T1387</f>
        <v>0</v>
      </c>
    </row>
    <row r="1388" spans="1:21" x14ac:dyDescent="0.25">
      <c r="A1388" t="s">
        <v>1086</v>
      </c>
      <c r="B1388" s="1">
        <v>46072</v>
      </c>
      <c r="C1388" s="1">
        <v>46076</v>
      </c>
      <c r="D1388" t="s">
        <v>1087</v>
      </c>
      <c r="E1388" t="s">
        <v>399</v>
      </c>
      <c r="F1388" t="s">
        <v>166</v>
      </c>
      <c r="G1388" t="s">
        <v>167</v>
      </c>
      <c r="H1388" t="s">
        <v>196</v>
      </c>
      <c r="I1388" s="2">
        <v>5</v>
      </c>
      <c r="J1388" s="3">
        <v>18.5</v>
      </c>
      <c r="K1388" s="4">
        <v>0</v>
      </c>
      <c r="L1388" s="3">
        <v>92.5</v>
      </c>
      <c r="M1388" t="b">
        <v>1</v>
      </c>
      <c r="N1388" s="2">
        <f>YEAR(B1388)</f>
        <v>2026</v>
      </c>
      <c r="O1388" t="str">
        <f>INDEX(Agences!$C:$C,MATCH(F1388,Agences!$A:$A,0))</f>
        <v>Ouest</v>
      </c>
      <c r="P1388" t="str">
        <f>INDEX(Produits!$C:$C,MATCH(H1388,Produits!$A:$A,0))</f>
        <v>Fournitures</v>
      </c>
      <c r="Q1388" s="3">
        <f>I1388*INDEX(Produits!$E:$E,MATCH(H1388,Produits!$A:$A,0))</f>
        <v>47.199999999999996</v>
      </c>
      <c r="R1388" s="3">
        <f>L1388-Q1388</f>
        <v>45.300000000000004</v>
      </c>
      <c r="S1388" s="2">
        <f>NETWORKDAYS(B1388,C1388)-1</f>
        <v>2</v>
      </c>
      <c r="T1388" s="1">
        <f>WORKDAY(B1388,5)</f>
        <v>46079</v>
      </c>
      <c r="U1388" t="b">
        <f>C1388&gt;T1388</f>
        <v>0</v>
      </c>
    </row>
    <row r="1389" spans="1:21" x14ac:dyDescent="0.25">
      <c r="A1389" t="s">
        <v>1088</v>
      </c>
      <c r="B1389" s="1">
        <v>46072</v>
      </c>
      <c r="C1389" s="1">
        <v>46076</v>
      </c>
      <c r="D1389" t="s">
        <v>982</v>
      </c>
      <c r="E1389" t="s">
        <v>339</v>
      </c>
      <c r="F1389" t="s">
        <v>31</v>
      </c>
      <c r="G1389" t="s">
        <v>186</v>
      </c>
      <c r="H1389" t="s">
        <v>112</v>
      </c>
      <c r="I1389" s="2">
        <v>2</v>
      </c>
      <c r="J1389" s="3">
        <v>129</v>
      </c>
      <c r="K1389" s="4">
        <v>0.02</v>
      </c>
      <c r="L1389" s="3">
        <v>252.84</v>
      </c>
      <c r="M1389" t="b">
        <v>1</v>
      </c>
      <c r="N1389" s="2">
        <f>YEAR(B1389)</f>
        <v>2026</v>
      </c>
      <c r="O1389" t="str">
        <f>INDEX(Agences!$C:$C,MATCH(F1389,Agences!$A:$A,0))</f>
        <v>Ouest</v>
      </c>
      <c r="P1389" t="str">
        <f>INDEX(Produits!$C:$C,MATCH(H1389,Produits!$A:$A,0))</f>
        <v>Mobilier</v>
      </c>
      <c r="Q1389" s="3">
        <f>I1389*INDEX(Produits!$E:$E,MATCH(H1389,Produits!$A:$A,0))</f>
        <v>172.86</v>
      </c>
      <c r="R1389" s="3">
        <f>L1389-Q1389</f>
        <v>79.97999999999999</v>
      </c>
      <c r="S1389" s="2">
        <f>NETWORKDAYS(B1389,C1389)-1</f>
        <v>2</v>
      </c>
      <c r="T1389" s="1">
        <f>WORKDAY(B1389,5)</f>
        <v>46079</v>
      </c>
      <c r="U1389" t="b">
        <f>C1389&gt;T1389</f>
        <v>0</v>
      </c>
    </row>
    <row r="1390" spans="1:21" x14ac:dyDescent="0.25">
      <c r="A1390" t="s">
        <v>1088</v>
      </c>
      <c r="B1390" s="1">
        <v>46072</v>
      </c>
      <c r="C1390" s="1">
        <v>46076</v>
      </c>
      <c r="D1390" t="s">
        <v>982</v>
      </c>
      <c r="E1390" t="s">
        <v>339</v>
      </c>
      <c r="F1390" t="s">
        <v>31</v>
      </c>
      <c r="G1390" t="s">
        <v>186</v>
      </c>
      <c r="H1390" t="s">
        <v>49</v>
      </c>
      <c r="I1390" s="2">
        <v>1</v>
      </c>
      <c r="J1390" s="3">
        <v>120</v>
      </c>
      <c r="K1390" s="4">
        <v>0</v>
      </c>
      <c r="L1390" s="3">
        <v>120</v>
      </c>
      <c r="M1390" t="b">
        <v>1</v>
      </c>
      <c r="N1390" s="2">
        <f>YEAR(B1390)</f>
        <v>2026</v>
      </c>
      <c r="O1390" t="str">
        <f>INDEX(Agences!$C:$C,MATCH(F1390,Agences!$A:$A,0))</f>
        <v>Ouest</v>
      </c>
      <c r="P1390" t="str">
        <f>INDEX(Produits!$C:$C,MATCH(H1390,Produits!$A:$A,0))</f>
        <v>Maintenance</v>
      </c>
      <c r="Q1390" s="3">
        <f>I1390*INDEX(Produits!$E:$E,MATCH(H1390,Produits!$A:$A,0))</f>
        <v>55.2</v>
      </c>
      <c r="R1390" s="3">
        <f>L1390-Q1390</f>
        <v>64.8</v>
      </c>
      <c r="S1390" s="2">
        <f>NETWORKDAYS(B1390,C1390)-1</f>
        <v>2</v>
      </c>
      <c r="T1390" s="1">
        <f>WORKDAY(B1390,5)</f>
        <v>46079</v>
      </c>
      <c r="U1390" t="b">
        <f>C1390&gt;T1390</f>
        <v>0</v>
      </c>
    </row>
    <row r="1391" spans="1:21" x14ac:dyDescent="0.25">
      <c r="A1391" t="s">
        <v>1088</v>
      </c>
      <c r="B1391" s="1">
        <v>46072</v>
      </c>
      <c r="C1391" s="1">
        <v>46076</v>
      </c>
      <c r="D1391" t="s">
        <v>982</v>
      </c>
      <c r="E1391" t="s">
        <v>339</v>
      </c>
      <c r="F1391" t="s">
        <v>31</v>
      </c>
      <c r="G1391" t="s">
        <v>186</v>
      </c>
      <c r="H1391" t="s">
        <v>35</v>
      </c>
      <c r="I1391" s="2">
        <v>1</v>
      </c>
      <c r="J1391" s="3">
        <v>79</v>
      </c>
      <c r="K1391" s="4">
        <v>0</v>
      </c>
      <c r="L1391" s="3">
        <v>79</v>
      </c>
      <c r="M1391" t="b">
        <v>1</v>
      </c>
      <c r="N1391" s="2">
        <f>YEAR(B1391)</f>
        <v>2026</v>
      </c>
      <c r="O1391" t="str">
        <f>INDEX(Agences!$C:$C,MATCH(F1391,Agences!$A:$A,0))</f>
        <v>Ouest</v>
      </c>
      <c r="P1391" t="str">
        <f>INDEX(Produits!$C:$C,MATCH(H1391,Produits!$A:$A,0))</f>
        <v>Mobilier</v>
      </c>
      <c r="Q1391" s="3">
        <f>I1391*INDEX(Produits!$E:$E,MATCH(H1391,Produits!$A:$A,0))</f>
        <v>46.61</v>
      </c>
      <c r="R1391" s="3">
        <f>L1391-Q1391</f>
        <v>32.39</v>
      </c>
      <c r="S1391" s="2">
        <f>NETWORKDAYS(B1391,C1391)-1</f>
        <v>2</v>
      </c>
      <c r="T1391" s="1">
        <f>WORKDAY(B1391,5)</f>
        <v>46079</v>
      </c>
      <c r="U1391" t="b">
        <f>C1391&gt;T1391</f>
        <v>0</v>
      </c>
    </row>
    <row r="1392" spans="1:21" x14ac:dyDescent="0.25">
      <c r="A1392" t="s">
        <v>1089</v>
      </c>
      <c r="B1392" s="1">
        <v>46072</v>
      </c>
      <c r="C1392" s="1">
        <v>46078</v>
      </c>
      <c r="D1392" t="s">
        <v>282</v>
      </c>
      <c r="E1392" t="s">
        <v>236</v>
      </c>
      <c r="F1392" t="s">
        <v>39</v>
      </c>
      <c r="G1392" t="s">
        <v>131</v>
      </c>
      <c r="H1392" t="s">
        <v>112</v>
      </c>
      <c r="I1392" s="2">
        <v>5</v>
      </c>
      <c r="J1392" s="3">
        <v>129</v>
      </c>
      <c r="K1392" s="4">
        <v>0.02</v>
      </c>
      <c r="L1392" s="3">
        <v>632.1</v>
      </c>
      <c r="M1392" t="b">
        <v>1</v>
      </c>
      <c r="N1392" s="2">
        <f>YEAR(B1392)</f>
        <v>2026</v>
      </c>
      <c r="O1392" t="str">
        <f>INDEX(Agences!$C:$C,MATCH(F1392,Agences!$A:$A,0))</f>
        <v>Sud-Ouest</v>
      </c>
      <c r="P1392" t="str">
        <f>INDEX(Produits!$C:$C,MATCH(H1392,Produits!$A:$A,0))</f>
        <v>Mobilier</v>
      </c>
      <c r="Q1392" s="3">
        <f>I1392*INDEX(Produits!$E:$E,MATCH(H1392,Produits!$A:$A,0))</f>
        <v>432.15000000000003</v>
      </c>
      <c r="R1392" s="3">
        <f>L1392-Q1392</f>
        <v>199.95</v>
      </c>
      <c r="S1392" s="2">
        <f>NETWORKDAYS(B1392,C1392)-1</f>
        <v>4</v>
      </c>
      <c r="T1392" s="1">
        <f>WORKDAY(B1392,5)</f>
        <v>46079</v>
      </c>
      <c r="U1392" t="b">
        <f>C1392&gt;T1392</f>
        <v>0</v>
      </c>
    </row>
    <row r="1393" spans="1:21" x14ac:dyDescent="0.25">
      <c r="A1393" t="s">
        <v>1089</v>
      </c>
      <c r="B1393" s="1">
        <v>46072</v>
      </c>
      <c r="C1393" s="1">
        <v>46078</v>
      </c>
      <c r="D1393" t="s">
        <v>282</v>
      </c>
      <c r="E1393" t="s">
        <v>236</v>
      </c>
      <c r="F1393" t="s">
        <v>39</v>
      </c>
      <c r="G1393" t="s">
        <v>131</v>
      </c>
      <c r="H1393" t="s">
        <v>26</v>
      </c>
      <c r="I1393" s="2">
        <v>1</v>
      </c>
      <c r="J1393" s="3">
        <v>290</v>
      </c>
      <c r="K1393" s="4">
        <v>0</v>
      </c>
      <c r="L1393" s="3">
        <v>290</v>
      </c>
      <c r="M1393" t="b">
        <v>1</v>
      </c>
      <c r="N1393" s="2">
        <f>YEAR(B1393)</f>
        <v>2026</v>
      </c>
      <c r="O1393" t="str">
        <f>INDEX(Agences!$C:$C,MATCH(F1393,Agences!$A:$A,0))</f>
        <v>Sud-Ouest</v>
      </c>
      <c r="P1393" t="str">
        <f>INDEX(Produits!$C:$C,MATCH(H1393,Produits!$A:$A,0))</f>
        <v>Maintenance</v>
      </c>
      <c r="Q1393" s="3">
        <f>I1393*INDEX(Produits!$E:$E,MATCH(H1393,Produits!$A:$A,0))</f>
        <v>139.2</v>
      </c>
      <c r="R1393" s="3">
        <f>L1393-Q1393</f>
        <v>150.8</v>
      </c>
      <c r="S1393" s="2">
        <f>NETWORKDAYS(B1393,C1393)-1</f>
        <v>4</v>
      </c>
      <c r="T1393" s="1">
        <f>WORKDAY(B1393,5)</f>
        <v>46079</v>
      </c>
      <c r="U1393" t="b">
        <f>C1393&gt;T1393</f>
        <v>0</v>
      </c>
    </row>
    <row r="1394" spans="1:21" x14ac:dyDescent="0.25">
      <c r="A1394" t="s">
        <v>1089</v>
      </c>
      <c r="B1394" s="1">
        <v>46072</v>
      </c>
      <c r="C1394" s="1">
        <v>46078</v>
      </c>
      <c r="D1394" t="s">
        <v>282</v>
      </c>
      <c r="E1394" t="s">
        <v>236</v>
      </c>
      <c r="F1394" t="s">
        <v>39</v>
      </c>
      <c r="G1394" t="s">
        <v>131</v>
      </c>
      <c r="H1394" t="s">
        <v>42</v>
      </c>
      <c r="I1394" s="2">
        <v>1</v>
      </c>
      <c r="J1394" s="3">
        <v>55</v>
      </c>
      <c r="K1394" s="4">
        <v>0.05</v>
      </c>
      <c r="L1394" s="3">
        <v>52.25</v>
      </c>
      <c r="M1394" t="b">
        <v>1</v>
      </c>
      <c r="N1394" s="2">
        <f>YEAR(B1394)</f>
        <v>2026</v>
      </c>
      <c r="O1394" t="str">
        <f>INDEX(Agences!$C:$C,MATCH(F1394,Agences!$A:$A,0))</f>
        <v>Sud-Ouest</v>
      </c>
      <c r="P1394" t="str">
        <f>INDEX(Produits!$C:$C,MATCH(H1394,Produits!$A:$A,0))</f>
        <v>Maintenance</v>
      </c>
      <c r="Q1394" s="3">
        <f>I1394*INDEX(Produits!$E:$E,MATCH(H1394,Produits!$A:$A,0))</f>
        <v>24.75</v>
      </c>
      <c r="R1394" s="3">
        <f>L1394-Q1394</f>
        <v>27.5</v>
      </c>
      <c r="S1394" s="2">
        <f>NETWORKDAYS(B1394,C1394)-1</f>
        <v>4</v>
      </c>
      <c r="T1394" s="1">
        <f>WORKDAY(B1394,5)</f>
        <v>46079</v>
      </c>
      <c r="U1394" t="b">
        <f>C1394&gt;T1394</f>
        <v>0</v>
      </c>
    </row>
    <row r="1395" spans="1:21" x14ac:dyDescent="0.25">
      <c r="A1395" t="s">
        <v>1090</v>
      </c>
      <c r="B1395" s="1">
        <v>46072</v>
      </c>
      <c r="C1395" s="1">
        <v>46076</v>
      </c>
      <c r="D1395" t="s">
        <v>530</v>
      </c>
      <c r="E1395" t="s">
        <v>242</v>
      </c>
      <c r="F1395" t="s">
        <v>94</v>
      </c>
      <c r="G1395" t="s">
        <v>95</v>
      </c>
      <c r="H1395" t="s">
        <v>83</v>
      </c>
      <c r="I1395" s="2">
        <v>1</v>
      </c>
      <c r="J1395" s="3">
        <v>49</v>
      </c>
      <c r="K1395" s="4">
        <v>0.02</v>
      </c>
      <c r="L1395" s="3">
        <v>48.02</v>
      </c>
      <c r="M1395" t="b">
        <v>1</v>
      </c>
      <c r="N1395" s="2">
        <f>YEAR(B1395)</f>
        <v>2026</v>
      </c>
      <c r="O1395" t="str">
        <f>INDEX(Agences!$C:$C,MATCH(F1395,Agences!$A:$A,0))</f>
        <v>Méditerranée</v>
      </c>
      <c r="P1395" t="str">
        <f>INDEX(Produits!$C:$C,MATCH(H1395,Produits!$A:$A,0))</f>
        <v>Mobilier</v>
      </c>
      <c r="Q1395" s="3">
        <f>I1395*INDEX(Produits!$E:$E,MATCH(H1395,Produits!$A:$A,0))</f>
        <v>28.42</v>
      </c>
      <c r="R1395" s="3">
        <f>L1395-Q1395</f>
        <v>19.6</v>
      </c>
      <c r="S1395" s="2">
        <f>NETWORKDAYS(B1395,C1395)-1</f>
        <v>2</v>
      </c>
      <c r="T1395" s="1">
        <f>WORKDAY(B1395,5)</f>
        <v>46079</v>
      </c>
      <c r="U1395" t="b">
        <f>C1395&gt;T1395</f>
        <v>0</v>
      </c>
    </row>
    <row r="1396" spans="1:21" x14ac:dyDescent="0.25">
      <c r="A1396" t="s">
        <v>1091</v>
      </c>
      <c r="B1396" s="1">
        <v>46072</v>
      </c>
      <c r="C1396" s="1">
        <v>46076</v>
      </c>
      <c r="D1396" t="s">
        <v>53</v>
      </c>
      <c r="E1396" t="s">
        <v>54</v>
      </c>
      <c r="F1396" t="s">
        <v>55</v>
      </c>
      <c r="G1396" t="s">
        <v>71</v>
      </c>
      <c r="H1396" t="s">
        <v>57</v>
      </c>
      <c r="I1396" s="2">
        <v>2</v>
      </c>
      <c r="J1396" s="3">
        <v>149</v>
      </c>
      <c r="K1396" s="4">
        <v>0</v>
      </c>
      <c r="L1396" s="3">
        <v>298</v>
      </c>
      <c r="M1396" t="b">
        <v>1</v>
      </c>
      <c r="N1396" s="2">
        <f>YEAR(B1396)</f>
        <v>2026</v>
      </c>
      <c r="O1396" t="str">
        <f>INDEX(Agences!$C:$C,MATCH(F1396,Agences!$A:$A,0))</f>
        <v>Est</v>
      </c>
      <c r="P1396" t="str">
        <f>INDEX(Produits!$C:$C,MATCH(H1396,Produits!$A:$A,0))</f>
        <v>Informatique</v>
      </c>
      <c r="Q1396" s="3">
        <f>I1396*INDEX(Produits!$E:$E,MATCH(H1396,Produits!$A:$A,0))</f>
        <v>229.46</v>
      </c>
      <c r="R1396" s="3">
        <f>L1396-Q1396</f>
        <v>68.53999999999999</v>
      </c>
      <c r="S1396" s="2">
        <f>NETWORKDAYS(B1396,C1396)-1</f>
        <v>2</v>
      </c>
      <c r="T1396" s="1">
        <f>WORKDAY(B1396,5)</f>
        <v>46079</v>
      </c>
      <c r="U1396" t="b">
        <f>C1396&gt;T1396</f>
        <v>0</v>
      </c>
    </row>
    <row r="1397" spans="1:21" x14ac:dyDescent="0.25">
      <c r="A1397" t="s">
        <v>1091</v>
      </c>
      <c r="B1397" s="1">
        <v>46072</v>
      </c>
      <c r="C1397" s="1">
        <v>46076</v>
      </c>
      <c r="D1397" t="s">
        <v>53</v>
      </c>
      <c r="E1397" t="s">
        <v>54</v>
      </c>
      <c r="F1397" t="s">
        <v>55</v>
      </c>
      <c r="G1397" t="s">
        <v>71</v>
      </c>
      <c r="H1397" t="s">
        <v>35</v>
      </c>
      <c r="I1397" s="2">
        <v>1</v>
      </c>
      <c r="J1397" s="3">
        <v>79</v>
      </c>
      <c r="K1397" s="4">
        <v>0</v>
      </c>
      <c r="L1397" s="3">
        <v>79</v>
      </c>
      <c r="M1397" t="b">
        <v>1</v>
      </c>
      <c r="N1397" s="2">
        <f>YEAR(B1397)</f>
        <v>2026</v>
      </c>
      <c r="O1397" t="str">
        <f>INDEX(Agences!$C:$C,MATCH(F1397,Agences!$A:$A,0))</f>
        <v>Est</v>
      </c>
      <c r="P1397" t="str">
        <f>INDEX(Produits!$C:$C,MATCH(H1397,Produits!$A:$A,0))</f>
        <v>Mobilier</v>
      </c>
      <c r="Q1397" s="3">
        <f>I1397*INDEX(Produits!$E:$E,MATCH(H1397,Produits!$A:$A,0))</f>
        <v>46.61</v>
      </c>
      <c r="R1397" s="3">
        <f>L1397-Q1397</f>
        <v>32.39</v>
      </c>
      <c r="S1397" s="2">
        <f>NETWORKDAYS(B1397,C1397)-1</f>
        <v>2</v>
      </c>
      <c r="T1397" s="1">
        <f>WORKDAY(B1397,5)</f>
        <v>46079</v>
      </c>
      <c r="U1397" t="b">
        <f>C1397&gt;T1397</f>
        <v>0</v>
      </c>
    </row>
    <row r="1398" spans="1:21" x14ac:dyDescent="0.25">
      <c r="A1398" t="s">
        <v>1091</v>
      </c>
      <c r="B1398" s="1">
        <v>46072</v>
      </c>
      <c r="C1398" s="1">
        <v>46076</v>
      </c>
      <c r="D1398" t="s">
        <v>53</v>
      </c>
      <c r="E1398" t="s">
        <v>54</v>
      </c>
      <c r="F1398" t="s">
        <v>55</v>
      </c>
      <c r="G1398" t="s">
        <v>71</v>
      </c>
      <c r="H1398" t="s">
        <v>42</v>
      </c>
      <c r="I1398" s="2">
        <v>1</v>
      </c>
      <c r="J1398" s="3">
        <v>55</v>
      </c>
      <c r="K1398" s="4">
        <v>0</v>
      </c>
      <c r="L1398" s="3">
        <v>55</v>
      </c>
      <c r="M1398" t="b">
        <v>1</v>
      </c>
      <c r="N1398" s="2">
        <f>YEAR(B1398)</f>
        <v>2026</v>
      </c>
      <c r="O1398" t="str">
        <f>INDEX(Agences!$C:$C,MATCH(F1398,Agences!$A:$A,0))</f>
        <v>Est</v>
      </c>
      <c r="P1398" t="str">
        <f>INDEX(Produits!$C:$C,MATCH(H1398,Produits!$A:$A,0))</f>
        <v>Maintenance</v>
      </c>
      <c r="Q1398" s="3">
        <f>I1398*INDEX(Produits!$E:$E,MATCH(H1398,Produits!$A:$A,0))</f>
        <v>24.75</v>
      </c>
      <c r="R1398" s="3">
        <f>L1398-Q1398</f>
        <v>30.25</v>
      </c>
      <c r="S1398" s="2">
        <f>NETWORKDAYS(B1398,C1398)-1</f>
        <v>2</v>
      </c>
      <c r="T1398" s="1">
        <f>WORKDAY(B1398,5)</f>
        <v>46079</v>
      </c>
      <c r="U1398" t="b">
        <f>C1398&gt;T1398</f>
        <v>0</v>
      </c>
    </row>
    <row r="1399" spans="1:21" x14ac:dyDescent="0.25">
      <c r="A1399" t="s">
        <v>1091</v>
      </c>
      <c r="B1399" s="1">
        <v>46072</v>
      </c>
      <c r="C1399" s="1">
        <v>46076</v>
      </c>
      <c r="D1399" t="s">
        <v>53</v>
      </c>
      <c r="E1399" t="s">
        <v>54</v>
      </c>
      <c r="F1399" t="s">
        <v>55</v>
      </c>
      <c r="G1399" t="s">
        <v>71</v>
      </c>
      <c r="H1399" t="s">
        <v>90</v>
      </c>
      <c r="I1399" s="2">
        <v>5</v>
      </c>
      <c r="J1399" s="3">
        <v>22.9</v>
      </c>
      <c r="K1399" s="4">
        <v>0</v>
      </c>
      <c r="L1399" s="3">
        <v>114.5</v>
      </c>
      <c r="M1399" t="b">
        <v>1</v>
      </c>
      <c r="N1399" s="2">
        <f>YEAR(B1399)</f>
        <v>2026</v>
      </c>
      <c r="O1399" t="str">
        <f>INDEX(Agences!$C:$C,MATCH(F1399,Agences!$A:$A,0))</f>
        <v>Est</v>
      </c>
      <c r="P1399" t="str">
        <f>INDEX(Produits!$C:$C,MATCH(H1399,Produits!$A:$A,0))</f>
        <v>Fournitures</v>
      </c>
      <c r="Q1399" s="3">
        <f>I1399*INDEX(Produits!$E:$E,MATCH(H1399,Produits!$A:$A,0))</f>
        <v>64.1</v>
      </c>
      <c r="R1399" s="3">
        <f>L1399-Q1399</f>
        <v>50.400000000000006</v>
      </c>
      <c r="S1399" s="2">
        <f>NETWORKDAYS(B1399,C1399)-1</f>
        <v>2</v>
      </c>
      <c r="T1399" s="1">
        <f>WORKDAY(B1399,5)</f>
        <v>46079</v>
      </c>
      <c r="U1399" t="b">
        <f>C1399&gt;T1399</f>
        <v>0</v>
      </c>
    </row>
    <row r="1400" spans="1:21" x14ac:dyDescent="0.25">
      <c r="A1400" t="s">
        <v>1092</v>
      </c>
      <c r="B1400" s="1">
        <v>46071</v>
      </c>
      <c r="C1400" s="1">
        <v>46076</v>
      </c>
      <c r="D1400" t="s">
        <v>278</v>
      </c>
      <c r="E1400" t="s">
        <v>137</v>
      </c>
      <c r="F1400" t="s">
        <v>138</v>
      </c>
      <c r="G1400" t="s">
        <v>214</v>
      </c>
      <c r="H1400" t="s">
        <v>161</v>
      </c>
      <c r="I1400" s="2">
        <v>5</v>
      </c>
      <c r="J1400" s="3">
        <v>32</v>
      </c>
      <c r="K1400" s="4">
        <v>0.05</v>
      </c>
      <c r="L1400" s="3">
        <v>152</v>
      </c>
      <c r="M1400" t="b">
        <v>1</v>
      </c>
      <c r="N1400" s="2">
        <f>YEAR(B1400)</f>
        <v>2026</v>
      </c>
      <c r="O1400" t="str">
        <f>INDEX(Agences!$C:$C,MATCH(F1400,Agences!$A:$A,0))</f>
        <v>Île-de-France</v>
      </c>
      <c r="P1400" t="str">
        <f>INDEX(Produits!$C:$C,MATCH(H1400,Produits!$A:$A,0))</f>
        <v>Fournitures</v>
      </c>
      <c r="Q1400" s="3">
        <f>I1400*INDEX(Produits!$E:$E,MATCH(H1400,Produits!$A:$A,0))</f>
        <v>88</v>
      </c>
      <c r="R1400" s="3">
        <f>L1400-Q1400</f>
        <v>64</v>
      </c>
      <c r="S1400" s="2">
        <f>NETWORKDAYS(B1400,C1400)-1</f>
        <v>3</v>
      </c>
      <c r="T1400" s="1">
        <f>WORKDAY(B1400,5)</f>
        <v>46078</v>
      </c>
      <c r="U1400" t="b">
        <f>C1400&gt;T1400</f>
        <v>0</v>
      </c>
    </row>
    <row r="1401" spans="1:21" x14ac:dyDescent="0.25">
      <c r="A1401" t="s">
        <v>1092</v>
      </c>
      <c r="B1401" s="1">
        <v>46071</v>
      </c>
      <c r="C1401" s="1">
        <v>46076</v>
      </c>
      <c r="D1401" t="s">
        <v>278</v>
      </c>
      <c r="E1401" t="s">
        <v>137</v>
      </c>
      <c r="F1401" t="s">
        <v>138</v>
      </c>
      <c r="G1401" t="s">
        <v>214</v>
      </c>
      <c r="H1401" t="s">
        <v>107</v>
      </c>
      <c r="I1401" s="2">
        <v>1</v>
      </c>
      <c r="J1401" s="3">
        <v>99</v>
      </c>
      <c r="K1401" s="4">
        <v>0</v>
      </c>
      <c r="L1401" s="3">
        <v>99</v>
      </c>
      <c r="M1401" t="b">
        <v>1</v>
      </c>
      <c r="N1401" s="2">
        <f>YEAR(B1401)</f>
        <v>2026</v>
      </c>
      <c r="O1401" t="str">
        <f>INDEX(Agences!$C:$C,MATCH(F1401,Agences!$A:$A,0))</f>
        <v>Île-de-France</v>
      </c>
      <c r="P1401" t="str">
        <f>INDEX(Produits!$C:$C,MATCH(H1401,Produits!$A:$A,0))</f>
        <v>Informatique</v>
      </c>
      <c r="Q1401" s="3">
        <f>I1401*INDEX(Produits!$E:$E,MATCH(H1401,Produits!$A:$A,0))</f>
        <v>75.24</v>
      </c>
      <c r="R1401" s="3">
        <f>L1401-Q1401</f>
        <v>23.760000000000005</v>
      </c>
      <c r="S1401" s="2">
        <f>NETWORKDAYS(B1401,C1401)-1</f>
        <v>3</v>
      </c>
      <c r="T1401" s="1">
        <f>WORKDAY(B1401,5)</f>
        <v>46078</v>
      </c>
      <c r="U1401" t="b">
        <f>C1401&gt;T1401</f>
        <v>0</v>
      </c>
    </row>
    <row r="1402" spans="1:21" x14ac:dyDescent="0.25">
      <c r="A1402" t="s">
        <v>1093</v>
      </c>
      <c r="B1402" s="1">
        <v>46071</v>
      </c>
      <c r="C1402" s="1">
        <v>46073</v>
      </c>
      <c r="D1402" t="s">
        <v>525</v>
      </c>
      <c r="E1402" t="s">
        <v>130</v>
      </c>
      <c r="F1402" t="s">
        <v>39</v>
      </c>
      <c r="G1402" t="s">
        <v>40</v>
      </c>
      <c r="H1402" t="s">
        <v>90</v>
      </c>
      <c r="I1402" s="2">
        <v>10</v>
      </c>
      <c r="J1402" s="3">
        <v>22.9</v>
      </c>
      <c r="K1402" s="4">
        <v>0.02</v>
      </c>
      <c r="L1402" s="3">
        <v>224.42</v>
      </c>
      <c r="M1402" t="b">
        <v>1</v>
      </c>
      <c r="N1402" s="2">
        <f>YEAR(B1402)</f>
        <v>2026</v>
      </c>
      <c r="O1402" t="str">
        <f>INDEX(Agences!$C:$C,MATCH(F1402,Agences!$A:$A,0))</f>
        <v>Sud-Ouest</v>
      </c>
      <c r="P1402" t="str">
        <f>INDEX(Produits!$C:$C,MATCH(H1402,Produits!$A:$A,0))</f>
        <v>Fournitures</v>
      </c>
      <c r="Q1402" s="3">
        <f>I1402*INDEX(Produits!$E:$E,MATCH(H1402,Produits!$A:$A,0))</f>
        <v>128.2</v>
      </c>
      <c r="R1402" s="3">
        <f>L1402-Q1402</f>
        <v>96.22</v>
      </c>
      <c r="S1402" s="2">
        <f>NETWORKDAYS(B1402,C1402)-1</f>
        <v>2</v>
      </c>
      <c r="T1402" s="1">
        <f>WORKDAY(B1402,5)</f>
        <v>46078</v>
      </c>
      <c r="U1402" t="b">
        <f>C1402&gt;T1402</f>
        <v>0</v>
      </c>
    </row>
    <row r="1403" spans="1:21" x14ac:dyDescent="0.25">
      <c r="A1403" t="s">
        <v>1093</v>
      </c>
      <c r="B1403" s="1">
        <v>46071</v>
      </c>
      <c r="C1403" s="1">
        <v>46073</v>
      </c>
      <c r="D1403" t="s">
        <v>525</v>
      </c>
      <c r="E1403" t="s">
        <v>130</v>
      </c>
      <c r="F1403" t="s">
        <v>39</v>
      </c>
      <c r="G1403" t="s">
        <v>40</v>
      </c>
      <c r="H1403" t="s">
        <v>51</v>
      </c>
      <c r="I1403" s="2">
        <v>1</v>
      </c>
      <c r="J1403" s="3">
        <v>180</v>
      </c>
      <c r="K1403" s="4">
        <v>0</v>
      </c>
      <c r="L1403" s="3">
        <v>180</v>
      </c>
      <c r="M1403" t="b">
        <v>1</v>
      </c>
      <c r="N1403" s="2">
        <f>YEAR(B1403)</f>
        <v>2026</v>
      </c>
      <c r="O1403" t="str">
        <f>INDEX(Agences!$C:$C,MATCH(F1403,Agences!$A:$A,0))</f>
        <v>Sud-Ouest</v>
      </c>
      <c r="P1403" t="str">
        <f>INDEX(Produits!$C:$C,MATCH(H1403,Produits!$A:$A,0))</f>
        <v>Maintenance</v>
      </c>
      <c r="Q1403" s="3">
        <f>I1403*INDEX(Produits!$E:$E,MATCH(H1403,Produits!$A:$A,0))</f>
        <v>82.8</v>
      </c>
      <c r="R1403" s="3">
        <f>L1403-Q1403</f>
        <v>97.2</v>
      </c>
      <c r="S1403" s="2">
        <f>NETWORKDAYS(B1403,C1403)-1</f>
        <v>2</v>
      </c>
      <c r="T1403" s="1">
        <f>WORKDAY(B1403,5)</f>
        <v>46078</v>
      </c>
      <c r="U1403" t="b">
        <f>C1403&gt;T1403</f>
        <v>0</v>
      </c>
    </row>
    <row r="1404" spans="1:21" x14ac:dyDescent="0.25">
      <c r="A1404" t="s">
        <v>1093</v>
      </c>
      <c r="B1404" s="1">
        <v>46071</v>
      </c>
      <c r="C1404" s="1">
        <v>46073</v>
      </c>
      <c r="D1404" t="s">
        <v>525</v>
      </c>
      <c r="E1404" t="s">
        <v>130</v>
      </c>
      <c r="F1404" t="s">
        <v>39</v>
      </c>
      <c r="G1404" t="s">
        <v>40</v>
      </c>
      <c r="H1404" t="s">
        <v>83</v>
      </c>
      <c r="I1404" s="2">
        <v>3</v>
      </c>
      <c r="J1404" s="3">
        <v>49</v>
      </c>
      <c r="K1404" s="4">
        <v>0</v>
      </c>
      <c r="L1404" s="3">
        <v>147</v>
      </c>
      <c r="M1404" t="b">
        <v>1</v>
      </c>
      <c r="N1404" s="2">
        <f>YEAR(B1404)</f>
        <v>2026</v>
      </c>
      <c r="O1404" t="str">
        <f>INDEX(Agences!$C:$C,MATCH(F1404,Agences!$A:$A,0))</f>
        <v>Sud-Ouest</v>
      </c>
      <c r="P1404" t="str">
        <f>INDEX(Produits!$C:$C,MATCH(H1404,Produits!$A:$A,0))</f>
        <v>Mobilier</v>
      </c>
      <c r="Q1404" s="3">
        <f>I1404*INDEX(Produits!$E:$E,MATCH(H1404,Produits!$A:$A,0))</f>
        <v>85.26</v>
      </c>
      <c r="R1404" s="3">
        <f>L1404-Q1404</f>
        <v>61.739999999999995</v>
      </c>
      <c r="S1404" s="2">
        <f>NETWORKDAYS(B1404,C1404)-1</f>
        <v>2</v>
      </c>
      <c r="T1404" s="1">
        <f>WORKDAY(B1404,5)</f>
        <v>46078</v>
      </c>
      <c r="U1404" t="b">
        <f>C1404&gt;T1404</f>
        <v>0</v>
      </c>
    </row>
    <row r="1405" spans="1:21" x14ac:dyDescent="0.25">
      <c r="A1405" t="s">
        <v>1093</v>
      </c>
      <c r="B1405" s="1">
        <v>46071</v>
      </c>
      <c r="C1405" s="1">
        <v>46073</v>
      </c>
      <c r="D1405" t="s">
        <v>525</v>
      </c>
      <c r="E1405" t="s">
        <v>130</v>
      </c>
      <c r="F1405" t="s">
        <v>39</v>
      </c>
      <c r="G1405" t="s">
        <v>40</v>
      </c>
      <c r="H1405" t="s">
        <v>127</v>
      </c>
      <c r="I1405" s="2">
        <v>1</v>
      </c>
      <c r="J1405" s="3">
        <v>649</v>
      </c>
      <c r="K1405" s="4">
        <v>0</v>
      </c>
      <c r="L1405" s="3">
        <v>649</v>
      </c>
      <c r="M1405" t="b">
        <v>1</v>
      </c>
      <c r="N1405" s="2">
        <f>YEAR(B1405)</f>
        <v>2026</v>
      </c>
      <c r="O1405" t="str">
        <f>INDEX(Agences!$C:$C,MATCH(F1405,Agences!$A:$A,0))</f>
        <v>Sud-Ouest</v>
      </c>
      <c r="P1405" t="str">
        <f>INDEX(Produits!$C:$C,MATCH(H1405,Produits!$A:$A,0))</f>
        <v>Informatique</v>
      </c>
      <c r="Q1405" s="3">
        <f>I1405*INDEX(Produits!$E:$E,MATCH(H1405,Produits!$A:$A,0))</f>
        <v>480.26</v>
      </c>
      <c r="R1405" s="3">
        <f>L1405-Q1405</f>
        <v>168.74</v>
      </c>
      <c r="S1405" s="2">
        <f>NETWORKDAYS(B1405,C1405)-1</f>
        <v>2</v>
      </c>
      <c r="T1405" s="1">
        <f>WORKDAY(B1405,5)</f>
        <v>46078</v>
      </c>
      <c r="U1405" t="b">
        <f>C1405&gt;T1405</f>
        <v>0</v>
      </c>
    </row>
    <row r="1406" spans="1:21" x14ac:dyDescent="0.25">
      <c r="A1406" t="s">
        <v>1093</v>
      </c>
      <c r="B1406" s="1">
        <v>46071</v>
      </c>
      <c r="C1406" s="1">
        <v>46073</v>
      </c>
      <c r="D1406" t="s">
        <v>525</v>
      </c>
      <c r="E1406" t="s">
        <v>130</v>
      </c>
      <c r="F1406" t="s">
        <v>39</v>
      </c>
      <c r="G1406" t="s">
        <v>40</v>
      </c>
      <c r="H1406" t="s">
        <v>49</v>
      </c>
      <c r="I1406" s="2">
        <v>1</v>
      </c>
      <c r="J1406" s="3">
        <v>120</v>
      </c>
      <c r="K1406" s="4">
        <v>0</v>
      </c>
      <c r="L1406" s="3">
        <v>120</v>
      </c>
      <c r="M1406" t="b">
        <v>1</v>
      </c>
      <c r="N1406" s="2">
        <f>YEAR(B1406)</f>
        <v>2026</v>
      </c>
      <c r="O1406" t="str">
        <f>INDEX(Agences!$C:$C,MATCH(F1406,Agences!$A:$A,0))</f>
        <v>Sud-Ouest</v>
      </c>
      <c r="P1406" t="str">
        <f>INDEX(Produits!$C:$C,MATCH(H1406,Produits!$A:$A,0))</f>
        <v>Maintenance</v>
      </c>
      <c r="Q1406" s="3">
        <f>I1406*INDEX(Produits!$E:$E,MATCH(H1406,Produits!$A:$A,0))</f>
        <v>55.2</v>
      </c>
      <c r="R1406" s="3">
        <f>L1406-Q1406</f>
        <v>64.8</v>
      </c>
      <c r="S1406" s="2">
        <f>NETWORKDAYS(B1406,C1406)-1</f>
        <v>2</v>
      </c>
      <c r="T1406" s="1">
        <f>WORKDAY(B1406,5)</f>
        <v>46078</v>
      </c>
      <c r="U1406" t="b">
        <f>C1406&gt;T1406</f>
        <v>0</v>
      </c>
    </row>
    <row r="1407" spans="1:21" x14ac:dyDescent="0.25">
      <c r="A1407" t="s">
        <v>1094</v>
      </c>
      <c r="B1407" s="1">
        <v>46071</v>
      </c>
      <c r="C1407" s="1">
        <v>46078</v>
      </c>
      <c r="D1407" t="s">
        <v>102</v>
      </c>
      <c r="E1407" t="s">
        <v>61</v>
      </c>
      <c r="F1407" t="s">
        <v>62</v>
      </c>
      <c r="G1407" t="s">
        <v>63</v>
      </c>
      <c r="H1407" t="s">
        <v>127</v>
      </c>
      <c r="I1407" s="2">
        <v>1</v>
      </c>
      <c r="J1407" s="3">
        <v>649</v>
      </c>
      <c r="K1407" s="4">
        <v>0.02</v>
      </c>
      <c r="L1407" s="3">
        <v>636.02</v>
      </c>
      <c r="M1407" t="b">
        <v>1</v>
      </c>
      <c r="N1407" s="2">
        <f>YEAR(B1407)</f>
        <v>2026</v>
      </c>
      <c r="O1407" t="str">
        <f>INDEX(Agences!$C:$C,MATCH(F1407,Agences!$A:$A,0))</f>
        <v>Méditerranée</v>
      </c>
      <c r="P1407" t="str">
        <f>INDEX(Produits!$C:$C,MATCH(H1407,Produits!$A:$A,0))</f>
        <v>Informatique</v>
      </c>
      <c r="Q1407" s="3">
        <f>I1407*INDEX(Produits!$E:$E,MATCH(H1407,Produits!$A:$A,0))</f>
        <v>480.26</v>
      </c>
      <c r="R1407" s="3">
        <f>L1407-Q1407</f>
        <v>155.76</v>
      </c>
      <c r="S1407" s="2">
        <f>NETWORKDAYS(B1407,C1407)-1</f>
        <v>5</v>
      </c>
      <c r="T1407" s="1">
        <f>WORKDAY(B1407,5)</f>
        <v>46078</v>
      </c>
      <c r="U1407" t="b">
        <f>C1407&gt;T1407</f>
        <v>0</v>
      </c>
    </row>
    <row r="1408" spans="1:21" x14ac:dyDescent="0.25">
      <c r="A1408" t="s">
        <v>1094</v>
      </c>
      <c r="B1408" s="1">
        <v>46071</v>
      </c>
      <c r="C1408" s="1">
        <v>46078</v>
      </c>
      <c r="D1408" t="s">
        <v>102</v>
      </c>
      <c r="E1408" t="s">
        <v>61</v>
      </c>
      <c r="F1408" t="s">
        <v>62</v>
      </c>
      <c r="G1408" t="s">
        <v>63</v>
      </c>
      <c r="H1408" t="s">
        <v>42</v>
      </c>
      <c r="I1408" s="2">
        <v>1</v>
      </c>
      <c r="J1408" s="3">
        <v>55</v>
      </c>
      <c r="K1408" s="4">
        <v>0</v>
      </c>
      <c r="L1408" s="3">
        <v>55</v>
      </c>
      <c r="M1408" t="b">
        <v>1</v>
      </c>
      <c r="N1408" s="2">
        <f>YEAR(B1408)</f>
        <v>2026</v>
      </c>
      <c r="O1408" t="str">
        <f>INDEX(Agences!$C:$C,MATCH(F1408,Agences!$A:$A,0))</f>
        <v>Méditerranée</v>
      </c>
      <c r="P1408" t="str">
        <f>INDEX(Produits!$C:$C,MATCH(H1408,Produits!$A:$A,0))</f>
        <v>Maintenance</v>
      </c>
      <c r="Q1408" s="3">
        <f>I1408*INDEX(Produits!$E:$E,MATCH(H1408,Produits!$A:$A,0))</f>
        <v>24.75</v>
      </c>
      <c r="R1408" s="3">
        <f>L1408-Q1408</f>
        <v>30.25</v>
      </c>
      <c r="S1408" s="2">
        <f>NETWORKDAYS(B1408,C1408)-1</f>
        <v>5</v>
      </c>
      <c r="T1408" s="1">
        <f>WORKDAY(B1408,5)</f>
        <v>46078</v>
      </c>
      <c r="U1408" t="b">
        <f>C1408&gt;T1408</f>
        <v>0</v>
      </c>
    </row>
    <row r="1409" spans="1:21" x14ac:dyDescent="0.25">
      <c r="A1409" t="s">
        <v>1095</v>
      </c>
      <c r="B1409" s="1">
        <v>46071</v>
      </c>
      <c r="C1409" s="1">
        <v>46073</v>
      </c>
      <c r="D1409" t="s">
        <v>1096</v>
      </c>
      <c r="E1409" t="s">
        <v>384</v>
      </c>
      <c r="F1409" t="s">
        <v>46</v>
      </c>
      <c r="G1409" t="s">
        <v>111</v>
      </c>
      <c r="H1409" t="s">
        <v>123</v>
      </c>
      <c r="I1409" s="2">
        <v>5</v>
      </c>
      <c r="J1409" s="3">
        <v>39.9</v>
      </c>
      <c r="K1409" s="4">
        <v>0.02</v>
      </c>
      <c r="L1409" s="3">
        <v>195.51</v>
      </c>
      <c r="M1409" t="b">
        <v>1</v>
      </c>
      <c r="N1409" s="2">
        <f>YEAR(B1409)</f>
        <v>2026</v>
      </c>
      <c r="O1409" t="str">
        <f>INDEX(Agences!$C:$C,MATCH(F1409,Agences!$A:$A,0))</f>
        <v>Est</v>
      </c>
      <c r="P1409" t="str">
        <f>INDEX(Produits!$C:$C,MATCH(H1409,Produits!$A:$A,0))</f>
        <v>Fournitures</v>
      </c>
      <c r="Q1409" s="3">
        <f>I1409*INDEX(Produits!$E:$E,MATCH(H1409,Produits!$A:$A,0))</f>
        <v>111.7</v>
      </c>
      <c r="R1409" s="3">
        <f>L1409-Q1409</f>
        <v>83.80999999999999</v>
      </c>
      <c r="S1409" s="2">
        <f>NETWORKDAYS(B1409,C1409)-1</f>
        <v>2</v>
      </c>
      <c r="T1409" s="1">
        <f>WORKDAY(B1409,5)</f>
        <v>46078</v>
      </c>
      <c r="U1409" t="b">
        <f>C1409&gt;T1409</f>
        <v>0</v>
      </c>
    </row>
    <row r="1410" spans="1:21" x14ac:dyDescent="0.25">
      <c r="A1410" t="s">
        <v>1097</v>
      </c>
      <c r="B1410" s="1">
        <v>46070</v>
      </c>
      <c r="C1410" s="1">
        <v>46072</v>
      </c>
      <c r="D1410" t="s">
        <v>1098</v>
      </c>
      <c r="E1410" t="s">
        <v>122</v>
      </c>
      <c r="F1410" t="s">
        <v>24</v>
      </c>
      <c r="G1410" t="s">
        <v>199</v>
      </c>
      <c r="H1410" t="s">
        <v>33</v>
      </c>
      <c r="I1410" s="2">
        <v>1</v>
      </c>
      <c r="J1410" s="3">
        <v>219</v>
      </c>
      <c r="K1410" s="4">
        <v>0</v>
      </c>
      <c r="L1410" s="3">
        <v>219</v>
      </c>
      <c r="M1410" t="b">
        <v>1</v>
      </c>
      <c r="N1410" s="2">
        <f>YEAR(B1410)</f>
        <v>2026</v>
      </c>
      <c r="O1410" t="str">
        <f>INDEX(Agences!$C:$C,MATCH(F1410,Agences!$A:$A,0))</f>
        <v>Nord</v>
      </c>
      <c r="P1410" t="str">
        <f>INDEX(Produits!$C:$C,MATCH(H1410,Produits!$A:$A,0))</f>
        <v>Informatique</v>
      </c>
      <c r="Q1410" s="3">
        <f>I1410*INDEX(Produits!$E:$E,MATCH(H1410,Produits!$A:$A,0))</f>
        <v>179.58</v>
      </c>
      <c r="R1410" s="3">
        <f>L1410-Q1410</f>
        <v>39.41999999999999</v>
      </c>
      <c r="S1410" s="2">
        <f>NETWORKDAYS(B1410,C1410)-1</f>
        <v>2</v>
      </c>
      <c r="T1410" s="1">
        <f>WORKDAY(B1410,5)</f>
        <v>46077</v>
      </c>
      <c r="U1410" t="b">
        <f>C1410&gt;T1410</f>
        <v>0</v>
      </c>
    </row>
    <row r="1411" spans="1:21" x14ac:dyDescent="0.25">
      <c r="A1411" t="s">
        <v>1097</v>
      </c>
      <c r="B1411" s="1">
        <v>46070</v>
      </c>
      <c r="C1411" s="1">
        <v>46072</v>
      </c>
      <c r="D1411" t="s">
        <v>1098</v>
      </c>
      <c r="E1411" t="s">
        <v>122</v>
      </c>
      <c r="F1411" t="s">
        <v>24</v>
      </c>
      <c r="G1411" t="s">
        <v>199</v>
      </c>
      <c r="H1411" t="s">
        <v>50</v>
      </c>
      <c r="I1411" s="2">
        <v>1</v>
      </c>
      <c r="J1411" s="3">
        <v>69</v>
      </c>
      <c r="K1411" s="4">
        <v>0</v>
      </c>
      <c r="L1411" s="3">
        <v>69</v>
      </c>
      <c r="M1411" t="b">
        <v>1</v>
      </c>
      <c r="N1411" s="2">
        <f>YEAR(B1411)</f>
        <v>2026</v>
      </c>
      <c r="O1411" t="str">
        <f>INDEX(Agences!$C:$C,MATCH(F1411,Agences!$A:$A,0))</f>
        <v>Nord</v>
      </c>
      <c r="P1411" t="str">
        <f>INDEX(Produits!$C:$C,MATCH(H1411,Produits!$A:$A,0))</f>
        <v>Informatique</v>
      </c>
      <c r="Q1411" s="3">
        <f>I1411*INDEX(Produits!$E:$E,MATCH(H1411,Produits!$A:$A,0))</f>
        <v>54.51</v>
      </c>
      <c r="R1411" s="3">
        <f>L1411-Q1411</f>
        <v>14.490000000000002</v>
      </c>
      <c r="S1411" s="2">
        <f>NETWORKDAYS(B1411,C1411)-1</f>
        <v>2</v>
      </c>
      <c r="T1411" s="1">
        <f>WORKDAY(B1411,5)</f>
        <v>46077</v>
      </c>
      <c r="U1411" t="b">
        <f>C1411&gt;T1411</f>
        <v>0</v>
      </c>
    </row>
    <row r="1412" spans="1:21" x14ac:dyDescent="0.25">
      <c r="A1412" t="s">
        <v>1099</v>
      </c>
      <c r="B1412" s="1">
        <v>46070</v>
      </c>
      <c r="C1412" s="1">
        <v>46076</v>
      </c>
      <c r="D1412" t="s">
        <v>565</v>
      </c>
      <c r="E1412" t="s">
        <v>122</v>
      </c>
      <c r="F1412" t="s">
        <v>24</v>
      </c>
      <c r="G1412" t="s">
        <v>25</v>
      </c>
      <c r="H1412" t="s">
        <v>107</v>
      </c>
      <c r="I1412" s="2">
        <v>2</v>
      </c>
      <c r="J1412" s="3">
        <v>99</v>
      </c>
      <c r="K1412" s="4">
        <v>0.05</v>
      </c>
      <c r="L1412" s="3">
        <v>188.1</v>
      </c>
      <c r="M1412" t="b">
        <v>1</v>
      </c>
      <c r="N1412" s="2">
        <f>YEAR(B1412)</f>
        <v>2026</v>
      </c>
      <c r="O1412" t="str">
        <f>INDEX(Agences!$C:$C,MATCH(F1412,Agences!$A:$A,0))</f>
        <v>Nord</v>
      </c>
      <c r="P1412" t="str">
        <f>INDEX(Produits!$C:$C,MATCH(H1412,Produits!$A:$A,0))</f>
        <v>Informatique</v>
      </c>
      <c r="Q1412" s="3">
        <f>I1412*INDEX(Produits!$E:$E,MATCH(H1412,Produits!$A:$A,0))</f>
        <v>150.48</v>
      </c>
      <c r="R1412" s="3">
        <f>L1412-Q1412</f>
        <v>37.620000000000005</v>
      </c>
      <c r="S1412" s="2">
        <f>NETWORKDAYS(B1412,C1412)-1</f>
        <v>4</v>
      </c>
      <c r="T1412" s="1">
        <f>WORKDAY(B1412,5)</f>
        <v>46077</v>
      </c>
      <c r="U1412" t="b">
        <f>C1412&gt;T1412</f>
        <v>0</v>
      </c>
    </row>
    <row r="1413" spans="1:21" x14ac:dyDescent="0.25">
      <c r="A1413" t="s">
        <v>1100</v>
      </c>
      <c r="B1413" s="1">
        <v>46070</v>
      </c>
      <c r="C1413" s="1">
        <v>46076</v>
      </c>
      <c r="D1413" t="s">
        <v>1101</v>
      </c>
      <c r="E1413" t="s">
        <v>75</v>
      </c>
      <c r="F1413" t="s">
        <v>76</v>
      </c>
      <c r="G1413" t="s">
        <v>176</v>
      </c>
      <c r="H1413" t="s">
        <v>233</v>
      </c>
      <c r="I1413" s="2">
        <v>10</v>
      </c>
      <c r="J1413" s="3">
        <v>27.5</v>
      </c>
      <c r="K1413" s="4">
        <v>0.02</v>
      </c>
      <c r="L1413" s="3">
        <v>269.5</v>
      </c>
      <c r="M1413" t="b">
        <v>1</v>
      </c>
      <c r="N1413" s="2">
        <f>YEAR(B1413)</f>
        <v>2026</v>
      </c>
      <c r="O1413" t="str">
        <f>INDEX(Agences!$C:$C,MATCH(F1413,Agences!$A:$A,0))</f>
        <v>Île-de-France</v>
      </c>
      <c r="P1413" t="str">
        <f>INDEX(Produits!$C:$C,MATCH(H1413,Produits!$A:$A,0))</f>
        <v>Fournitures</v>
      </c>
      <c r="Q1413" s="3">
        <f>I1413*INDEX(Produits!$E:$E,MATCH(H1413,Produits!$A:$A,0))</f>
        <v>154</v>
      </c>
      <c r="R1413" s="3">
        <f>L1413-Q1413</f>
        <v>115.5</v>
      </c>
      <c r="S1413" s="2">
        <f>NETWORKDAYS(B1413,C1413)-1</f>
        <v>4</v>
      </c>
      <c r="T1413" s="1">
        <f>WORKDAY(B1413,5)</f>
        <v>46077</v>
      </c>
      <c r="U1413" t="b">
        <f>C1413&gt;T1413</f>
        <v>0</v>
      </c>
    </row>
    <row r="1414" spans="1:21" x14ac:dyDescent="0.25">
      <c r="A1414" t="s">
        <v>1100</v>
      </c>
      <c r="B1414" s="1">
        <v>46070</v>
      </c>
      <c r="C1414" s="1">
        <v>46076</v>
      </c>
      <c r="D1414" t="s">
        <v>1101</v>
      </c>
      <c r="E1414" t="s">
        <v>75</v>
      </c>
      <c r="F1414" t="s">
        <v>76</v>
      </c>
      <c r="G1414" t="s">
        <v>176</v>
      </c>
      <c r="H1414" t="s">
        <v>162</v>
      </c>
      <c r="I1414" s="2">
        <v>2</v>
      </c>
      <c r="J1414" s="3">
        <v>289</v>
      </c>
      <c r="K1414" s="4">
        <v>0.08</v>
      </c>
      <c r="L1414" s="3">
        <v>531.76</v>
      </c>
      <c r="M1414" t="b">
        <v>1</v>
      </c>
      <c r="N1414" s="2">
        <f>YEAR(B1414)</f>
        <v>2026</v>
      </c>
      <c r="O1414" t="str">
        <f>INDEX(Agences!$C:$C,MATCH(F1414,Agences!$A:$A,0))</f>
        <v>Île-de-France</v>
      </c>
      <c r="P1414" t="str">
        <f>INDEX(Produits!$C:$C,MATCH(H1414,Produits!$A:$A,0))</f>
        <v>Mobilier</v>
      </c>
      <c r="Q1414" s="3">
        <f>I1414*INDEX(Produits!$E:$E,MATCH(H1414,Produits!$A:$A,0))</f>
        <v>387.26</v>
      </c>
      <c r="R1414" s="3">
        <f>L1414-Q1414</f>
        <v>144.5</v>
      </c>
      <c r="S1414" s="2">
        <f>NETWORKDAYS(B1414,C1414)-1</f>
        <v>4</v>
      </c>
      <c r="T1414" s="1">
        <f>WORKDAY(B1414,5)</f>
        <v>46077</v>
      </c>
      <c r="U1414" t="b">
        <f>C1414&gt;T1414</f>
        <v>0</v>
      </c>
    </row>
    <row r="1415" spans="1:21" x14ac:dyDescent="0.25">
      <c r="A1415" t="s">
        <v>1102</v>
      </c>
      <c r="B1415" s="1">
        <v>46070</v>
      </c>
      <c r="C1415" s="1">
        <v>46073</v>
      </c>
      <c r="D1415" t="s">
        <v>733</v>
      </c>
      <c r="E1415" t="s">
        <v>307</v>
      </c>
      <c r="F1415" t="s">
        <v>76</v>
      </c>
      <c r="G1415" t="s">
        <v>176</v>
      </c>
      <c r="H1415" t="s">
        <v>196</v>
      </c>
      <c r="I1415" s="2">
        <v>10</v>
      </c>
      <c r="J1415" s="3">
        <v>18.5</v>
      </c>
      <c r="K1415" s="4">
        <v>0.02</v>
      </c>
      <c r="L1415" s="3">
        <v>181.3</v>
      </c>
      <c r="M1415" t="b">
        <v>1</v>
      </c>
      <c r="N1415" s="2">
        <f>YEAR(B1415)</f>
        <v>2026</v>
      </c>
      <c r="O1415" t="str">
        <f>INDEX(Agences!$C:$C,MATCH(F1415,Agences!$A:$A,0))</f>
        <v>Île-de-France</v>
      </c>
      <c r="P1415" t="str">
        <f>INDEX(Produits!$C:$C,MATCH(H1415,Produits!$A:$A,0))</f>
        <v>Fournitures</v>
      </c>
      <c r="Q1415" s="3">
        <f>I1415*INDEX(Produits!$E:$E,MATCH(H1415,Produits!$A:$A,0))</f>
        <v>94.39999999999999</v>
      </c>
      <c r="R1415" s="3">
        <f>L1415-Q1415</f>
        <v>86.90000000000002</v>
      </c>
      <c r="S1415" s="2">
        <f>NETWORKDAYS(B1415,C1415)-1</f>
        <v>3</v>
      </c>
      <c r="T1415" s="1">
        <f>WORKDAY(B1415,5)</f>
        <v>46077</v>
      </c>
      <c r="U1415" t="b">
        <f>C1415&gt;T1415</f>
        <v>0</v>
      </c>
    </row>
    <row r="1416" spans="1:21" x14ac:dyDescent="0.25">
      <c r="A1416" t="s">
        <v>1102</v>
      </c>
      <c r="B1416" s="1">
        <v>46070</v>
      </c>
      <c r="C1416" s="1">
        <v>46073</v>
      </c>
      <c r="D1416" t="s">
        <v>733</v>
      </c>
      <c r="E1416" t="s">
        <v>307</v>
      </c>
      <c r="F1416" t="s">
        <v>76</v>
      </c>
      <c r="G1416" t="s">
        <v>176</v>
      </c>
      <c r="H1416" t="s">
        <v>83</v>
      </c>
      <c r="I1416" s="2">
        <v>1</v>
      </c>
      <c r="J1416" s="3">
        <v>49</v>
      </c>
      <c r="K1416" s="4">
        <v>0.08</v>
      </c>
      <c r="L1416" s="3">
        <v>45.08</v>
      </c>
      <c r="M1416" t="b">
        <v>1</v>
      </c>
      <c r="N1416" s="2">
        <f>YEAR(B1416)</f>
        <v>2026</v>
      </c>
      <c r="O1416" t="str">
        <f>INDEX(Agences!$C:$C,MATCH(F1416,Agences!$A:$A,0))</f>
        <v>Île-de-France</v>
      </c>
      <c r="P1416" t="str">
        <f>INDEX(Produits!$C:$C,MATCH(H1416,Produits!$A:$A,0))</f>
        <v>Mobilier</v>
      </c>
      <c r="Q1416" s="3">
        <f>I1416*INDEX(Produits!$E:$E,MATCH(H1416,Produits!$A:$A,0))</f>
        <v>28.42</v>
      </c>
      <c r="R1416" s="3">
        <f>L1416-Q1416</f>
        <v>16.659999999999997</v>
      </c>
      <c r="S1416" s="2">
        <f>NETWORKDAYS(B1416,C1416)-1</f>
        <v>3</v>
      </c>
      <c r="T1416" s="1">
        <f>WORKDAY(B1416,5)</f>
        <v>46077</v>
      </c>
      <c r="U1416" t="b">
        <f>C1416&gt;T1416</f>
        <v>0</v>
      </c>
    </row>
    <row r="1417" spans="1:21" x14ac:dyDescent="0.25">
      <c r="A1417" t="s">
        <v>1103</v>
      </c>
      <c r="B1417" s="1">
        <v>46070</v>
      </c>
      <c r="C1417" s="1">
        <v>46072</v>
      </c>
      <c r="D1417" t="s">
        <v>662</v>
      </c>
      <c r="E1417" t="s">
        <v>75</v>
      </c>
      <c r="F1417" t="s">
        <v>76</v>
      </c>
      <c r="G1417" t="s">
        <v>176</v>
      </c>
      <c r="H1417" t="s">
        <v>42</v>
      </c>
      <c r="I1417" s="2">
        <v>2</v>
      </c>
      <c r="J1417" s="3">
        <v>55</v>
      </c>
      <c r="K1417" s="4">
        <v>0.05</v>
      </c>
      <c r="L1417" s="3">
        <v>104.5</v>
      </c>
      <c r="M1417" t="b">
        <v>1</v>
      </c>
      <c r="N1417" s="2">
        <f>YEAR(B1417)</f>
        <v>2026</v>
      </c>
      <c r="O1417" t="str">
        <f>INDEX(Agences!$C:$C,MATCH(F1417,Agences!$A:$A,0))</f>
        <v>Île-de-France</v>
      </c>
      <c r="P1417" t="str">
        <f>INDEX(Produits!$C:$C,MATCH(H1417,Produits!$A:$A,0))</f>
        <v>Maintenance</v>
      </c>
      <c r="Q1417" s="3">
        <f>I1417*INDEX(Produits!$E:$E,MATCH(H1417,Produits!$A:$A,0))</f>
        <v>49.5</v>
      </c>
      <c r="R1417" s="3">
        <f>L1417-Q1417</f>
        <v>55</v>
      </c>
      <c r="S1417" s="2">
        <f>NETWORKDAYS(B1417,C1417)-1</f>
        <v>2</v>
      </c>
      <c r="T1417" s="1">
        <f>WORKDAY(B1417,5)</f>
        <v>46077</v>
      </c>
      <c r="U1417" t="b">
        <f>C1417&gt;T1417</f>
        <v>0</v>
      </c>
    </row>
    <row r="1418" spans="1:21" x14ac:dyDescent="0.25">
      <c r="A1418" t="s">
        <v>1104</v>
      </c>
      <c r="B1418" s="1">
        <v>46070</v>
      </c>
      <c r="C1418" s="1">
        <v>46073</v>
      </c>
      <c r="D1418" t="s">
        <v>1105</v>
      </c>
      <c r="E1418" t="s">
        <v>339</v>
      </c>
      <c r="F1418" t="s">
        <v>31</v>
      </c>
      <c r="G1418" t="s">
        <v>375</v>
      </c>
      <c r="H1418" t="s">
        <v>196</v>
      </c>
      <c r="I1418" s="2">
        <v>15</v>
      </c>
      <c r="J1418" s="3">
        <v>18.5</v>
      </c>
      <c r="K1418" s="4">
        <v>0</v>
      </c>
      <c r="L1418" s="3">
        <v>277.5</v>
      </c>
      <c r="M1418" t="b">
        <v>1</v>
      </c>
      <c r="N1418" s="2">
        <f>YEAR(B1418)</f>
        <v>2026</v>
      </c>
      <c r="O1418" t="str">
        <f>INDEX(Agences!$C:$C,MATCH(F1418,Agences!$A:$A,0))</f>
        <v>Ouest</v>
      </c>
      <c r="P1418" t="str">
        <f>INDEX(Produits!$C:$C,MATCH(H1418,Produits!$A:$A,0))</f>
        <v>Fournitures</v>
      </c>
      <c r="Q1418" s="3">
        <f>I1418*INDEX(Produits!$E:$E,MATCH(H1418,Produits!$A:$A,0))</f>
        <v>141.6</v>
      </c>
      <c r="R1418" s="3">
        <f>L1418-Q1418</f>
        <v>135.9</v>
      </c>
      <c r="S1418" s="2">
        <f>NETWORKDAYS(B1418,C1418)-1</f>
        <v>3</v>
      </c>
      <c r="T1418" s="1">
        <f>WORKDAY(B1418,5)</f>
        <v>46077</v>
      </c>
      <c r="U1418" t="b">
        <f>C1418&gt;T1418</f>
        <v>0</v>
      </c>
    </row>
    <row r="1419" spans="1:21" x14ac:dyDescent="0.25">
      <c r="A1419" t="s">
        <v>1104</v>
      </c>
      <c r="B1419" s="1">
        <v>46070</v>
      </c>
      <c r="C1419" s="1">
        <v>46073</v>
      </c>
      <c r="D1419" t="s">
        <v>1105</v>
      </c>
      <c r="E1419" t="s">
        <v>339</v>
      </c>
      <c r="F1419" t="s">
        <v>31</v>
      </c>
      <c r="G1419" t="s">
        <v>375</v>
      </c>
      <c r="H1419" t="s">
        <v>41</v>
      </c>
      <c r="I1419" s="2">
        <v>1</v>
      </c>
      <c r="J1419" s="3">
        <v>790</v>
      </c>
      <c r="K1419" s="4">
        <v>0</v>
      </c>
      <c r="L1419" s="3">
        <v>790</v>
      </c>
      <c r="M1419" t="b">
        <v>1</v>
      </c>
      <c r="N1419" s="2">
        <f>YEAR(B1419)</f>
        <v>2026</v>
      </c>
      <c r="O1419" t="str">
        <f>INDEX(Agences!$C:$C,MATCH(F1419,Agences!$A:$A,0))</f>
        <v>Ouest</v>
      </c>
      <c r="P1419" t="str">
        <f>INDEX(Produits!$C:$C,MATCH(H1419,Produits!$A:$A,0))</f>
        <v>Informatique</v>
      </c>
      <c r="Q1419" s="3">
        <f>I1419*INDEX(Produits!$E:$E,MATCH(H1419,Produits!$A:$A,0))</f>
        <v>576.7</v>
      </c>
      <c r="R1419" s="3">
        <f>L1419-Q1419</f>
        <v>213.29999999999995</v>
      </c>
      <c r="S1419" s="2">
        <f>NETWORKDAYS(B1419,C1419)-1</f>
        <v>3</v>
      </c>
      <c r="T1419" s="1">
        <f>WORKDAY(B1419,5)</f>
        <v>46077</v>
      </c>
      <c r="U1419" t="b">
        <f>C1419&gt;T1419</f>
        <v>0</v>
      </c>
    </row>
    <row r="1420" spans="1:21" x14ac:dyDescent="0.25">
      <c r="A1420" t="s">
        <v>1104</v>
      </c>
      <c r="B1420" s="1">
        <v>46070</v>
      </c>
      <c r="C1420" s="1">
        <v>46073</v>
      </c>
      <c r="D1420" t="s">
        <v>1105</v>
      </c>
      <c r="E1420" t="s">
        <v>339</v>
      </c>
      <c r="F1420" t="s">
        <v>31</v>
      </c>
      <c r="G1420" t="s">
        <v>375</v>
      </c>
      <c r="H1420" t="s">
        <v>103</v>
      </c>
      <c r="I1420" s="2">
        <v>2</v>
      </c>
      <c r="J1420" s="3">
        <v>245</v>
      </c>
      <c r="K1420" s="4">
        <v>0.02</v>
      </c>
      <c r="L1420" s="3">
        <v>480.2</v>
      </c>
      <c r="M1420" t="b">
        <v>1</v>
      </c>
      <c r="N1420" s="2">
        <f>YEAR(B1420)</f>
        <v>2026</v>
      </c>
      <c r="O1420" t="str">
        <f>INDEX(Agences!$C:$C,MATCH(F1420,Agences!$A:$A,0))</f>
        <v>Ouest</v>
      </c>
      <c r="P1420" t="str">
        <f>INDEX(Produits!$C:$C,MATCH(H1420,Produits!$A:$A,0))</f>
        <v>Mobilier</v>
      </c>
      <c r="Q1420" s="3">
        <f>I1420*INDEX(Produits!$E:$E,MATCH(H1420,Produits!$A:$A,0))</f>
        <v>328.3</v>
      </c>
      <c r="R1420" s="3">
        <f>L1420-Q1420</f>
        <v>151.89999999999998</v>
      </c>
      <c r="S1420" s="2">
        <f>NETWORKDAYS(B1420,C1420)-1</f>
        <v>3</v>
      </c>
      <c r="T1420" s="1">
        <f>WORKDAY(B1420,5)</f>
        <v>46077</v>
      </c>
      <c r="U1420" t="b">
        <f>C1420&gt;T1420</f>
        <v>0</v>
      </c>
    </row>
    <row r="1421" spans="1:21" x14ac:dyDescent="0.25">
      <c r="A1421" t="s">
        <v>1106</v>
      </c>
      <c r="B1421" s="1">
        <v>46070</v>
      </c>
      <c r="C1421" s="1">
        <v>46071</v>
      </c>
      <c r="D1421" t="s">
        <v>1107</v>
      </c>
      <c r="E1421" t="s">
        <v>45</v>
      </c>
      <c r="F1421" t="s">
        <v>46</v>
      </c>
      <c r="G1421" t="s">
        <v>158</v>
      </c>
      <c r="H1421" t="s">
        <v>79</v>
      </c>
      <c r="I1421" s="2">
        <v>10</v>
      </c>
      <c r="J1421" s="3">
        <v>14.9</v>
      </c>
      <c r="K1421" s="4">
        <v>0.1</v>
      </c>
      <c r="L1421" s="3">
        <v>134.1</v>
      </c>
      <c r="M1421" t="b">
        <v>1</v>
      </c>
      <c r="N1421" s="2">
        <f>YEAR(B1421)</f>
        <v>2026</v>
      </c>
      <c r="O1421" t="str">
        <f>INDEX(Agences!$C:$C,MATCH(F1421,Agences!$A:$A,0))</f>
        <v>Est</v>
      </c>
      <c r="P1421" t="str">
        <f>INDEX(Produits!$C:$C,MATCH(H1421,Produits!$A:$A,0))</f>
        <v>Fournitures</v>
      </c>
      <c r="Q1421" s="3">
        <f>I1421*INDEX(Produits!$E:$E,MATCH(H1421,Produits!$A:$A,0))</f>
        <v>80.5</v>
      </c>
      <c r="R1421" s="3">
        <f>L1421-Q1421</f>
        <v>53.599999999999994</v>
      </c>
      <c r="S1421" s="2">
        <f>NETWORKDAYS(B1421,C1421)-1</f>
        <v>1</v>
      </c>
      <c r="T1421" s="1">
        <f>WORKDAY(B1421,5)</f>
        <v>46077</v>
      </c>
      <c r="U1421" t="b">
        <f>C1421&gt;T1421</f>
        <v>0</v>
      </c>
    </row>
    <row r="1422" spans="1:21" x14ac:dyDescent="0.25">
      <c r="A1422" t="s">
        <v>1106</v>
      </c>
      <c r="B1422" s="1">
        <v>46070</v>
      </c>
      <c r="C1422" s="1">
        <v>46071</v>
      </c>
      <c r="D1422" t="s">
        <v>1107</v>
      </c>
      <c r="E1422" t="s">
        <v>45</v>
      </c>
      <c r="F1422" t="s">
        <v>46</v>
      </c>
      <c r="G1422" t="s">
        <v>158</v>
      </c>
      <c r="H1422" t="s">
        <v>107</v>
      </c>
      <c r="I1422" s="2">
        <v>3</v>
      </c>
      <c r="J1422" s="3">
        <v>99</v>
      </c>
      <c r="K1422" s="4">
        <v>0.05</v>
      </c>
      <c r="L1422" s="3">
        <v>282.15</v>
      </c>
      <c r="M1422" t="b">
        <v>1</v>
      </c>
      <c r="N1422" s="2">
        <f>YEAR(B1422)</f>
        <v>2026</v>
      </c>
      <c r="O1422" t="str">
        <f>INDEX(Agences!$C:$C,MATCH(F1422,Agences!$A:$A,0))</f>
        <v>Est</v>
      </c>
      <c r="P1422" t="str">
        <f>INDEX(Produits!$C:$C,MATCH(H1422,Produits!$A:$A,0))</f>
        <v>Informatique</v>
      </c>
      <c r="Q1422" s="3">
        <f>I1422*INDEX(Produits!$E:$E,MATCH(H1422,Produits!$A:$A,0))</f>
        <v>225.71999999999997</v>
      </c>
      <c r="R1422" s="3">
        <f>L1422-Q1422</f>
        <v>56.43000000000001</v>
      </c>
      <c r="S1422" s="2">
        <f>NETWORKDAYS(B1422,C1422)-1</f>
        <v>1</v>
      </c>
      <c r="T1422" s="1">
        <f>WORKDAY(B1422,5)</f>
        <v>46077</v>
      </c>
      <c r="U1422" t="b">
        <f>C1422&gt;T1422</f>
        <v>0</v>
      </c>
    </row>
    <row r="1423" spans="1:21" x14ac:dyDescent="0.25">
      <c r="A1423" t="s">
        <v>1106</v>
      </c>
      <c r="B1423" s="1">
        <v>46070</v>
      </c>
      <c r="C1423" s="1">
        <v>46071</v>
      </c>
      <c r="D1423" t="s">
        <v>1107</v>
      </c>
      <c r="E1423" t="s">
        <v>45</v>
      </c>
      <c r="F1423" t="s">
        <v>46</v>
      </c>
      <c r="G1423" t="s">
        <v>158</v>
      </c>
      <c r="H1423" t="s">
        <v>72</v>
      </c>
      <c r="I1423" s="2">
        <v>1</v>
      </c>
      <c r="J1423" s="3">
        <v>179</v>
      </c>
      <c r="K1423" s="4">
        <v>0.02</v>
      </c>
      <c r="L1423" s="3">
        <v>175.42</v>
      </c>
      <c r="M1423" t="b">
        <v>1</v>
      </c>
      <c r="N1423" s="2">
        <f>YEAR(B1423)</f>
        <v>2026</v>
      </c>
      <c r="O1423" t="str">
        <f>INDEX(Agences!$C:$C,MATCH(F1423,Agences!$A:$A,0))</f>
        <v>Est</v>
      </c>
      <c r="P1423" t="str">
        <f>INDEX(Produits!$C:$C,MATCH(H1423,Produits!$A:$A,0))</f>
        <v>Informatique</v>
      </c>
      <c r="Q1423" s="3">
        <f>I1423*INDEX(Produits!$E:$E,MATCH(H1423,Produits!$A:$A,0))</f>
        <v>146.78</v>
      </c>
      <c r="R1423" s="3">
        <f>L1423-Q1423</f>
        <v>28.639999999999986</v>
      </c>
      <c r="S1423" s="2">
        <f>NETWORKDAYS(B1423,C1423)-1</f>
        <v>1</v>
      </c>
      <c r="T1423" s="1">
        <f>WORKDAY(B1423,5)</f>
        <v>46077</v>
      </c>
      <c r="U1423" t="b">
        <f>C1423&gt;T1423</f>
        <v>0</v>
      </c>
    </row>
    <row r="1424" spans="1:21" x14ac:dyDescent="0.25">
      <c r="A1424" t="s">
        <v>1106</v>
      </c>
      <c r="B1424" s="1">
        <v>46070</v>
      </c>
      <c r="C1424" s="1">
        <v>46071</v>
      </c>
      <c r="D1424" t="s">
        <v>1107</v>
      </c>
      <c r="E1424" t="s">
        <v>45</v>
      </c>
      <c r="F1424" t="s">
        <v>46</v>
      </c>
      <c r="G1424" t="s">
        <v>158</v>
      </c>
      <c r="H1424" t="s">
        <v>34</v>
      </c>
      <c r="I1424" s="2">
        <v>2</v>
      </c>
      <c r="J1424" s="3">
        <v>340</v>
      </c>
      <c r="K1424" s="4">
        <v>0.1</v>
      </c>
      <c r="L1424" s="3">
        <v>612</v>
      </c>
      <c r="M1424" t="b">
        <v>1</v>
      </c>
      <c r="N1424" s="2">
        <f>YEAR(B1424)</f>
        <v>2026</v>
      </c>
      <c r="O1424" t="str">
        <f>INDEX(Agences!$C:$C,MATCH(F1424,Agences!$A:$A,0))</f>
        <v>Est</v>
      </c>
      <c r="P1424" t="str">
        <f>INDEX(Produits!$C:$C,MATCH(H1424,Produits!$A:$A,0))</f>
        <v>Informatique</v>
      </c>
      <c r="Q1424" s="3">
        <f>I1424*INDEX(Produits!$E:$E,MATCH(H1424,Produits!$A:$A,0))</f>
        <v>550.8</v>
      </c>
      <c r="R1424" s="3">
        <f>L1424-Q1424</f>
        <v>61.200000000000045</v>
      </c>
      <c r="S1424" s="2">
        <f>NETWORKDAYS(B1424,C1424)-1</f>
        <v>1</v>
      </c>
      <c r="T1424" s="1">
        <f>WORKDAY(B1424,5)</f>
        <v>46077</v>
      </c>
      <c r="U1424" t="b">
        <f>C1424&gt;T1424</f>
        <v>0</v>
      </c>
    </row>
    <row r="1425" spans="1:21" x14ac:dyDescent="0.25">
      <c r="A1425" t="s">
        <v>1106</v>
      </c>
      <c r="B1425" s="1">
        <v>46070</v>
      </c>
      <c r="C1425" s="1">
        <v>46071</v>
      </c>
      <c r="D1425" t="s">
        <v>1107</v>
      </c>
      <c r="E1425" t="s">
        <v>45</v>
      </c>
      <c r="F1425" t="s">
        <v>46</v>
      </c>
      <c r="G1425" t="s">
        <v>158</v>
      </c>
      <c r="H1425" t="s">
        <v>42</v>
      </c>
      <c r="I1425" s="2">
        <v>1</v>
      </c>
      <c r="J1425" s="3">
        <v>55</v>
      </c>
      <c r="K1425" s="4">
        <v>0</v>
      </c>
      <c r="L1425" s="3">
        <v>55</v>
      </c>
      <c r="M1425" t="b">
        <v>1</v>
      </c>
      <c r="N1425" s="2">
        <f>YEAR(B1425)</f>
        <v>2026</v>
      </c>
      <c r="O1425" t="str">
        <f>INDEX(Agences!$C:$C,MATCH(F1425,Agences!$A:$A,0))</f>
        <v>Est</v>
      </c>
      <c r="P1425" t="str">
        <f>INDEX(Produits!$C:$C,MATCH(H1425,Produits!$A:$A,0))</f>
        <v>Maintenance</v>
      </c>
      <c r="Q1425" s="3">
        <f>I1425*INDEX(Produits!$E:$E,MATCH(H1425,Produits!$A:$A,0))</f>
        <v>24.75</v>
      </c>
      <c r="R1425" s="3">
        <f>L1425-Q1425</f>
        <v>30.25</v>
      </c>
      <c r="S1425" s="2">
        <f>NETWORKDAYS(B1425,C1425)-1</f>
        <v>1</v>
      </c>
      <c r="T1425" s="1">
        <f>WORKDAY(B1425,5)</f>
        <v>46077</v>
      </c>
      <c r="U1425" t="b">
        <f>C1425&gt;T1425</f>
        <v>0</v>
      </c>
    </row>
    <row r="1426" spans="1:21" x14ac:dyDescent="0.25">
      <c r="A1426" t="s">
        <v>1108</v>
      </c>
      <c r="B1426" s="1">
        <v>46070</v>
      </c>
      <c r="C1426" s="1">
        <v>46073</v>
      </c>
      <c r="D1426" t="s">
        <v>1109</v>
      </c>
      <c r="E1426" t="s">
        <v>229</v>
      </c>
      <c r="F1426" t="s">
        <v>55</v>
      </c>
      <c r="G1426" t="s">
        <v>56</v>
      </c>
      <c r="H1426" t="s">
        <v>64</v>
      </c>
      <c r="I1426" s="2">
        <v>5</v>
      </c>
      <c r="J1426" s="3">
        <v>16.8</v>
      </c>
      <c r="K1426" s="4">
        <v>0</v>
      </c>
      <c r="L1426" s="3">
        <v>84</v>
      </c>
      <c r="M1426" t="b">
        <v>1</v>
      </c>
      <c r="N1426" s="2">
        <f>YEAR(B1426)</f>
        <v>2026</v>
      </c>
      <c r="O1426" t="str">
        <f>INDEX(Agences!$C:$C,MATCH(F1426,Agences!$A:$A,0))</f>
        <v>Est</v>
      </c>
      <c r="P1426" t="str">
        <f>INDEX(Produits!$C:$C,MATCH(H1426,Produits!$A:$A,0))</f>
        <v>Fournitures</v>
      </c>
      <c r="Q1426" s="3">
        <f>I1426*INDEX(Produits!$E:$E,MATCH(H1426,Produits!$A:$A,0))</f>
        <v>43.7</v>
      </c>
      <c r="R1426" s="3">
        <f>L1426-Q1426</f>
        <v>40.3</v>
      </c>
      <c r="S1426" s="2">
        <f>NETWORKDAYS(B1426,C1426)-1</f>
        <v>3</v>
      </c>
      <c r="T1426" s="1">
        <f>WORKDAY(B1426,5)</f>
        <v>46077</v>
      </c>
      <c r="U1426" t="b">
        <f>C1426&gt;T1426</f>
        <v>0</v>
      </c>
    </row>
    <row r="1427" spans="1:21" x14ac:dyDescent="0.25">
      <c r="A1427" t="s">
        <v>1108</v>
      </c>
      <c r="B1427" s="1">
        <v>46070</v>
      </c>
      <c r="C1427" s="1">
        <v>46073</v>
      </c>
      <c r="D1427" t="s">
        <v>1109</v>
      </c>
      <c r="E1427" t="s">
        <v>229</v>
      </c>
      <c r="F1427" t="s">
        <v>55</v>
      </c>
      <c r="G1427" t="s">
        <v>56</v>
      </c>
      <c r="H1427" t="s">
        <v>27</v>
      </c>
      <c r="I1427" s="2">
        <v>3</v>
      </c>
      <c r="J1427" s="3">
        <v>310</v>
      </c>
      <c r="K1427" s="4">
        <v>0.05</v>
      </c>
      <c r="L1427" s="3">
        <v>883.5</v>
      </c>
      <c r="M1427" t="b">
        <v>1</v>
      </c>
      <c r="N1427" s="2">
        <f>YEAR(B1427)</f>
        <v>2026</v>
      </c>
      <c r="O1427" t="str">
        <f>INDEX(Agences!$C:$C,MATCH(F1427,Agences!$A:$A,0))</f>
        <v>Est</v>
      </c>
      <c r="P1427" t="str">
        <f>INDEX(Produits!$C:$C,MATCH(H1427,Produits!$A:$A,0))</f>
        <v>Mobilier</v>
      </c>
      <c r="Q1427" s="3">
        <f>I1427*INDEX(Produits!$E:$E,MATCH(H1427,Produits!$A:$A,0))</f>
        <v>558</v>
      </c>
      <c r="R1427" s="3">
        <f>L1427-Q1427</f>
        <v>325.5</v>
      </c>
      <c r="S1427" s="2">
        <f>NETWORKDAYS(B1427,C1427)-1</f>
        <v>3</v>
      </c>
      <c r="T1427" s="1">
        <f>WORKDAY(B1427,5)</f>
        <v>46077</v>
      </c>
      <c r="U1427" t="b">
        <f>C1427&gt;T1427</f>
        <v>0</v>
      </c>
    </row>
    <row r="1428" spans="1:21" x14ac:dyDescent="0.25">
      <c r="A1428" t="s">
        <v>1108</v>
      </c>
      <c r="B1428" s="1">
        <v>46070</v>
      </c>
      <c r="C1428" s="1">
        <v>46073</v>
      </c>
      <c r="D1428" t="s">
        <v>1109</v>
      </c>
      <c r="E1428" t="s">
        <v>229</v>
      </c>
      <c r="F1428" t="s">
        <v>55</v>
      </c>
      <c r="G1428" t="s">
        <v>56</v>
      </c>
      <c r="H1428" t="s">
        <v>48</v>
      </c>
      <c r="I1428" s="2">
        <v>2</v>
      </c>
      <c r="J1428" s="3">
        <v>165</v>
      </c>
      <c r="K1428" s="4">
        <v>0.05</v>
      </c>
      <c r="L1428" s="3">
        <v>313.5</v>
      </c>
      <c r="M1428" t="b">
        <v>1</v>
      </c>
      <c r="N1428" s="2">
        <f>YEAR(B1428)</f>
        <v>2026</v>
      </c>
      <c r="O1428" t="str">
        <f>INDEX(Agences!$C:$C,MATCH(F1428,Agences!$A:$A,0))</f>
        <v>Est</v>
      </c>
      <c r="P1428" t="str">
        <f>INDEX(Produits!$C:$C,MATCH(H1428,Produits!$A:$A,0))</f>
        <v>Mobilier</v>
      </c>
      <c r="Q1428" s="3">
        <f>I1428*INDEX(Produits!$E:$E,MATCH(H1428,Produits!$A:$A,0))</f>
        <v>214.5</v>
      </c>
      <c r="R1428" s="3">
        <f>L1428-Q1428</f>
        <v>99</v>
      </c>
      <c r="S1428" s="2">
        <f>NETWORKDAYS(B1428,C1428)-1</f>
        <v>3</v>
      </c>
      <c r="T1428" s="1">
        <f>WORKDAY(B1428,5)</f>
        <v>46077</v>
      </c>
      <c r="U1428" t="b">
        <f>C1428&gt;T1428</f>
        <v>0</v>
      </c>
    </row>
    <row r="1429" spans="1:21" x14ac:dyDescent="0.25">
      <c r="A1429" t="s">
        <v>1110</v>
      </c>
      <c r="B1429" s="1">
        <v>46069</v>
      </c>
      <c r="C1429" s="1">
        <v>46072</v>
      </c>
      <c r="D1429" t="s">
        <v>304</v>
      </c>
      <c r="E1429" t="s">
        <v>119</v>
      </c>
      <c r="F1429" t="s">
        <v>24</v>
      </c>
      <c r="G1429" t="s">
        <v>116</v>
      </c>
      <c r="H1429" t="s">
        <v>35</v>
      </c>
      <c r="I1429" s="2">
        <v>1</v>
      </c>
      <c r="J1429" s="3">
        <v>79</v>
      </c>
      <c r="K1429" s="4">
        <v>0</v>
      </c>
      <c r="L1429" s="3">
        <v>79</v>
      </c>
      <c r="M1429" t="b">
        <v>1</v>
      </c>
      <c r="N1429" s="2">
        <f>YEAR(B1429)</f>
        <v>2026</v>
      </c>
      <c r="O1429" t="str">
        <f>INDEX(Agences!$C:$C,MATCH(F1429,Agences!$A:$A,0))</f>
        <v>Nord</v>
      </c>
      <c r="P1429" t="str">
        <f>INDEX(Produits!$C:$C,MATCH(H1429,Produits!$A:$A,0))</f>
        <v>Mobilier</v>
      </c>
      <c r="Q1429" s="3">
        <f>I1429*INDEX(Produits!$E:$E,MATCH(H1429,Produits!$A:$A,0))</f>
        <v>46.61</v>
      </c>
      <c r="R1429" s="3">
        <f>L1429-Q1429</f>
        <v>32.39</v>
      </c>
      <c r="S1429" s="2">
        <f>NETWORKDAYS(B1429,C1429)-1</f>
        <v>3</v>
      </c>
      <c r="T1429" s="1">
        <f>WORKDAY(B1429,5)</f>
        <v>46076</v>
      </c>
      <c r="U1429" t="b">
        <f>C1429&gt;T1429</f>
        <v>0</v>
      </c>
    </row>
    <row r="1430" spans="1:21" x14ac:dyDescent="0.25">
      <c r="A1430" t="s">
        <v>1111</v>
      </c>
      <c r="B1430" s="1">
        <v>46069</v>
      </c>
      <c r="C1430" s="1">
        <v>46072</v>
      </c>
      <c r="D1430" t="s">
        <v>1112</v>
      </c>
      <c r="E1430" t="s">
        <v>122</v>
      </c>
      <c r="F1430" t="s">
        <v>24</v>
      </c>
      <c r="G1430" t="s">
        <v>25</v>
      </c>
      <c r="H1430" t="s">
        <v>83</v>
      </c>
      <c r="I1430" s="2">
        <v>3</v>
      </c>
      <c r="J1430" s="3">
        <v>49</v>
      </c>
      <c r="K1430" s="4">
        <v>0.02</v>
      </c>
      <c r="L1430" s="3">
        <v>144.06</v>
      </c>
      <c r="M1430" t="b">
        <v>1</v>
      </c>
      <c r="N1430" s="2">
        <f>YEAR(B1430)</f>
        <v>2026</v>
      </c>
      <c r="O1430" t="str">
        <f>INDEX(Agences!$C:$C,MATCH(F1430,Agences!$A:$A,0))</f>
        <v>Nord</v>
      </c>
      <c r="P1430" t="str">
        <f>INDEX(Produits!$C:$C,MATCH(H1430,Produits!$A:$A,0))</f>
        <v>Mobilier</v>
      </c>
      <c r="Q1430" s="3">
        <f>I1430*INDEX(Produits!$E:$E,MATCH(H1430,Produits!$A:$A,0))</f>
        <v>85.26</v>
      </c>
      <c r="R1430" s="3">
        <f>L1430-Q1430</f>
        <v>58.8</v>
      </c>
      <c r="S1430" s="2">
        <f>NETWORKDAYS(B1430,C1430)-1</f>
        <v>3</v>
      </c>
      <c r="T1430" s="1">
        <f>WORKDAY(B1430,5)</f>
        <v>46076</v>
      </c>
      <c r="U1430" t="b">
        <f>C1430&gt;T1430</f>
        <v>0</v>
      </c>
    </row>
    <row r="1431" spans="1:21" x14ac:dyDescent="0.25">
      <c r="A1431" t="s">
        <v>1113</v>
      </c>
      <c r="B1431" s="1">
        <v>46069</v>
      </c>
      <c r="C1431" s="1">
        <v>46076</v>
      </c>
      <c r="D1431" t="s">
        <v>1114</v>
      </c>
      <c r="E1431" t="s">
        <v>172</v>
      </c>
      <c r="F1431" t="s">
        <v>99</v>
      </c>
      <c r="G1431" t="s">
        <v>210</v>
      </c>
      <c r="H1431" t="s">
        <v>319</v>
      </c>
      <c r="I1431" s="2">
        <v>1</v>
      </c>
      <c r="J1431" s="3">
        <v>289</v>
      </c>
      <c r="K1431" s="4">
        <v>0.02</v>
      </c>
      <c r="L1431" s="3">
        <v>283.22</v>
      </c>
      <c r="M1431" t="b">
        <v>1</v>
      </c>
      <c r="N1431" s="2">
        <f>YEAR(B1431)</f>
        <v>2026</v>
      </c>
      <c r="O1431" t="str">
        <f>INDEX(Agences!$C:$C,MATCH(F1431,Agences!$A:$A,0))</f>
        <v>Nord</v>
      </c>
      <c r="P1431" t="str">
        <f>INDEX(Produits!$C:$C,MATCH(H1431,Produits!$A:$A,0))</f>
        <v>Informatique</v>
      </c>
      <c r="Q1431" s="3">
        <f>I1431*INDEX(Produits!$E:$E,MATCH(H1431,Produits!$A:$A,0))</f>
        <v>213.86</v>
      </c>
      <c r="R1431" s="3">
        <f>L1431-Q1431</f>
        <v>69.36000000000001</v>
      </c>
      <c r="S1431" s="2">
        <f>NETWORKDAYS(B1431,C1431)-1</f>
        <v>5</v>
      </c>
      <c r="T1431" s="1">
        <f>WORKDAY(B1431,5)</f>
        <v>46076</v>
      </c>
      <c r="U1431" t="b">
        <f>C1431&gt;T1431</f>
        <v>0</v>
      </c>
    </row>
    <row r="1432" spans="1:21" x14ac:dyDescent="0.25">
      <c r="A1432" t="s">
        <v>1113</v>
      </c>
      <c r="B1432" s="1">
        <v>46069</v>
      </c>
      <c r="C1432" s="1">
        <v>46076</v>
      </c>
      <c r="D1432" t="s">
        <v>1114</v>
      </c>
      <c r="E1432" t="s">
        <v>172</v>
      </c>
      <c r="F1432" t="s">
        <v>99</v>
      </c>
      <c r="G1432" t="s">
        <v>210</v>
      </c>
      <c r="H1432" t="s">
        <v>90</v>
      </c>
      <c r="I1432" s="2">
        <v>5</v>
      </c>
      <c r="J1432" s="3">
        <v>22.9</v>
      </c>
      <c r="K1432" s="4">
        <v>0.05</v>
      </c>
      <c r="L1432" s="3">
        <v>108.78</v>
      </c>
      <c r="M1432" t="b">
        <v>1</v>
      </c>
      <c r="N1432" s="2">
        <f>YEAR(B1432)</f>
        <v>2026</v>
      </c>
      <c r="O1432" t="str">
        <f>INDEX(Agences!$C:$C,MATCH(F1432,Agences!$A:$A,0))</f>
        <v>Nord</v>
      </c>
      <c r="P1432" t="str">
        <f>INDEX(Produits!$C:$C,MATCH(H1432,Produits!$A:$A,0))</f>
        <v>Fournitures</v>
      </c>
      <c r="Q1432" s="3">
        <f>I1432*INDEX(Produits!$E:$E,MATCH(H1432,Produits!$A:$A,0))</f>
        <v>64.1</v>
      </c>
      <c r="R1432" s="3">
        <f>L1432-Q1432</f>
        <v>44.68000000000001</v>
      </c>
      <c r="S1432" s="2">
        <f>NETWORKDAYS(B1432,C1432)-1</f>
        <v>5</v>
      </c>
      <c r="T1432" s="1">
        <f>WORKDAY(B1432,5)</f>
        <v>46076</v>
      </c>
      <c r="U1432" t="b">
        <f>C1432&gt;T1432</f>
        <v>0</v>
      </c>
    </row>
    <row r="1433" spans="1:21" x14ac:dyDescent="0.25">
      <c r="A1433" t="s">
        <v>1115</v>
      </c>
      <c r="B1433" s="1">
        <v>46069</v>
      </c>
      <c r="C1433" s="1">
        <v>46072</v>
      </c>
      <c r="D1433" t="s">
        <v>1116</v>
      </c>
      <c r="E1433" t="s">
        <v>137</v>
      </c>
      <c r="F1433" t="s">
        <v>138</v>
      </c>
      <c r="G1433" t="s">
        <v>139</v>
      </c>
      <c r="H1433" t="s">
        <v>42</v>
      </c>
      <c r="I1433" s="2">
        <v>1</v>
      </c>
      <c r="J1433" s="3">
        <v>55</v>
      </c>
      <c r="K1433" s="4">
        <v>0</v>
      </c>
      <c r="L1433" s="3">
        <v>55</v>
      </c>
      <c r="M1433" t="b">
        <v>1</v>
      </c>
      <c r="N1433" s="2">
        <f>YEAR(B1433)</f>
        <v>2026</v>
      </c>
      <c r="O1433" t="str">
        <f>INDEX(Agences!$C:$C,MATCH(F1433,Agences!$A:$A,0))</f>
        <v>Île-de-France</v>
      </c>
      <c r="P1433" t="str">
        <f>INDEX(Produits!$C:$C,MATCH(H1433,Produits!$A:$A,0))</f>
        <v>Maintenance</v>
      </c>
      <c r="Q1433" s="3">
        <f>I1433*INDEX(Produits!$E:$E,MATCH(H1433,Produits!$A:$A,0))</f>
        <v>24.75</v>
      </c>
      <c r="R1433" s="3">
        <f>L1433-Q1433</f>
        <v>30.25</v>
      </c>
      <c r="S1433" s="2">
        <f>NETWORKDAYS(B1433,C1433)-1</f>
        <v>3</v>
      </c>
      <c r="T1433" s="1">
        <f>WORKDAY(B1433,5)</f>
        <v>46076</v>
      </c>
      <c r="U1433" t="b">
        <f>C1433&gt;T1433</f>
        <v>0</v>
      </c>
    </row>
    <row r="1434" spans="1:21" x14ac:dyDescent="0.25">
      <c r="A1434" t="s">
        <v>1115</v>
      </c>
      <c r="B1434" s="1">
        <v>46069</v>
      </c>
      <c r="C1434" s="1">
        <v>46072</v>
      </c>
      <c r="D1434" t="s">
        <v>1116</v>
      </c>
      <c r="E1434" t="s">
        <v>137</v>
      </c>
      <c r="F1434" t="s">
        <v>138</v>
      </c>
      <c r="G1434" t="s">
        <v>139</v>
      </c>
      <c r="H1434" t="s">
        <v>84</v>
      </c>
      <c r="I1434" s="2">
        <v>1</v>
      </c>
      <c r="J1434" s="3">
        <v>420</v>
      </c>
      <c r="K1434" s="4">
        <v>0</v>
      </c>
      <c r="L1434" s="3">
        <v>420</v>
      </c>
      <c r="M1434" t="b">
        <v>1</v>
      </c>
      <c r="N1434" s="2">
        <f>YEAR(B1434)</f>
        <v>2026</v>
      </c>
      <c r="O1434" t="str">
        <f>INDEX(Agences!$C:$C,MATCH(F1434,Agences!$A:$A,0))</f>
        <v>Île-de-France</v>
      </c>
      <c r="P1434" t="str">
        <f>INDEX(Produits!$C:$C,MATCH(H1434,Produits!$A:$A,0))</f>
        <v>Mobilier</v>
      </c>
      <c r="Q1434" s="3">
        <f>I1434*INDEX(Produits!$E:$E,MATCH(H1434,Produits!$A:$A,0))</f>
        <v>243.6</v>
      </c>
      <c r="R1434" s="3">
        <f>L1434-Q1434</f>
        <v>176.4</v>
      </c>
      <c r="S1434" s="2">
        <f>NETWORKDAYS(B1434,C1434)-1</f>
        <v>3</v>
      </c>
      <c r="T1434" s="1">
        <f>WORKDAY(B1434,5)</f>
        <v>46076</v>
      </c>
      <c r="U1434" t="b">
        <f>C1434&gt;T1434</f>
        <v>0</v>
      </c>
    </row>
    <row r="1435" spans="1:21" x14ac:dyDescent="0.25">
      <c r="A1435" t="s">
        <v>1115</v>
      </c>
      <c r="B1435" s="1">
        <v>46069</v>
      </c>
      <c r="C1435" s="1">
        <v>46072</v>
      </c>
      <c r="D1435" t="s">
        <v>1116</v>
      </c>
      <c r="E1435" t="s">
        <v>137</v>
      </c>
      <c r="F1435" t="s">
        <v>138</v>
      </c>
      <c r="G1435" t="s">
        <v>139</v>
      </c>
      <c r="H1435" t="s">
        <v>35</v>
      </c>
      <c r="I1435" s="2">
        <v>1</v>
      </c>
      <c r="J1435" s="3">
        <v>79</v>
      </c>
      <c r="K1435" s="4">
        <v>0</v>
      </c>
      <c r="L1435" s="3">
        <v>79</v>
      </c>
      <c r="M1435" t="b">
        <v>1</v>
      </c>
      <c r="N1435" s="2">
        <f>YEAR(B1435)</f>
        <v>2026</v>
      </c>
      <c r="O1435" t="str">
        <f>INDEX(Agences!$C:$C,MATCH(F1435,Agences!$A:$A,0))</f>
        <v>Île-de-France</v>
      </c>
      <c r="P1435" t="str">
        <f>INDEX(Produits!$C:$C,MATCH(H1435,Produits!$A:$A,0))</f>
        <v>Mobilier</v>
      </c>
      <c r="Q1435" s="3">
        <f>I1435*INDEX(Produits!$E:$E,MATCH(H1435,Produits!$A:$A,0))</f>
        <v>46.61</v>
      </c>
      <c r="R1435" s="3">
        <f>L1435-Q1435</f>
        <v>32.39</v>
      </c>
      <c r="S1435" s="2">
        <f>NETWORKDAYS(B1435,C1435)-1</f>
        <v>3</v>
      </c>
      <c r="T1435" s="1">
        <f>WORKDAY(B1435,5)</f>
        <v>46076</v>
      </c>
      <c r="U1435" t="b">
        <f>C1435&gt;T1435</f>
        <v>0</v>
      </c>
    </row>
    <row r="1436" spans="1:21" x14ac:dyDescent="0.25">
      <c r="A1436" t="s">
        <v>1117</v>
      </c>
      <c r="B1436" s="1">
        <v>46069</v>
      </c>
      <c r="C1436" s="1">
        <v>46072</v>
      </c>
      <c r="D1436" t="s">
        <v>509</v>
      </c>
      <c r="E1436" t="s">
        <v>333</v>
      </c>
      <c r="F1436" t="s">
        <v>138</v>
      </c>
      <c r="G1436" t="s">
        <v>139</v>
      </c>
      <c r="H1436" t="s">
        <v>27</v>
      </c>
      <c r="I1436" s="2">
        <v>3</v>
      </c>
      <c r="J1436" s="3">
        <v>310</v>
      </c>
      <c r="K1436" s="4">
        <v>0</v>
      </c>
      <c r="L1436" s="3">
        <v>930</v>
      </c>
      <c r="M1436" t="b">
        <v>1</v>
      </c>
      <c r="N1436" s="2">
        <f>YEAR(B1436)</f>
        <v>2026</v>
      </c>
      <c r="O1436" t="str">
        <f>INDEX(Agences!$C:$C,MATCH(F1436,Agences!$A:$A,0))</f>
        <v>Île-de-France</v>
      </c>
      <c r="P1436" t="str">
        <f>INDEX(Produits!$C:$C,MATCH(H1436,Produits!$A:$A,0))</f>
        <v>Mobilier</v>
      </c>
      <c r="Q1436" s="3">
        <f>I1436*INDEX(Produits!$E:$E,MATCH(H1436,Produits!$A:$A,0))</f>
        <v>558</v>
      </c>
      <c r="R1436" s="3">
        <f>L1436-Q1436</f>
        <v>372</v>
      </c>
      <c r="S1436" s="2">
        <f>NETWORKDAYS(B1436,C1436)-1</f>
        <v>3</v>
      </c>
      <c r="T1436" s="1">
        <f>WORKDAY(B1436,5)</f>
        <v>46076</v>
      </c>
      <c r="U1436" t="b">
        <f>C1436&gt;T1436</f>
        <v>0</v>
      </c>
    </row>
    <row r="1437" spans="1:21" x14ac:dyDescent="0.25">
      <c r="A1437" t="s">
        <v>1117</v>
      </c>
      <c r="B1437" s="1">
        <v>46069</v>
      </c>
      <c r="C1437" s="1">
        <v>46072</v>
      </c>
      <c r="D1437" t="s">
        <v>509</v>
      </c>
      <c r="E1437" t="s">
        <v>333</v>
      </c>
      <c r="F1437" t="s">
        <v>138</v>
      </c>
      <c r="G1437" t="s">
        <v>139</v>
      </c>
      <c r="H1437" t="s">
        <v>196</v>
      </c>
      <c r="I1437" s="2">
        <v>10</v>
      </c>
      <c r="J1437" s="3">
        <v>18.5</v>
      </c>
      <c r="K1437" s="4">
        <v>0.05</v>
      </c>
      <c r="L1437" s="3">
        <v>175.75</v>
      </c>
      <c r="M1437" t="b">
        <v>1</v>
      </c>
      <c r="N1437" s="2">
        <f>YEAR(B1437)</f>
        <v>2026</v>
      </c>
      <c r="O1437" t="str">
        <f>INDEX(Agences!$C:$C,MATCH(F1437,Agences!$A:$A,0))</f>
        <v>Île-de-France</v>
      </c>
      <c r="P1437" t="str">
        <f>INDEX(Produits!$C:$C,MATCH(H1437,Produits!$A:$A,0))</f>
        <v>Fournitures</v>
      </c>
      <c r="Q1437" s="3">
        <f>I1437*INDEX(Produits!$E:$E,MATCH(H1437,Produits!$A:$A,0))</f>
        <v>94.39999999999999</v>
      </c>
      <c r="R1437" s="3">
        <f>L1437-Q1437</f>
        <v>81.35000000000001</v>
      </c>
      <c r="S1437" s="2">
        <f>NETWORKDAYS(B1437,C1437)-1</f>
        <v>3</v>
      </c>
      <c r="T1437" s="1">
        <f>WORKDAY(B1437,5)</f>
        <v>46076</v>
      </c>
      <c r="U1437" t="b">
        <f>C1437&gt;T1437</f>
        <v>0</v>
      </c>
    </row>
    <row r="1438" spans="1:21" x14ac:dyDescent="0.25">
      <c r="A1438" t="s">
        <v>1117</v>
      </c>
      <c r="B1438" s="1">
        <v>46069</v>
      </c>
      <c r="C1438" s="1">
        <v>46072</v>
      </c>
      <c r="D1438" t="s">
        <v>509</v>
      </c>
      <c r="E1438" t="s">
        <v>333</v>
      </c>
      <c r="F1438" t="s">
        <v>138</v>
      </c>
      <c r="G1438" t="s">
        <v>139</v>
      </c>
      <c r="H1438" t="s">
        <v>34</v>
      </c>
      <c r="I1438" s="2">
        <v>3</v>
      </c>
      <c r="J1438" s="3">
        <v>340</v>
      </c>
      <c r="K1438" s="4">
        <v>0</v>
      </c>
      <c r="L1438" s="3">
        <v>1020</v>
      </c>
      <c r="M1438" t="b">
        <v>1</v>
      </c>
      <c r="N1438" s="2">
        <f>YEAR(B1438)</f>
        <v>2026</v>
      </c>
      <c r="O1438" t="str">
        <f>INDEX(Agences!$C:$C,MATCH(F1438,Agences!$A:$A,0))</f>
        <v>Île-de-France</v>
      </c>
      <c r="P1438" t="str">
        <f>INDEX(Produits!$C:$C,MATCH(H1438,Produits!$A:$A,0))</f>
        <v>Informatique</v>
      </c>
      <c r="Q1438" s="3">
        <f>I1438*INDEX(Produits!$E:$E,MATCH(H1438,Produits!$A:$A,0))</f>
        <v>826.1999999999999</v>
      </c>
      <c r="R1438" s="3">
        <f>L1438-Q1438</f>
        <v>193.80000000000007</v>
      </c>
      <c r="S1438" s="2">
        <f>NETWORKDAYS(B1438,C1438)-1</f>
        <v>3</v>
      </c>
      <c r="T1438" s="1">
        <f>WORKDAY(B1438,5)</f>
        <v>46076</v>
      </c>
      <c r="U1438" t="b">
        <f>C1438&gt;T1438</f>
        <v>0</v>
      </c>
    </row>
    <row r="1439" spans="1:21" x14ac:dyDescent="0.25">
      <c r="A1439" t="s">
        <v>1117</v>
      </c>
      <c r="B1439" s="1">
        <v>46069</v>
      </c>
      <c r="C1439" s="1">
        <v>46072</v>
      </c>
      <c r="D1439" t="s">
        <v>509</v>
      </c>
      <c r="E1439" t="s">
        <v>333</v>
      </c>
      <c r="F1439" t="s">
        <v>138</v>
      </c>
      <c r="G1439" t="s">
        <v>139</v>
      </c>
      <c r="H1439" t="s">
        <v>50</v>
      </c>
      <c r="I1439" s="2">
        <v>1</v>
      </c>
      <c r="J1439" s="3">
        <v>69</v>
      </c>
      <c r="K1439" s="4">
        <v>0.02</v>
      </c>
      <c r="L1439" s="3">
        <v>67.62</v>
      </c>
      <c r="M1439" t="b">
        <v>1</v>
      </c>
      <c r="N1439" s="2">
        <f>YEAR(B1439)</f>
        <v>2026</v>
      </c>
      <c r="O1439" t="str">
        <f>INDEX(Agences!$C:$C,MATCH(F1439,Agences!$A:$A,0))</f>
        <v>Île-de-France</v>
      </c>
      <c r="P1439" t="str">
        <f>INDEX(Produits!$C:$C,MATCH(H1439,Produits!$A:$A,0))</f>
        <v>Informatique</v>
      </c>
      <c r="Q1439" s="3">
        <f>I1439*INDEX(Produits!$E:$E,MATCH(H1439,Produits!$A:$A,0))</f>
        <v>54.51</v>
      </c>
      <c r="R1439" s="3">
        <f>L1439-Q1439</f>
        <v>13.110000000000007</v>
      </c>
      <c r="S1439" s="2">
        <f>NETWORKDAYS(B1439,C1439)-1</f>
        <v>3</v>
      </c>
      <c r="T1439" s="1">
        <f>WORKDAY(B1439,5)</f>
        <v>46076</v>
      </c>
      <c r="U1439" t="b">
        <f>C1439&gt;T1439</f>
        <v>0</v>
      </c>
    </row>
    <row r="1440" spans="1:21" x14ac:dyDescent="0.25">
      <c r="A1440" t="s">
        <v>1117</v>
      </c>
      <c r="B1440" s="1">
        <v>46069</v>
      </c>
      <c r="C1440" s="1">
        <v>46072</v>
      </c>
      <c r="D1440" t="s">
        <v>509</v>
      </c>
      <c r="E1440" t="s">
        <v>333</v>
      </c>
      <c r="F1440" t="s">
        <v>138</v>
      </c>
      <c r="G1440" t="s">
        <v>139</v>
      </c>
      <c r="H1440" t="s">
        <v>112</v>
      </c>
      <c r="I1440" s="2">
        <v>3</v>
      </c>
      <c r="J1440" s="3">
        <v>129</v>
      </c>
      <c r="K1440" s="4">
        <v>0.05</v>
      </c>
      <c r="L1440" s="3">
        <v>367.65</v>
      </c>
      <c r="M1440" t="b">
        <v>1</v>
      </c>
      <c r="N1440" s="2">
        <f>YEAR(B1440)</f>
        <v>2026</v>
      </c>
      <c r="O1440" t="str">
        <f>INDEX(Agences!$C:$C,MATCH(F1440,Agences!$A:$A,0))</f>
        <v>Île-de-France</v>
      </c>
      <c r="P1440" t="str">
        <f>INDEX(Produits!$C:$C,MATCH(H1440,Produits!$A:$A,0))</f>
        <v>Mobilier</v>
      </c>
      <c r="Q1440" s="3">
        <f>I1440*INDEX(Produits!$E:$E,MATCH(H1440,Produits!$A:$A,0))</f>
        <v>259.29</v>
      </c>
      <c r="R1440" s="3">
        <f>L1440-Q1440</f>
        <v>108.35999999999996</v>
      </c>
      <c r="S1440" s="2">
        <f>NETWORKDAYS(B1440,C1440)-1</f>
        <v>3</v>
      </c>
      <c r="T1440" s="1">
        <f>WORKDAY(B1440,5)</f>
        <v>46076</v>
      </c>
      <c r="U1440" t="b">
        <f>C1440&gt;T1440</f>
        <v>0</v>
      </c>
    </row>
    <row r="1441" spans="1:21" x14ac:dyDescent="0.25">
      <c r="A1441" t="s">
        <v>1118</v>
      </c>
      <c r="B1441" s="1">
        <v>46066</v>
      </c>
      <c r="C1441" s="1">
        <v>46072</v>
      </c>
      <c r="D1441" t="s">
        <v>1009</v>
      </c>
      <c r="E1441" t="s">
        <v>165</v>
      </c>
      <c r="F1441" t="s">
        <v>166</v>
      </c>
      <c r="G1441" t="s">
        <v>167</v>
      </c>
      <c r="H1441" t="s">
        <v>103</v>
      </c>
      <c r="I1441" s="2">
        <v>1</v>
      </c>
      <c r="J1441" s="3">
        <v>245</v>
      </c>
      <c r="K1441" s="4">
        <v>0.1</v>
      </c>
      <c r="L1441" s="3">
        <v>220.5</v>
      </c>
      <c r="M1441" t="b">
        <v>1</v>
      </c>
      <c r="N1441" s="2">
        <f>YEAR(B1441)</f>
        <v>2026</v>
      </c>
      <c r="O1441" t="str">
        <f>INDEX(Agences!$C:$C,MATCH(F1441,Agences!$A:$A,0))</f>
        <v>Ouest</v>
      </c>
      <c r="P1441" t="str">
        <f>INDEX(Produits!$C:$C,MATCH(H1441,Produits!$A:$A,0))</f>
        <v>Mobilier</v>
      </c>
      <c r="Q1441" s="3">
        <f>I1441*INDEX(Produits!$E:$E,MATCH(H1441,Produits!$A:$A,0))</f>
        <v>164.15</v>
      </c>
      <c r="R1441" s="3">
        <f>L1441-Q1441</f>
        <v>56.349999999999994</v>
      </c>
      <c r="S1441" s="2">
        <f>NETWORKDAYS(B1441,C1441)-1</f>
        <v>4</v>
      </c>
      <c r="T1441" s="1">
        <f>WORKDAY(B1441,5)</f>
        <v>46073</v>
      </c>
      <c r="U1441" t="b">
        <f>C1441&gt;T1441</f>
        <v>0</v>
      </c>
    </row>
    <row r="1442" spans="1:21" x14ac:dyDescent="0.25">
      <c r="A1442" t="s">
        <v>1118</v>
      </c>
      <c r="B1442" s="1">
        <v>46066</v>
      </c>
      <c r="C1442" s="1">
        <v>46072</v>
      </c>
      <c r="D1442" t="s">
        <v>1009</v>
      </c>
      <c r="E1442" t="s">
        <v>165</v>
      </c>
      <c r="F1442" t="s">
        <v>166</v>
      </c>
      <c r="G1442" t="s">
        <v>167</v>
      </c>
      <c r="H1442" t="s">
        <v>127</v>
      </c>
      <c r="I1442" s="2">
        <v>1</v>
      </c>
      <c r="J1442" s="3">
        <v>649</v>
      </c>
      <c r="K1442" s="4">
        <v>0</v>
      </c>
      <c r="L1442" s="3">
        <v>649</v>
      </c>
      <c r="M1442" t="b">
        <v>1</v>
      </c>
      <c r="N1442" s="2">
        <f>YEAR(B1442)</f>
        <v>2026</v>
      </c>
      <c r="O1442" t="str">
        <f>INDEX(Agences!$C:$C,MATCH(F1442,Agences!$A:$A,0))</f>
        <v>Ouest</v>
      </c>
      <c r="P1442" t="str">
        <f>INDEX(Produits!$C:$C,MATCH(H1442,Produits!$A:$A,0))</f>
        <v>Informatique</v>
      </c>
      <c r="Q1442" s="3">
        <f>I1442*INDEX(Produits!$E:$E,MATCH(H1442,Produits!$A:$A,0))</f>
        <v>480.26</v>
      </c>
      <c r="R1442" s="3">
        <f>L1442-Q1442</f>
        <v>168.74</v>
      </c>
      <c r="S1442" s="2">
        <f>NETWORKDAYS(B1442,C1442)-1</f>
        <v>4</v>
      </c>
      <c r="T1442" s="1">
        <f>WORKDAY(B1442,5)</f>
        <v>46073</v>
      </c>
      <c r="U1442" t="b">
        <f>C1442&gt;T1442</f>
        <v>0</v>
      </c>
    </row>
    <row r="1443" spans="1:21" x14ac:dyDescent="0.25">
      <c r="A1443" t="s">
        <v>1118</v>
      </c>
      <c r="B1443" s="1">
        <v>46066</v>
      </c>
      <c r="C1443" s="1">
        <v>46072</v>
      </c>
      <c r="D1443" t="s">
        <v>1009</v>
      </c>
      <c r="E1443" t="s">
        <v>165</v>
      </c>
      <c r="F1443" t="s">
        <v>166</v>
      </c>
      <c r="G1443" t="s">
        <v>167</v>
      </c>
      <c r="H1443" t="s">
        <v>27</v>
      </c>
      <c r="I1443" s="2">
        <v>1</v>
      </c>
      <c r="J1443" s="3">
        <v>310</v>
      </c>
      <c r="K1443" s="4">
        <v>0</v>
      </c>
      <c r="L1443" s="3">
        <v>310</v>
      </c>
      <c r="M1443" t="b">
        <v>1</v>
      </c>
      <c r="N1443" s="2">
        <f>YEAR(B1443)</f>
        <v>2026</v>
      </c>
      <c r="O1443" t="str">
        <f>INDEX(Agences!$C:$C,MATCH(F1443,Agences!$A:$A,0))</f>
        <v>Ouest</v>
      </c>
      <c r="P1443" t="str">
        <f>INDEX(Produits!$C:$C,MATCH(H1443,Produits!$A:$A,0))</f>
        <v>Mobilier</v>
      </c>
      <c r="Q1443" s="3">
        <f>I1443*INDEX(Produits!$E:$E,MATCH(H1443,Produits!$A:$A,0))</f>
        <v>186</v>
      </c>
      <c r="R1443" s="3">
        <f>L1443-Q1443</f>
        <v>124</v>
      </c>
      <c r="S1443" s="2">
        <f>NETWORKDAYS(B1443,C1443)-1</f>
        <v>4</v>
      </c>
      <c r="T1443" s="1">
        <f>WORKDAY(B1443,5)</f>
        <v>46073</v>
      </c>
      <c r="U1443" t="b">
        <f>C1443&gt;T1443</f>
        <v>0</v>
      </c>
    </row>
    <row r="1444" spans="1:21" x14ac:dyDescent="0.25">
      <c r="A1444" t="s">
        <v>1119</v>
      </c>
      <c r="B1444" s="1">
        <v>46066</v>
      </c>
      <c r="C1444" s="1">
        <v>46070</v>
      </c>
      <c r="D1444" t="s">
        <v>1120</v>
      </c>
      <c r="E1444" t="s">
        <v>165</v>
      </c>
      <c r="F1444" t="s">
        <v>166</v>
      </c>
      <c r="G1444" t="s">
        <v>248</v>
      </c>
      <c r="H1444" t="s">
        <v>112</v>
      </c>
      <c r="I1444" s="2">
        <v>3</v>
      </c>
      <c r="J1444" s="3">
        <v>129</v>
      </c>
      <c r="K1444" s="4">
        <v>0</v>
      </c>
      <c r="L1444" s="3">
        <v>387</v>
      </c>
      <c r="M1444" t="b">
        <v>1</v>
      </c>
      <c r="N1444" s="2">
        <f>YEAR(B1444)</f>
        <v>2026</v>
      </c>
      <c r="O1444" t="str">
        <f>INDEX(Agences!$C:$C,MATCH(F1444,Agences!$A:$A,0))</f>
        <v>Ouest</v>
      </c>
      <c r="P1444" t="str">
        <f>INDEX(Produits!$C:$C,MATCH(H1444,Produits!$A:$A,0))</f>
        <v>Mobilier</v>
      </c>
      <c r="Q1444" s="3">
        <f>I1444*INDEX(Produits!$E:$E,MATCH(H1444,Produits!$A:$A,0))</f>
        <v>259.29</v>
      </c>
      <c r="R1444" s="3">
        <f>L1444-Q1444</f>
        <v>127.70999999999998</v>
      </c>
      <c r="S1444" s="2">
        <f>NETWORKDAYS(B1444,C1444)-1</f>
        <v>2</v>
      </c>
      <c r="T1444" s="1">
        <f>WORKDAY(B1444,5)</f>
        <v>46073</v>
      </c>
      <c r="U1444" t="b">
        <f>C1444&gt;T1444</f>
        <v>0</v>
      </c>
    </row>
    <row r="1445" spans="1:21" x14ac:dyDescent="0.25">
      <c r="A1445" t="s">
        <v>1121</v>
      </c>
      <c r="B1445" s="1">
        <v>46065</v>
      </c>
      <c r="C1445" s="1">
        <v>46066</v>
      </c>
      <c r="D1445" t="s">
        <v>262</v>
      </c>
      <c r="E1445" t="s">
        <v>119</v>
      </c>
      <c r="F1445" t="s">
        <v>24</v>
      </c>
      <c r="G1445" t="s">
        <v>25</v>
      </c>
      <c r="H1445" t="s">
        <v>48</v>
      </c>
      <c r="I1445" s="2">
        <v>2</v>
      </c>
      <c r="J1445" s="3">
        <v>165</v>
      </c>
      <c r="K1445" s="4">
        <v>0.08</v>
      </c>
      <c r="L1445" s="3">
        <v>303.6</v>
      </c>
      <c r="M1445" t="b">
        <v>1</v>
      </c>
      <c r="N1445" s="2">
        <f>YEAR(B1445)</f>
        <v>2026</v>
      </c>
      <c r="O1445" t="str">
        <f>INDEX(Agences!$C:$C,MATCH(F1445,Agences!$A:$A,0))</f>
        <v>Nord</v>
      </c>
      <c r="P1445" t="str">
        <f>INDEX(Produits!$C:$C,MATCH(H1445,Produits!$A:$A,0))</f>
        <v>Mobilier</v>
      </c>
      <c r="Q1445" s="3">
        <f>I1445*INDEX(Produits!$E:$E,MATCH(H1445,Produits!$A:$A,0))</f>
        <v>214.5</v>
      </c>
      <c r="R1445" s="3">
        <f>L1445-Q1445</f>
        <v>89.10000000000002</v>
      </c>
      <c r="S1445" s="2">
        <f>NETWORKDAYS(B1445,C1445)-1</f>
        <v>1</v>
      </c>
      <c r="T1445" s="1">
        <f>WORKDAY(B1445,5)</f>
        <v>46072</v>
      </c>
      <c r="U1445" t="b">
        <f>C1445&gt;T1445</f>
        <v>0</v>
      </c>
    </row>
    <row r="1446" spans="1:21" x14ac:dyDescent="0.25">
      <c r="A1446" t="s">
        <v>1121</v>
      </c>
      <c r="B1446" s="1">
        <v>46065</v>
      </c>
      <c r="C1446" s="1">
        <v>46066</v>
      </c>
      <c r="D1446" t="s">
        <v>262</v>
      </c>
      <c r="E1446" t="s">
        <v>119</v>
      </c>
      <c r="F1446" t="s">
        <v>24</v>
      </c>
      <c r="G1446" t="s">
        <v>25</v>
      </c>
      <c r="H1446" t="s">
        <v>64</v>
      </c>
      <c r="I1446" s="2">
        <v>10</v>
      </c>
      <c r="J1446" s="3">
        <v>16.8</v>
      </c>
      <c r="K1446" s="4">
        <v>0.08</v>
      </c>
      <c r="L1446" s="3">
        <v>154.56</v>
      </c>
      <c r="M1446" t="b">
        <v>1</v>
      </c>
      <c r="N1446" s="2">
        <f>YEAR(B1446)</f>
        <v>2026</v>
      </c>
      <c r="O1446" t="str">
        <f>INDEX(Agences!$C:$C,MATCH(F1446,Agences!$A:$A,0))</f>
        <v>Nord</v>
      </c>
      <c r="P1446" t="str">
        <f>INDEX(Produits!$C:$C,MATCH(H1446,Produits!$A:$A,0))</f>
        <v>Fournitures</v>
      </c>
      <c r="Q1446" s="3">
        <f>I1446*INDEX(Produits!$E:$E,MATCH(H1446,Produits!$A:$A,0))</f>
        <v>87.4</v>
      </c>
      <c r="R1446" s="3">
        <f>L1446-Q1446</f>
        <v>67.16</v>
      </c>
      <c r="S1446" s="2">
        <f>NETWORKDAYS(B1446,C1446)-1</f>
        <v>1</v>
      </c>
      <c r="T1446" s="1">
        <f>WORKDAY(B1446,5)</f>
        <v>46072</v>
      </c>
      <c r="U1446" t="b">
        <f>C1446&gt;T1446</f>
        <v>0</v>
      </c>
    </row>
    <row r="1447" spans="1:21" x14ac:dyDescent="0.25">
      <c r="A1447" t="s">
        <v>1121</v>
      </c>
      <c r="B1447" s="1">
        <v>46065</v>
      </c>
      <c r="C1447" s="1">
        <v>46066</v>
      </c>
      <c r="D1447" t="s">
        <v>262</v>
      </c>
      <c r="E1447" t="s">
        <v>119</v>
      </c>
      <c r="F1447" t="s">
        <v>24</v>
      </c>
      <c r="G1447" t="s">
        <v>25</v>
      </c>
      <c r="H1447" t="s">
        <v>78</v>
      </c>
      <c r="I1447" s="2">
        <v>1</v>
      </c>
      <c r="J1447" s="3">
        <v>1390</v>
      </c>
      <c r="K1447" s="4">
        <v>0.1</v>
      </c>
      <c r="L1447" s="3">
        <v>1251</v>
      </c>
      <c r="M1447" t="b">
        <v>1</v>
      </c>
      <c r="N1447" s="2">
        <f>YEAR(B1447)</f>
        <v>2026</v>
      </c>
      <c r="O1447" t="str">
        <f>INDEX(Agences!$C:$C,MATCH(F1447,Agences!$A:$A,0))</f>
        <v>Nord</v>
      </c>
      <c r="P1447" t="str">
        <f>INDEX(Produits!$C:$C,MATCH(H1447,Produits!$A:$A,0))</f>
        <v>Informatique</v>
      </c>
      <c r="Q1447" s="3">
        <f>I1447*INDEX(Produits!$E:$E,MATCH(H1447,Produits!$A:$A,0))</f>
        <v>1125.9</v>
      </c>
      <c r="R1447" s="3">
        <f>L1447-Q1447</f>
        <v>125.09999999999991</v>
      </c>
      <c r="S1447" s="2">
        <f>NETWORKDAYS(B1447,C1447)-1</f>
        <v>1</v>
      </c>
      <c r="T1447" s="1">
        <f>WORKDAY(B1447,5)</f>
        <v>46072</v>
      </c>
      <c r="U1447" t="b">
        <f>C1447&gt;T1447</f>
        <v>0</v>
      </c>
    </row>
    <row r="1448" spans="1:21" x14ac:dyDescent="0.25">
      <c r="A1448" t="s">
        <v>1122</v>
      </c>
      <c r="B1448" s="1">
        <v>46065</v>
      </c>
      <c r="C1448" s="1">
        <v>46069</v>
      </c>
      <c r="D1448" t="s">
        <v>414</v>
      </c>
      <c r="E1448" t="s">
        <v>172</v>
      </c>
      <c r="F1448" t="s">
        <v>99</v>
      </c>
      <c r="G1448" t="s">
        <v>210</v>
      </c>
      <c r="H1448" t="s">
        <v>50</v>
      </c>
      <c r="I1448" s="2">
        <v>2</v>
      </c>
      <c r="J1448" s="3">
        <v>69</v>
      </c>
      <c r="K1448" s="4">
        <v>0.05</v>
      </c>
      <c r="L1448" s="3">
        <v>131.1</v>
      </c>
      <c r="M1448" t="b">
        <v>1</v>
      </c>
      <c r="N1448" s="2">
        <f>YEAR(B1448)</f>
        <v>2026</v>
      </c>
      <c r="O1448" t="str">
        <f>INDEX(Agences!$C:$C,MATCH(F1448,Agences!$A:$A,0))</f>
        <v>Nord</v>
      </c>
      <c r="P1448" t="str">
        <f>INDEX(Produits!$C:$C,MATCH(H1448,Produits!$A:$A,0))</f>
        <v>Informatique</v>
      </c>
      <c r="Q1448" s="3">
        <f>I1448*INDEX(Produits!$E:$E,MATCH(H1448,Produits!$A:$A,0))</f>
        <v>109.02</v>
      </c>
      <c r="R1448" s="3">
        <f>L1448-Q1448</f>
        <v>22.08</v>
      </c>
      <c r="S1448" s="2">
        <f>NETWORKDAYS(B1448,C1448)-1</f>
        <v>2</v>
      </c>
      <c r="T1448" s="1">
        <f>WORKDAY(B1448,5)</f>
        <v>46072</v>
      </c>
      <c r="U1448" t="b">
        <f>C1448&gt;T1448</f>
        <v>0</v>
      </c>
    </row>
    <row r="1449" spans="1:21" x14ac:dyDescent="0.25">
      <c r="A1449" t="s">
        <v>1122</v>
      </c>
      <c r="B1449" s="1">
        <v>46065</v>
      </c>
      <c r="C1449" s="1">
        <v>46069</v>
      </c>
      <c r="D1449" t="s">
        <v>414</v>
      </c>
      <c r="E1449" t="s">
        <v>172</v>
      </c>
      <c r="F1449" t="s">
        <v>99</v>
      </c>
      <c r="G1449" t="s">
        <v>210</v>
      </c>
      <c r="H1449" t="s">
        <v>108</v>
      </c>
      <c r="I1449" s="2">
        <v>5</v>
      </c>
      <c r="J1449" s="3">
        <v>24.5</v>
      </c>
      <c r="K1449" s="4">
        <v>0.1</v>
      </c>
      <c r="L1449" s="3">
        <v>110.25</v>
      </c>
      <c r="M1449" t="b">
        <v>1</v>
      </c>
      <c r="N1449" s="2">
        <f>YEAR(B1449)</f>
        <v>2026</v>
      </c>
      <c r="O1449" t="str">
        <f>INDEX(Agences!$C:$C,MATCH(F1449,Agences!$A:$A,0))</f>
        <v>Nord</v>
      </c>
      <c r="P1449" t="str">
        <f>INDEX(Produits!$C:$C,MATCH(H1449,Produits!$A:$A,0))</f>
        <v>Fournitures</v>
      </c>
      <c r="Q1449" s="3">
        <f>I1449*INDEX(Produits!$E:$E,MATCH(H1449,Produits!$A:$A,0))</f>
        <v>73.5</v>
      </c>
      <c r="R1449" s="3">
        <f>L1449-Q1449</f>
        <v>36.75</v>
      </c>
      <c r="S1449" s="2">
        <f>NETWORKDAYS(B1449,C1449)-1</f>
        <v>2</v>
      </c>
      <c r="T1449" s="1">
        <f>WORKDAY(B1449,5)</f>
        <v>46072</v>
      </c>
      <c r="U1449" t="b">
        <f>C1449&gt;T1449</f>
        <v>0</v>
      </c>
    </row>
    <row r="1450" spans="1:21" x14ac:dyDescent="0.25">
      <c r="A1450" t="s">
        <v>1122</v>
      </c>
      <c r="B1450" s="1">
        <v>46065</v>
      </c>
      <c r="C1450" s="1">
        <v>46069</v>
      </c>
      <c r="D1450" t="s">
        <v>414</v>
      </c>
      <c r="E1450" t="s">
        <v>172</v>
      </c>
      <c r="F1450" t="s">
        <v>99</v>
      </c>
      <c r="G1450" t="s">
        <v>210</v>
      </c>
      <c r="H1450" t="s">
        <v>42</v>
      </c>
      <c r="I1450" s="2">
        <v>2</v>
      </c>
      <c r="J1450" s="3">
        <v>55</v>
      </c>
      <c r="K1450" s="4">
        <v>0</v>
      </c>
      <c r="L1450" s="3">
        <v>110</v>
      </c>
      <c r="M1450" t="b">
        <v>1</v>
      </c>
      <c r="N1450" s="2">
        <f>YEAR(B1450)</f>
        <v>2026</v>
      </c>
      <c r="O1450" t="str">
        <f>INDEX(Agences!$C:$C,MATCH(F1450,Agences!$A:$A,0))</f>
        <v>Nord</v>
      </c>
      <c r="P1450" t="str">
        <f>INDEX(Produits!$C:$C,MATCH(H1450,Produits!$A:$A,0))</f>
        <v>Maintenance</v>
      </c>
      <c r="Q1450" s="3">
        <f>I1450*INDEX(Produits!$E:$E,MATCH(H1450,Produits!$A:$A,0))</f>
        <v>49.5</v>
      </c>
      <c r="R1450" s="3">
        <f>L1450-Q1450</f>
        <v>60.5</v>
      </c>
      <c r="S1450" s="2">
        <f>NETWORKDAYS(B1450,C1450)-1</f>
        <v>2</v>
      </c>
      <c r="T1450" s="1">
        <f>WORKDAY(B1450,5)</f>
        <v>46072</v>
      </c>
      <c r="U1450" t="b">
        <f>C1450&gt;T1450</f>
        <v>0</v>
      </c>
    </row>
    <row r="1451" spans="1:21" x14ac:dyDescent="0.25">
      <c r="A1451" t="s">
        <v>1122</v>
      </c>
      <c r="B1451" s="1">
        <v>46065</v>
      </c>
      <c r="C1451" s="1">
        <v>46069</v>
      </c>
      <c r="D1451" t="s">
        <v>414</v>
      </c>
      <c r="E1451" t="s">
        <v>172</v>
      </c>
      <c r="F1451" t="s">
        <v>99</v>
      </c>
      <c r="G1451" t="s">
        <v>210</v>
      </c>
      <c r="H1451" t="s">
        <v>72</v>
      </c>
      <c r="I1451" s="2">
        <v>2</v>
      </c>
      <c r="J1451" s="3">
        <v>179</v>
      </c>
      <c r="K1451" s="4">
        <v>0.05</v>
      </c>
      <c r="L1451" s="3">
        <v>340.1</v>
      </c>
      <c r="M1451" t="b">
        <v>1</v>
      </c>
      <c r="N1451" s="2">
        <f>YEAR(B1451)</f>
        <v>2026</v>
      </c>
      <c r="O1451" t="str">
        <f>INDEX(Agences!$C:$C,MATCH(F1451,Agences!$A:$A,0))</f>
        <v>Nord</v>
      </c>
      <c r="P1451" t="str">
        <f>INDEX(Produits!$C:$C,MATCH(H1451,Produits!$A:$A,0))</f>
        <v>Informatique</v>
      </c>
      <c r="Q1451" s="3">
        <f>I1451*INDEX(Produits!$E:$E,MATCH(H1451,Produits!$A:$A,0))</f>
        <v>293.56</v>
      </c>
      <c r="R1451" s="3">
        <f>L1451-Q1451</f>
        <v>46.54000000000002</v>
      </c>
      <c r="S1451" s="2">
        <f>NETWORKDAYS(B1451,C1451)-1</f>
        <v>2</v>
      </c>
      <c r="T1451" s="1">
        <f>WORKDAY(B1451,5)</f>
        <v>46072</v>
      </c>
      <c r="U1451" t="b">
        <f>C1451&gt;T1451</f>
        <v>0</v>
      </c>
    </row>
    <row r="1452" spans="1:21" x14ac:dyDescent="0.25">
      <c r="A1452" t="s">
        <v>1122</v>
      </c>
      <c r="B1452" s="1">
        <v>46065</v>
      </c>
      <c r="C1452" s="1">
        <v>46069</v>
      </c>
      <c r="D1452" t="s">
        <v>414</v>
      </c>
      <c r="E1452" t="s">
        <v>172</v>
      </c>
      <c r="F1452" t="s">
        <v>99</v>
      </c>
      <c r="G1452" t="s">
        <v>210</v>
      </c>
      <c r="H1452" t="s">
        <v>162</v>
      </c>
      <c r="I1452" s="2">
        <v>3</v>
      </c>
      <c r="J1452" s="3">
        <v>289</v>
      </c>
      <c r="K1452" s="4">
        <v>0.05</v>
      </c>
      <c r="L1452" s="3">
        <v>823.65</v>
      </c>
      <c r="M1452" t="b">
        <v>1</v>
      </c>
      <c r="N1452" s="2">
        <f>YEAR(B1452)</f>
        <v>2026</v>
      </c>
      <c r="O1452" t="str">
        <f>INDEX(Agences!$C:$C,MATCH(F1452,Agences!$A:$A,0))</f>
        <v>Nord</v>
      </c>
      <c r="P1452" t="str">
        <f>INDEX(Produits!$C:$C,MATCH(H1452,Produits!$A:$A,0))</f>
        <v>Mobilier</v>
      </c>
      <c r="Q1452" s="3">
        <f>I1452*INDEX(Produits!$E:$E,MATCH(H1452,Produits!$A:$A,0))</f>
        <v>580.89</v>
      </c>
      <c r="R1452" s="3">
        <f>L1452-Q1452</f>
        <v>242.76</v>
      </c>
      <c r="S1452" s="2">
        <f>NETWORKDAYS(B1452,C1452)-1</f>
        <v>2</v>
      </c>
      <c r="T1452" s="1">
        <f>WORKDAY(B1452,5)</f>
        <v>46072</v>
      </c>
      <c r="U1452" t="b">
        <f>C1452&gt;T1452</f>
        <v>0</v>
      </c>
    </row>
    <row r="1453" spans="1:21" x14ac:dyDescent="0.25">
      <c r="A1453" t="s">
        <v>1123</v>
      </c>
      <c r="B1453" s="1">
        <v>46065</v>
      </c>
      <c r="C1453" s="1">
        <v>46069</v>
      </c>
      <c r="D1453" t="s">
        <v>174</v>
      </c>
      <c r="E1453" t="s">
        <v>175</v>
      </c>
      <c r="F1453" t="s">
        <v>76</v>
      </c>
      <c r="G1453" t="s">
        <v>176</v>
      </c>
      <c r="H1453" t="s">
        <v>35</v>
      </c>
      <c r="I1453" s="2">
        <v>3</v>
      </c>
      <c r="J1453" s="3">
        <v>79</v>
      </c>
      <c r="K1453" s="4">
        <v>0</v>
      </c>
      <c r="L1453" s="3">
        <v>237</v>
      </c>
      <c r="M1453" t="b">
        <v>1</v>
      </c>
      <c r="N1453" s="2">
        <f>YEAR(B1453)</f>
        <v>2026</v>
      </c>
      <c r="O1453" t="str">
        <f>INDEX(Agences!$C:$C,MATCH(F1453,Agences!$A:$A,0))</f>
        <v>Île-de-France</v>
      </c>
      <c r="P1453" t="str">
        <f>INDEX(Produits!$C:$C,MATCH(H1453,Produits!$A:$A,0))</f>
        <v>Mobilier</v>
      </c>
      <c r="Q1453" s="3">
        <f>I1453*INDEX(Produits!$E:$E,MATCH(H1453,Produits!$A:$A,0))</f>
        <v>139.82999999999998</v>
      </c>
      <c r="R1453" s="3">
        <f>L1453-Q1453</f>
        <v>97.17000000000002</v>
      </c>
      <c r="S1453" s="2">
        <f>NETWORKDAYS(B1453,C1453)-1</f>
        <v>2</v>
      </c>
      <c r="T1453" s="1">
        <f>WORKDAY(B1453,5)</f>
        <v>46072</v>
      </c>
      <c r="U1453" t="b">
        <f>C1453&gt;T1453</f>
        <v>0</v>
      </c>
    </row>
    <row r="1454" spans="1:21" x14ac:dyDescent="0.25">
      <c r="A1454" t="s">
        <v>1124</v>
      </c>
      <c r="B1454" s="1">
        <v>46065</v>
      </c>
      <c r="C1454" s="1">
        <v>46069</v>
      </c>
      <c r="D1454" t="s">
        <v>1125</v>
      </c>
      <c r="E1454" t="s">
        <v>75</v>
      </c>
      <c r="F1454" t="s">
        <v>76</v>
      </c>
      <c r="G1454" t="s">
        <v>232</v>
      </c>
      <c r="H1454" t="s">
        <v>48</v>
      </c>
      <c r="I1454" s="2">
        <v>1</v>
      </c>
      <c r="J1454" s="3">
        <v>165</v>
      </c>
      <c r="K1454" s="4">
        <v>0</v>
      </c>
      <c r="L1454" s="3">
        <v>165</v>
      </c>
      <c r="M1454" t="b">
        <v>1</v>
      </c>
      <c r="N1454" s="2">
        <f>YEAR(B1454)</f>
        <v>2026</v>
      </c>
      <c r="O1454" t="str">
        <f>INDEX(Agences!$C:$C,MATCH(F1454,Agences!$A:$A,0))</f>
        <v>Île-de-France</v>
      </c>
      <c r="P1454" t="str">
        <f>INDEX(Produits!$C:$C,MATCH(H1454,Produits!$A:$A,0))</f>
        <v>Mobilier</v>
      </c>
      <c r="Q1454" s="3">
        <f>I1454*INDEX(Produits!$E:$E,MATCH(H1454,Produits!$A:$A,0))</f>
        <v>107.25</v>
      </c>
      <c r="R1454" s="3">
        <f>L1454-Q1454</f>
        <v>57.75</v>
      </c>
      <c r="S1454" s="2">
        <f>NETWORKDAYS(B1454,C1454)-1</f>
        <v>2</v>
      </c>
      <c r="T1454" s="1">
        <f>WORKDAY(B1454,5)</f>
        <v>46072</v>
      </c>
      <c r="U1454" t="b">
        <f>C1454&gt;T1454</f>
        <v>0</v>
      </c>
    </row>
    <row r="1455" spans="1:21" x14ac:dyDescent="0.25">
      <c r="A1455" t="s">
        <v>1124</v>
      </c>
      <c r="B1455" s="1">
        <v>46065</v>
      </c>
      <c r="C1455" s="1">
        <v>46069</v>
      </c>
      <c r="D1455" t="s">
        <v>1125</v>
      </c>
      <c r="E1455" t="s">
        <v>75</v>
      </c>
      <c r="F1455" t="s">
        <v>76</v>
      </c>
      <c r="G1455" t="s">
        <v>232</v>
      </c>
      <c r="H1455" t="s">
        <v>42</v>
      </c>
      <c r="I1455" s="2">
        <v>2</v>
      </c>
      <c r="J1455" s="3">
        <v>55</v>
      </c>
      <c r="K1455" s="4">
        <v>0.05</v>
      </c>
      <c r="L1455" s="3">
        <v>104.5</v>
      </c>
      <c r="M1455" t="b">
        <v>1</v>
      </c>
      <c r="N1455" s="2">
        <f>YEAR(B1455)</f>
        <v>2026</v>
      </c>
      <c r="O1455" t="str">
        <f>INDEX(Agences!$C:$C,MATCH(F1455,Agences!$A:$A,0))</f>
        <v>Île-de-France</v>
      </c>
      <c r="P1455" t="str">
        <f>INDEX(Produits!$C:$C,MATCH(H1455,Produits!$A:$A,0))</f>
        <v>Maintenance</v>
      </c>
      <c r="Q1455" s="3">
        <f>I1455*INDEX(Produits!$E:$E,MATCH(H1455,Produits!$A:$A,0))</f>
        <v>49.5</v>
      </c>
      <c r="R1455" s="3">
        <f>L1455-Q1455</f>
        <v>55</v>
      </c>
      <c r="S1455" s="2">
        <f>NETWORKDAYS(B1455,C1455)-1</f>
        <v>2</v>
      </c>
      <c r="T1455" s="1">
        <f>WORKDAY(B1455,5)</f>
        <v>46072</v>
      </c>
      <c r="U1455" t="b">
        <f>C1455&gt;T1455</f>
        <v>0</v>
      </c>
    </row>
    <row r="1456" spans="1:21" x14ac:dyDescent="0.25">
      <c r="A1456" t="s">
        <v>1124</v>
      </c>
      <c r="B1456" s="1">
        <v>46065</v>
      </c>
      <c r="C1456" s="1">
        <v>46069</v>
      </c>
      <c r="D1456" t="s">
        <v>1125</v>
      </c>
      <c r="E1456" t="s">
        <v>75</v>
      </c>
      <c r="F1456" t="s">
        <v>76</v>
      </c>
      <c r="G1456" t="s">
        <v>232</v>
      </c>
      <c r="H1456" t="s">
        <v>35</v>
      </c>
      <c r="I1456" s="2">
        <v>2</v>
      </c>
      <c r="J1456" s="3">
        <v>79</v>
      </c>
      <c r="K1456" s="4">
        <v>0</v>
      </c>
      <c r="L1456" s="3">
        <v>158</v>
      </c>
      <c r="M1456" t="b">
        <v>1</v>
      </c>
      <c r="N1456" s="2">
        <f>YEAR(B1456)</f>
        <v>2026</v>
      </c>
      <c r="O1456" t="str">
        <f>INDEX(Agences!$C:$C,MATCH(F1456,Agences!$A:$A,0))</f>
        <v>Île-de-France</v>
      </c>
      <c r="P1456" t="str">
        <f>INDEX(Produits!$C:$C,MATCH(H1456,Produits!$A:$A,0))</f>
        <v>Mobilier</v>
      </c>
      <c r="Q1456" s="3">
        <f>I1456*INDEX(Produits!$E:$E,MATCH(H1456,Produits!$A:$A,0))</f>
        <v>93.22</v>
      </c>
      <c r="R1456" s="3">
        <f>L1456-Q1456</f>
        <v>64.78</v>
      </c>
      <c r="S1456" s="2">
        <f>NETWORKDAYS(B1456,C1456)-1</f>
        <v>2</v>
      </c>
      <c r="T1456" s="1">
        <f>WORKDAY(B1456,5)</f>
        <v>46072</v>
      </c>
      <c r="U1456" t="b">
        <f>C1456&gt;T1456</f>
        <v>0</v>
      </c>
    </row>
    <row r="1457" spans="1:21" x14ac:dyDescent="0.25">
      <c r="A1457" t="s">
        <v>1126</v>
      </c>
      <c r="B1457" s="1">
        <v>46065</v>
      </c>
      <c r="C1457" s="1">
        <v>46070</v>
      </c>
      <c r="D1457" t="s">
        <v>1127</v>
      </c>
      <c r="E1457" t="s">
        <v>191</v>
      </c>
      <c r="F1457" t="s">
        <v>62</v>
      </c>
      <c r="G1457" t="s">
        <v>68</v>
      </c>
      <c r="H1457" t="s">
        <v>50</v>
      </c>
      <c r="I1457" s="2">
        <v>1</v>
      </c>
      <c r="J1457" s="3">
        <v>69</v>
      </c>
      <c r="K1457" s="4">
        <v>0.05</v>
      </c>
      <c r="L1457" s="3">
        <v>65.55</v>
      </c>
      <c r="M1457" t="b">
        <v>1</v>
      </c>
      <c r="N1457" s="2">
        <f>YEAR(B1457)</f>
        <v>2026</v>
      </c>
      <c r="O1457" t="str">
        <f>INDEX(Agences!$C:$C,MATCH(F1457,Agences!$A:$A,0))</f>
        <v>Méditerranée</v>
      </c>
      <c r="P1457" t="str">
        <f>INDEX(Produits!$C:$C,MATCH(H1457,Produits!$A:$A,0))</f>
        <v>Informatique</v>
      </c>
      <c r="Q1457" s="3">
        <f>I1457*INDEX(Produits!$E:$E,MATCH(H1457,Produits!$A:$A,0))</f>
        <v>54.51</v>
      </c>
      <c r="R1457" s="3">
        <f>L1457-Q1457</f>
        <v>11.04</v>
      </c>
      <c r="S1457" s="2">
        <f>NETWORKDAYS(B1457,C1457)-1</f>
        <v>3</v>
      </c>
      <c r="T1457" s="1">
        <f>WORKDAY(B1457,5)</f>
        <v>46072</v>
      </c>
      <c r="U1457" t="b">
        <f>C1457&gt;T1457</f>
        <v>0</v>
      </c>
    </row>
    <row r="1458" spans="1:21" x14ac:dyDescent="0.25">
      <c r="A1458" t="s">
        <v>1126</v>
      </c>
      <c r="B1458" s="1">
        <v>46065</v>
      </c>
      <c r="C1458" s="1">
        <v>46070</v>
      </c>
      <c r="D1458" t="s">
        <v>1127</v>
      </c>
      <c r="E1458" t="s">
        <v>191</v>
      </c>
      <c r="F1458" t="s">
        <v>62</v>
      </c>
      <c r="G1458" t="s">
        <v>68</v>
      </c>
      <c r="H1458" t="s">
        <v>48</v>
      </c>
      <c r="I1458" s="2">
        <v>2</v>
      </c>
      <c r="J1458" s="3">
        <v>165</v>
      </c>
      <c r="K1458" s="4">
        <v>0.02</v>
      </c>
      <c r="L1458" s="3">
        <v>323.4</v>
      </c>
      <c r="M1458" t="b">
        <v>1</v>
      </c>
      <c r="N1458" s="2">
        <f>YEAR(B1458)</f>
        <v>2026</v>
      </c>
      <c r="O1458" t="str">
        <f>INDEX(Agences!$C:$C,MATCH(F1458,Agences!$A:$A,0))</f>
        <v>Méditerranée</v>
      </c>
      <c r="P1458" t="str">
        <f>INDEX(Produits!$C:$C,MATCH(H1458,Produits!$A:$A,0))</f>
        <v>Mobilier</v>
      </c>
      <c r="Q1458" s="3">
        <f>I1458*INDEX(Produits!$E:$E,MATCH(H1458,Produits!$A:$A,0))</f>
        <v>214.5</v>
      </c>
      <c r="R1458" s="3">
        <f>L1458-Q1458</f>
        <v>108.89999999999998</v>
      </c>
      <c r="S1458" s="2">
        <f>NETWORKDAYS(B1458,C1458)-1</f>
        <v>3</v>
      </c>
      <c r="T1458" s="1">
        <f>WORKDAY(B1458,5)</f>
        <v>46072</v>
      </c>
      <c r="U1458" t="b">
        <f>C1458&gt;T1458</f>
        <v>0</v>
      </c>
    </row>
    <row r="1459" spans="1:21" x14ac:dyDescent="0.25">
      <c r="A1459" t="s">
        <v>1126</v>
      </c>
      <c r="B1459" s="1">
        <v>46065</v>
      </c>
      <c r="C1459" s="1">
        <v>46070</v>
      </c>
      <c r="D1459" t="s">
        <v>1127</v>
      </c>
      <c r="E1459" t="s">
        <v>191</v>
      </c>
      <c r="F1459" t="s">
        <v>62</v>
      </c>
      <c r="G1459" t="s">
        <v>68</v>
      </c>
      <c r="H1459" t="s">
        <v>83</v>
      </c>
      <c r="I1459" s="2">
        <v>1</v>
      </c>
      <c r="J1459" s="3">
        <v>49</v>
      </c>
      <c r="K1459" s="4">
        <v>0.02</v>
      </c>
      <c r="L1459" s="3">
        <v>48.02</v>
      </c>
      <c r="M1459" t="b">
        <v>1</v>
      </c>
      <c r="N1459" s="2">
        <f>YEAR(B1459)</f>
        <v>2026</v>
      </c>
      <c r="O1459" t="str">
        <f>INDEX(Agences!$C:$C,MATCH(F1459,Agences!$A:$A,0))</f>
        <v>Méditerranée</v>
      </c>
      <c r="P1459" t="str">
        <f>INDEX(Produits!$C:$C,MATCH(H1459,Produits!$A:$A,0))</f>
        <v>Mobilier</v>
      </c>
      <c r="Q1459" s="3">
        <f>I1459*INDEX(Produits!$E:$E,MATCH(H1459,Produits!$A:$A,0))</f>
        <v>28.42</v>
      </c>
      <c r="R1459" s="3">
        <f>L1459-Q1459</f>
        <v>19.6</v>
      </c>
      <c r="S1459" s="2">
        <f>NETWORKDAYS(B1459,C1459)-1</f>
        <v>3</v>
      </c>
      <c r="T1459" s="1">
        <f>WORKDAY(B1459,5)</f>
        <v>46072</v>
      </c>
      <c r="U1459" t="b">
        <f>C1459&gt;T1459</f>
        <v>0</v>
      </c>
    </row>
    <row r="1460" spans="1:21" x14ac:dyDescent="0.25">
      <c r="A1460" t="s">
        <v>1126</v>
      </c>
      <c r="B1460" s="1">
        <v>46065</v>
      </c>
      <c r="C1460" s="1">
        <v>46070</v>
      </c>
      <c r="D1460" t="s">
        <v>1127</v>
      </c>
      <c r="E1460" t="s">
        <v>191</v>
      </c>
      <c r="F1460" t="s">
        <v>62</v>
      </c>
      <c r="G1460" t="s">
        <v>68</v>
      </c>
      <c r="H1460" t="s">
        <v>34</v>
      </c>
      <c r="I1460" s="2">
        <v>2</v>
      </c>
      <c r="J1460" s="3">
        <v>340</v>
      </c>
      <c r="K1460" s="4">
        <v>0</v>
      </c>
      <c r="L1460" s="3">
        <v>680</v>
      </c>
      <c r="M1460" t="b">
        <v>1</v>
      </c>
      <c r="N1460" s="2">
        <f>YEAR(B1460)</f>
        <v>2026</v>
      </c>
      <c r="O1460" t="str">
        <f>INDEX(Agences!$C:$C,MATCH(F1460,Agences!$A:$A,0))</f>
        <v>Méditerranée</v>
      </c>
      <c r="P1460" t="str">
        <f>INDEX(Produits!$C:$C,MATCH(H1460,Produits!$A:$A,0))</f>
        <v>Informatique</v>
      </c>
      <c r="Q1460" s="3">
        <f>I1460*INDEX(Produits!$E:$E,MATCH(H1460,Produits!$A:$A,0))</f>
        <v>550.8</v>
      </c>
      <c r="R1460" s="3">
        <f>L1460-Q1460</f>
        <v>129.20000000000005</v>
      </c>
      <c r="S1460" s="2">
        <f>NETWORKDAYS(B1460,C1460)-1</f>
        <v>3</v>
      </c>
      <c r="T1460" s="1">
        <f>WORKDAY(B1460,5)</f>
        <v>46072</v>
      </c>
      <c r="U1460" t="b">
        <f>C1460&gt;T1460</f>
        <v>0</v>
      </c>
    </row>
    <row r="1461" spans="1:21" x14ac:dyDescent="0.25">
      <c r="A1461" t="s">
        <v>1126</v>
      </c>
      <c r="B1461" s="1">
        <v>46065</v>
      </c>
      <c r="C1461" s="1">
        <v>46070</v>
      </c>
      <c r="D1461" t="s">
        <v>1127</v>
      </c>
      <c r="E1461" t="s">
        <v>191</v>
      </c>
      <c r="F1461" t="s">
        <v>62</v>
      </c>
      <c r="G1461" t="s">
        <v>68</v>
      </c>
      <c r="H1461" t="s">
        <v>42</v>
      </c>
      <c r="I1461" s="2">
        <v>1</v>
      </c>
      <c r="J1461" s="3">
        <v>55</v>
      </c>
      <c r="K1461" s="4">
        <v>0</v>
      </c>
      <c r="L1461" s="3">
        <v>55</v>
      </c>
      <c r="M1461" t="b">
        <v>1</v>
      </c>
      <c r="N1461" s="2">
        <f>YEAR(B1461)</f>
        <v>2026</v>
      </c>
      <c r="O1461" t="str">
        <f>INDEX(Agences!$C:$C,MATCH(F1461,Agences!$A:$A,0))</f>
        <v>Méditerranée</v>
      </c>
      <c r="P1461" t="str">
        <f>INDEX(Produits!$C:$C,MATCH(H1461,Produits!$A:$A,0))</f>
        <v>Maintenance</v>
      </c>
      <c r="Q1461" s="3">
        <f>I1461*INDEX(Produits!$E:$E,MATCH(H1461,Produits!$A:$A,0))</f>
        <v>24.75</v>
      </c>
      <c r="R1461" s="3">
        <f>L1461-Q1461</f>
        <v>30.25</v>
      </c>
      <c r="S1461" s="2">
        <f>NETWORKDAYS(B1461,C1461)-1</f>
        <v>3</v>
      </c>
      <c r="T1461" s="1">
        <f>WORKDAY(B1461,5)</f>
        <v>46072</v>
      </c>
      <c r="U1461" t="b">
        <f>C1461&gt;T1461</f>
        <v>0</v>
      </c>
    </row>
    <row r="1462" spans="1:21" x14ac:dyDescent="0.25">
      <c r="A1462" t="s">
        <v>1128</v>
      </c>
      <c r="B1462" s="1">
        <v>46065</v>
      </c>
      <c r="C1462" s="1">
        <v>46070</v>
      </c>
      <c r="D1462" t="s">
        <v>970</v>
      </c>
      <c r="E1462" t="s">
        <v>242</v>
      </c>
      <c r="F1462" t="s">
        <v>94</v>
      </c>
      <c r="G1462" t="s">
        <v>182</v>
      </c>
      <c r="H1462" t="s">
        <v>42</v>
      </c>
      <c r="I1462" s="2">
        <v>1</v>
      </c>
      <c r="J1462" s="3">
        <v>55</v>
      </c>
      <c r="K1462" s="4">
        <v>0.08</v>
      </c>
      <c r="L1462" s="3">
        <v>50.6</v>
      </c>
      <c r="M1462" t="b">
        <v>1</v>
      </c>
      <c r="N1462" s="2">
        <f>YEAR(B1462)</f>
        <v>2026</v>
      </c>
      <c r="O1462" t="str">
        <f>INDEX(Agences!$C:$C,MATCH(F1462,Agences!$A:$A,0))</f>
        <v>Méditerranée</v>
      </c>
      <c r="P1462" t="str">
        <f>INDEX(Produits!$C:$C,MATCH(H1462,Produits!$A:$A,0))</f>
        <v>Maintenance</v>
      </c>
      <c r="Q1462" s="3">
        <f>I1462*INDEX(Produits!$E:$E,MATCH(H1462,Produits!$A:$A,0))</f>
        <v>24.75</v>
      </c>
      <c r="R1462" s="3">
        <f>L1462-Q1462</f>
        <v>25.85</v>
      </c>
      <c r="S1462" s="2">
        <f>NETWORKDAYS(B1462,C1462)-1</f>
        <v>3</v>
      </c>
      <c r="T1462" s="1">
        <f>WORKDAY(B1462,5)</f>
        <v>46072</v>
      </c>
      <c r="U1462" t="b">
        <f>C1462&gt;T1462</f>
        <v>0</v>
      </c>
    </row>
    <row r="1463" spans="1:21" x14ac:dyDescent="0.25">
      <c r="A1463" t="s">
        <v>1128</v>
      </c>
      <c r="B1463" s="1">
        <v>46065</v>
      </c>
      <c r="C1463" s="1">
        <v>46070</v>
      </c>
      <c r="D1463" t="s">
        <v>970</v>
      </c>
      <c r="E1463" t="s">
        <v>242</v>
      </c>
      <c r="F1463" t="s">
        <v>94</v>
      </c>
      <c r="G1463" t="s">
        <v>182</v>
      </c>
      <c r="H1463" t="s">
        <v>319</v>
      </c>
      <c r="I1463" s="2">
        <v>5</v>
      </c>
      <c r="J1463" s="3">
        <v>289</v>
      </c>
      <c r="K1463" s="4">
        <v>0</v>
      </c>
      <c r="L1463" s="3">
        <v>1445</v>
      </c>
      <c r="M1463" t="b">
        <v>1</v>
      </c>
      <c r="N1463" s="2">
        <f>YEAR(B1463)</f>
        <v>2026</v>
      </c>
      <c r="O1463" t="str">
        <f>INDEX(Agences!$C:$C,MATCH(F1463,Agences!$A:$A,0))</f>
        <v>Méditerranée</v>
      </c>
      <c r="P1463" t="str">
        <f>INDEX(Produits!$C:$C,MATCH(H1463,Produits!$A:$A,0))</f>
        <v>Informatique</v>
      </c>
      <c r="Q1463" s="3">
        <f>I1463*INDEX(Produits!$E:$E,MATCH(H1463,Produits!$A:$A,0))</f>
        <v>1069.3000000000002</v>
      </c>
      <c r="R1463" s="3">
        <f>L1463-Q1463</f>
        <v>375.6999999999998</v>
      </c>
      <c r="S1463" s="2">
        <f>NETWORKDAYS(B1463,C1463)-1</f>
        <v>3</v>
      </c>
      <c r="T1463" s="1">
        <f>WORKDAY(B1463,5)</f>
        <v>46072</v>
      </c>
      <c r="U1463" t="b">
        <f>C1463&gt;T1463</f>
        <v>0</v>
      </c>
    </row>
    <row r="1464" spans="1:21" x14ac:dyDescent="0.25">
      <c r="A1464" t="s">
        <v>1129</v>
      </c>
      <c r="B1464" s="1">
        <v>46064</v>
      </c>
      <c r="C1464" s="1">
        <v>46066</v>
      </c>
      <c r="D1464" t="s">
        <v>573</v>
      </c>
      <c r="E1464" t="s">
        <v>23</v>
      </c>
      <c r="F1464" t="s">
        <v>24</v>
      </c>
      <c r="G1464" t="s">
        <v>199</v>
      </c>
      <c r="H1464" t="s">
        <v>196</v>
      </c>
      <c r="I1464" s="2">
        <v>5</v>
      </c>
      <c r="J1464" s="3">
        <v>18.5</v>
      </c>
      <c r="K1464" s="4">
        <v>0.05</v>
      </c>
      <c r="L1464" s="3">
        <v>87.88</v>
      </c>
      <c r="M1464" t="b">
        <v>1</v>
      </c>
      <c r="N1464" s="2">
        <f>YEAR(B1464)</f>
        <v>2026</v>
      </c>
      <c r="O1464" t="str">
        <f>INDEX(Agences!$C:$C,MATCH(F1464,Agences!$A:$A,0))</f>
        <v>Nord</v>
      </c>
      <c r="P1464" t="str">
        <f>INDEX(Produits!$C:$C,MATCH(H1464,Produits!$A:$A,0))</f>
        <v>Fournitures</v>
      </c>
      <c r="Q1464" s="3">
        <f>I1464*INDEX(Produits!$E:$E,MATCH(H1464,Produits!$A:$A,0))</f>
        <v>47.199999999999996</v>
      </c>
      <c r="R1464" s="3">
        <f>L1464-Q1464</f>
        <v>40.68</v>
      </c>
      <c r="S1464" s="2">
        <f>NETWORKDAYS(B1464,C1464)-1</f>
        <v>2</v>
      </c>
      <c r="T1464" s="1">
        <f>WORKDAY(B1464,5)</f>
        <v>46071</v>
      </c>
      <c r="U1464" t="b">
        <f>C1464&gt;T1464</f>
        <v>0</v>
      </c>
    </row>
    <row r="1465" spans="1:21" x14ac:dyDescent="0.25">
      <c r="A1465" t="s">
        <v>1129</v>
      </c>
      <c r="B1465" s="1">
        <v>46064</v>
      </c>
      <c r="C1465" s="1">
        <v>46066</v>
      </c>
      <c r="D1465" t="s">
        <v>573</v>
      </c>
      <c r="E1465" t="s">
        <v>23</v>
      </c>
      <c r="F1465" t="s">
        <v>24</v>
      </c>
      <c r="G1465" t="s">
        <v>199</v>
      </c>
      <c r="H1465" t="s">
        <v>83</v>
      </c>
      <c r="I1465" s="2">
        <v>3</v>
      </c>
      <c r="J1465" s="3">
        <v>49</v>
      </c>
      <c r="K1465" s="4">
        <v>0.02</v>
      </c>
      <c r="L1465" s="3">
        <v>144.06</v>
      </c>
      <c r="M1465" t="b">
        <v>1</v>
      </c>
      <c r="N1465" s="2">
        <f>YEAR(B1465)</f>
        <v>2026</v>
      </c>
      <c r="O1465" t="str">
        <f>INDEX(Agences!$C:$C,MATCH(F1465,Agences!$A:$A,0))</f>
        <v>Nord</v>
      </c>
      <c r="P1465" t="str">
        <f>INDEX(Produits!$C:$C,MATCH(H1465,Produits!$A:$A,0))</f>
        <v>Mobilier</v>
      </c>
      <c r="Q1465" s="3">
        <f>I1465*INDEX(Produits!$E:$E,MATCH(H1465,Produits!$A:$A,0))</f>
        <v>85.26</v>
      </c>
      <c r="R1465" s="3">
        <f>L1465-Q1465</f>
        <v>58.8</v>
      </c>
      <c r="S1465" s="2">
        <f>NETWORKDAYS(B1465,C1465)-1</f>
        <v>2</v>
      </c>
      <c r="T1465" s="1">
        <f>WORKDAY(B1465,5)</f>
        <v>46071</v>
      </c>
      <c r="U1465" t="b">
        <f>C1465&gt;T1465</f>
        <v>0</v>
      </c>
    </row>
    <row r="1466" spans="1:21" x14ac:dyDescent="0.25">
      <c r="A1466" t="s">
        <v>1129</v>
      </c>
      <c r="B1466" s="1">
        <v>46064</v>
      </c>
      <c r="C1466" s="1">
        <v>46066</v>
      </c>
      <c r="D1466" t="s">
        <v>573</v>
      </c>
      <c r="E1466" t="s">
        <v>23</v>
      </c>
      <c r="F1466" t="s">
        <v>24</v>
      </c>
      <c r="G1466" t="s">
        <v>199</v>
      </c>
      <c r="H1466" t="s">
        <v>72</v>
      </c>
      <c r="I1466" s="2">
        <v>2</v>
      </c>
      <c r="J1466" s="3">
        <v>179</v>
      </c>
      <c r="K1466" s="4">
        <v>0.08</v>
      </c>
      <c r="L1466" s="3">
        <v>329.36</v>
      </c>
      <c r="M1466" t="b">
        <v>1</v>
      </c>
      <c r="N1466" s="2">
        <f>YEAR(B1466)</f>
        <v>2026</v>
      </c>
      <c r="O1466" t="str">
        <f>INDEX(Agences!$C:$C,MATCH(F1466,Agences!$A:$A,0))</f>
        <v>Nord</v>
      </c>
      <c r="P1466" t="str">
        <f>INDEX(Produits!$C:$C,MATCH(H1466,Produits!$A:$A,0))</f>
        <v>Informatique</v>
      </c>
      <c r="Q1466" s="3">
        <f>I1466*INDEX(Produits!$E:$E,MATCH(H1466,Produits!$A:$A,0))</f>
        <v>293.56</v>
      </c>
      <c r="R1466" s="3">
        <f>L1466-Q1466</f>
        <v>35.80000000000001</v>
      </c>
      <c r="S1466" s="2">
        <f>NETWORKDAYS(B1466,C1466)-1</f>
        <v>2</v>
      </c>
      <c r="T1466" s="1">
        <f>WORKDAY(B1466,5)</f>
        <v>46071</v>
      </c>
      <c r="U1466" t="b">
        <f>C1466&gt;T1466</f>
        <v>0</v>
      </c>
    </row>
    <row r="1467" spans="1:21" x14ac:dyDescent="0.25">
      <c r="A1467" t="s">
        <v>1129</v>
      </c>
      <c r="B1467" s="1">
        <v>46064</v>
      </c>
      <c r="C1467" s="1">
        <v>46066</v>
      </c>
      <c r="D1467" t="s">
        <v>573</v>
      </c>
      <c r="E1467" t="s">
        <v>23</v>
      </c>
      <c r="F1467" t="s">
        <v>24</v>
      </c>
      <c r="G1467" t="s">
        <v>199</v>
      </c>
      <c r="H1467" t="s">
        <v>205</v>
      </c>
      <c r="I1467" s="2">
        <v>1</v>
      </c>
      <c r="J1467" s="3">
        <v>359</v>
      </c>
      <c r="K1467" s="4">
        <v>0</v>
      </c>
      <c r="L1467" s="3">
        <v>359</v>
      </c>
      <c r="M1467" t="b">
        <v>1</v>
      </c>
      <c r="N1467" s="2">
        <f>YEAR(B1467)</f>
        <v>2026</v>
      </c>
      <c r="O1467" t="str">
        <f>INDEX(Agences!$C:$C,MATCH(F1467,Agences!$A:$A,0))</f>
        <v>Nord</v>
      </c>
      <c r="P1467" t="str">
        <f>INDEX(Produits!$C:$C,MATCH(H1467,Produits!$A:$A,0))</f>
        <v>Mobilier</v>
      </c>
      <c r="Q1467" s="3">
        <f>I1467*INDEX(Produits!$E:$E,MATCH(H1467,Produits!$A:$A,0))</f>
        <v>204.63</v>
      </c>
      <c r="R1467" s="3">
        <f>L1467-Q1467</f>
        <v>154.37</v>
      </c>
      <c r="S1467" s="2">
        <f>NETWORKDAYS(B1467,C1467)-1</f>
        <v>2</v>
      </c>
      <c r="T1467" s="1">
        <f>WORKDAY(B1467,5)</f>
        <v>46071</v>
      </c>
      <c r="U1467" t="b">
        <f>C1467&gt;T1467</f>
        <v>0</v>
      </c>
    </row>
    <row r="1468" spans="1:21" x14ac:dyDescent="0.25">
      <c r="A1468" t="s">
        <v>1130</v>
      </c>
      <c r="B1468" s="1">
        <v>46064</v>
      </c>
      <c r="C1468" s="1">
        <v>46070</v>
      </c>
      <c r="D1468" t="s">
        <v>1131</v>
      </c>
      <c r="E1468" t="s">
        <v>202</v>
      </c>
      <c r="F1468" t="s">
        <v>138</v>
      </c>
      <c r="G1468" t="s">
        <v>214</v>
      </c>
      <c r="H1468" t="s">
        <v>319</v>
      </c>
      <c r="I1468" s="2">
        <v>3</v>
      </c>
      <c r="J1468" s="3">
        <v>289</v>
      </c>
      <c r="K1468" s="4">
        <v>0.05</v>
      </c>
      <c r="L1468" s="3">
        <v>823.65</v>
      </c>
      <c r="M1468" t="b">
        <v>1</v>
      </c>
      <c r="N1468" s="2">
        <f>YEAR(B1468)</f>
        <v>2026</v>
      </c>
      <c r="O1468" t="str">
        <f>INDEX(Agences!$C:$C,MATCH(F1468,Agences!$A:$A,0))</f>
        <v>Île-de-France</v>
      </c>
      <c r="P1468" t="str">
        <f>INDEX(Produits!$C:$C,MATCH(H1468,Produits!$A:$A,0))</f>
        <v>Informatique</v>
      </c>
      <c r="Q1468" s="3">
        <f>I1468*INDEX(Produits!$E:$E,MATCH(H1468,Produits!$A:$A,0))</f>
        <v>641.58</v>
      </c>
      <c r="R1468" s="3">
        <f>L1468-Q1468</f>
        <v>182.06999999999994</v>
      </c>
      <c r="S1468" s="2">
        <f>NETWORKDAYS(B1468,C1468)-1</f>
        <v>4</v>
      </c>
      <c r="T1468" s="1">
        <f>WORKDAY(B1468,5)</f>
        <v>46071</v>
      </c>
      <c r="U1468" t="b">
        <f>C1468&gt;T1468</f>
        <v>0</v>
      </c>
    </row>
    <row r="1469" spans="1:21" x14ac:dyDescent="0.25">
      <c r="A1469" t="s">
        <v>1130</v>
      </c>
      <c r="B1469" s="1">
        <v>46064</v>
      </c>
      <c r="C1469" s="1">
        <v>46070</v>
      </c>
      <c r="D1469" t="s">
        <v>1131</v>
      </c>
      <c r="E1469" t="s">
        <v>202</v>
      </c>
      <c r="F1469" t="s">
        <v>138</v>
      </c>
      <c r="G1469" t="s">
        <v>214</v>
      </c>
      <c r="H1469" t="s">
        <v>112</v>
      </c>
      <c r="I1469" s="2">
        <v>1</v>
      </c>
      <c r="J1469" s="3">
        <v>129</v>
      </c>
      <c r="K1469" s="4">
        <v>0</v>
      </c>
      <c r="L1469" s="3">
        <v>129</v>
      </c>
      <c r="M1469" t="b">
        <v>1</v>
      </c>
      <c r="N1469" s="2">
        <f>YEAR(B1469)</f>
        <v>2026</v>
      </c>
      <c r="O1469" t="str">
        <f>INDEX(Agences!$C:$C,MATCH(F1469,Agences!$A:$A,0))</f>
        <v>Île-de-France</v>
      </c>
      <c r="P1469" t="str">
        <f>INDEX(Produits!$C:$C,MATCH(H1469,Produits!$A:$A,0))</f>
        <v>Mobilier</v>
      </c>
      <c r="Q1469" s="3">
        <f>I1469*INDEX(Produits!$E:$E,MATCH(H1469,Produits!$A:$A,0))</f>
        <v>86.43</v>
      </c>
      <c r="R1469" s="3">
        <f>L1469-Q1469</f>
        <v>42.56999999999999</v>
      </c>
      <c r="S1469" s="2">
        <f>NETWORKDAYS(B1469,C1469)-1</f>
        <v>4</v>
      </c>
      <c r="T1469" s="1">
        <f>WORKDAY(B1469,5)</f>
        <v>46071</v>
      </c>
      <c r="U1469" t="b">
        <f>C1469&gt;T1469</f>
        <v>0</v>
      </c>
    </row>
    <row r="1470" spans="1:21" x14ac:dyDescent="0.25">
      <c r="A1470" t="s">
        <v>1132</v>
      </c>
      <c r="B1470" s="1">
        <v>46064</v>
      </c>
      <c r="C1470" s="1">
        <v>46066</v>
      </c>
      <c r="D1470" t="s">
        <v>637</v>
      </c>
      <c r="E1470" t="s">
        <v>336</v>
      </c>
      <c r="F1470" t="s">
        <v>166</v>
      </c>
      <c r="G1470" t="s">
        <v>179</v>
      </c>
      <c r="H1470" t="s">
        <v>49</v>
      </c>
      <c r="I1470" s="2">
        <v>1</v>
      </c>
      <c r="J1470" s="3">
        <v>120</v>
      </c>
      <c r="K1470" s="4">
        <v>0</v>
      </c>
      <c r="L1470" s="3">
        <v>120</v>
      </c>
      <c r="M1470" t="b">
        <v>1</v>
      </c>
      <c r="N1470" s="2">
        <f>YEAR(B1470)</f>
        <v>2026</v>
      </c>
      <c r="O1470" t="str">
        <f>INDEX(Agences!$C:$C,MATCH(F1470,Agences!$A:$A,0))</f>
        <v>Ouest</v>
      </c>
      <c r="P1470" t="str">
        <f>INDEX(Produits!$C:$C,MATCH(H1470,Produits!$A:$A,0))</f>
        <v>Maintenance</v>
      </c>
      <c r="Q1470" s="3">
        <f>I1470*INDEX(Produits!$E:$E,MATCH(H1470,Produits!$A:$A,0))</f>
        <v>55.2</v>
      </c>
      <c r="R1470" s="3">
        <f>L1470-Q1470</f>
        <v>64.8</v>
      </c>
      <c r="S1470" s="2">
        <f>NETWORKDAYS(B1470,C1470)-1</f>
        <v>2</v>
      </c>
      <c r="T1470" s="1">
        <f>WORKDAY(B1470,5)</f>
        <v>46071</v>
      </c>
      <c r="U1470" t="b">
        <f>C1470&gt;T1470</f>
        <v>0</v>
      </c>
    </row>
    <row r="1471" spans="1:21" x14ac:dyDescent="0.25">
      <c r="A1471" t="s">
        <v>1132</v>
      </c>
      <c r="B1471" s="1">
        <v>46064</v>
      </c>
      <c r="C1471" s="1">
        <v>46066</v>
      </c>
      <c r="D1471" t="s">
        <v>637</v>
      </c>
      <c r="E1471" t="s">
        <v>336</v>
      </c>
      <c r="F1471" t="s">
        <v>166</v>
      </c>
      <c r="G1471" t="s">
        <v>179</v>
      </c>
      <c r="H1471" t="s">
        <v>161</v>
      </c>
      <c r="I1471" s="2">
        <v>15</v>
      </c>
      <c r="J1471" s="3">
        <v>32</v>
      </c>
      <c r="K1471" s="4">
        <v>0</v>
      </c>
      <c r="L1471" s="3">
        <v>480</v>
      </c>
      <c r="M1471" t="b">
        <v>1</v>
      </c>
      <c r="N1471" s="2">
        <f>YEAR(B1471)</f>
        <v>2026</v>
      </c>
      <c r="O1471" t="str">
        <f>INDEX(Agences!$C:$C,MATCH(F1471,Agences!$A:$A,0))</f>
        <v>Ouest</v>
      </c>
      <c r="P1471" t="str">
        <f>INDEX(Produits!$C:$C,MATCH(H1471,Produits!$A:$A,0))</f>
        <v>Fournitures</v>
      </c>
      <c r="Q1471" s="3">
        <f>I1471*INDEX(Produits!$E:$E,MATCH(H1471,Produits!$A:$A,0))</f>
        <v>264</v>
      </c>
      <c r="R1471" s="3">
        <f>L1471-Q1471</f>
        <v>216</v>
      </c>
      <c r="S1471" s="2">
        <f>NETWORKDAYS(B1471,C1471)-1</f>
        <v>2</v>
      </c>
      <c r="T1471" s="1">
        <f>WORKDAY(B1471,5)</f>
        <v>46071</v>
      </c>
      <c r="U1471" t="b">
        <f>C1471&gt;T1471</f>
        <v>0</v>
      </c>
    </row>
    <row r="1472" spans="1:21" x14ac:dyDescent="0.25">
      <c r="A1472" t="s">
        <v>1133</v>
      </c>
      <c r="B1472" s="1">
        <v>46064</v>
      </c>
      <c r="C1472" s="1">
        <v>46069</v>
      </c>
      <c r="D1472" t="s">
        <v>543</v>
      </c>
      <c r="E1472" t="s">
        <v>130</v>
      </c>
      <c r="F1472" t="s">
        <v>39</v>
      </c>
      <c r="G1472" t="s">
        <v>322</v>
      </c>
      <c r="H1472" t="s">
        <v>162</v>
      </c>
      <c r="I1472" s="2">
        <v>1</v>
      </c>
      <c r="J1472" s="3">
        <v>289</v>
      </c>
      <c r="K1472" s="4">
        <v>0</v>
      </c>
      <c r="L1472" s="3">
        <v>289</v>
      </c>
      <c r="M1472" t="b">
        <v>1</v>
      </c>
      <c r="N1472" s="2">
        <f>YEAR(B1472)</f>
        <v>2026</v>
      </c>
      <c r="O1472" t="str">
        <f>INDEX(Agences!$C:$C,MATCH(F1472,Agences!$A:$A,0))</f>
        <v>Sud-Ouest</v>
      </c>
      <c r="P1472" t="str">
        <f>INDEX(Produits!$C:$C,MATCH(H1472,Produits!$A:$A,0))</f>
        <v>Mobilier</v>
      </c>
      <c r="Q1472" s="3">
        <f>I1472*INDEX(Produits!$E:$E,MATCH(H1472,Produits!$A:$A,0))</f>
        <v>193.63</v>
      </c>
      <c r="R1472" s="3">
        <f>L1472-Q1472</f>
        <v>95.37</v>
      </c>
      <c r="S1472" s="2">
        <f>NETWORKDAYS(B1472,C1472)-1</f>
        <v>3</v>
      </c>
      <c r="T1472" s="1">
        <f>WORKDAY(B1472,5)</f>
        <v>46071</v>
      </c>
      <c r="U1472" t="b">
        <f>C1472&gt;T1472</f>
        <v>0</v>
      </c>
    </row>
    <row r="1473" spans="1:21" x14ac:dyDescent="0.25">
      <c r="A1473" t="s">
        <v>1133</v>
      </c>
      <c r="B1473" s="1">
        <v>46064</v>
      </c>
      <c r="C1473" s="1">
        <v>46069</v>
      </c>
      <c r="D1473" t="s">
        <v>543</v>
      </c>
      <c r="E1473" t="s">
        <v>130</v>
      </c>
      <c r="F1473" t="s">
        <v>39</v>
      </c>
      <c r="G1473" t="s">
        <v>322</v>
      </c>
      <c r="H1473" t="s">
        <v>33</v>
      </c>
      <c r="I1473" s="2">
        <v>6</v>
      </c>
      <c r="J1473" s="3">
        <v>219</v>
      </c>
      <c r="K1473" s="4">
        <v>0</v>
      </c>
      <c r="L1473" s="3">
        <v>1314</v>
      </c>
      <c r="M1473" t="b">
        <v>1</v>
      </c>
      <c r="N1473" s="2">
        <f>YEAR(B1473)</f>
        <v>2026</v>
      </c>
      <c r="O1473" t="str">
        <f>INDEX(Agences!$C:$C,MATCH(F1473,Agences!$A:$A,0))</f>
        <v>Sud-Ouest</v>
      </c>
      <c r="P1473" t="str">
        <f>INDEX(Produits!$C:$C,MATCH(H1473,Produits!$A:$A,0))</f>
        <v>Informatique</v>
      </c>
      <c r="Q1473" s="3">
        <f>I1473*INDEX(Produits!$E:$E,MATCH(H1473,Produits!$A:$A,0))</f>
        <v>1077.48</v>
      </c>
      <c r="R1473" s="3">
        <f>L1473-Q1473</f>
        <v>236.51999999999998</v>
      </c>
      <c r="S1473" s="2">
        <f>NETWORKDAYS(B1473,C1473)-1</f>
        <v>3</v>
      </c>
      <c r="T1473" s="1">
        <f>WORKDAY(B1473,5)</f>
        <v>46071</v>
      </c>
      <c r="U1473" t="b">
        <f>C1473&gt;T1473</f>
        <v>0</v>
      </c>
    </row>
    <row r="1474" spans="1:21" x14ac:dyDescent="0.25">
      <c r="A1474" t="s">
        <v>1134</v>
      </c>
      <c r="B1474" s="1">
        <v>46064</v>
      </c>
      <c r="C1474" s="1">
        <v>46066</v>
      </c>
      <c r="D1474" t="s">
        <v>148</v>
      </c>
      <c r="E1474" t="s">
        <v>149</v>
      </c>
      <c r="F1474" t="s">
        <v>88</v>
      </c>
      <c r="G1474" t="s">
        <v>142</v>
      </c>
      <c r="H1474" t="s">
        <v>205</v>
      </c>
      <c r="I1474" s="2">
        <v>5</v>
      </c>
      <c r="J1474" s="3">
        <v>359</v>
      </c>
      <c r="K1474" s="4">
        <v>0</v>
      </c>
      <c r="L1474" s="3">
        <v>1795</v>
      </c>
      <c r="M1474" t="b">
        <v>1</v>
      </c>
      <c r="N1474" s="2">
        <f>YEAR(B1474)</f>
        <v>2026</v>
      </c>
      <c r="O1474" t="str">
        <f>INDEX(Agences!$C:$C,MATCH(F1474,Agences!$A:$A,0))</f>
        <v>Sud-Ouest</v>
      </c>
      <c r="P1474" t="str">
        <f>INDEX(Produits!$C:$C,MATCH(H1474,Produits!$A:$A,0))</f>
        <v>Mobilier</v>
      </c>
      <c r="Q1474" s="3">
        <f>I1474*INDEX(Produits!$E:$E,MATCH(H1474,Produits!$A:$A,0))</f>
        <v>1023.15</v>
      </c>
      <c r="R1474" s="3">
        <f>L1474-Q1474</f>
        <v>771.85</v>
      </c>
      <c r="S1474" s="2">
        <f>NETWORKDAYS(B1474,C1474)-1</f>
        <v>2</v>
      </c>
      <c r="T1474" s="1">
        <f>WORKDAY(B1474,5)</f>
        <v>46071</v>
      </c>
      <c r="U1474" t="b">
        <f>C1474&gt;T1474</f>
        <v>0</v>
      </c>
    </row>
    <row r="1475" spans="1:21" x14ac:dyDescent="0.25">
      <c r="A1475" t="s">
        <v>1134</v>
      </c>
      <c r="B1475" s="1">
        <v>46064</v>
      </c>
      <c r="C1475" s="1">
        <v>46066</v>
      </c>
      <c r="D1475" t="s">
        <v>148</v>
      </c>
      <c r="E1475" t="s">
        <v>149</v>
      </c>
      <c r="F1475" t="s">
        <v>88</v>
      </c>
      <c r="G1475" t="s">
        <v>142</v>
      </c>
      <c r="H1475" t="s">
        <v>103</v>
      </c>
      <c r="I1475" s="2">
        <v>1</v>
      </c>
      <c r="J1475" s="3">
        <v>245</v>
      </c>
      <c r="K1475" s="4">
        <v>0.02</v>
      </c>
      <c r="L1475" s="3">
        <v>240.1</v>
      </c>
      <c r="M1475" t="b">
        <v>1</v>
      </c>
      <c r="N1475" s="2">
        <f>YEAR(B1475)</f>
        <v>2026</v>
      </c>
      <c r="O1475" t="str">
        <f>INDEX(Agences!$C:$C,MATCH(F1475,Agences!$A:$A,0))</f>
        <v>Sud-Ouest</v>
      </c>
      <c r="P1475" t="str">
        <f>INDEX(Produits!$C:$C,MATCH(H1475,Produits!$A:$A,0))</f>
        <v>Mobilier</v>
      </c>
      <c r="Q1475" s="3">
        <f>I1475*INDEX(Produits!$E:$E,MATCH(H1475,Produits!$A:$A,0))</f>
        <v>164.15</v>
      </c>
      <c r="R1475" s="3">
        <f>L1475-Q1475</f>
        <v>75.94999999999999</v>
      </c>
      <c r="S1475" s="2">
        <f>NETWORKDAYS(B1475,C1475)-1</f>
        <v>2</v>
      </c>
      <c r="T1475" s="1">
        <f>WORKDAY(B1475,5)</f>
        <v>46071</v>
      </c>
      <c r="U1475" t="b">
        <f>C1475&gt;T1475</f>
        <v>0</v>
      </c>
    </row>
    <row r="1476" spans="1:21" x14ac:dyDescent="0.25">
      <c r="A1476" t="s">
        <v>1134</v>
      </c>
      <c r="B1476" s="1">
        <v>46064</v>
      </c>
      <c r="C1476" s="1">
        <v>46066</v>
      </c>
      <c r="D1476" t="s">
        <v>148</v>
      </c>
      <c r="E1476" t="s">
        <v>149</v>
      </c>
      <c r="F1476" t="s">
        <v>88</v>
      </c>
      <c r="G1476" t="s">
        <v>142</v>
      </c>
      <c r="H1476" t="s">
        <v>72</v>
      </c>
      <c r="I1476" s="2">
        <v>1</v>
      </c>
      <c r="J1476" s="3">
        <v>179</v>
      </c>
      <c r="K1476" s="4">
        <v>0</v>
      </c>
      <c r="L1476" s="3">
        <v>179</v>
      </c>
      <c r="M1476" t="b">
        <v>1</v>
      </c>
      <c r="N1476" s="2">
        <f>YEAR(B1476)</f>
        <v>2026</v>
      </c>
      <c r="O1476" t="str">
        <f>INDEX(Agences!$C:$C,MATCH(F1476,Agences!$A:$A,0))</f>
        <v>Sud-Ouest</v>
      </c>
      <c r="P1476" t="str">
        <f>INDEX(Produits!$C:$C,MATCH(H1476,Produits!$A:$A,0))</f>
        <v>Informatique</v>
      </c>
      <c r="Q1476" s="3">
        <f>I1476*INDEX(Produits!$E:$E,MATCH(H1476,Produits!$A:$A,0))</f>
        <v>146.78</v>
      </c>
      <c r="R1476" s="3">
        <f>L1476-Q1476</f>
        <v>32.22</v>
      </c>
      <c r="S1476" s="2">
        <f>NETWORKDAYS(B1476,C1476)-1</f>
        <v>2</v>
      </c>
      <c r="T1476" s="1">
        <f>WORKDAY(B1476,5)</f>
        <v>46071</v>
      </c>
      <c r="U1476" t="b">
        <f>C1476&gt;T1476</f>
        <v>0</v>
      </c>
    </row>
    <row r="1477" spans="1:21" x14ac:dyDescent="0.25">
      <c r="A1477" t="s">
        <v>1134</v>
      </c>
      <c r="B1477" s="1">
        <v>46064</v>
      </c>
      <c r="C1477" s="1">
        <v>46066</v>
      </c>
      <c r="D1477" t="s">
        <v>148</v>
      </c>
      <c r="E1477" t="s">
        <v>149</v>
      </c>
      <c r="F1477" t="s">
        <v>88</v>
      </c>
      <c r="G1477" t="s">
        <v>142</v>
      </c>
      <c r="H1477" t="s">
        <v>42</v>
      </c>
      <c r="I1477" s="2">
        <v>2</v>
      </c>
      <c r="J1477" s="3">
        <v>55</v>
      </c>
      <c r="K1477" s="4">
        <v>0.05</v>
      </c>
      <c r="L1477" s="3">
        <v>104.5</v>
      </c>
      <c r="M1477" t="b">
        <v>1</v>
      </c>
      <c r="N1477" s="2">
        <f>YEAR(B1477)</f>
        <v>2026</v>
      </c>
      <c r="O1477" t="str">
        <f>INDEX(Agences!$C:$C,MATCH(F1477,Agences!$A:$A,0))</f>
        <v>Sud-Ouest</v>
      </c>
      <c r="P1477" t="str">
        <f>INDEX(Produits!$C:$C,MATCH(H1477,Produits!$A:$A,0))</f>
        <v>Maintenance</v>
      </c>
      <c r="Q1477" s="3">
        <f>I1477*INDEX(Produits!$E:$E,MATCH(H1477,Produits!$A:$A,0))</f>
        <v>49.5</v>
      </c>
      <c r="R1477" s="3">
        <f>L1477-Q1477</f>
        <v>55</v>
      </c>
      <c r="S1477" s="2">
        <f>NETWORKDAYS(B1477,C1477)-1</f>
        <v>2</v>
      </c>
      <c r="T1477" s="1">
        <f>WORKDAY(B1477,5)</f>
        <v>46071</v>
      </c>
      <c r="U1477" t="b">
        <f>C1477&gt;T1477</f>
        <v>0</v>
      </c>
    </row>
    <row r="1478" spans="1:21" x14ac:dyDescent="0.25">
      <c r="A1478" t="s">
        <v>1134</v>
      </c>
      <c r="B1478" s="1">
        <v>46064</v>
      </c>
      <c r="C1478" s="1">
        <v>46066</v>
      </c>
      <c r="D1478" t="s">
        <v>148</v>
      </c>
      <c r="E1478" t="s">
        <v>149</v>
      </c>
      <c r="F1478" t="s">
        <v>88</v>
      </c>
      <c r="G1478" t="s">
        <v>142</v>
      </c>
      <c r="H1478" t="s">
        <v>57</v>
      </c>
      <c r="I1478" s="2">
        <v>2</v>
      </c>
      <c r="J1478" s="3">
        <v>149</v>
      </c>
      <c r="K1478" s="4">
        <v>0</v>
      </c>
      <c r="L1478" s="3">
        <v>298</v>
      </c>
      <c r="M1478" t="b">
        <v>1</v>
      </c>
      <c r="N1478" s="2">
        <f>YEAR(B1478)</f>
        <v>2026</v>
      </c>
      <c r="O1478" t="str">
        <f>INDEX(Agences!$C:$C,MATCH(F1478,Agences!$A:$A,0))</f>
        <v>Sud-Ouest</v>
      </c>
      <c r="P1478" t="str">
        <f>INDEX(Produits!$C:$C,MATCH(H1478,Produits!$A:$A,0))</f>
        <v>Informatique</v>
      </c>
      <c r="Q1478" s="3">
        <f>I1478*INDEX(Produits!$E:$E,MATCH(H1478,Produits!$A:$A,0))</f>
        <v>229.46</v>
      </c>
      <c r="R1478" s="3">
        <f>L1478-Q1478</f>
        <v>68.53999999999999</v>
      </c>
      <c r="S1478" s="2">
        <f>NETWORKDAYS(B1478,C1478)-1</f>
        <v>2</v>
      </c>
      <c r="T1478" s="1">
        <f>WORKDAY(B1478,5)</f>
        <v>46071</v>
      </c>
      <c r="U1478" t="b">
        <f>C1478&gt;T1478</f>
        <v>0</v>
      </c>
    </row>
    <row r="1479" spans="1:21" x14ac:dyDescent="0.25">
      <c r="A1479" t="s">
        <v>1135</v>
      </c>
      <c r="B1479" s="1">
        <v>46064</v>
      </c>
      <c r="C1479" s="1">
        <v>46066</v>
      </c>
      <c r="D1479" t="s">
        <v>1136</v>
      </c>
      <c r="E1479" t="s">
        <v>191</v>
      </c>
      <c r="F1479" t="s">
        <v>62</v>
      </c>
      <c r="G1479" t="s">
        <v>106</v>
      </c>
      <c r="H1479" t="s">
        <v>206</v>
      </c>
      <c r="I1479" s="2">
        <v>20</v>
      </c>
      <c r="J1479" s="3">
        <v>34</v>
      </c>
      <c r="K1479" s="4">
        <v>0.3</v>
      </c>
      <c r="L1479" s="3">
        <v>476</v>
      </c>
      <c r="M1479" t="b">
        <v>1</v>
      </c>
      <c r="N1479" s="2">
        <f>YEAR(B1479)</f>
        <v>2026</v>
      </c>
      <c r="O1479" t="str">
        <f>INDEX(Agences!$C:$C,MATCH(F1479,Agences!$A:$A,0))</f>
        <v>Méditerranée</v>
      </c>
      <c r="P1479" t="str">
        <f>INDEX(Produits!$C:$C,MATCH(H1479,Produits!$A:$A,0))</f>
        <v>Fournitures</v>
      </c>
      <c r="Q1479" s="3">
        <f>I1479*INDEX(Produits!$E:$E,MATCH(H1479,Produits!$A:$A,0))</f>
        <v>387.59999999999997</v>
      </c>
      <c r="R1479" s="3">
        <f>L1479-Q1479</f>
        <v>88.40000000000003</v>
      </c>
      <c r="S1479" s="2">
        <f>NETWORKDAYS(B1479,C1479)-1</f>
        <v>2</v>
      </c>
      <c r="T1479" s="1">
        <f>WORKDAY(B1479,5)</f>
        <v>46071</v>
      </c>
      <c r="U1479" t="b">
        <f>C1479&gt;T1479</f>
        <v>0</v>
      </c>
    </row>
    <row r="1480" spans="1:21" x14ac:dyDescent="0.25">
      <c r="A1480" t="s">
        <v>1135</v>
      </c>
      <c r="B1480" s="1">
        <v>46064</v>
      </c>
      <c r="C1480" s="1">
        <v>46066</v>
      </c>
      <c r="D1480" t="s">
        <v>1136</v>
      </c>
      <c r="E1480" t="s">
        <v>191</v>
      </c>
      <c r="F1480" t="s">
        <v>62</v>
      </c>
      <c r="G1480" t="s">
        <v>106</v>
      </c>
      <c r="H1480" t="s">
        <v>42</v>
      </c>
      <c r="I1480" s="2">
        <v>3</v>
      </c>
      <c r="J1480" s="3">
        <v>55</v>
      </c>
      <c r="K1480" s="4">
        <v>0.28</v>
      </c>
      <c r="L1480" s="3">
        <v>118.8</v>
      </c>
      <c r="M1480" t="b">
        <v>1</v>
      </c>
      <c r="N1480" s="2">
        <f>YEAR(B1480)</f>
        <v>2026</v>
      </c>
      <c r="O1480" t="str">
        <f>INDEX(Agences!$C:$C,MATCH(F1480,Agences!$A:$A,0))</f>
        <v>Méditerranée</v>
      </c>
      <c r="P1480" t="str">
        <f>INDEX(Produits!$C:$C,MATCH(H1480,Produits!$A:$A,0))</f>
        <v>Maintenance</v>
      </c>
      <c r="Q1480" s="3">
        <f>I1480*INDEX(Produits!$E:$E,MATCH(H1480,Produits!$A:$A,0))</f>
        <v>74.25</v>
      </c>
      <c r="R1480" s="3">
        <f>L1480-Q1480</f>
        <v>44.55</v>
      </c>
      <c r="S1480" s="2">
        <f>NETWORKDAYS(B1480,C1480)-1</f>
        <v>2</v>
      </c>
      <c r="T1480" s="1">
        <f>WORKDAY(B1480,5)</f>
        <v>46071</v>
      </c>
      <c r="U1480" t="b">
        <f>C1480&gt;T1480</f>
        <v>0</v>
      </c>
    </row>
    <row r="1481" spans="1:21" x14ac:dyDescent="0.25">
      <c r="A1481" t="s">
        <v>1137</v>
      </c>
      <c r="B1481" s="1">
        <v>46064</v>
      </c>
      <c r="C1481" s="1">
        <v>46070</v>
      </c>
      <c r="D1481" t="s">
        <v>267</v>
      </c>
      <c r="E1481" t="s">
        <v>157</v>
      </c>
      <c r="F1481" t="s">
        <v>46</v>
      </c>
      <c r="G1481" t="s">
        <v>158</v>
      </c>
      <c r="H1481" t="s">
        <v>49</v>
      </c>
      <c r="I1481" s="2">
        <v>2</v>
      </c>
      <c r="J1481" s="3">
        <v>120</v>
      </c>
      <c r="K1481" s="4">
        <v>0</v>
      </c>
      <c r="L1481" s="3">
        <v>240</v>
      </c>
      <c r="M1481" t="b">
        <v>1</v>
      </c>
      <c r="N1481" s="2">
        <f>YEAR(B1481)</f>
        <v>2026</v>
      </c>
      <c r="O1481" t="str">
        <f>INDEX(Agences!$C:$C,MATCH(F1481,Agences!$A:$A,0))</f>
        <v>Est</v>
      </c>
      <c r="P1481" t="str">
        <f>INDEX(Produits!$C:$C,MATCH(H1481,Produits!$A:$A,0))</f>
        <v>Maintenance</v>
      </c>
      <c r="Q1481" s="3">
        <f>I1481*INDEX(Produits!$E:$E,MATCH(H1481,Produits!$A:$A,0))</f>
        <v>110.4</v>
      </c>
      <c r="R1481" s="3">
        <f>L1481-Q1481</f>
        <v>129.6</v>
      </c>
      <c r="S1481" s="2">
        <f>NETWORKDAYS(B1481,C1481)-1</f>
        <v>4</v>
      </c>
      <c r="T1481" s="1">
        <f>WORKDAY(B1481,5)</f>
        <v>46071</v>
      </c>
      <c r="U1481" t="b">
        <f>C1481&gt;T1481</f>
        <v>0</v>
      </c>
    </row>
    <row r="1482" spans="1:21" x14ac:dyDescent="0.25">
      <c r="A1482" t="s">
        <v>1137</v>
      </c>
      <c r="B1482" s="1">
        <v>46064</v>
      </c>
      <c r="C1482" s="1">
        <v>46070</v>
      </c>
      <c r="D1482" t="s">
        <v>267</v>
      </c>
      <c r="E1482" t="s">
        <v>157</v>
      </c>
      <c r="F1482" t="s">
        <v>46</v>
      </c>
      <c r="G1482" t="s">
        <v>158</v>
      </c>
      <c r="H1482" t="s">
        <v>103</v>
      </c>
      <c r="I1482" s="2">
        <v>5</v>
      </c>
      <c r="J1482" s="3">
        <v>245</v>
      </c>
      <c r="K1482" s="4">
        <v>0</v>
      </c>
      <c r="L1482" s="3">
        <v>1225</v>
      </c>
      <c r="M1482" t="b">
        <v>1</v>
      </c>
      <c r="N1482" s="2">
        <f>YEAR(B1482)</f>
        <v>2026</v>
      </c>
      <c r="O1482" t="str">
        <f>INDEX(Agences!$C:$C,MATCH(F1482,Agences!$A:$A,0))</f>
        <v>Est</v>
      </c>
      <c r="P1482" t="str">
        <f>INDEX(Produits!$C:$C,MATCH(H1482,Produits!$A:$A,0))</f>
        <v>Mobilier</v>
      </c>
      <c r="Q1482" s="3">
        <f>I1482*INDEX(Produits!$E:$E,MATCH(H1482,Produits!$A:$A,0))</f>
        <v>820.75</v>
      </c>
      <c r="R1482" s="3">
        <f>L1482-Q1482</f>
        <v>404.25</v>
      </c>
      <c r="S1482" s="2">
        <f>NETWORKDAYS(B1482,C1482)-1</f>
        <v>4</v>
      </c>
      <c r="T1482" s="1">
        <f>WORKDAY(B1482,5)</f>
        <v>46071</v>
      </c>
      <c r="U1482" t="b">
        <f>C1482&gt;T1482</f>
        <v>0</v>
      </c>
    </row>
    <row r="1483" spans="1:21" x14ac:dyDescent="0.25">
      <c r="A1483" t="s">
        <v>1138</v>
      </c>
      <c r="B1483" s="1">
        <v>46063</v>
      </c>
      <c r="C1483" s="1">
        <v>46069</v>
      </c>
      <c r="D1483" t="s">
        <v>1139</v>
      </c>
      <c r="E1483" t="s">
        <v>213</v>
      </c>
      <c r="F1483" t="s">
        <v>138</v>
      </c>
      <c r="G1483" t="s">
        <v>214</v>
      </c>
      <c r="H1483" t="s">
        <v>90</v>
      </c>
      <c r="I1483" s="2">
        <v>20</v>
      </c>
      <c r="J1483" s="3">
        <v>22.9</v>
      </c>
      <c r="K1483" s="4">
        <v>0.05</v>
      </c>
      <c r="L1483" s="3">
        <v>435.1</v>
      </c>
      <c r="M1483" t="b">
        <v>1</v>
      </c>
      <c r="N1483" s="2">
        <f>YEAR(B1483)</f>
        <v>2026</v>
      </c>
      <c r="O1483" t="str">
        <f>INDEX(Agences!$C:$C,MATCH(F1483,Agences!$A:$A,0))</f>
        <v>Île-de-France</v>
      </c>
      <c r="P1483" t="str">
        <f>INDEX(Produits!$C:$C,MATCH(H1483,Produits!$A:$A,0))</f>
        <v>Fournitures</v>
      </c>
      <c r="Q1483" s="3">
        <f>I1483*INDEX(Produits!$E:$E,MATCH(H1483,Produits!$A:$A,0))</f>
        <v>256.4</v>
      </c>
      <c r="R1483" s="3">
        <f>L1483-Q1483</f>
        <v>178.70000000000005</v>
      </c>
      <c r="S1483" s="2">
        <f>NETWORKDAYS(B1483,C1483)-1</f>
        <v>4</v>
      </c>
      <c r="T1483" s="1">
        <f>WORKDAY(B1483,5)</f>
        <v>46070</v>
      </c>
      <c r="U1483" t="b">
        <f>C1483&gt;T1483</f>
        <v>0</v>
      </c>
    </row>
    <row r="1484" spans="1:21" x14ac:dyDescent="0.25">
      <c r="A1484" t="s">
        <v>1140</v>
      </c>
      <c r="B1484" s="1">
        <v>46063</v>
      </c>
      <c r="C1484" s="1">
        <v>46066</v>
      </c>
      <c r="D1484" t="s">
        <v>581</v>
      </c>
      <c r="E1484" t="s">
        <v>75</v>
      </c>
      <c r="F1484" t="s">
        <v>76</v>
      </c>
      <c r="G1484" t="s">
        <v>176</v>
      </c>
      <c r="H1484" t="s">
        <v>84</v>
      </c>
      <c r="I1484" s="2">
        <v>1</v>
      </c>
      <c r="J1484" s="3">
        <v>420</v>
      </c>
      <c r="K1484" s="4">
        <v>0</v>
      </c>
      <c r="L1484" s="3">
        <v>420</v>
      </c>
      <c r="M1484" t="b">
        <v>1</v>
      </c>
      <c r="N1484" s="2">
        <f>YEAR(B1484)</f>
        <v>2026</v>
      </c>
      <c r="O1484" t="str">
        <f>INDEX(Agences!$C:$C,MATCH(F1484,Agences!$A:$A,0))</f>
        <v>Île-de-France</v>
      </c>
      <c r="P1484" t="str">
        <f>INDEX(Produits!$C:$C,MATCH(H1484,Produits!$A:$A,0))</f>
        <v>Mobilier</v>
      </c>
      <c r="Q1484" s="3">
        <f>I1484*INDEX(Produits!$E:$E,MATCH(H1484,Produits!$A:$A,0))</f>
        <v>243.6</v>
      </c>
      <c r="R1484" s="3">
        <f>L1484-Q1484</f>
        <v>176.4</v>
      </c>
      <c r="S1484" s="2">
        <f>NETWORKDAYS(B1484,C1484)-1</f>
        <v>3</v>
      </c>
      <c r="T1484" s="1">
        <f>WORKDAY(B1484,5)</f>
        <v>46070</v>
      </c>
      <c r="U1484" t="b">
        <f>C1484&gt;T1484</f>
        <v>0</v>
      </c>
    </row>
    <row r="1485" spans="1:21" x14ac:dyDescent="0.25">
      <c r="A1485" t="s">
        <v>1140</v>
      </c>
      <c r="B1485" s="1">
        <v>46063</v>
      </c>
      <c r="C1485" s="1">
        <v>46066</v>
      </c>
      <c r="D1485" t="s">
        <v>581</v>
      </c>
      <c r="E1485" t="s">
        <v>75</v>
      </c>
      <c r="F1485" t="s">
        <v>76</v>
      </c>
      <c r="G1485" t="s">
        <v>176</v>
      </c>
      <c r="H1485" t="s">
        <v>50</v>
      </c>
      <c r="I1485" s="2">
        <v>1</v>
      </c>
      <c r="J1485" s="3">
        <v>69</v>
      </c>
      <c r="K1485" s="4">
        <v>0.1</v>
      </c>
      <c r="L1485" s="3">
        <v>62.1</v>
      </c>
      <c r="M1485" t="b">
        <v>1</v>
      </c>
      <c r="N1485" s="2">
        <f>YEAR(B1485)</f>
        <v>2026</v>
      </c>
      <c r="O1485" t="str">
        <f>INDEX(Agences!$C:$C,MATCH(F1485,Agences!$A:$A,0))</f>
        <v>Île-de-France</v>
      </c>
      <c r="P1485" t="str">
        <f>INDEX(Produits!$C:$C,MATCH(H1485,Produits!$A:$A,0))</f>
        <v>Informatique</v>
      </c>
      <c r="Q1485" s="3">
        <f>I1485*INDEX(Produits!$E:$E,MATCH(H1485,Produits!$A:$A,0))</f>
        <v>54.51</v>
      </c>
      <c r="R1485" s="3">
        <f>L1485-Q1485</f>
        <v>7.590000000000003</v>
      </c>
      <c r="S1485" s="2">
        <f>NETWORKDAYS(B1485,C1485)-1</f>
        <v>3</v>
      </c>
      <c r="T1485" s="1">
        <f>WORKDAY(B1485,5)</f>
        <v>46070</v>
      </c>
      <c r="U1485" t="b">
        <f>C1485&gt;T1485</f>
        <v>0</v>
      </c>
    </row>
    <row r="1486" spans="1:21" x14ac:dyDescent="0.25">
      <c r="A1486" t="s">
        <v>1141</v>
      </c>
      <c r="B1486" s="1">
        <v>46063</v>
      </c>
      <c r="C1486" s="1">
        <v>46065</v>
      </c>
      <c r="D1486" t="s">
        <v>1142</v>
      </c>
      <c r="E1486" t="s">
        <v>175</v>
      </c>
      <c r="F1486" t="s">
        <v>76</v>
      </c>
      <c r="G1486" t="s">
        <v>232</v>
      </c>
      <c r="H1486" t="s">
        <v>51</v>
      </c>
      <c r="I1486" s="2">
        <v>3</v>
      </c>
      <c r="J1486" s="3">
        <v>180</v>
      </c>
      <c r="K1486" s="4">
        <v>0.05</v>
      </c>
      <c r="L1486" s="3">
        <v>513</v>
      </c>
      <c r="M1486" t="b">
        <v>1</v>
      </c>
      <c r="N1486" s="2">
        <f>YEAR(B1486)</f>
        <v>2026</v>
      </c>
      <c r="O1486" t="str">
        <f>INDEX(Agences!$C:$C,MATCH(F1486,Agences!$A:$A,0))</f>
        <v>Île-de-France</v>
      </c>
      <c r="P1486" t="str">
        <f>INDEX(Produits!$C:$C,MATCH(H1486,Produits!$A:$A,0))</f>
        <v>Maintenance</v>
      </c>
      <c r="Q1486" s="3">
        <f>I1486*INDEX(Produits!$E:$E,MATCH(H1486,Produits!$A:$A,0))</f>
        <v>248.39999999999998</v>
      </c>
      <c r="R1486" s="3">
        <f>L1486-Q1486</f>
        <v>264.6</v>
      </c>
      <c r="S1486" s="2">
        <f>NETWORKDAYS(B1486,C1486)-1</f>
        <v>2</v>
      </c>
      <c r="T1486" s="1">
        <f>WORKDAY(B1486,5)</f>
        <v>46070</v>
      </c>
      <c r="U1486" t="b">
        <f>C1486&gt;T1486</f>
        <v>0</v>
      </c>
    </row>
    <row r="1487" spans="1:21" x14ac:dyDescent="0.25">
      <c r="A1487" t="s">
        <v>1141</v>
      </c>
      <c r="B1487" s="1">
        <v>46063</v>
      </c>
      <c r="C1487" s="1">
        <v>46065</v>
      </c>
      <c r="D1487" t="s">
        <v>1142</v>
      </c>
      <c r="E1487" t="s">
        <v>175</v>
      </c>
      <c r="F1487" t="s">
        <v>76</v>
      </c>
      <c r="G1487" t="s">
        <v>232</v>
      </c>
      <c r="H1487" t="s">
        <v>50</v>
      </c>
      <c r="I1487" s="2">
        <v>2</v>
      </c>
      <c r="J1487" s="3">
        <v>69</v>
      </c>
      <c r="K1487" s="4">
        <v>0.08</v>
      </c>
      <c r="L1487" s="3">
        <v>126.96</v>
      </c>
      <c r="M1487" t="b">
        <v>1</v>
      </c>
      <c r="N1487" s="2">
        <f>YEAR(B1487)</f>
        <v>2026</v>
      </c>
      <c r="O1487" t="str">
        <f>INDEX(Agences!$C:$C,MATCH(F1487,Agences!$A:$A,0))</f>
        <v>Île-de-France</v>
      </c>
      <c r="P1487" t="str">
        <f>INDEX(Produits!$C:$C,MATCH(H1487,Produits!$A:$A,0))</f>
        <v>Informatique</v>
      </c>
      <c r="Q1487" s="3">
        <f>I1487*INDEX(Produits!$E:$E,MATCH(H1487,Produits!$A:$A,0))</f>
        <v>109.02</v>
      </c>
      <c r="R1487" s="3">
        <f>L1487-Q1487</f>
        <v>17.939999999999998</v>
      </c>
      <c r="S1487" s="2">
        <f>NETWORKDAYS(B1487,C1487)-1</f>
        <v>2</v>
      </c>
      <c r="T1487" s="1">
        <f>WORKDAY(B1487,5)</f>
        <v>46070</v>
      </c>
      <c r="U1487" t="b">
        <f>C1487&gt;T1487</f>
        <v>0</v>
      </c>
    </row>
    <row r="1488" spans="1:21" x14ac:dyDescent="0.25">
      <c r="A1488" t="s">
        <v>1143</v>
      </c>
      <c r="B1488" s="1">
        <v>46063</v>
      </c>
      <c r="C1488" s="1">
        <v>46065</v>
      </c>
      <c r="D1488" t="s">
        <v>891</v>
      </c>
      <c r="E1488" t="s">
        <v>185</v>
      </c>
      <c r="F1488" t="s">
        <v>31</v>
      </c>
      <c r="G1488" t="s">
        <v>375</v>
      </c>
      <c r="H1488" t="s">
        <v>42</v>
      </c>
      <c r="I1488" s="2">
        <v>1</v>
      </c>
      <c r="J1488" s="3">
        <v>55</v>
      </c>
      <c r="K1488" s="4">
        <v>0.08</v>
      </c>
      <c r="L1488" s="3">
        <v>50.6</v>
      </c>
      <c r="M1488" t="b">
        <v>1</v>
      </c>
      <c r="N1488" s="2">
        <f>YEAR(B1488)</f>
        <v>2026</v>
      </c>
      <c r="O1488" t="str">
        <f>INDEX(Agences!$C:$C,MATCH(F1488,Agences!$A:$A,0))</f>
        <v>Ouest</v>
      </c>
      <c r="P1488" t="str">
        <f>INDEX(Produits!$C:$C,MATCH(H1488,Produits!$A:$A,0))</f>
        <v>Maintenance</v>
      </c>
      <c r="Q1488" s="3">
        <f>I1488*INDEX(Produits!$E:$E,MATCH(H1488,Produits!$A:$A,0))</f>
        <v>24.75</v>
      </c>
      <c r="R1488" s="3">
        <f>L1488-Q1488</f>
        <v>25.85</v>
      </c>
      <c r="S1488" s="2">
        <f>NETWORKDAYS(B1488,C1488)-1</f>
        <v>2</v>
      </c>
      <c r="T1488" s="1">
        <f>WORKDAY(B1488,5)</f>
        <v>46070</v>
      </c>
      <c r="U1488" t="b">
        <f>C1488&gt;T1488</f>
        <v>0</v>
      </c>
    </row>
    <row r="1489" spans="1:21" x14ac:dyDescent="0.25">
      <c r="A1489" t="s">
        <v>1144</v>
      </c>
      <c r="B1489" s="1">
        <v>46063</v>
      </c>
      <c r="C1489" s="1">
        <v>46065</v>
      </c>
      <c r="D1489" t="s">
        <v>897</v>
      </c>
      <c r="E1489" t="s">
        <v>87</v>
      </c>
      <c r="F1489" t="s">
        <v>88</v>
      </c>
      <c r="G1489" t="s">
        <v>142</v>
      </c>
      <c r="H1489" t="s">
        <v>83</v>
      </c>
      <c r="I1489" s="2">
        <v>2</v>
      </c>
      <c r="J1489" s="3">
        <v>49</v>
      </c>
      <c r="K1489" s="4">
        <v>0.02</v>
      </c>
      <c r="L1489" s="3">
        <v>96.04</v>
      </c>
      <c r="M1489" t="b">
        <v>1</v>
      </c>
      <c r="N1489" s="2">
        <f>YEAR(B1489)</f>
        <v>2026</v>
      </c>
      <c r="O1489" t="str">
        <f>INDEX(Agences!$C:$C,MATCH(F1489,Agences!$A:$A,0))</f>
        <v>Sud-Ouest</v>
      </c>
      <c r="P1489" t="str">
        <f>INDEX(Produits!$C:$C,MATCH(H1489,Produits!$A:$A,0))</f>
        <v>Mobilier</v>
      </c>
      <c r="Q1489" s="3">
        <f>I1489*INDEX(Produits!$E:$E,MATCH(H1489,Produits!$A:$A,0))</f>
        <v>56.84</v>
      </c>
      <c r="R1489" s="3">
        <f>L1489-Q1489</f>
        <v>39.2</v>
      </c>
      <c r="S1489" s="2">
        <f>NETWORKDAYS(B1489,C1489)-1</f>
        <v>2</v>
      </c>
      <c r="T1489" s="1">
        <f>WORKDAY(B1489,5)</f>
        <v>46070</v>
      </c>
      <c r="U1489" t="b">
        <f>C1489&gt;T1489</f>
        <v>0</v>
      </c>
    </row>
    <row r="1490" spans="1:21" x14ac:dyDescent="0.25">
      <c r="A1490" t="s">
        <v>1145</v>
      </c>
      <c r="B1490" s="1">
        <v>46062</v>
      </c>
      <c r="C1490" s="1">
        <v>46064</v>
      </c>
      <c r="D1490" t="s">
        <v>1146</v>
      </c>
      <c r="E1490" t="s">
        <v>137</v>
      </c>
      <c r="F1490" t="s">
        <v>138</v>
      </c>
      <c r="G1490" t="s">
        <v>214</v>
      </c>
      <c r="H1490" t="s">
        <v>51</v>
      </c>
      <c r="I1490" s="2">
        <v>1</v>
      </c>
      <c r="J1490" s="3">
        <v>180</v>
      </c>
      <c r="K1490" s="4">
        <v>0</v>
      </c>
      <c r="L1490" s="3">
        <v>180</v>
      </c>
      <c r="M1490" t="b">
        <v>1</v>
      </c>
      <c r="N1490" s="2">
        <f>YEAR(B1490)</f>
        <v>2026</v>
      </c>
      <c r="O1490" t="str">
        <f>INDEX(Agences!$C:$C,MATCH(F1490,Agences!$A:$A,0))</f>
        <v>Île-de-France</v>
      </c>
      <c r="P1490" t="str">
        <f>INDEX(Produits!$C:$C,MATCH(H1490,Produits!$A:$A,0))</f>
        <v>Maintenance</v>
      </c>
      <c r="Q1490" s="3">
        <f>I1490*INDEX(Produits!$E:$E,MATCH(H1490,Produits!$A:$A,0))</f>
        <v>82.8</v>
      </c>
      <c r="R1490" s="3">
        <f>L1490-Q1490</f>
        <v>97.2</v>
      </c>
      <c r="S1490" s="2">
        <f>NETWORKDAYS(B1490,C1490)-1</f>
        <v>2</v>
      </c>
      <c r="T1490" s="1">
        <f>WORKDAY(B1490,5)</f>
        <v>46069</v>
      </c>
      <c r="U1490" t="b">
        <f>C1490&gt;T1490</f>
        <v>0</v>
      </c>
    </row>
    <row r="1491" spans="1:21" x14ac:dyDescent="0.25">
      <c r="A1491" t="s">
        <v>1147</v>
      </c>
      <c r="B1491" s="1">
        <v>46062</v>
      </c>
      <c r="C1491" s="1">
        <v>46069</v>
      </c>
      <c r="D1491" t="s">
        <v>134</v>
      </c>
      <c r="E1491" t="s">
        <v>45</v>
      </c>
      <c r="F1491" t="s">
        <v>46</v>
      </c>
      <c r="G1491" t="s">
        <v>111</v>
      </c>
      <c r="H1491" t="s">
        <v>26</v>
      </c>
      <c r="I1491" s="2">
        <v>1</v>
      </c>
      <c r="J1491" s="3">
        <v>290</v>
      </c>
      <c r="K1491" s="4">
        <v>0</v>
      </c>
      <c r="L1491" s="3">
        <v>290</v>
      </c>
      <c r="M1491" t="b">
        <v>1</v>
      </c>
      <c r="N1491" s="2">
        <f>YEAR(B1491)</f>
        <v>2026</v>
      </c>
      <c r="O1491" t="str">
        <f>INDEX(Agences!$C:$C,MATCH(F1491,Agences!$A:$A,0))</f>
        <v>Est</v>
      </c>
      <c r="P1491" t="str">
        <f>INDEX(Produits!$C:$C,MATCH(H1491,Produits!$A:$A,0))</f>
        <v>Maintenance</v>
      </c>
      <c r="Q1491" s="3">
        <f>I1491*INDEX(Produits!$E:$E,MATCH(H1491,Produits!$A:$A,0))</f>
        <v>139.2</v>
      </c>
      <c r="R1491" s="3">
        <f>L1491-Q1491</f>
        <v>150.8</v>
      </c>
      <c r="S1491" s="2">
        <f>NETWORKDAYS(B1491,C1491)-1</f>
        <v>5</v>
      </c>
      <c r="T1491" s="1">
        <f>WORKDAY(B1491,5)</f>
        <v>46069</v>
      </c>
      <c r="U1491" t="b">
        <f>C1491&gt;T1491</f>
        <v>0</v>
      </c>
    </row>
    <row r="1492" spans="1:21" x14ac:dyDescent="0.25">
      <c r="A1492" t="s">
        <v>1147</v>
      </c>
      <c r="B1492" s="1">
        <v>46062</v>
      </c>
      <c r="C1492" s="1">
        <v>46069</v>
      </c>
      <c r="D1492" t="s">
        <v>134</v>
      </c>
      <c r="E1492" t="s">
        <v>45</v>
      </c>
      <c r="F1492" t="s">
        <v>46</v>
      </c>
      <c r="G1492" t="s">
        <v>111</v>
      </c>
      <c r="H1492" t="s">
        <v>42</v>
      </c>
      <c r="I1492" s="2">
        <v>1</v>
      </c>
      <c r="J1492" s="3">
        <v>55</v>
      </c>
      <c r="K1492" s="4">
        <v>0.08</v>
      </c>
      <c r="L1492" s="3">
        <v>50.6</v>
      </c>
      <c r="M1492" t="b">
        <v>1</v>
      </c>
      <c r="N1492" s="2">
        <f>YEAR(B1492)</f>
        <v>2026</v>
      </c>
      <c r="O1492" t="str">
        <f>INDEX(Agences!$C:$C,MATCH(F1492,Agences!$A:$A,0))</f>
        <v>Est</v>
      </c>
      <c r="P1492" t="str">
        <f>INDEX(Produits!$C:$C,MATCH(H1492,Produits!$A:$A,0))</f>
        <v>Maintenance</v>
      </c>
      <c r="Q1492" s="3">
        <f>I1492*INDEX(Produits!$E:$E,MATCH(H1492,Produits!$A:$A,0))</f>
        <v>24.75</v>
      </c>
      <c r="R1492" s="3">
        <f>L1492-Q1492</f>
        <v>25.85</v>
      </c>
      <c r="S1492" s="2">
        <f>NETWORKDAYS(B1492,C1492)-1</f>
        <v>5</v>
      </c>
      <c r="T1492" s="1">
        <f>WORKDAY(B1492,5)</f>
        <v>46069</v>
      </c>
      <c r="U1492" t="b">
        <f>C1492&gt;T1492</f>
        <v>0</v>
      </c>
    </row>
    <row r="1493" spans="1:21" x14ac:dyDescent="0.25">
      <c r="A1493" t="s">
        <v>1147</v>
      </c>
      <c r="B1493" s="1">
        <v>46062</v>
      </c>
      <c r="C1493" s="1">
        <v>46069</v>
      </c>
      <c r="D1493" t="s">
        <v>134</v>
      </c>
      <c r="E1493" t="s">
        <v>45</v>
      </c>
      <c r="F1493" t="s">
        <v>46</v>
      </c>
      <c r="G1493" t="s">
        <v>111</v>
      </c>
      <c r="H1493" t="s">
        <v>112</v>
      </c>
      <c r="I1493" s="2">
        <v>3</v>
      </c>
      <c r="J1493" s="3">
        <v>129</v>
      </c>
      <c r="K1493" s="4">
        <v>0.02</v>
      </c>
      <c r="L1493" s="3">
        <v>379.26</v>
      </c>
      <c r="M1493" t="b">
        <v>1</v>
      </c>
      <c r="N1493" s="2">
        <f>YEAR(B1493)</f>
        <v>2026</v>
      </c>
      <c r="O1493" t="str">
        <f>INDEX(Agences!$C:$C,MATCH(F1493,Agences!$A:$A,0))</f>
        <v>Est</v>
      </c>
      <c r="P1493" t="str">
        <f>INDEX(Produits!$C:$C,MATCH(H1493,Produits!$A:$A,0))</f>
        <v>Mobilier</v>
      </c>
      <c r="Q1493" s="3">
        <f>I1493*INDEX(Produits!$E:$E,MATCH(H1493,Produits!$A:$A,0))</f>
        <v>259.29</v>
      </c>
      <c r="R1493" s="3">
        <f>L1493-Q1493</f>
        <v>119.96999999999997</v>
      </c>
      <c r="S1493" s="2">
        <f>NETWORKDAYS(B1493,C1493)-1</f>
        <v>5</v>
      </c>
      <c r="T1493" s="1">
        <f>WORKDAY(B1493,5)</f>
        <v>46069</v>
      </c>
      <c r="U1493" t="b">
        <f>C1493&gt;T1493</f>
        <v>0</v>
      </c>
    </row>
    <row r="1494" spans="1:21" x14ac:dyDescent="0.25">
      <c r="A1494" t="s">
        <v>1148</v>
      </c>
      <c r="B1494" s="1">
        <v>46059</v>
      </c>
      <c r="C1494" s="1">
        <v>46063</v>
      </c>
      <c r="D1494" t="s">
        <v>125</v>
      </c>
      <c r="E1494" t="s">
        <v>126</v>
      </c>
      <c r="F1494" t="s">
        <v>99</v>
      </c>
      <c r="G1494" t="s">
        <v>210</v>
      </c>
      <c r="H1494" t="s">
        <v>51</v>
      </c>
      <c r="I1494" s="2">
        <v>1</v>
      </c>
      <c r="J1494" s="3">
        <v>180</v>
      </c>
      <c r="K1494" s="4">
        <v>0.05</v>
      </c>
      <c r="L1494" s="3">
        <v>171</v>
      </c>
      <c r="M1494" t="b">
        <v>1</v>
      </c>
      <c r="N1494" s="2">
        <f>YEAR(B1494)</f>
        <v>2026</v>
      </c>
      <c r="O1494" t="str">
        <f>INDEX(Agences!$C:$C,MATCH(F1494,Agences!$A:$A,0))</f>
        <v>Nord</v>
      </c>
      <c r="P1494" t="str">
        <f>INDEX(Produits!$C:$C,MATCH(H1494,Produits!$A:$A,0))</f>
        <v>Maintenance</v>
      </c>
      <c r="Q1494" s="3">
        <f>I1494*INDEX(Produits!$E:$E,MATCH(H1494,Produits!$A:$A,0))</f>
        <v>82.8</v>
      </c>
      <c r="R1494" s="3">
        <f>L1494-Q1494</f>
        <v>88.2</v>
      </c>
      <c r="S1494" s="2">
        <f>NETWORKDAYS(B1494,C1494)-1</f>
        <v>2</v>
      </c>
      <c r="T1494" s="1">
        <f>WORKDAY(B1494,5)</f>
        <v>46066</v>
      </c>
      <c r="U1494" t="b">
        <f>C1494&gt;T1494</f>
        <v>0</v>
      </c>
    </row>
    <row r="1495" spans="1:21" x14ac:dyDescent="0.25">
      <c r="A1495" t="s">
        <v>1148</v>
      </c>
      <c r="B1495" s="1">
        <v>46059</v>
      </c>
      <c r="C1495" s="1">
        <v>46063</v>
      </c>
      <c r="D1495" t="s">
        <v>125</v>
      </c>
      <c r="E1495" t="s">
        <v>126</v>
      </c>
      <c r="F1495" t="s">
        <v>99</v>
      </c>
      <c r="G1495" t="s">
        <v>210</v>
      </c>
      <c r="H1495" t="s">
        <v>83</v>
      </c>
      <c r="I1495" s="2">
        <v>6</v>
      </c>
      <c r="J1495" s="3">
        <v>49</v>
      </c>
      <c r="K1495" s="4">
        <v>0.08</v>
      </c>
      <c r="L1495" s="3">
        <v>270.48</v>
      </c>
      <c r="M1495" t="b">
        <v>1</v>
      </c>
      <c r="N1495" s="2">
        <f>YEAR(B1495)</f>
        <v>2026</v>
      </c>
      <c r="O1495" t="str">
        <f>INDEX(Agences!$C:$C,MATCH(F1495,Agences!$A:$A,0))</f>
        <v>Nord</v>
      </c>
      <c r="P1495" t="str">
        <f>INDEX(Produits!$C:$C,MATCH(H1495,Produits!$A:$A,0))</f>
        <v>Mobilier</v>
      </c>
      <c r="Q1495" s="3">
        <f>I1495*INDEX(Produits!$E:$E,MATCH(H1495,Produits!$A:$A,0))</f>
        <v>170.52</v>
      </c>
      <c r="R1495" s="3">
        <f>L1495-Q1495</f>
        <v>99.96000000000001</v>
      </c>
      <c r="S1495" s="2">
        <f>NETWORKDAYS(B1495,C1495)-1</f>
        <v>2</v>
      </c>
      <c r="T1495" s="1">
        <f>WORKDAY(B1495,5)</f>
        <v>46066</v>
      </c>
      <c r="U1495" t="b">
        <f>C1495&gt;T1495</f>
        <v>0</v>
      </c>
    </row>
    <row r="1496" spans="1:21" x14ac:dyDescent="0.25">
      <c r="A1496" t="s">
        <v>1148</v>
      </c>
      <c r="B1496" s="1">
        <v>46059</v>
      </c>
      <c r="C1496" s="1">
        <v>46063</v>
      </c>
      <c r="D1496" t="s">
        <v>125</v>
      </c>
      <c r="E1496" t="s">
        <v>126</v>
      </c>
      <c r="F1496" t="s">
        <v>99</v>
      </c>
      <c r="G1496" t="s">
        <v>210</v>
      </c>
      <c r="H1496" t="s">
        <v>42</v>
      </c>
      <c r="I1496" s="2">
        <v>2</v>
      </c>
      <c r="J1496" s="3">
        <v>55</v>
      </c>
      <c r="K1496" s="4">
        <v>0</v>
      </c>
      <c r="L1496" s="3">
        <v>110</v>
      </c>
      <c r="M1496" t="b">
        <v>1</v>
      </c>
      <c r="N1496" s="2">
        <f>YEAR(B1496)</f>
        <v>2026</v>
      </c>
      <c r="O1496" t="str">
        <f>INDEX(Agences!$C:$C,MATCH(F1496,Agences!$A:$A,0))</f>
        <v>Nord</v>
      </c>
      <c r="P1496" t="str">
        <f>INDEX(Produits!$C:$C,MATCH(H1496,Produits!$A:$A,0))</f>
        <v>Maintenance</v>
      </c>
      <c r="Q1496" s="3">
        <f>I1496*INDEX(Produits!$E:$E,MATCH(H1496,Produits!$A:$A,0))</f>
        <v>49.5</v>
      </c>
      <c r="R1496" s="3">
        <f>L1496-Q1496</f>
        <v>60.5</v>
      </c>
      <c r="S1496" s="2">
        <f>NETWORKDAYS(B1496,C1496)-1</f>
        <v>2</v>
      </c>
      <c r="T1496" s="1">
        <f>WORKDAY(B1496,5)</f>
        <v>46066</v>
      </c>
      <c r="U1496" t="b">
        <f>C1496&gt;T1496</f>
        <v>0</v>
      </c>
    </row>
    <row r="1497" spans="1:21" x14ac:dyDescent="0.25">
      <c r="A1497" t="s">
        <v>1149</v>
      </c>
      <c r="B1497" s="1">
        <v>46059</v>
      </c>
      <c r="C1497" s="1">
        <v>46065</v>
      </c>
      <c r="D1497" t="s">
        <v>253</v>
      </c>
      <c r="E1497" t="s">
        <v>165</v>
      </c>
      <c r="F1497" t="s">
        <v>166</v>
      </c>
      <c r="G1497" t="s">
        <v>248</v>
      </c>
      <c r="H1497" t="s">
        <v>51</v>
      </c>
      <c r="I1497" s="2">
        <v>2</v>
      </c>
      <c r="J1497" s="3">
        <v>180</v>
      </c>
      <c r="K1497" s="4">
        <v>0</v>
      </c>
      <c r="L1497" s="3">
        <v>360</v>
      </c>
      <c r="M1497" t="b">
        <v>1</v>
      </c>
      <c r="N1497" s="2">
        <f>YEAR(B1497)</f>
        <v>2026</v>
      </c>
      <c r="O1497" t="str">
        <f>INDEX(Agences!$C:$C,MATCH(F1497,Agences!$A:$A,0))</f>
        <v>Ouest</v>
      </c>
      <c r="P1497" t="str">
        <f>INDEX(Produits!$C:$C,MATCH(H1497,Produits!$A:$A,0))</f>
        <v>Maintenance</v>
      </c>
      <c r="Q1497" s="3">
        <f>I1497*INDEX(Produits!$E:$E,MATCH(H1497,Produits!$A:$A,0))</f>
        <v>165.6</v>
      </c>
      <c r="R1497" s="3">
        <f>L1497-Q1497</f>
        <v>194.4</v>
      </c>
      <c r="S1497" s="2">
        <f>NETWORKDAYS(B1497,C1497)-1</f>
        <v>4</v>
      </c>
      <c r="T1497" s="1">
        <f>WORKDAY(B1497,5)</f>
        <v>46066</v>
      </c>
      <c r="U1497" t="b">
        <f>C1497&gt;T1497</f>
        <v>0</v>
      </c>
    </row>
    <row r="1498" spans="1:21" x14ac:dyDescent="0.25">
      <c r="A1498" t="s">
        <v>1149</v>
      </c>
      <c r="B1498" s="1">
        <v>46059</v>
      </c>
      <c r="C1498" s="1">
        <v>46065</v>
      </c>
      <c r="D1498" t="s">
        <v>253</v>
      </c>
      <c r="E1498" t="s">
        <v>165</v>
      </c>
      <c r="F1498" t="s">
        <v>166</v>
      </c>
      <c r="G1498" t="s">
        <v>248</v>
      </c>
      <c r="H1498" t="s">
        <v>42</v>
      </c>
      <c r="I1498" s="2">
        <v>1</v>
      </c>
      <c r="J1498" s="3">
        <v>55</v>
      </c>
      <c r="K1498" s="4">
        <v>0</v>
      </c>
      <c r="L1498" s="3">
        <v>55</v>
      </c>
      <c r="M1498" t="b">
        <v>1</v>
      </c>
      <c r="N1498" s="2">
        <f>YEAR(B1498)</f>
        <v>2026</v>
      </c>
      <c r="O1498" t="str">
        <f>INDEX(Agences!$C:$C,MATCH(F1498,Agences!$A:$A,0))</f>
        <v>Ouest</v>
      </c>
      <c r="P1498" t="str">
        <f>INDEX(Produits!$C:$C,MATCH(H1498,Produits!$A:$A,0))</f>
        <v>Maintenance</v>
      </c>
      <c r="Q1498" s="3">
        <f>I1498*INDEX(Produits!$E:$E,MATCH(H1498,Produits!$A:$A,0))</f>
        <v>24.75</v>
      </c>
      <c r="R1498" s="3">
        <f>L1498-Q1498</f>
        <v>30.25</v>
      </c>
      <c r="S1498" s="2">
        <f>NETWORKDAYS(B1498,C1498)-1</f>
        <v>4</v>
      </c>
      <c r="T1498" s="1">
        <f>WORKDAY(B1498,5)</f>
        <v>46066</v>
      </c>
      <c r="U1498" t="b">
        <f>C1498&gt;T1498</f>
        <v>0</v>
      </c>
    </row>
    <row r="1499" spans="1:21" x14ac:dyDescent="0.25">
      <c r="A1499" t="s">
        <v>1149</v>
      </c>
      <c r="B1499" s="1">
        <v>46059</v>
      </c>
      <c r="C1499" s="1">
        <v>46065</v>
      </c>
      <c r="D1499" t="s">
        <v>253</v>
      </c>
      <c r="E1499" t="s">
        <v>165</v>
      </c>
      <c r="F1499" t="s">
        <v>166</v>
      </c>
      <c r="G1499" t="s">
        <v>248</v>
      </c>
      <c r="H1499" t="s">
        <v>33</v>
      </c>
      <c r="I1499" s="2">
        <v>1</v>
      </c>
      <c r="J1499" s="3">
        <v>219</v>
      </c>
      <c r="K1499" s="4">
        <v>0.08</v>
      </c>
      <c r="L1499" s="3">
        <v>201.48</v>
      </c>
      <c r="M1499" t="b">
        <v>1</v>
      </c>
      <c r="N1499" s="2">
        <f>YEAR(B1499)</f>
        <v>2026</v>
      </c>
      <c r="O1499" t="str">
        <f>INDEX(Agences!$C:$C,MATCH(F1499,Agences!$A:$A,0))</f>
        <v>Ouest</v>
      </c>
      <c r="P1499" t="str">
        <f>INDEX(Produits!$C:$C,MATCH(H1499,Produits!$A:$A,0))</f>
        <v>Informatique</v>
      </c>
      <c r="Q1499" s="3">
        <f>I1499*INDEX(Produits!$E:$E,MATCH(H1499,Produits!$A:$A,0))</f>
        <v>179.58</v>
      </c>
      <c r="R1499" s="3">
        <f>L1499-Q1499</f>
        <v>21.899999999999977</v>
      </c>
      <c r="S1499" s="2">
        <f>NETWORKDAYS(B1499,C1499)-1</f>
        <v>4</v>
      </c>
      <c r="T1499" s="1">
        <f>WORKDAY(B1499,5)</f>
        <v>46066</v>
      </c>
      <c r="U1499" t="b">
        <f>C1499&gt;T1499</f>
        <v>0</v>
      </c>
    </row>
    <row r="1500" spans="1:21" x14ac:dyDescent="0.25">
      <c r="A1500" t="s">
        <v>1149</v>
      </c>
      <c r="B1500" s="1">
        <v>46059</v>
      </c>
      <c r="C1500" s="1">
        <v>46065</v>
      </c>
      <c r="D1500" t="s">
        <v>253</v>
      </c>
      <c r="E1500" t="s">
        <v>165</v>
      </c>
      <c r="F1500" t="s">
        <v>166</v>
      </c>
      <c r="G1500" t="s">
        <v>248</v>
      </c>
      <c r="H1500" t="s">
        <v>27</v>
      </c>
      <c r="I1500" s="2">
        <v>2</v>
      </c>
      <c r="J1500" s="3">
        <v>310</v>
      </c>
      <c r="K1500" s="4">
        <v>0</v>
      </c>
      <c r="L1500" s="3">
        <v>620</v>
      </c>
      <c r="M1500" t="b">
        <v>1</v>
      </c>
      <c r="N1500" s="2">
        <f>YEAR(B1500)</f>
        <v>2026</v>
      </c>
      <c r="O1500" t="str">
        <f>INDEX(Agences!$C:$C,MATCH(F1500,Agences!$A:$A,0))</f>
        <v>Ouest</v>
      </c>
      <c r="P1500" t="str">
        <f>INDEX(Produits!$C:$C,MATCH(H1500,Produits!$A:$A,0))</f>
        <v>Mobilier</v>
      </c>
      <c r="Q1500" s="3">
        <f>I1500*INDEX(Produits!$E:$E,MATCH(H1500,Produits!$A:$A,0))</f>
        <v>372</v>
      </c>
      <c r="R1500" s="3">
        <f>L1500-Q1500</f>
        <v>248</v>
      </c>
      <c r="S1500" s="2">
        <f>NETWORKDAYS(B1500,C1500)-1</f>
        <v>4</v>
      </c>
      <c r="T1500" s="1">
        <f>WORKDAY(B1500,5)</f>
        <v>46066</v>
      </c>
      <c r="U1500" t="b">
        <f>C1500&gt;T1500</f>
        <v>0</v>
      </c>
    </row>
    <row r="1501" spans="1:21" x14ac:dyDescent="0.25">
      <c r="A1501" t="s">
        <v>1149</v>
      </c>
      <c r="B1501" s="1">
        <v>46059</v>
      </c>
      <c r="C1501" s="1">
        <v>46065</v>
      </c>
      <c r="D1501" t="s">
        <v>253</v>
      </c>
      <c r="E1501" t="s">
        <v>165</v>
      </c>
      <c r="F1501" t="s">
        <v>166</v>
      </c>
      <c r="G1501" t="s">
        <v>248</v>
      </c>
      <c r="H1501" t="s">
        <v>319</v>
      </c>
      <c r="I1501" s="2">
        <v>3</v>
      </c>
      <c r="J1501" s="3">
        <v>289</v>
      </c>
      <c r="K1501" s="4">
        <v>0</v>
      </c>
      <c r="L1501" s="3">
        <v>867</v>
      </c>
      <c r="M1501" t="b">
        <v>1</v>
      </c>
      <c r="N1501" s="2">
        <f>YEAR(B1501)</f>
        <v>2026</v>
      </c>
      <c r="O1501" t="str">
        <f>INDEX(Agences!$C:$C,MATCH(F1501,Agences!$A:$A,0))</f>
        <v>Ouest</v>
      </c>
      <c r="P1501" t="str">
        <f>INDEX(Produits!$C:$C,MATCH(H1501,Produits!$A:$A,0))</f>
        <v>Informatique</v>
      </c>
      <c r="Q1501" s="3">
        <f>I1501*INDEX(Produits!$E:$E,MATCH(H1501,Produits!$A:$A,0))</f>
        <v>641.58</v>
      </c>
      <c r="R1501" s="3">
        <f>L1501-Q1501</f>
        <v>225.41999999999996</v>
      </c>
      <c r="S1501" s="2">
        <f>NETWORKDAYS(B1501,C1501)-1</f>
        <v>4</v>
      </c>
      <c r="T1501" s="1">
        <f>WORKDAY(B1501,5)</f>
        <v>46066</v>
      </c>
      <c r="U1501" t="b">
        <f>C1501&gt;T1501</f>
        <v>0</v>
      </c>
    </row>
    <row r="1502" spans="1:21" x14ac:dyDescent="0.25">
      <c r="A1502" t="s">
        <v>1150</v>
      </c>
      <c r="B1502" s="1">
        <v>46059</v>
      </c>
      <c r="C1502" s="1">
        <v>46065</v>
      </c>
      <c r="D1502" t="s">
        <v>525</v>
      </c>
      <c r="E1502" t="s">
        <v>130</v>
      </c>
      <c r="F1502" t="s">
        <v>39</v>
      </c>
      <c r="G1502" t="s">
        <v>131</v>
      </c>
      <c r="H1502" t="s">
        <v>319</v>
      </c>
      <c r="I1502" s="2">
        <v>1</v>
      </c>
      <c r="J1502" s="3">
        <v>289</v>
      </c>
      <c r="K1502" s="4">
        <v>0</v>
      </c>
      <c r="L1502" s="3">
        <v>289</v>
      </c>
      <c r="M1502" t="b">
        <v>1</v>
      </c>
      <c r="N1502" s="2">
        <f>YEAR(B1502)</f>
        <v>2026</v>
      </c>
      <c r="O1502" t="str">
        <f>INDEX(Agences!$C:$C,MATCH(F1502,Agences!$A:$A,0))</f>
        <v>Sud-Ouest</v>
      </c>
      <c r="P1502" t="str">
        <f>INDEX(Produits!$C:$C,MATCH(H1502,Produits!$A:$A,0))</f>
        <v>Informatique</v>
      </c>
      <c r="Q1502" s="3">
        <f>I1502*INDEX(Produits!$E:$E,MATCH(H1502,Produits!$A:$A,0))</f>
        <v>213.86</v>
      </c>
      <c r="R1502" s="3">
        <f>L1502-Q1502</f>
        <v>75.13999999999999</v>
      </c>
      <c r="S1502" s="2">
        <f>NETWORKDAYS(B1502,C1502)-1</f>
        <v>4</v>
      </c>
      <c r="T1502" s="1">
        <f>WORKDAY(B1502,5)</f>
        <v>46066</v>
      </c>
      <c r="U1502" t="b">
        <f>C1502&gt;T1502</f>
        <v>0</v>
      </c>
    </row>
    <row r="1503" spans="1:21" x14ac:dyDescent="0.25">
      <c r="A1503" t="s">
        <v>1150</v>
      </c>
      <c r="B1503" s="1">
        <v>46059</v>
      </c>
      <c r="C1503" s="1">
        <v>46065</v>
      </c>
      <c r="D1503" t="s">
        <v>525</v>
      </c>
      <c r="E1503" t="s">
        <v>130</v>
      </c>
      <c r="F1503" t="s">
        <v>39</v>
      </c>
      <c r="G1503" t="s">
        <v>131</v>
      </c>
      <c r="H1503" t="s">
        <v>84</v>
      </c>
      <c r="I1503" s="2">
        <v>3</v>
      </c>
      <c r="J1503" s="3">
        <v>420</v>
      </c>
      <c r="K1503" s="4">
        <v>0.02</v>
      </c>
      <c r="L1503" s="3">
        <v>1234.8</v>
      </c>
      <c r="M1503" t="b">
        <v>1</v>
      </c>
      <c r="N1503" s="2">
        <f>YEAR(B1503)</f>
        <v>2026</v>
      </c>
      <c r="O1503" t="str">
        <f>INDEX(Agences!$C:$C,MATCH(F1503,Agences!$A:$A,0))</f>
        <v>Sud-Ouest</v>
      </c>
      <c r="P1503" t="str">
        <f>INDEX(Produits!$C:$C,MATCH(H1503,Produits!$A:$A,0))</f>
        <v>Mobilier</v>
      </c>
      <c r="Q1503" s="3">
        <f>I1503*INDEX(Produits!$E:$E,MATCH(H1503,Produits!$A:$A,0))</f>
        <v>730.8</v>
      </c>
      <c r="R1503" s="3">
        <f>L1503-Q1503</f>
        <v>504</v>
      </c>
      <c r="S1503" s="2">
        <f>NETWORKDAYS(B1503,C1503)-1</f>
        <v>4</v>
      </c>
      <c r="T1503" s="1">
        <f>WORKDAY(B1503,5)</f>
        <v>46066</v>
      </c>
      <c r="U1503" t="b">
        <f>C1503&gt;T1503</f>
        <v>0</v>
      </c>
    </row>
    <row r="1504" spans="1:21" x14ac:dyDescent="0.25">
      <c r="A1504" t="s">
        <v>1150</v>
      </c>
      <c r="B1504" s="1">
        <v>46059</v>
      </c>
      <c r="C1504" s="1">
        <v>46065</v>
      </c>
      <c r="D1504" t="s">
        <v>525</v>
      </c>
      <c r="E1504" t="s">
        <v>130</v>
      </c>
      <c r="F1504" t="s">
        <v>39</v>
      </c>
      <c r="G1504" t="s">
        <v>131</v>
      </c>
      <c r="H1504" t="s">
        <v>123</v>
      </c>
      <c r="I1504" s="2">
        <v>10</v>
      </c>
      <c r="J1504" s="3">
        <v>39.9</v>
      </c>
      <c r="K1504" s="4">
        <v>0</v>
      </c>
      <c r="L1504" s="3">
        <v>399</v>
      </c>
      <c r="M1504" t="b">
        <v>1</v>
      </c>
      <c r="N1504" s="2">
        <f>YEAR(B1504)</f>
        <v>2026</v>
      </c>
      <c r="O1504" t="str">
        <f>INDEX(Agences!$C:$C,MATCH(F1504,Agences!$A:$A,0))</f>
        <v>Sud-Ouest</v>
      </c>
      <c r="P1504" t="str">
        <f>INDEX(Produits!$C:$C,MATCH(H1504,Produits!$A:$A,0))</f>
        <v>Fournitures</v>
      </c>
      <c r="Q1504" s="3">
        <f>I1504*INDEX(Produits!$E:$E,MATCH(H1504,Produits!$A:$A,0))</f>
        <v>223.4</v>
      </c>
      <c r="R1504" s="3">
        <f>L1504-Q1504</f>
        <v>175.6</v>
      </c>
      <c r="S1504" s="2">
        <f>NETWORKDAYS(B1504,C1504)-1</f>
        <v>4</v>
      </c>
      <c r="T1504" s="1">
        <f>WORKDAY(B1504,5)</f>
        <v>46066</v>
      </c>
      <c r="U1504" t="b">
        <f>C1504&gt;T1504</f>
        <v>0</v>
      </c>
    </row>
    <row r="1505" spans="1:21" x14ac:dyDescent="0.25">
      <c r="A1505" t="s">
        <v>1151</v>
      </c>
      <c r="B1505" s="1">
        <v>46059</v>
      </c>
      <c r="C1505" s="1">
        <v>46065</v>
      </c>
      <c r="D1505" t="s">
        <v>1152</v>
      </c>
      <c r="E1505" t="s">
        <v>194</v>
      </c>
      <c r="F1505" t="s">
        <v>55</v>
      </c>
      <c r="G1505" t="s">
        <v>195</v>
      </c>
      <c r="H1505" t="s">
        <v>90</v>
      </c>
      <c r="I1505" s="2">
        <v>5</v>
      </c>
      <c r="J1505" s="3">
        <v>22.9</v>
      </c>
      <c r="K1505" s="4">
        <v>0.02</v>
      </c>
      <c r="L1505" s="3">
        <v>112.21</v>
      </c>
      <c r="M1505" t="b">
        <v>1</v>
      </c>
      <c r="N1505" s="2">
        <f>YEAR(B1505)</f>
        <v>2026</v>
      </c>
      <c r="O1505" t="str">
        <f>INDEX(Agences!$C:$C,MATCH(F1505,Agences!$A:$A,0))</f>
        <v>Est</v>
      </c>
      <c r="P1505" t="str">
        <f>INDEX(Produits!$C:$C,MATCH(H1505,Produits!$A:$A,0))</f>
        <v>Fournitures</v>
      </c>
      <c r="Q1505" s="3">
        <f>I1505*INDEX(Produits!$E:$E,MATCH(H1505,Produits!$A:$A,0))</f>
        <v>64.1</v>
      </c>
      <c r="R1505" s="3">
        <f>L1505-Q1505</f>
        <v>48.11</v>
      </c>
      <c r="S1505" s="2">
        <f>NETWORKDAYS(B1505,C1505)-1</f>
        <v>4</v>
      </c>
      <c r="T1505" s="1">
        <f>WORKDAY(B1505,5)</f>
        <v>46066</v>
      </c>
      <c r="U1505" t="b">
        <f>C1505&gt;T1505</f>
        <v>0</v>
      </c>
    </row>
    <row r="1506" spans="1:21" x14ac:dyDescent="0.25">
      <c r="A1506" t="s">
        <v>1153</v>
      </c>
      <c r="B1506" s="1">
        <v>46059</v>
      </c>
      <c r="C1506" s="1">
        <v>46066</v>
      </c>
      <c r="D1506" t="s">
        <v>349</v>
      </c>
      <c r="E1506" t="s">
        <v>194</v>
      </c>
      <c r="F1506" t="s">
        <v>55</v>
      </c>
      <c r="G1506" t="s">
        <v>195</v>
      </c>
      <c r="H1506" t="s">
        <v>217</v>
      </c>
      <c r="I1506" s="2">
        <v>1</v>
      </c>
      <c r="J1506" s="3">
        <v>1090</v>
      </c>
      <c r="K1506" s="4">
        <v>0</v>
      </c>
      <c r="L1506" s="3">
        <v>1090</v>
      </c>
      <c r="M1506" t="b">
        <v>1</v>
      </c>
      <c r="N1506" s="2">
        <f>YEAR(B1506)</f>
        <v>2026</v>
      </c>
      <c r="O1506" t="str">
        <f>INDEX(Agences!$C:$C,MATCH(F1506,Agences!$A:$A,0))</f>
        <v>Est</v>
      </c>
      <c r="P1506" t="str">
        <f>INDEX(Produits!$C:$C,MATCH(H1506,Produits!$A:$A,0))</f>
        <v>Informatique</v>
      </c>
      <c r="Q1506" s="3">
        <f>I1506*INDEX(Produits!$E:$E,MATCH(H1506,Produits!$A:$A,0))</f>
        <v>817.5</v>
      </c>
      <c r="R1506" s="3">
        <f>L1506-Q1506</f>
        <v>272.5</v>
      </c>
      <c r="S1506" s="2">
        <f>NETWORKDAYS(B1506,C1506)-1</f>
        <v>5</v>
      </c>
      <c r="T1506" s="1">
        <f>WORKDAY(B1506,5)</f>
        <v>46066</v>
      </c>
      <c r="U1506" t="b">
        <f>C1506&gt;T1506</f>
        <v>0</v>
      </c>
    </row>
    <row r="1507" spans="1:21" x14ac:dyDescent="0.25">
      <c r="A1507" t="s">
        <v>1153</v>
      </c>
      <c r="B1507" s="1">
        <v>46059</v>
      </c>
      <c r="C1507" s="1">
        <v>46066</v>
      </c>
      <c r="D1507" t="s">
        <v>349</v>
      </c>
      <c r="E1507" t="s">
        <v>194</v>
      </c>
      <c r="F1507" t="s">
        <v>55</v>
      </c>
      <c r="G1507" t="s">
        <v>195</v>
      </c>
      <c r="H1507" t="s">
        <v>107</v>
      </c>
      <c r="I1507" s="2">
        <v>1</v>
      </c>
      <c r="J1507" s="3">
        <v>99</v>
      </c>
      <c r="K1507" s="4">
        <v>0.02</v>
      </c>
      <c r="L1507" s="3">
        <v>97.02</v>
      </c>
      <c r="M1507" t="b">
        <v>1</v>
      </c>
      <c r="N1507" s="2">
        <f>YEAR(B1507)</f>
        <v>2026</v>
      </c>
      <c r="O1507" t="str">
        <f>INDEX(Agences!$C:$C,MATCH(F1507,Agences!$A:$A,0))</f>
        <v>Est</v>
      </c>
      <c r="P1507" t="str">
        <f>INDEX(Produits!$C:$C,MATCH(H1507,Produits!$A:$A,0))</f>
        <v>Informatique</v>
      </c>
      <c r="Q1507" s="3">
        <f>I1507*INDEX(Produits!$E:$E,MATCH(H1507,Produits!$A:$A,0))</f>
        <v>75.24</v>
      </c>
      <c r="R1507" s="3">
        <f>L1507-Q1507</f>
        <v>21.78</v>
      </c>
      <c r="S1507" s="2">
        <f>NETWORKDAYS(B1507,C1507)-1</f>
        <v>5</v>
      </c>
      <c r="T1507" s="1">
        <f>WORKDAY(B1507,5)</f>
        <v>46066</v>
      </c>
      <c r="U1507" t="b">
        <f>C1507&gt;T1507</f>
        <v>0</v>
      </c>
    </row>
    <row r="1508" spans="1:21" x14ac:dyDescent="0.25">
      <c r="A1508" t="s">
        <v>1153</v>
      </c>
      <c r="B1508" s="1">
        <v>46059</v>
      </c>
      <c r="C1508" s="1">
        <v>46066</v>
      </c>
      <c r="D1508" t="s">
        <v>349</v>
      </c>
      <c r="E1508" t="s">
        <v>194</v>
      </c>
      <c r="F1508" t="s">
        <v>55</v>
      </c>
      <c r="G1508" t="s">
        <v>195</v>
      </c>
      <c r="H1508" t="s">
        <v>26</v>
      </c>
      <c r="I1508" s="2">
        <v>1</v>
      </c>
      <c r="J1508" s="3">
        <v>290</v>
      </c>
      <c r="K1508" s="4">
        <v>0</v>
      </c>
      <c r="L1508" s="3">
        <v>290</v>
      </c>
      <c r="M1508" t="b">
        <v>1</v>
      </c>
      <c r="N1508" s="2">
        <f>YEAR(B1508)</f>
        <v>2026</v>
      </c>
      <c r="O1508" t="str">
        <f>INDEX(Agences!$C:$C,MATCH(F1508,Agences!$A:$A,0))</f>
        <v>Est</v>
      </c>
      <c r="P1508" t="str">
        <f>INDEX(Produits!$C:$C,MATCH(H1508,Produits!$A:$A,0))</f>
        <v>Maintenance</v>
      </c>
      <c r="Q1508" s="3">
        <f>I1508*INDEX(Produits!$E:$E,MATCH(H1508,Produits!$A:$A,0))</f>
        <v>139.2</v>
      </c>
      <c r="R1508" s="3">
        <f>L1508-Q1508</f>
        <v>150.8</v>
      </c>
      <c r="S1508" s="2">
        <f>NETWORKDAYS(B1508,C1508)-1</f>
        <v>5</v>
      </c>
      <c r="T1508" s="1">
        <f>WORKDAY(B1508,5)</f>
        <v>46066</v>
      </c>
      <c r="U1508" t="b">
        <f>C1508&gt;T1508</f>
        <v>0</v>
      </c>
    </row>
    <row r="1509" spans="1:21" x14ac:dyDescent="0.25">
      <c r="A1509" t="s">
        <v>1154</v>
      </c>
      <c r="B1509" s="1">
        <v>46058</v>
      </c>
      <c r="C1509" s="1">
        <v>46062</v>
      </c>
      <c r="D1509" t="s">
        <v>897</v>
      </c>
      <c r="E1509" t="s">
        <v>87</v>
      </c>
      <c r="F1509" t="s">
        <v>88</v>
      </c>
      <c r="G1509" t="s">
        <v>142</v>
      </c>
      <c r="H1509" t="s">
        <v>107</v>
      </c>
      <c r="I1509" s="2">
        <v>2</v>
      </c>
      <c r="J1509" s="3">
        <v>99</v>
      </c>
      <c r="K1509" s="4">
        <v>0</v>
      </c>
      <c r="L1509" s="3">
        <v>198</v>
      </c>
      <c r="M1509" t="b">
        <v>1</v>
      </c>
      <c r="N1509" s="2">
        <f>YEAR(B1509)</f>
        <v>2026</v>
      </c>
      <c r="O1509" t="str">
        <f>INDEX(Agences!$C:$C,MATCH(F1509,Agences!$A:$A,0))</f>
        <v>Sud-Ouest</v>
      </c>
      <c r="P1509" t="str">
        <f>INDEX(Produits!$C:$C,MATCH(H1509,Produits!$A:$A,0))</f>
        <v>Informatique</v>
      </c>
      <c r="Q1509" s="3">
        <f>I1509*INDEX(Produits!$E:$E,MATCH(H1509,Produits!$A:$A,0))</f>
        <v>150.48</v>
      </c>
      <c r="R1509" s="3">
        <f>L1509-Q1509</f>
        <v>47.52000000000001</v>
      </c>
      <c r="S1509" s="2">
        <f>NETWORKDAYS(B1509,C1509)-1</f>
        <v>2</v>
      </c>
      <c r="T1509" s="1">
        <f>WORKDAY(B1509,5)</f>
        <v>46065</v>
      </c>
      <c r="U1509" t="b">
        <f>C1509&gt;T1509</f>
        <v>0</v>
      </c>
    </row>
    <row r="1510" spans="1:21" x14ac:dyDescent="0.25">
      <c r="A1510" t="s">
        <v>1154</v>
      </c>
      <c r="B1510" s="1">
        <v>46058</v>
      </c>
      <c r="C1510" s="1">
        <v>46062</v>
      </c>
      <c r="D1510" t="s">
        <v>897</v>
      </c>
      <c r="E1510" t="s">
        <v>87</v>
      </c>
      <c r="F1510" t="s">
        <v>88</v>
      </c>
      <c r="G1510" t="s">
        <v>142</v>
      </c>
      <c r="H1510" t="s">
        <v>35</v>
      </c>
      <c r="I1510" s="2">
        <v>1</v>
      </c>
      <c r="J1510" s="3">
        <v>79</v>
      </c>
      <c r="K1510" s="4">
        <v>0.05</v>
      </c>
      <c r="L1510" s="3">
        <v>75.05</v>
      </c>
      <c r="M1510" t="b">
        <v>1</v>
      </c>
      <c r="N1510" s="2">
        <f>YEAR(B1510)</f>
        <v>2026</v>
      </c>
      <c r="O1510" t="str">
        <f>INDEX(Agences!$C:$C,MATCH(F1510,Agences!$A:$A,0))</f>
        <v>Sud-Ouest</v>
      </c>
      <c r="P1510" t="str">
        <f>INDEX(Produits!$C:$C,MATCH(H1510,Produits!$A:$A,0))</f>
        <v>Mobilier</v>
      </c>
      <c r="Q1510" s="3">
        <f>I1510*INDEX(Produits!$E:$E,MATCH(H1510,Produits!$A:$A,0))</f>
        <v>46.61</v>
      </c>
      <c r="R1510" s="3">
        <f>L1510-Q1510</f>
        <v>28.439999999999998</v>
      </c>
      <c r="S1510" s="2">
        <f>NETWORKDAYS(B1510,C1510)-1</f>
        <v>2</v>
      </c>
      <c r="T1510" s="1">
        <f>WORKDAY(B1510,5)</f>
        <v>46065</v>
      </c>
      <c r="U1510" t="b">
        <f>C1510&gt;T1510</f>
        <v>0</v>
      </c>
    </row>
    <row r="1511" spans="1:21" x14ac:dyDescent="0.25">
      <c r="A1511" t="s">
        <v>1155</v>
      </c>
      <c r="B1511" s="1">
        <v>46058</v>
      </c>
      <c r="C1511" s="1">
        <v>46059</v>
      </c>
      <c r="D1511" t="s">
        <v>1107</v>
      </c>
      <c r="E1511" t="s">
        <v>45</v>
      </c>
      <c r="F1511" t="s">
        <v>46</v>
      </c>
      <c r="G1511" t="s">
        <v>47</v>
      </c>
      <c r="H1511" t="s">
        <v>319</v>
      </c>
      <c r="I1511" s="2">
        <v>1</v>
      </c>
      <c r="J1511" s="3">
        <v>289</v>
      </c>
      <c r="K1511" s="4">
        <v>0</v>
      </c>
      <c r="L1511" s="3">
        <v>289</v>
      </c>
      <c r="M1511" t="b">
        <v>1</v>
      </c>
      <c r="N1511" s="2">
        <f>YEAR(B1511)</f>
        <v>2026</v>
      </c>
      <c r="O1511" t="str">
        <f>INDEX(Agences!$C:$C,MATCH(F1511,Agences!$A:$A,0))</f>
        <v>Est</v>
      </c>
      <c r="P1511" t="str">
        <f>INDEX(Produits!$C:$C,MATCH(H1511,Produits!$A:$A,0))</f>
        <v>Informatique</v>
      </c>
      <c r="Q1511" s="3">
        <f>I1511*INDEX(Produits!$E:$E,MATCH(H1511,Produits!$A:$A,0))</f>
        <v>213.86</v>
      </c>
      <c r="R1511" s="3">
        <f>L1511-Q1511</f>
        <v>75.13999999999999</v>
      </c>
      <c r="S1511" s="2">
        <f>NETWORKDAYS(B1511,C1511)-1</f>
        <v>1</v>
      </c>
      <c r="T1511" s="1">
        <f>WORKDAY(B1511,5)</f>
        <v>46065</v>
      </c>
      <c r="U1511" t="b">
        <f>C1511&gt;T1511</f>
        <v>0</v>
      </c>
    </row>
    <row r="1512" spans="1:21" x14ac:dyDescent="0.25">
      <c r="A1512" t="s">
        <v>1155</v>
      </c>
      <c r="B1512" s="1">
        <v>46058</v>
      </c>
      <c r="C1512" s="1">
        <v>46059</v>
      </c>
      <c r="D1512" t="s">
        <v>1107</v>
      </c>
      <c r="E1512" t="s">
        <v>45</v>
      </c>
      <c r="F1512" t="s">
        <v>46</v>
      </c>
      <c r="G1512" t="s">
        <v>47</v>
      </c>
      <c r="H1512" t="s">
        <v>83</v>
      </c>
      <c r="I1512" s="2">
        <v>2</v>
      </c>
      <c r="J1512" s="3">
        <v>49</v>
      </c>
      <c r="K1512" s="4">
        <v>0</v>
      </c>
      <c r="L1512" s="3">
        <v>98</v>
      </c>
      <c r="M1512" t="b">
        <v>1</v>
      </c>
      <c r="N1512" s="2">
        <f>YEAR(B1512)</f>
        <v>2026</v>
      </c>
      <c r="O1512" t="str">
        <f>INDEX(Agences!$C:$C,MATCH(F1512,Agences!$A:$A,0))</f>
        <v>Est</v>
      </c>
      <c r="P1512" t="str">
        <f>INDEX(Produits!$C:$C,MATCH(H1512,Produits!$A:$A,0))</f>
        <v>Mobilier</v>
      </c>
      <c r="Q1512" s="3">
        <f>I1512*INDEX(Produits!$E:$E,MATCH(H1512,Produits!$A:$A,0))</f>
        <v>56.84</v>
      </c>
      <c r="R1512" s="3">
        <f>L1512-Q1512</f>
        <v>41.16</v>
      </c>
      <c r="S1512" s="2">
        <f>NETWORKDAYS(B1512,C1512)-1</f>
        <v>1</v>
      </c>
      <c r="T1512" s="1">
        <f>WORKDAY(B1512,5)</f>
        <v>46065</v>
      </c>
      <c r="U1512" t="b">
        <f>C1512&gt;T1512</f>
        <v>0</v>
      </c>
    </row>
    <row r="1513" spans="1:21" x14ac:dyDescent="0.25">
      <c r="A1513" t="s">
        <v>1156</v>
      </c>
      <c r="B1513" s="1">
        <v>46057</v>
      </c>
      <c r="C1513" s="1">
        <v>46064</v>
      </c>
      <c r="D1513" t="s">
        <v>897</v>
      </c>
      <c r="E1513" t="s">
        <v>87</v>
      </c>
      <c r="F1513" t="s">
        <v>88</v>
      </c>
      <c r="G1513" t="s">
        <v>226</v>
      </c>
      <c r="H1513" t="s">
        <v>319</v>
      </c>
      <c r="I1513" s="2">
        <v>5</v>
      </c>
      <c r="J1513" s="3">
        <v>289</v>
      </c>
      <c r="K1513" s="4">
        <v>0</v>
      </c>
      <c r="L1513" s="3">
        <v>1445</v>
      </c>
      <c r="M1513" t="b">
        <v>1</v>
      </c>
      <c r="N1513" s="2">
        <f>YEAR(B1513)</f>
        <v>2026</v>
      </c>
      <c r="O1513" t="str">
        <f>INDEX(Agences!$C:$C,MATCH(F1513,Agences!$A:$A,0))</f>
        <v>Sud-Ouest</v>
      </c>
      <c r="P1513" t="str">
        <f>INDEX(Produits!$C:$C,MATCH(H1513,Produits!$A:$A,0))</f>
        <v>Informatique</v>
      </c>
      <c r="Q1513" s="3">
        <f>I1513*INDEX(Produits!$E:$E,MATCH(H1513,Produits!$A:$A,0))</f>
        <v>1069.3000000000002</v>
      </c>
      <c r="R1513" s="3">
        <f>L1513-Q1513</f>
        <v>375.6999999999998</v>
      </c>
      <c r="S1513" s="2">
        <f>NETWORKDAYS(B1513,C1513)-1</f>
        <v>5</v>
      </c>
      <c r="T1513" s="1">
        <f>WORKDAY(B1513,5)</f>
        <v>46064</v>
      </c>
      <c r="U1513" t="b">
        <f>C1513&gt;T1513</f>
        <v>0</v>
      </c>
    </row>
    <row r="1514" spans="1:21" x14ac:dyDescent="0.25">
      <c r="A1514" t="s">
        <v>1156</v>
      </c>
      <c r="B1514" s="1">
        <v>46057</v>
      </c>
      <c r="C1514" s="1">
        <v>46064</v>
      </c>
      <c r="D1514" t="s">
        <v>897</v>
      </c>
      <c r="E1514" t="s">
        <v>87</v>
      </c>
      <c r="F1514" t="s">
        <v>88</v>
      </c>
      <c r="G1514" t="s">
        <v>226</v>
      </c>
      <c r="H1514" t="s">
        <v>26</v>
      </c>
      <c r="I1514" s="2">
        <v>1</v>
      </c>
      <c r="J1514" s="3">
        <v>290</v>
      </c>
      <c r="K1514" s="4">
        <v>0</v>
      </c>
      <c r="L1514" s="3">
        <v>290</v>
      </c>
      <c r="M1514" t="b">
        <v>1</v>
      </c>
      <c r="N1514" s="2">
        <f>YEAR(B1514)</f>
        <v>2026</v>
      </c>
      <c r="O1514" t="str">
        <f>INDEX(Agences!$C:$C,MATCH(F1514,Agences!$A:$A,0))</f>
        <v>Sud-Ouest</v>
      </c>
      <c r="P1514" t="str">
        <f>INDEX(Produits!$C:$C,MATCH(H1514,Produits!$A:$A,0))</f>
        <v>Maintenance</v>
      </c>
      <c r="Q1514" s="3">
        <f>I1514*INDEX(Produits!$E:$E,MATCH(H1514,Produits!$A:$A,0))</f>
        <v>139.2</v>
      </c>
      <c r="R1514" s="3">
        <f>L1514-Q1514</f>
        <v>150.8</v>
      </c>
      <c r="S1514" s="2">
        <f>NETWORKDAYS(B1514,C1514)-1</f>
        <v>5</v>
      </c>
      <c r="T1514" s="1">
        <f>WORKDAY(B1514,5)</f>
        <v>46064</v>
      </c>
      <c r="U1514" t="b">
        <f>C1514&gt;T1514</f>
        <v>0</v>
      </c>
    </row>
    <row r="1515" spans="1:21" x14ac:dyDescent="0.25">
      <c r="A1515" t="s">
        <v>1157</v>
      </c>
      <c r="B1515" s="1">
        <v>46057</v>
      </c>
      <c r="C1515" s="1">
        <v>46059</v>
      </c>
      <c r="D1515" t="s">
        <v>988</v>
      </c>
      <c r="E1515" t="s">
        <v>242</v>
      </c>
      <c r="F1515" t="s">
        <v>94</v>
      </c>
      <c r="G1515" t="s">
        <v>95</v>
      </c>
      <c r="H1515" t="s">
        <v>83</v>
      </c>
      <c r="I1515" s="2">
        <v>1</v>
      </c>
      <c r="J1515" s="3">
        <v>49</v>
      </c>
      <c r="K1515" s="4">
        <v>0.02</v>
      </c>
      <c r="L1515" s="3">
        <v>48.02</v>
      </c>
      <c r="M1515" t="b">
        <v>1</v>
      </c>
      <c r="N1515" s="2">
        <f>YEAR(B1515)</f>
        <v>2026</v>
      </c>
      <c r="O1515" t="str">
        <f>INDEX(Agences!$C:$C,MATCH(F1515,Agences!$A:$A,0))</f>
        <v>Méditerranée</v>
      </c>
      <c r="P1515" t="str">
        <f>INDEX(Produits!$C:$C,MATCH(H1515,Produits!$A:$A,0))</f>
        <v>Mobilier</v>
      </c>
      <c r="Q1515" s="3">
        <f>I1515*INDEX(Produits!$E:$E,MATCH(H1515,Produits!$A:$A,0))</f>
        <v>28.42</v>
      </c>
      <c r="R1515" s="3">
        <f>L1515-Q1515</f>
        <v>19.6</v>
      </c>
      <c r="S1515" s="2">
        <f>NETWORKDAYS(B1515,C1515)-1</f>
        <v>2</v>
      </c>
      <c r="T1515" s="1">
        <f>WORKDAY(B1515,5)</f>
        <v>46064</v>
      </c>
      <c r="U1515" t="b">
        <f>C1515&gt;T1515</f>
        <v>0</v>
      </c>
    </row>
    <row r="1516" spans="1:21" x14ac:dyDescent="0.25">
      <c r="A1516" t="s">
        <v>1157</v>
      </c>
      <c r="B1516" s="1">
        <v>46057</v>
      </c>
      <c r="C1516" s="1">
        <v>46059</v>
      </c>
      <c r="D1516" t="s">
        <v>988</v>
      </c>
      <c r="E1516" t="s">
        <v>242</v>
      </c>
      <c r="F1516" t="s">
        <v>94</v>
      </c>
      <c r="G1516" t="s">
        <v>95</v>
      </c>
      <c r="H1516" t="s">
        <v>50</v>
      </c>
      <c r="I1516" s="2">
        <v>1</v>
      </c>
      <c r="J1516" s="3">
        <v>69</v>
      </c>
      <c r="K1516" s="4">
        <v>0.05</v>
      </c>
      <c r="L1516" s="3">
        <v>65.55</v>
      </c>
      <c r="M1516" t="b">
        <v>1</v>
      </c>
      <c r="N1516" s="2">
        <f>YEAR(B1516)</f>
        <v>2026</v>
      </c>
      <c r="O1516" t="str">
        <f>INDEX(Agences!$C:$C,MATCH(F1516,Agences!$A:$A,0))</f>
        <v>Méditerranée</v>
      </c>
      <c r="P1516" t="str">
        <f>INDEX(Produits!$C:$C,MATCH(H1516,Produits!$A:$A,0))</f>
        <v>Informatique</v>
      </c>
      <c r="Q1516" s="3">
        <f>I1516*INDEX(Produits!$E:$E,MATCH(H1516,Produits!$A:$A,0))</f>
        <v>54.51</v>
      </c>
      <c r="R1516" s="3">
        <f>L1516-Q1516</f>
        <v>11.04</v>
      </c>
      <c r="S1516" s="2">
        <f>NETWORKDAYS(B1516,C1516)-1</f>
        <v>2</v>
      </c>
      <c r="T1516" s="1">
        <f>WORKDAY(B1516,5)</f>
        <v>46064</v>
      </c>
      <c r="U1516" t="b">
        <f>C1516&gt;T1516</f>
        <v>0</v>
      </c>
    </row>
    <row r="1517" spans="1:21" x14ac:dyDescent="0.25">
      <c r="A1517" t="s">
        <v>1157</v>
      </c>
      <c r="B1517" s="1">
        <v>46057</v>
      </c>
      <c r="C1517" s="1">
        <v>46059</v>
      </c>
      <c r="D1517" t="s">
        <v>988</v>
      </c>
      <c r="E1517" t="s">
        <v>242</v>
      </c>
      <c r="F1517" t="s">
        <v>94</v>
      </c>
      <c r="G1517" t="s">
        <v>95</v>
      </c>
      <c r="H1517" t="s">
        <v>107</v>
      </c>
      <c r="I1517" s="2">
        <v>2</v>
      </c>
      <c r="J1517" s="3">
        <v>99</v>
      </c>
      <c r="K1517" s="4">
        <v>0</v>
      </c>
      <c r="L1517" s="3">
        <v>198</v>
      </c>
      <c r="M1517" t="b">
        <v>1</v>
      </c>
      <c r="N1517" s="2">
        <f>YEAR(B1517)</f>
        <v>2026</v>
      </c>
      <c r="O1517" t="str">
        <f>INDEX(Agences!$C:$C,MATCH(F1517,Agences!$A:$A,0))</f>
        <v>Méditerranée</v>
      </c>
      <c r="P1517" t="str">
        <f>INDEX(Produits!$C:$C,MATCH(H1517,Produits!$A:$A,0))</f>
        <v>Informatique</v>
      </c>
      <c r="Q1517" s="3">
        <f>I1517*INDEX(Produits!$E:$E,MATCH(H1517,Produits!$A:$A,0))</f>
        <v>150.48</v>
      </c>
      <c r="R1517" s="3">
        <f>L1517-Q1517</f>
        <v>47.52000000000001</v>
      </c>
      <c r="S1517" s="2">
        <f>NETWORKDAYS(B1517,C1517)-1</f>
        <v>2</v>
      </c>
      <c r="T1517" s="1">
        <f>WORKDAY(B1517,5)</f>
        <v>46064</v>
      </c>
      <c r="U1517" t="b">
        <f>C1517&gt;T1517</f>
        <v>0</v>
      </c>
    </row>
    <row r="1518" spans="1:21" x14ac:dyDescent="0.25">
      <c r="A1518" t="s">
        <v>1158</v>
      </c>
      <c r="B1518" s="1">
        <v>46056</v>
      </c>
      <c r="C1518" s="1">
        <v>46062</v>
      </c>
      <c r="D1518" t="s">
        <v>692</v>
      </c>
      <c r="E1518" t="s">
        <v>30</v>
      </c>
      <c r="F1518" t="s">
        <v>31</v>
      </c>
      <c r="G1518" t="s">
        <v>32</v>
      </c>
      <c r="H1518" t="s">
        <v>83</v>
      </c>
      <c r="I1518" s="2">
        <v>1</v>
      </c>
      <c r="J1518" s="3">
        <v>49</v>
      </c>
      <c r="K1518" s="4">
        <v>0</v>
      </c>
      <c r="L1518" s="3">
        <v>49</v>
      </c>
      <c r="M1518" t="b">
        <v>1</v>
      </c>
      <c r="N1518" s="2">
        <f>YEAR(B1518)</f>
        <v>2026</v>
      </c>
      <c r="O1518" t="str">
        <f>INDEX(Agences!$C:$C,MATCH(F1518,Agences!$A:$A,0))</f>
        <v>Ouest</v>
      </c>
      <c r="P1518" t="str">
        <f>INDEX(Produits!$C:$C,MATCH(H1518,Produits!$A:$A,0))</f>
        <v>Mobilier</v>
      </c>
      <c r="Q1518" s="3">
        <f>I1518*INDEX(Produits!$E:$E,MATCH(H1518,Produits!$A:$A,0))</f>
        <v>28.42</v>
      </c>
      <c r="R1518" s="3">
        <f>L1518-Q1518</f>
        <v>20.58</v>
      </c>
      <c r="S1518" s="2">
        <f>NETWORKDAYS(B1518,C1518)-1</f>
        <v>4</v>
      </c>
      <c r="T1518" s="1">
        <f>WORKDAY(B1518,5)</f>
        <v>46063</v>
      </c>
      <c r="U1518" t="b">
        <f>C1518&gt;T1518</f>
        <v>0</v>
      </c>
    </row>
    <row r="1519" spans="1:21" x14ac:dyDescent="0.25">
      <c r="A1519" t="s">
        <v>1158</v>
      </c>
      <c r="B1519" s="1">
        <v>46056</v>
      </c>
      <c r="C1519" s="1">
        <v>46062</v>
      </c>
      <c r="D1519" t="s">
        <v>692</v>
      </c>
      <c r="E1519" t="s">
        <v>30</v>
      </c>
      <c r="F1519" t="s">
        <v>31</v>
      </c>
      <c r="G1519" t="s">
        <v>32</v>
      </c>
      <c r="H1519" t="s">
        <v>49</v>
      </c>
      <c r="I1519" s="2">
        <v>1</v>
      </c>
      <c r="J1519" s="3">
        <v>120</v>
      </c>
      <c r="K1519" s="4">
        <v>0.05</v>
      </c>
      <c r="L1519" s="3">
        <v>114</v>
      </c>
      <c r="M1519" t="b">
        <v>1</v>
      </c>
      <c r="N1519" s="2">
        <f>YEAR(B1519)</f>
        <v>2026</v>
      </c>
      <c r="O1519" t="str">
        <f>INDEX(Agences!$C:$C,MATCH(F1519,Agences!$A:$A,0))</f>
        <v>Ouest</v>
      </c>
      <c r="P1519" t="str">
        <f>INDEX(Produits!$C:$C,MATCH(H1519,Produits!$A:$A,0))</f>
        <v>Maintenance</v>
      </c>
      <c r="Q1519" s="3">
        <f>I1519*INDEX(Produits!$E:$E,MATCH(H1519,Produits!$A:$A,0))</f>
        <v>55.2</v>
      </c>
      <c r="R1519" s="3">
        <f>L1519-Q1519</f>
        <v>58.8</v>
      </c>
      <c r="S1519" s="2">
        <f>NETWORKDAYS(B1519,C1519)-1</f>
        <v>4</v>
      </c>
      <c r="T1519" s="1">
        <f>WORKDAY(B1519,5)</f>
        <v>46063</v>
      </c>
      <c r="U1519" t="b">
        <f>C1519&gt;T1519</f>
        <v>0</v>
      </c>
    </row>
    <row r="1520" spans="1:21" x14ac:dyDescent="0.25">
      <c r="A1520" t="s">
        <v>1158</v>
      </c>
      <c r="B1520" s="1">
        <v>46056</v>
      </c>
      <c r="C1520" s="1">
        <v>46062</v>
      </c>
      <c r="D1520" t="s">
        <v>692</v>
      </c>
      <c r="E1520" t="s">
        <v>30</v>
      </c>
      <c r="F1520" t="s">
        <v>31</v>
      </c>
      <c r="G1520" t="s">
        <v>32</v>
      </c>
      <c r="H1520" t="s">
        <v>27</v>
      </c>
      <c r="I1520" s="2">
        <v>1</v>
      </c>
      <c r="J1520" s="3">
        <v>310</v>
      </c>
      <c r="K1520" s="4">
        <v>0.05</v>
      </c>
      <c r="L1520" s="3">
        <v>294.5</v>
      </c>
      <c r="M1520" t="b">
        <v>1</v>
      </c>
      <c r="N1520" s="2">
        <f>YEAR(B1520)</f>
        <v>2026</v>
      </c>
      <c r="O1520" t="str">
        <f>INDEX(Agences!$C:$C,MATCH(F1520,Agences!$A:$A,0))</f>
        <v>Ouest</v>
      </c>
      <c r="P1520" t="str">
        <f>INDEX(Produits!$C:$C,MATCH(H1520,Produits!$A:$A,0))</f>
        <v>Mobilier</v>
      </c>
      <c r="Q1520" s="3">
        <f>I1520*INDEX(Produits!$E:$E,MATCH(H1520,Produits!$A:$A,0))</f>
        <v>186</v>
      </c>
      <c r="R1520" s="3">
        <f>L1520-Q1520</f>
        <v>108.5</v>
      </c>
      <c r="S1520" s="2">
        <f>NETWORKDAYS(B1520,C1520)-1</f>
        <v>4</v>
      </c>
      <c r="T1520" s="1">
        <f>WORKDAY(B1520,5)</f>
        <v>46063</v>
      </c>
      <c r="U1520" t="b">
        <f>C1520&gt;T1520</f>
        <v>0</v>
      </c>
    </row>
    <row r="1521" spans="1:21" x14ac:dyDescent="0.25">
      <c r="A1521" t="s">
        <v>1159</v>
      </c>
      <c r="B1521" s="1">
        <v>46056</v>
      </c>
      <c r="C1521" s="1">
        <v>46058</v>
      </c>
      <c r="D1521" t="s">
        <v>538</v>
      </c>
      <c r="E1521" t="s">
        <v>157</v>
      </c>
      <c r="F1521" t="s">
        <v>46</v>
      </c>
      <c r="G1521" t="s">
        <v>158</v>
      </c>
      <c r="H1521" t="s">
        <v>42</v>
      </c>
      <c r="I1521" s="2">
        <v>1</v>
      </c>
      <c r="J1521" s="3">
        <v>55</v>
      </c>
      <c r="K1521" s="4">
        <v>0.02</v>
      </c>
      <c r="L1521" s="3">
        <v>53.9</v>
      </c>
      <c r="M1521" t="b">
        <v>1</v>
      </c>
      <c r="N1521" s="2">
        <f>YEAR(B1521)</f>
        <v>2026</v>
      </c>
      <c r="O1521" t="str">
        <f>INDEX(Agences!$C:$C,MATCH(F1521,Agences!$A:$A,0))</f>
        <v>Est</v>
      </c>
      <c r="P1521" t="str">
        <f>INDEX(Produits!$C:$C,MATCH(H1521,Produits!$A:$A,0))</f>
        <v>Maintenance</v>
      </c>
      <c r="Q1521" s="3">
        <f>I1521*INDEX(Produits!$E:$E,MATCH(H1521,Produits!$A:$A,0))</f>
        <v>24.75</v>
      </c>
      <c r="R1521" s="3">
        <f>L1521-Q1521</f>
        <v>29.15</v>
      </c>
      <c r="S1521" s="2">
        <f>NETWORKDAYS(B1521,C1521)-1</f>
        <v>2</v>
      </c>
      <c r="T1521" s="1">
        <f>WORKDAY(B1521,5)</f>
        <v>46063</v>
      </c>
      <c r="U1521" t="b">
        <f>C1521&gt;T1521</f>
        <v>0</v>
      </c>
    </row>
    <row r="1522" spans="1:21" x14ac:dyDescent="0.25">
      <c r="A1522" t="s">
        <v>1160</v>
      </c>
      <c r="B1522" s="1">
        <v>46056</v>
      </c>
      <c r="C1522" s="1">
        <v>46058</v>
      </c>
      <c r="D1522" t="s">
        <v>1161</v>
      </c>
      <c r="E1522" t="s">
        <v>229</v>
      </c>
      <c r="F1522" t="s">
        <v>55</v>
      </c>
      <c r="G1522" t="s">
        <v>71</v>
      </c>
      <c r="H1522" t="s">
        <v>162</v>
      </c>
      <c r="I1522" s="2">
        <v>1</v>
      </c>
      <c r="J1522" s="3">
        <v>289</v>
      </c>
      <c r="K1522" s="4">
        <v>0</v>
      </c>
      <c r="L1522" s="3">
        <v>289</v>
      </c>
      <c r="M1522" t="b">
        <v>1</v>
      </c>
      <c r="N1522" s="2">
        <f>YEAR(B1522)</f>
        <v>2026</v>
      </c>
      <c r="O1522" t="str">
        <f>INDEX(Agences!$C:$C,MATCH(F1522,Agences!$A:$A,0))</f>
        <v>Est</v>
      </c>
      <c r="P1522" t="str">
        <f>INDEX(Produits!$C:$C,MATCH(H1522,Produits!$A:$A,0))</f>
        <v>Mobilier</v>
      </c>
      <c r="Q1522" s="3">
        <f>I1522*INDEX(Produits!$E:$E,MATCH(H1522,Produits!$A:$A,0))</f>
        <v>193.63</v>
      </c>
      <c r="R1522" s="3">
        <f>L1522-Q1522</f>
        <v>95.37</v>
      </c>
      <c r="S1522" s="2">
        <f>NETWORKDAYS(B1522,C1522)-1</f>
        <v>2</v>
      </c>
      <c r="T1522" s="1">
        <f>WORKDAY(B1522,5)</f>
        <v>46063</v>
      </c>
      <c r="U1522" t="b">
        <f>C1522&gt;T1522</f>
        <v>0</v>
      </c>
    </row>
    <row r="1523" spans="1:21" x14ac:dyDescent="0.25">
      <c r="A1523" t="s">
        <v>1160</v>
      </c>
      <c r="B1523" s="1">
        <v>46056</v>
      </c>
      <c r="C1523" s="1">
        <v>46058</v>
      </c>
      <c r="D1523" t="s">
        <v>1161</v>
      </c>
      <c r="E1523" t="s">
        <v>229</v>
      </c>
      <c r="F1523" t="s">
        <v>55</v>
      </c>
      <c r="G1523" t="s">
        <v>71</v>
      </c>
      <c r="H1523" t="s">
        <v>49</v>
      </c>
      <c r="I1523" s="2">
        <v>1</v>
      </c>
      <c r="J1523" s="3">
        <v>120</v>
      </c>
      <c r="K1523" s="4">
        <v>0</v>
      </c>
      <c r="L1523" s="3">
        <v>120</v>
      </c>
      <c r="M1523" t="b">
        <v>1</v>
      </c>
      <c r="N1523" s="2">
        <f>YEAR(B1523)</f>
        <v>2026</v>
      </c>
      <c r="O1523" t="str">
        <f>INDEX(Agences!$C:$C,MATCH(F1523,Agences!$A:$A,0))</f>
        <v>Est</v>
      </c>
      <c r="P1523" t="str">
        <f>INDEX(Produits!$C:$C,MATCH(H1523,Produits!$A:$A,0))</f>
        <v>Maintenance</v>
      </c>
      <c r="Q1523" s="3">
        <f>I1523*INDEX(Produits!$E:$E,MATCH(H1523,Produits!$A:$A,0))</f>
        <v>55.2</v>
      </c>
      <c r="R1523" s="3">
        <f>L1523-Q1523</f>
        <v>64.8</v>
      </c>
      <c r="S1523" s="2">
        <f>NETWORKDAYS(B1523,C1523)-1</f>
        <v>2</v>
      </c>
      <c r="T1523" s="1">
        <f>WORKDAY(B1523,5)</f>
        <v>46063</v>
      </c>
      <c r="U1523" t="b">
        <f>C1523&gt;T1523</f>
        <v>0</v>
      </c>
    </row>
    <row r="1524" spans="1:21" x14ac:dyDescent="0.25">
      <c r="A1524" t="s">
        <v>1160</v>
      </c>
      <c r="B1524" s="1">
        <v>46056</v>
      </c>
      <c r="C1524" s="1">
        <v>46058</v>
      </c>
      <c r="D1524" t="s">
        <v>1161</v>
      </c>
      <c r="E1524" t="s">
        <v>229</v>
      </c>
      <c r="F1524" t="s">
        <v>55</v>
      </c>
      <c r="G1524" t="s">
        <v>71</v>
      </c>
      <c r="H1524" t="s">
        <v>206</v>
      </c>
      <c r="I1524" s="2">
        <v>5</v>
      </c>
      <c r="J1524" s="3">
        <v>34</v>
      </c>
      <c r="K1524" s="4">
        <v>0.02</v>
      </c>
      <c r="L1524" s="3">
        <v>166.6</v>
      </c>
      <c r="M1524" t="b">
        <v>1</v>
      </c>
      <c r="N1524" s="2">
        <f>YEAR(B1524)</f>
        <v>2026</v>
      </c>
      <c r="O1524" t="str">
        <f>INDEX(Agences!$C:$C,MATCH(F1524,Agences!$A:$A,0))</f>
        <v>Est</v>
      </c>
      <c r="P1524" t="str">
        <f>INDEX(Produits!$C:$C,MATCH(H1524,Produits!$A:$A,0))</f>
        <v>Fournitures</v>
      </c>
      <c r="Q1524" s="3">
        <f>I1524*INDEX(Produits!$E:$E,MATCH(H1524,Produits!$A:$A,0))</f>
        <v>96.89999999999999</v>
      </c>
      <c r="R1524" s="3">
        <f>L1524-Q1524</f>
        <v>69.7</v>
      </c>
      <c r="S1524" s="2">
        <f>NETWORKDAYS(B1524,C1524)-1</f>
        <v>2</v>
      </c>
      <c r="T1524" s="1">
        <f>WORKDAY(B1524,5)</f>
        <v>46063</v>
      </c>
      <c r="U1524" t="b">
        <f>C1524&gt;T1524</f>
        <v>0</v>
      </c>
    </row>
    <row r="1525" spans="1:21" x14ac:dyDescent="0.25">
      <c r="A1525" t="s">
        <v>1162</v>
      </c>
      <c r="B1525" s="1">
        <v>46056</v>
      </c>
      <c r="C1525" s="1">
        <v>46063</v>
      </c>
      <c r="D1525" t="s">
        <v>1163</v>
      </c>
      <c r="E1525" t="s">
        <v>54</v>
      </c>
      <c r="F1525" t="s">
        <v>55</v>
      </c>
      <c r="G1525" t="s">
        <v>71</v>
      </c>
      <c r="H1525" t="s">
        <v>50</v>
      </c>
      <c r="I1525" s="2">
        <v>3</v>
      </c>
      <c r="J1525" s="3">
        <v>69</v>
      </c>
      <c r="K1525" s="4">
        <v>0</v>
      </c>
      <c r="L1525" s="3">
        <v>207</v>
      </c>
      <c r="M1525" t="b">
        <v>1</v>
      </c>
      <c r="N1525" s="2">
        <f>YEAR(B1525)</f>
        <v>2026</v>
      </c>
      <c r="O1525" t="str">
        <f>INDEX(Agences!$C:$C,MATCH(F1525,Agences!$A:$A,0))</f>
        <v>Est</v>
      </c>
      <c r="P1525" t="str">
        <f>INDEX(Produits!$C:$C,MATCH(H1525,Produits!$A:$A,0))</f>
        <v>Informatique</v>
      </c>
      <c r="Q1525" s="3">
        <f>I1525*INDEX(Produits!$E:$E,MATCH(H1525,Produits!$A:$A,0))</f>
        <v>163.53</v>
      </c>
      <c r="R1525" s="3">
        <f>L1525-Q1525</f>
        <v>43.47</v>
      </c>
      <c r="S1525" s="2">
        <f>NETWORKDAYS(B1525,C1525)-1</f>
        <v>5</v>
      </c>
      <c r="T1525" s="1">
        <f>WORKDAY(B1525,5)</f>
        <v>46063</v>
      </c>
      <c r="U1525" t="b">
        <f>C1525&gt;T1525</f>
        <v>0</v>
      </c>
    </row>
    <row r="1526" spans="1:21" x14ac:dyDescent="0.25">
      <c r="A1526" t="s">
        <v>1162</v>
      </c>
      <c r="B1526" s="1">
        <v>46056</v>
      </c>
      <c r="C1526" s="1">
        <v>46063</v>
      </c>
      <c r="D1526" t="s">
        <v>1163</v>
      </c>
      <c r="E1526" t="s">
        <v>54</v>
      </c>
      <c r="F1526" t="s">
        <v>55</v>
      </c>
      <c r="G1526" t="s">
        <v>71</v>
      </c>
      <c r="H1526" t="s">
        <v>112</v>
      </c>
      <c r="I1526" s="2">
        <v>1</v>
      </c>
      <c r="J1526" s="3">
        <v>129</v>
      </c>
      <c r="K1526" s="4">
        <v>0</v>
      </c>
      <c r="L1526" s="3">
        <v>129</v>
      </c>
      <c r="M1526" t="b">
        <v>1</v>
      </c>
      <c r="N1526" s="2">
        <f>YEAR(B1526)</f>
        <v>2026</v>
      </c>
      <c r="O1526" t="str">
        <f>INDEX(Agences!$C:$C,MATCH(F1526,Agences!$A:$A,0))</f>
        <v>Est</v>
      </c>
      <c r="P1526" t="str">
        <f>INDEX(Produits!$C:$C,MATCH(H1526,Produits!$A:$A,0))</f>
        <v>Mobilier</v>
      </c>
      <c r="Q1526" s="3">
        <f>I1526*INDEX(Produits!$E:$E,MATCH(H1526,Produits!$A:$A,0))</f>
        <v>86.43</v>
      </c>
      <c r="R1526" s="3">
        <f>L1526-Q1526</f>
        <v>42.56999999999999</v>
      </c>
      <c r="S1526" s="2">
        <f>NETWORKDAYS(B1526,C1526)-1</f>
        <v>5</v>
      </c>
      <c r="T1526" s="1">
        <f>WORKDAY(B1526,5)</f>
        <v>46063</v>
      </c>
      <c r="U1526" t="b">
        <f>C1526&gt;T1526</f>
        <v>0</v>
      </c>
    </row>
    <row r="1527" spans="1:21" x14ac:dyDescent="0.25">
      <c r="A1527" t="s">
        <v>1164</v>
      </c>
      <c r="B1527" s="1">
        <v>46055</v>
      </c>
      <c r="C1527" s="1">
        <v>46057</v>
      </c>
      <c r="D1527" t="s">
        <v>136</v>
      </c>
      <c r="E1527" t="s">
        <v>137</v>
      </c>
      <c r="F1527" t="s">
        <v>138</v>
      </c>
      <c r="G1527" t="s">
        <v>139</v>
      </c>
      <c r="H1527" t="s">
        <v>33</v>
      </c>
      <c r="I1527" s="2">
        <v>2</v>
      </c>
      <c r="J1527" s="3">
        <v>219</v>
      </c>
      <c r="K1527" s="4">
        <v>0</v>
      </c>
      <c r="L1527" s="3">
        <v>438</v>
      </c>
      <c r="M1527" t="b">
        <v>1</v>
      </c>
      <c r="N1527" s="2">
        <f>YEAR(B1527)</f>
        <v>2026</v>
      </c>
      <c r="O1527" t="str">
        <f>INDEX(Agences!$C:$C,MATCH(F1527,Agences!$A:$A,0))</f>
        <v>Île-de-France</v>
      </c>
      <c r="P1527" t="str">
        <f>INDEX(Produits!$C:$C,MATCH(H1527,Produits!$A:$A,0))</f>
        <v>Informatique</v>
      </c>
      <c r="Q1527" s="3">
        <f>I1527*INDEX(Produits!$E:$E,MATCH(H1527,Produits!$A:$A,0))</f>
        <v>359.16</v>
      </c>
      <c r="R1527" s="3">
        <f>L1527-Q1527</f>
        <v>78.83999999999997</v>
      </c>
      <c r="S1527" s="2">
        <f>NETWORKDAYS(B1527,C1527)-1</f>
        <v>2</v>
      </c>
      <c r="T1527" s="1">
        <f>WORKDAY(B1527,5)</f>
        <v>46062</v>
      </c>
      <c r="U1527" t="b">
        <f>C1527&gt;T1527</f>
        <v>0</v>
      </c>
    </row>
    <row r="1528" spans="1:21" x14ac:dyDescent="0.25">
      <c r="A1528" t="s">
        <v>1164</v>
      </c>
      <c r="B1528" s="1">
        <v>46055</v>
      </c>
      <c r="C1528" s="1">
        <v>46057</v>
      </c>
      <c r="D1528" t="s">
        <v>136</v>
      </c>
      <c r="E1528" t="s">
        <v>137</v>
      </c>
      <c r="F1528" t="s">
        <v>138</v>
      </c>
      <c r="G1528" t="s">
        <v>139</v>
      </c>
      <c r="H1528" t="s">
        <v>72</v>
      </c>
      <c r="I1528" s="2">
        <v>2</v>
      </c>
      <c r="J1528" s="3">
        <v>179</v>
      </c>
      <c r="K1528" s="4">
        <v>0</v>
      </c>
      <c r="L1528" s="3">
        <v>358</v>
      </c>
      <c r="M1528" t="b">
        <v>1</v>
      </c>
      <c r="N1528" s="2">
        <f>YEAR(B1528)</f>
        <v>2026</v>
      </c>
      <c r="O1528" t="str">
        <f>INDEX(Agences!$C:$C,MATCH(F1528,Agences!$A:$A,0))</f>
        <v>Île-de-France</v>
      </c>
      <c r="P1528" t="str">
        <f>INDEX(Produits!$C:$C,MATCH(H1528,Produits!$A:$A,0))</f>
        <v>Informatique</v>
      </c>
      <c r="Q1528" s="3">
        <f>I1528*INDEX(Produits!$E:$E,MATCH(H1528,Produits!$A:$A,0))</f>
        <v>293.56</v>
      </c>
      <c r="R1528" s="3">
        <f>L1528-Q1528</f>
        <v>64.44</v>
      </c>
      <c r="S1528" s="2">
        <f>NETWORKDAYS(B1528,C1528)-1</f>
        <v>2</v>
      </c>
      <c r="T1528" s="1">
        <f>WORKDAY(B1528,5)</f>
        <v>46062</v>
      </c>
      <c r="U1528" t="b">
        <f>C1528&gt;T1528</f>
        <v>0</v>
      </c>
    </row>
    <row r="1529" spans="1:21" x14ac:dyDescent="0.25">
      <c r="A1529" t="s">
        <v>1164</v>
      </c>
      <c r="B1529" s="1">
        <v>46055</v>
      </c>
      <c r="C1529" s="1">
        <v>46057</v>
      </c>
      <c r="D1529" t="s">
        <v>136</v>
      </c>
      <c r="E1529" t="s">
        <v>137</v>
      </c>
      <c r="F1529" t="s">
        <v>138</v>
      </c>
      <c r="G1529" t="s">
        <v>139</v>
      </c>
      <c r="H1529" t="s">
        <v>83</v>
      </c>
      <c r="I1529" s="2">
        <v>3</v>
      </c>
      <c r="J1529" s="3">
        <v>49</v>
      </c>
      <c r="K1529" s="4">
        <v>0</v>
      </c>
      <c r="L1529" s="3">
        <v>147</v>
      </c>
      <c r="M1529" t="b">
        <v>1</v>
      </c>
      <c r="N1529" s="2">
        <f>YEAR(B1529)</f>
        <v>2026</v>
      </c>
      <c r="O1529" t="str">
        <f>INDEX(Agences!$C:$C,MATCH(F1529,Agences!$A:$A,0))</f>
        <v>Île-de-France</v>
      </c>
      <c r="P1529" t="str">
        <f>INDEX(Produits!$C:$C,MATCH(H1529,Produits!$A:$A,0))</f>
        <v>Mobilier</v>
      </c>
      <c r="Q1529" s="3">
        <f>I1529*INDEX(Produits!$E:$E,MATCH(H1529,Produits!$A:$A,0))</f>
        <v>85.26</v>
      </c>
      <c r="R1529" s="3">
        <f>L1529-Q1529</f>
        <v>61.739999999999995</v>
      </c>
      <c r="S1529" s="2">
        <f>NETWORKDAYS(B1529,C1529)-1</f>
        <v>2</v>
      </c>
      <c r="T1529" s="1">
        <f>WORKDAY(B1529,5)</f>
        <v>46062</v>
      </c>
      <c r="U1529" t="b">
        <f>C1529&gt;T1529</f>
        <v>0</v>
      </c>
    </row>
    <row r="1530" spans="1:21" x14ac:dyDescent="0.25">
      <c r="A1530" t="s">
        <v>1164</v>
      </c>
      <c r="B1530" s="1">
        <v>46055</v>
      </c>
      <c r="C1530" s="1">
        <v>46057</v>
      </c>
      <c r="D1530" t="s">
        <v>136</v>
      </c>
      <c r="E1530" t="s">
        <v>137</v>
      </c>
      <c r="F1530" t="s">
        <v>138</v>
      </c>
      <c r="G1530" t="s">
        <v>139</v>
      </c>
      <c r="H1530" t="s">
        <v>27</v>
      </c>
      <c r="I1530" s="2">
        <v>3</v>
      </c>
      <c r="J1530" s="3">
        <v>310</v>
      </c>
      <c r="K1530" s="4">
        <v>0</v>
      </c>
      <c r="L1530" s="3">
        <v>930</v>
      </c>
      <c r="M1530" t="b">
        <v>1</v>
      </c>
      <c r="N1530" s="2">
        <f>YEAR(B1530)</f>
        <v>2026</v>
      </c>
      <c r="O1530" t="str">
        <f>INDEX(Agences!$C:$C,MATCH(F1530,Agences!$A:$A,0))</f>
        <v>Île-de-France</v>
      </c>
      <c r="P1530" t="str">
        <f>INDEX(Produits!$C:$C,MATCH(H1530,Produits!$A:$A,0))</f>
        <v>Mobilier</v>
      </c>
      <c r="Q1530" s="3">
        <f>I1530*INDEX(Produits!$E:$E,MATCH(H1530,Produits!$A:$A,0))</f>
        <v>558</v>
      </c>
      <c r="R1530" s="3">
        <f>L1530-Q1530</f>
        <v>372</v>
      </c>
      <c r="S1530" s="2">
        <f>NETWORKDAYS(B1530,C1530)-1</f>
        <v>2</v>
      </c>
      <c r="T1530" s="1">
        <f>WORKDAY(B1530,5)</f>
        <v>46062</v>
      </c>
      <c r="U1530" t="b">
        <f>C1530&gt;T1530</f>
        <v>0</v>
      </c>
    </row>
    <row r="1531" spans="1:21" x14ac:dyDescent="0.25">
      <c r="A1531" t="s">
        <v>1164</v>
      </c>
      <c r="B1531" s="1">
        <v>46055</v>
      </c>
      <c r="C1531" s="1">
        <v>46057</v>
      </c>
      <c r="D1531" t="s">
        <v>136</v>
      </c>
      <c r="E1531" t="s">
        <v>137</v>
      </c>
      <c r="F1531" t="s">
        <v>138</v>
      </c>
      <c r="G1531" t="s">
        <v>139</v>
      </c>
      <c r="H1531" t="s">
        <v>26</v>
      </c>
      <c r="I1531" s="2">
        <v>2</v>
      </c>
      <c r="J1531" s="3">
        <v>290</v>
      </c>
      <c r="K1531" s="4">
        <v>0</v>
      </c>
      <c r="L1531" s="3">
        <v>580</v>
      </c>
      <c r="M1531" t="b">
        <v>1</v>
      </c>
      <c r="N1531" s="2">
        <f>YEAR(B1531)</f>
        <v>2026</v>
      </c>
      <c r="O1531" t="str">
        <f>INDEX(Agences!$C:$C,MATCH(F1531,Agences!$A:$A,0))</f>
        <v>Île-de-France</v>
      </c>
      <c r="P1531" t="str">
        <f>INDEX(Produits!$C:$C,MATCH(H1531,Produits!$A:$A,0))</f>
        <v>Maintenance</v>
      </c>
      <c r="Q1531" s="3">
        <f>I1531*INDEX(Produits!$E:$E,MATCH(H1531,Produits!$A:$A,0))</f>
        <v>278.4</v>
      </c>
      <c r="R1531" s="3">
        <f>L1531-Q1531</f>
        <v>301.6</v>
      </c>
      <c r="S1531" s="2">
        <f>NETWORKDAYS(B1531,C1531)-1</f>
        <v>2</v>
      </c>
      <c r="T1531" s="1">
        <f>WORKDAY(B1531,5)</f>
        <v>46062</v>
      </c>
      <c r="U1531" t="b">
        <f>C1531&gt;T1531</f>
        <v>0</v>
      </c>
    </row>
    <row r="1532" spans="1:21" x14ac:dyDescent="0.25">
      <c r="A1532" t="s">
        <v>1165</v>
      </c>
      <c r="B1532" s="1">
        <v>46055</v>
      </c>
      <c r="C1532" s="1">
        <v>46057</v>
      </c>
      <c r="D1532" t="s">
        <v>1166</v>
      </c>
      <c r="E1532" t="s">
        <v>165</v>
      </c>
      <c r="F1532" t="s">
        <v>166</v>
      </c>
      <c r="G1532" t="s">
        <v>179</v>
      </c>
      <c r="H1532" t="s">
        <v>112</v>
      </c>
      <c r="I1532" s="2">
        <v>5</v>
      </c>
      <c r="J1532" s="3">
        <v>129</v>
      </c>
      <c r="K1532" s="4">
        <v>0.05</v>
      </c>
      <c r="L1532" s="3">
        <v>612.75</v>
      </c>
      <c r="M1532" t="b">
        <v>1</v>
      </c>
      <c r="N1532" s="2">
        <f>YEAR(B1532)</f>
        <v>2026</v>
      </c>
      <c r="O1532" t="str">
        <f>INDEX(Agences!$C:$C,MATCH(F1532,Agences!$A:$A,0))</f>
        <v>Ouest</v>
      </c>
      <c r="P1532" t="str">
        <f>INDEX(Produits!$C:$C,MATCH(H1532,Produits!$A:$A,0))</f>
        <v>Mobilier</v>
      </c>
      <c r="Q1532" s="3">
        <f>I1532*INDEX(Produits!$E:$E,MATCH(H1532,Produits!$A:$A,0))</f>
        <v>432.15000000000003</v>
      </c>
      <c r="R1532" s="3">
        <f>L1532-Q1532</f>
        <v>180.59999999999997</v>
      </c>
      <c r="S1532" s="2">
        <f>NETWORKDAYS(B1532,C1532)-1</f>
        <v>2</v>
      </c>
      <c r="T1532" s="1">
        <f>WORKDAY(B1532,5)</f>
        <v>46062</v>
      </c>
      <c r="U1532" t="b">
        <f>C1532&gt;T1532</f>
        <v>0</v>
      </c>
    </row>
    <row r="1533" spans="1:21" x14ac:dyDescent="0.25">
      <c r="A1533" t="s">
        <v>1165</v>
      </c>
      <c r="B1533" s="1">
        <v>46055</v>
      </c>
      <c r="C1533" s="1">
        <v>46057</v>
      </c>
      <c r="D1533" t="s">
        <v>1166</v>
      </c>
      <c r="E1533" t="s">
        <v>165</v>
      </c>
      <c r="F1533" t="s">
        <v>166</v>
      </c>
      <c r="G1533" t="s">
        <v>179</v>
      </c>
      <c r="H1533" t="s">
        <v>50</v>
      </c>
      <c r="I1533" s="2">
        <v>3</v>
      </c>
      <c r="J1533" s="3">
        <v>69</v>
      </c>
      <c r="K1533" s="4">
        <v>0.05</v>
      </c>
      <c r="L1533" s="3">
        <v>196.65</v>
      </c>
      <c r="M1533" t="b">
        <v>1</v>
      </c>
      <c r="N1533" s="2">
        <f>YEAR(B1533)</f>
        <v>2026</v>
      </c>
      <c r="O1533" t="str">
        <f>INDEX(Agences!$C:$C,MATCH(F1533,Agences!$A:$A,0))</f>
        <v>Ouest</v>
      </c>
      <c r="P1533" t="str">
        <f>INDEX(Produits!$C:$C,MATCH(H1533,Produits!$A:$A,0))</f>
        <v>Informatique</v>
      </c>
      <c r="Q1533" s="3">
        <f>I1533*INDEX(Produits!$E:$E,MATCH(H1533,Produits!$A:$A,0))</f>
        <v>163.53</v>
      </c>
      <c r="R1533" s="3">
        <f>L1533-Q1533</f>
        <v>33.120000000000005</v>
      </c>
      <c r="S1533" s="2">
        <f>NETWORKDAYS(B1533,C1533)-1</f>
        <v>2</v>
      </c>
      <c r="T1533" s="1">
        <f>WORKDAY(B1533,5)</f>
        <v>46062</v>
      </c>
      <c r="U1533" t="b">
        <f>C1533&gt;T1533</f>
        <v>0</v>
      </c>
    </row>
    <row r="1534" spans="1:21" x14ac:dyDescent="0.25">
      <c r="A1534" t="s">
        <v>1167</v>
      </c>
      <c r="B1534" s="1">
        <v>46055</v>
      </c>
      <c r="C1534" s="1">
        <v>46058</v>
      </c>
      <c r="D1534" t="s">
        <v>1168</v>
      </c>
      <c r="E1534" t="s">
        <v>185</v>
      </c>
      <c r="F1534" t="s">
        <v>31</v>
      </c>
      <c r="G1534" t="s">
        <v>32</v>
      </c>
      <c r="H1534" t="s">
        <v>42</v>
      </c>
      <c r="I1534" s="2">
        <v>3</v>
      </c>
      <c r="J1534" s="3">
        <v>55</v>
      </c>
      <c r="K1534" s="4">
        <v>0</v>
      </c>
      <c r="L1534" s="3">
        <v>165</v>
      </c>
      <c r="M1534" t="b">
        <v>1</v>
      </c>
      <c r="N1534" s="2">
        <f>YEAR(B1534)</f>
        <v>2026</v>
      </c>
      <c r="O1534" t="str">
        <f>INDEX(Agences!$C:$C,MATCH(F1534,Agences!$A:$A,0))</f>
        <v>Ouest</v>
      </c>
      <c r="P1534" t="str">
        <f>INDEX(Produits!$C:$C,MATCH(H1534,Produits!$A:$A,0))</f>
        <v>Maintenance</v>
      </c>
      <c r="Q1534" s="3">
        <f>I1534*INDEX(Produits!$E:$E,MATCH(H1534,Produits!$A:$A,0))</f>
        <v>74.25</v>
      </c>
      <c r="R1534" s="3">
        <f>L1534-Q1534</f>
        <v>90.75</v>
      </c>
      <c r="S1534" s="2">
        <f>NETWORKDAYS(B1534,C1534)-1</f>
        <v>3</v>
      </c>
      <c r="T1534" s="1">
        <f>WORKDAY(B1534,5)</f>
        <v>46062</v>
      </c>
      <c r="U1534" t="b">
        <f>C1534&gt;T1534</f>
        <v>0</v>
      </c>
    </row>
    <row r="1535" spans="1:21" x14ac:dyDescent="0.25">
      <c r="A1535" t="s">
        <v>1169</v>
      </c>
      <c r="B1535" s="1">
        <v>46055</v>
      </c>
      <c r="C1535" s="1">
        <v>46059</v>
      </c>
      <c r="D1535" t="s">
        <v>1170</v>
      </c>
      <c r="E1535" t="s">
        <v>149</v>
      </c>
      <c r="F1535" t="s">
        <v>88</v>
      </c>
      <c r="G1535" t="s">
        <v>226</v>
      </c>
      <c r="H1535" t="s">
        <v>196</v>
      </c>
      <c r="I1535" s="2">
        <v>5</v>
      </c>
      <c r="J1535" s="3">
        <v>18.5</v>
      </c>
      <c r="K1535" s="4">
        <v>0.05</v>
      </c>
      <c r="L1535" s="3">
        <v>87.88</v>
      </c>
      <c r="M1535" t="b">
        <v>1</v>
      </c>
      <c r="N1535" s="2">
        <f>YEAR(B1535)</f>
        <v>2026</v>
      </c>
      <c r="O1535" t="str">
        <f>INDEX(Agences!$C:$C,MATCH(F1535,Agences!$A:$A,0))</f>
        <v>Sud-Ouest</v>
      </c>
      <c r="P1535" t="str">
        <f>INDEX(Produits!$C:$C,MATCH(H1535,Produits!$A:$A,0))</f>
        <v>Fournitures</v>
      </c>
      <c r="Q1535" s="3">
        <f>I1535*INDEX(Produits!$E:$E,MATCH(H1535,Produits!$A:$A,0))</f>
        <v>47.199999999999996</v>
      </c>
      <c r="R1535" s="3">
        <f>L1535-Q1535</f>
        <v>40.68</v>
      </c>
      <c r="S1535" s="2">
        <f>NETWORKDAYS(B1535,C1535)-1</f>
        <v>4</v>
      </c>
      <c r="T1535" s="1">
        <f>WORKDAY(B1535,5)</f>
        <v>46062</v>
      </c>
      <c r="U1535" t="b">
        <f>C1535&gt;T1535</f>
        <v>0</v>
      </c>
    </row>
    <row r="1536" spans="1:21" x14ac:dyDescent="0.25">
      <c r="A1536" t="s">
        <v>1169</v>
      </c>
      <c r="B1536" s="1">
        <v>46055</v>
      </c>
      <c r="C1536" s="1">
        <v>46059</v>
      </c>
      <c r="D1536" t="s">
        <v>1170</v>
      </c>
      <c r="E1536" t="s">
        <v>149</v>
      </c>
      <c r="F1536" t="s">
        <v>88</v>
      </c>
      <c r="G1536" t="s">
        <v>226</v>
      </c>
      <c r="H1536" t="s">
        <v>206</v>
      </c>
      <c r="I1536" s="2">
        <v>15</v>
      </c>
      <c r="J1536" s="3">
        <v>34</v>
      </c>
      <c r="K1536" s="4">
        <v>0.1</v>
      </c>
      <c r="L1536" s="3">
        <v>459</v>
      </c>
      <c r="M1536" t="b">
        <v>1</v>
      </c>
      <c r="N1536" s="2">
        <f>YEAR(B1536)</f>
        <v>2026</v>
      </c>
      <c r="O1536" t="str">
        <f>INDEX(Agences!$C:$C,MATCH(F1536,Agences!$A:$A,0))</f>
        <v>Sud-Ouest</v>
      </c>
      <c r="P1536" t="str">
        <f>INDEX(Produits!$C:$C,MATCH(H1536,Produits!$A:$A,0))</f>
        <v>Fournitures</v>
      </c>
      <c r="Q1536" s="3">
        <f>I1536*INDEX(Produits!$E:$E,MATCH(H1536,Produits!$A:$A,0))</f>
        <v>290.7</v>
      </c>
      <c r="R1536" s="3">
        <f>L1536-Q1536</f>
        <v>168.3</v>
      </c>
      <c r="S1536" s="2">
        <f>NETWORKDAYS(B1536,C1536)-1</f>
        <v>4</v>
      </c>
      <c r="T1536" s="1">
        <f>WORKDAY(B1536,5)</f>
        <v>46062</v>
      </c>
      <c r="U1536" t="b">
        <f>C1536&gt;T1536</f>
        <v>0</v>
      </c>
    </row>
    <row r="1537" spans="1:21" x14ac:dyDescent="0.25">
      <c r="A1537" t="s">
        <v>1169</v>
      </c>
      <c r="B1537" s="1">
        <v>46055</v>
      </c>
      <c r="C1537" s="1">
        <v>46059</v>
      </c>
      <c r="D1537" t="s">
        <v>1170</v>
      </c>
      <c r="E1537" t="s">
        <v>149</v>
      </c>
      <c r="F1537" t="s">
        <v>88</v>
      </c>
      <c r="G1537" t="s">
        <v>226</v>
      </c>
      <c r="H1537" t="s">
        <v>51</v>
      </c>
      <c r="I1537" s="2">
        <v>1</v>
      </c>
      <c r="J1537" s="3">
        <v>180</v>
      </c>
      <c r="K1537" s="4">
        <v>0</v>
      </c>
      <c r="L1537" s="3">
        <v>180</v>
      </c>
      <c r="M1537" t="b">
        <v>1</v>
      </c>
      <c r="N1537" s="2">
        <f>YEAR(B1537)</f>
        <v>2026</v>
      </c>
      <c r="O1537" t="str">
        <f>INDEX(Agences!$C:$C,MATCH(F1537,Agences!$A:$A,0))</f>
        <v>Sud-Ouest</v>
      </c>
      <c r="P1537" t="str">
        <f>INDEX(Produits!$C:$C,MATCH(H1537,Produits!$A:$A,0))</f>
        <v>Maintenance</v>
      </c>
      <c r="Q1537" s="3">
        <f>I1537*INDEX(Produits!$E:$E,MATCH(H1537,Produits!$A:$A,0))</f>
        <v>82.8</v>
      </c>
      <c r="R1537" s="3">
        <f>L1537-Q1537</f>
        <v>97.2</v>
      </c>
      <c r="S1537" s="2">
        <f>NETWORKDAYS(B1537,C1537)-1</f>
        <v>4</v>
      </c>
      <c r="T1537" s="1">
        <f>WORKDAY(B1537,5)</f>
        <v>46062</v>
      </c>
      <c r="U1537" t="b">
        <f>C1537&gt;T1537</f>
        <v>0</v>
      </c>
    </row>
    <row r="1538" spans="1:21" x14ac:dyDescent="0.25">
      <c r="A1538" t="s">
        <v>1171</v>
      </c>
      <c r="B1538" s="1">
        <v>46055</v>
      </c>
      <c r="C1538" s="1">
        <v>46058</v>
      </c>
      <c r="D1538" t="s">
        <v>156</v>
      </c>
      <c r="E1538" t="s">
        <v>157</v>
      </c>
      <c r="F1538" t="s">
        <v>46</v>
      </c>
      <c r="G1538" t="s">
        <v>111</v>
      </c>
      <c r="H1538" t="s">
        <v>57</v>
      </c>
      <c r="I1538" s="2">
        <v>2</v>
      </c>
      <c r="J1538" s="3">
        <v>149</v>
      </c>
      <c r="K1538" s="4">
        <v>0.05</v>
      </c>
      <c r="L1538" s="3">
        <v>283.1</v>
      </c>
      <c r="M1538" t="b">
        <v>1</v>
      </c>
      <c r="N1538" s="2">
        <f>YEAR(B1538)</f>
        <v>2026</v>
      </c>
      <c r="O1538" t="str">
        <f>INDEX(Agences!$C:$C,MATCH(F1538,Agences!$A:$A,0))</f>
        <v>Est</v>
      </c>
      <c r="P1538" t="str">
        <f>INDEX(Produits!$C:$C,MATCH(H1538,Produits!$A:$A,0))</f>
        <v>Informatique</v>
      </c>
      <c r="Q1538" s="3">
        <f>I1538*INDEX(Produits!$E:$E,MATCH(H1538,Produits!$A:$A,0))</f>
        <v>229.46</v>
      </c>
      <c r="R1538" s="3">
        <f>L1538-Q1538</f>
        <v>53.640000000000015</v>
      </c>
      <c r="S1538" s="2">
        <f>NETWORKDAYS(B1538,C1538)-1</f>
        <v>3</v>
      </c>
      <c r="T1538" s="1">
        <f>WORKDAY(B1538,5)</f>
        <v>46062</v>
      </c>
      <c r="U1538" t="b">
        <f>C1538&gt;T1538</f>
        <v>0</v>
      </c>
    </row>
    <row r="1539" spans="1:21" x14ac:dyDescent="0.25">
      <c r="A1539" t="s">
        <v>1171</v>
      </c>
      <c r="B1539" s="1">
        <v>46055</v>
      </c>
      <c r="C1539" s="1">
        <v>46058</v>
      </c>
      <c r="D1539" t="s">
        <v>156</v>
      </c>
      <c r="E1539" t="s">
        <v>157</v>
      </c>
      <c r="F1539" t="s">
        <v>46</v>
      </c>
      <c r="G1539" t="s">
        <v>111</v>
      </c>
      <c r="H1539" t="s">
        <v>107</v>
      </c>
      <c r="I1539" s="2">
        <v>3</v>
      </c>
      <c r="J1539" s="3">
        <v>99</v>
      </c>
      <c r="K1539" s="4">
        <v>0.02</v>
      </c>
      <c r="L1539" s="3">
        <v>291.06</v>
      </c>
      <c r="M1539" t="b">
        <v>1</v>
      </c>
      <c r="N1539" s="2">
        <f>YEAR(B1539)</f>
        <v>2026</v>
      </c>
      <c r="O1539" t="str">
        <f>INDEX(Agences!$C:$C,MATCH(F1539,Agences!$A:$A,0))</f>
        <v>Est</v>
      </c>
      <c r="P1539" t="str">
        <f>INDEX(Produits!$C:$C,MATCH(H1539,Produits!$A:$A,0))</f>
        <v>Informatique</v>
      </c>
      <c r="Q1539" s="3">
        <f>I1539*INDEX(Produits!$E:$E,MATCH(H1539,Produits!$A:$A,0))</f>
        <v>225.71999999999997</v>
      </c>
      <c r="R1539" s="3">
        <f>L1539-Q1539</f>
        <v>65.34000000000003</v>
      </c>
      <c r="S1539" s="2">
        <f>NETWORKDAYS(B1539,C1539)-1</f>
        <v>3</v>
      </c>
      <c r="T1539" s="1">
        <f>WORKDAY(B1539,5)</f>
        <v>46062</v>
      </c>
      <c r="U1539" t="b">
        <f>C1539&gt;T1539</f>
        <v>0</v>
      </c>
    </row>
    <row r="1540" spans="1:21" x14ac:dyDescent="0.25">
      <c r="A1540" t="s">
        <v>1171</v>
      </c>
      <c r="B1540" s="1">
        <v>46055</v>
      </c>
      <c r="C1540" s="1">
        <v>46058</v>
      </c>
      <c r="D1540" t="s">
        <v>156</v>
      </c>
      <c r="E1540" t="s">
        <v>157</v>
      </c>
      <c r="F1540" t="s">
        <v>46</v>
      </c>
      <c r="G1540" t="s">
        <v>111</v>
      </c>
      <c r="H1540" t="s">
        <v>48</v>
      </c>
      <c r="I1540" s="2">
        <v>1</v>
      </c>
      <c r="J1540" s="3">
        <v>165</v>
      </c>
      <c r="K1540" s="4">
        <v>0</v>
      </c>
      <c r="L1540" s="3">
        <v>165</v>
      </c>
      <c r="M1540" t="b">
        <v>1</v>
      </c>
      <c r="N1540" s="2">
        <f>YEAR(B1540)</f>
        <v>2026</v>
      </c>
      <c r="O1540" t="str">
        <f>INDEX(Agences!$C:$C,MATCH(F1540,Agences!$A:$A,0))</f>
        <v>Est</v>
      </c>
      <c r="P1540" t="str">
        <f>INDEX(Produits!$C:$C,MATCH(H1540,Produits!$A:$A,0))</f>
        <v>Mobilier</v>
      </c>
      <c r="Q1540" s="3">
        <f>I1540*INDEX(Produits!$E:$E,MATCH(H1540,Produits!$A:$A,0))</f>
        <v>107.25</v>
      </c>
      <c r="R1540" s="3">
        <f>L1540-Q1540</f>
        <v>57.75</v>
      </c>
      <c r="S1540" s="2">
        <f>NETWORKDAYS(B1540,C1540)-1</f>
        <v>3</v>
      </c>
      <c r="T1540" s="1">
        <f>WORKDAY(B1540,5)</f>
        <v>46062</v>
      </c>
      <c r="U1540" t="b">
        <f>C1540&gt;T1540</f>
        <v>0</v>
      </c>
    </row>
    <row r="1541" spans="1:21" x14ac:dyDescent="0.25">
      <c r="A1541" t="s">
        <v>1172</v>
      </c>
      <c r="B1541" s="1">
        <v>46052</v>
      </c>
      <c r="C1541" s="1">
        <v>46056</v>
      </c>
      <c r="D1541" t="s">
        <v>1173</v>
      </c>
      <c r="E1541" t="s">
        <v>209</v>
      </c>
      <c r="F1541" t="s">
        <v>99</v>
      </c>
      <c r="G1541" t="s">
        <v>100</v>
      </c>
      <c r="H1541" t="s">
        <v>127</v>
      </c>
      <c r="I1541" s="2">
        <v>1</v>
      </c>
      <c r="J1541" s="3">
        <v>649</v>
      </c>
      <c r="K1541" s="4">
        <v>0.05</v>
      </c>
      <c r="L1541" s="3">
        <v>616.55</v>
      </c>
      <c r="M1541" t="b">
        <v>1</v>
      </c>
      <c r="N1541" s="2">
        <f>YEAR(B1541)</f>
        <v>2026</v>
      </c>
      <c r="O1541" t="str">
        <f>INDEX(Agences!$C:$C,MATCH(F1541,Agences!$A:$A,0))</f>
        <v>Nord</v>
      </c>
      <c r="P1541" t="str">
        <f>INDEX(Produits!$C:$C,MATCH(H1541,Produits!$A:$A,0))</f>
        <v>Informatique</v>
      </c>
      <c r="Q1541" s="3">
        <f>I1541*INDEX(Produits!$E:$E,MATCH(H1541,Produits!$A:$A,0))</f>
        <v>480.26</v>
      </c>
      <c r="R1541" s="3">
        <f>L1541-Q1541</f>
        <v>136.28999999999996</v>
      </c>
      <c r="S1541" s="2">
        <f>NETWORKDAYS(B1541,C1541)-1</f>
        <v>2</v>
      </c>
      <c r="T1541" s="1">
        <f>WORKDAY(B1541,5)</f>
        <v>46059</v>
      </c>
      <c r="U1541" t="b">
        <f>C1541&gt;T1541</f>
        <v>0</v>
      </c>
    </row>
    <row r="1542" spans="1:21" x14ac:dyDescent="0.25">
      <c r="A1542" t="s">
        <v>1172</v>
      </c>
      <c r="B1542" s="1">
        <v>46052</v>
      </c>
      <c r="C1542" s="1">
        <v>46056</v>
      </c>
      <c r="D1542" t="s">
        <v>1173</v>
      </c>
      <c r="E1542" t="s">
        <v>209</v>
      </c>
      <c r="F1542" t="s">
        <v>99</v>
      </c>
      <c r="G1542" t="s">
        <v>100</v>
      </c>
      <c r="H1542" t="s">
        <v>79</v>
      </c>
      <c r="I1542" s="2">
        <v>5</v>
      </c>
      <c r="J1542" s="3">
        <v>14.9</v>
      </c>
      <c r="K1542" s="4">
        <v>0</v>
      </c>
      <c r="L1542" s="3">
        <v>74.5</v>
      </c>
      <c r="M1542" t="b">
        <v>1</v>
      </c>
      <c r="N1542" s="2">
        <f>YEAR(B1542)</f>
        <v>2026</v>
      </c>
      <c r="O1542" t="str">
        <f>INDEX(Agences!$C:$C,MATCH(F1542,Agences!$A:$A,0))</f>
        <v>Nord</v>
      </c>
      <c r="P1542" t="str">
        <f>INDEX(Produits!$C:$C,MATCH(H1542,Produits!$A:$A,0))</f>
        <v>Fournitures</v>
      </c>
      <c r="Q1542" s="3">
        <f>I1542*INDEX(Produits!$E:$E,MATCH(H1542,Produits!$A:$A,0))</f>
        <v>40.25</v>
      </c>
      <c r="R1542" s="3">
        <f>L1542-Q1542</f>
        <v>34.25</v>
      </c>
      <c r="S1542" s="2">
        <f>NETWORKDAYS(B1542,C1542)-1</f>
        <v>2</v>
      </c>
      <c r="T1542" s="1">
        <f>WORKDAY(B1542,5)</f>
        <v>46059</v>
      </c>
      <c r="U1542" t="b">
        <f>C1542&gt;T1542</f>
        <v>0</v>
      </c>
    </row>
    <row r="1543" spans="1:21" x14ac:dyDescent="0.25">
      <c r="A1543" t="s">
        <v>1172</v>
      </c>
      <c r="B1543" s="1">
        <v>46052</v>
      </c>
      <c r="C1543" s="1">
        <v>46056</v>
      </c>
      <c r="D1543" t="s">
        <v>1173</v>
      </c>
      <c r="E1543" t="s">
        <v>209</v>
      </c>
      <c r="F1543" t="s">
        <v>99</v>
      </c>
      <c r="G1543" t="s">
        <v>100</v>
      </c>
      <c r="H1543" t="s">
        <v>196</v>
      </c>
      <c r="I1543" s="2">
        <v>5</v>
      </c>
      <c r="J1543" s="3">
        <v>18.5</v>
      </c>
      <c r="K1543" s="4">
        <v>0.05</v>
      </c>
      <c r="L1543" s="3">
        <v>87.88</v>
      </c>
      <c r="M1543" t="b">
        <v>1</v>
      </c>
      <c r="N1543" s="2">
        <f>YEAR(B1543)</f>
        <v>2026</v>
      </c>
      <c r="O1543" t="str">
        <f>INDEX(Agences!$C:$C,MATCH(F1543,Agences!$A:$A,0))</f>
        <v>Nord</v>
      </c>
      <c r="P1543" t="str">
        <f>INDEX(Produits!$C:$C,MATCH(H1543,Produits!$A:$A,0))</f>
        <v>Fournitures</v>
      </c>
      <c r="Q1543" s="3">
        <f>I1543*INDEX(Produits!$E:$E,MATCH(H1543,Produits!$A:$A,0))</f>
        <v>47.199999999999996</v>
      </c>
      <c r="R1543" s="3">
        <f>L1543-Q1543</f>
        <v>40.68</v>
      </c>
      <c r="S1543" s="2">
        <f>NETWORKDAYS(B1543,C1543)-1</f>
        <v>2</v>
      </c>
      <c r="T1543" s="1">
        <f>WORKDAY(B1543,5)</f>
        <v>46059</v>
      </c>
      <c r="U1543" t="b">
        <f>C1543&gt;T1543</f>
        <v>0</v>
      </c>
    </row>
    <row r="1544" spans="1:21" x14ac:dyDescent="0.25">
      <c r="A1544" t="s">
        <v>1174</v>
      </c>
      <c r="B1544" s="1">
        <v>46052</v>
      </c>
      <c r="C1544" s="1">
        <v>46058</v>
      </c>
      <c r="D1544" t="s">
        <v>920</v>
      </c>
      <c r="E1544" t="s">
        <v>137</v>
      </c>
      <c r="F1544" t="s">
        <v>138</v>
      </c>
      <c r="G1544" t="s">
        <v>139</v>
      </c>
      <c r="H1544" t="s">
        <v>84</v>
      </c>
      <c r="I1544" s="2">
        <v>2</v>
      </c>
      <c r="J1544" s="3">
        <v>420</v>
      </c>
      <c r="K1544" s="4">
        <v>0</v>
      </c>
      <c r="L1544" s="3">
        <v>840</v>
      </c>
      <c r="M1544" t="b">
        <v>1</v>
      </c>
      <c r="N1544" s="2">
        <f>YEAR(B1544)</f>
        <v>2026</v>
      </c>
      <c r="O1544" t="str">
        <f>INDEX(Agences!$C:$C,MATCH(F1544,Agences!$A:$A,0))</f>
        <v>Île-de-France</v>
      </c>
      <c r="P1544" t="str">
        <f>INDEX(Produits!$C:$C,MATCH(H1544,Produits!$A:$A,0))</f>
        <v>Mobilier</v>
      </c>
      <c r="Q1544" s="3">
        <f>I1544*INDEX(Produits!$E:$E,MATCH(H1544,Produits!$A:$A,0))</f>
        <v>487.2</v>
      </c>
      <c r="R1544" s="3">
        <f>L1544-Q1544</f>
        <v>352.8</v>
      </c>
      <c r="S1544" s="2">
        <f>NETWORKDAYS(B1544,C1544)-1</f>
        <v>4</v>
      </c>
      <c r="T1544" s="1">
        <f>WORKDAY(B1544,5)</f>
        <v>46059</v>
      </c>
      <c r="U1544" t="b">
        <f>C1544&gt;T1544</f>
        <v>0</v>
      </c>
    </row>
    <row r="1545" spans="1:21" x14ac:dyDescent="0.25">
      <c r="A1545" t="s">
        <v>1175</v>
      </c>
      <c r="B1545" s="1">
        <v>46051</v>
      </c>
      <c r="C1545" s="1">
        <v>46056</v>
      </c>
      <c r="D1545" t="s">
        <v>867</v>
      </c>
      <c r="E1545" t="s">
        <v>202</v>
      </c>
      <c r="F1545" t="s">
        <v>138</v>
      </c>
      <c r="G1545" t="s">
        <v>139</v>
      </c>
      <c r="H1545" t="s">
        <v>49</v>
      </c>
      <c r="I1545" s="2">
        <v>1</v>
      </c>
      <c r="J1545" s="3">
        <v>120</v>
      </c>
      <c r="K1545" s="4">
        <v>0.08</v>
      </c>
      <c r="L1545" s="3">
        <v>110.4</v>
      </c>
      <c r="M1545" t="b">
        <v>1</v>
      </c>
      <c r="N1545" s="2">
        <f>YEAR(B1545)</f>
        <v>2026</v>
      </c>
      <c r="O1545" t="str">
        <f>INDEX(Agences!$C:$C,MATCH(F1545,Agences!$A:$A,0))</f>
        <v>Île-de-France</v>
      </c>
      <c r="P1545" t="str">
        <f>INDEX(Produits!$C:$C,MATCH(H1545,Produits!$A:$A,0))</f>
        <v>Maintenance</v>
      </c>
      <c r="Q1545" s="3">
        <f>I1545*INDEX(Produits!$E:$E,MATCH(H1545,Produits!$A:$A,0))</f>
        <v>55.2</v>
      </c>
      <c r="R1545" s="3">
        <f>L1545-Q1545</f>
        <v>55.2</v>
      </c>
      <c r="S1545" s="2">
        <f>NETWORKDAYS(B1545,C1545)-1</f>
        <v>3</v>
      </c>
      <c r="T1545" s="1">
        <f>WORKDAY(B1545,5)</f>
        <v>46058</v>
      </c>
      <c r="U1545" t="b">
        <f>C1545&gt;T1545</f>
        <v>0</v>
      </c>
    </row>
    <row r="1546" spans="1:21" x14ac:dyDescent="0.25">
      <c r="A1546" t="s">
        <v>1176</v>
      </c>
      <c r="B1546" s="1">
        <v>46051</v>
      </c>
      <c r="C1546" s="1">
        <v>46057</v>
      </c>
      <c r="D1546" t="s">
        <v>1041</v>
      </c>
      <c r="E1546" t="s">
        <v>38</v>
      </c>
      <c r="F1546" t="s">
        <v>39</v>
      </c>
      <c r="G1546" t="s">
        <v>40</v>
      </c>
      <c r="H1546" t="s">
        <v>26</v>
      </c>
      <c r="I1546" s="2">
        <v>2</v>
      </c>
      <c r="J1546" s="3">
        <v>290</v>
      </c>
      <c r="K1546" s="4">
        <v>0</v>
      </c>
      <c r="L1546" s="3">
        <v>580</v>
      </c>
      <c r="M1546" t="b">
        <v>1</v>
      </c>
      <c r="N1546" s="2">
        <f>YEAR(B1546)</f>
        <v>2026</v>
      </c>
      <c r="O1546" t="str">
        <f>INDEX(Agences!$C:$C,MATCH(F1546,Agences!$A:$A,0))</f>
        <v>Sud-Ouest</v>
      </c>
      <c r="P1546" t="str">
        <f>INDEX(Produits!$C:$C,MATCH(H1546,Produits!$A:$A,0))</f>
        <v>Maintenance</v>
      </c>
      <c r="Q1546" s="3">
        <f>I1546*INDEX(Produits!$E:$E,MATCH(H1546,Produits!$A:$A,0))</f>
        <v>278.4</v>
      </c>
      <c r="R1546" s="3">
        <f>L1546-Q1546</f>
        <v>301.6</v>
      </c>
      <c r="S1546" s="2">
        <f>NETWORKDAYS(B1546,C1546)-1</f>
        <v>4</v>
      </c>
      <c r="T1546" s="1">
        <f>WORKDAY(B1546,5)</f>
        <v>46058</v>
      </c>
      <c r="U1546" t="b">
        <f>C1546&gt;T1546</f>
        <v>0</v>
      </c>
    </row>
    <row r="1547" spans="1:21" x14ac:dyDescent="0.25">
      <c r="A1547" t="s">
        <v>1176</v>
      </c>
      <c r="B1547" s="1">
        <v>46051</v>
      </c>
      <c r="C1547" s="1">
        <v>46057</v>
      </c>
      <c r="D1547" t="s">
        <v>1041</v>
      </c>
      <c r="E1547" t="s">
        <v>38</v>
      </c>
      <c r="F1547" t="s">
        <v>39</v>
      </c>
      <c r="G1547" t="s">
        <v>40</v>
      </c>
      <c r="H1547" t="s">
        <v>35</v>
      </c>
      <c r="I1547" s="2">
        <v>3</v>
      </c>
      <c r="J1547" s="3">
        <v>79</v>
      </c>
      <c r="K1547" s="4">
        <v>0.08</v>
      </c>
      <c r="L1547" s="3">
        <v>218.04</v>
      </c>
      <c r="M1547" t="b">
        <v>1</v>
      </c>
      <c r="N1547" s="2">
        <f>YEAR(B1547)</f>
        <v>2026</v>
      </c>
      <c r="O1547" t="str">
        <f>INDEX(Agences!$C:$C,MATCH(F1547,Agences!$A:$A,0))</f>
        <v>Sud-Ouest</v>
      </c>
      <c r="P1547" t="str">
        <f>INDEX(Produits!$C:$C,MATCH(H1547,Produits!$A:$A,0))</f>
        <v>Mobilier</v>
      </c>
      <c r="Q1547" s="3">
        <f>I1547*INDEX(Produits!$E:$E,MATCH(H1547,Produits!$A:$A,0))</f>
        <v>139.82999999999998</v>
      </c>
      <c r="R1547" s="3">
        <f>L1547-Q1547</f>
        <v>78.21000000000001</v>
      </c>
      <c r="S1547" s="2">
        <f>NETWORKDAYS(B1547,C1547)-1</f>
        <v>4</v>
      </c>
      <c r="T1547" s="1">
        <f>WORKDAY(B1547,5)</f>
        <v>46058</v>
      </c>
      <c r="U1547" t="b">
        <f>C1547&gt;T1547</f>
        <v>0</v>
      </c>
    </row>
    <row r="1548" spans="1:21" x14ac:dyDescent="0.25">
      <c r="A1548" t="s">
        <v>1176</v>
      </c>
      <c r="B1548" s="1">
        <v>46051</v>
      </c>
      <c r="C1548" s="1">
        <v>46057</v>
      </c>
      <c r="D1548" t="s">
        <v>1041</v>
      </c>
      <c r="E1548" t="s">
        <v>38</v>
      </c>
      <c r="F1548" t="s">
        <v>39</v>
      </c>
      <c r="G1548" t="s">
        <v>40</v>
      </c>
      <c r="H1548" t="s">
        <v>58</v>
      </c>
      <c r="I1548" s="2">
        <v>1</v>
      </c>
      <c r="J1548" s="3">
        <v>649</v>
      </c>
      <c r="K1548" s="4">
        <v>0</v>
      </c>
      <c r="L1548" s="3">
        <v>649</v>
      </c>
      <c r="M1548" t="b">
        <v>1</v>
      </c>
      <c r="N1548" s="2">
        <f>YEAR(B1548)</f>
        <v>2026</v>
      </c>
      <c r="O1548" t="str">
        <f>INDEX(Agences!$C:$C,MATCH(F1548,Agences!$A:$A,0))</f>
        <v>Sud-Ouest</v>
      </c>
      <c r="P1548" t="str">
        <f>INDEX(Produits!$C:$C,MATCH(H1548,Produits!$A:$A,0))</f>
        <v>Mobilier</v>
      </c>
      <c r="Q1548" s="3">
        <f>I1548*INDEX(Produits!$E:$E,MATCH(H1548,Produits!$A:$A,0))</f>
        <v>408.87</v>
      </c>
      <c r="R1548" s="3">
        <f>L1548-Q1548</f>
        <v>240.13</v>
      </c>
      <c r="S1548" s="2">
        <f>NETWORKDAYS(B1548,C1548)-1</f>
        <v>4</v>
      </c>
      <c r="T1548" s="1">
        <f>WORKDAY(B1548,5)</f>
        <v>46058</v>
      </c>
      <c r="U1548" t="b">
        <f>C1548&gt;T1548</f>
        <v>0</v>
      </c>
    </row>
    <row r="1549" spans="1:21" x14ac:dyDescent="0.25">
      <c r="A1549" t="s">
        <v>1176</v>
      </c>
      <c r="B1549" s="1">
        <v>46051</v>
      </c>
      <c r="C1549" s="1">
        <v>46057</v>
      </c>
      <c r="D1549" t="s">
        <v>1041</v>
      </c>
      <c r="E1549" t="s">
        <v>38</v>
      </c>
      <c r="F1549" t="s">
        <v>39</v>
      </c>
      <c r="G1549" t="s">
        <v>40</v>
      </c>
      <c r="H1549" t="s">
        <v>41</v>
      </c>
      <c r="I1549" s="2">
        <v>1</v>
      </c>
      <c r="J1549" s="3">
        <v>790</v>
      </c>
      <c r="K1549" s="4">
        <v>0</v>
      </c>
      <c r="L1549" s="3">
        <v>790</v>
      </c>
      <c r="M1549" t="b">
        <v>1</v>
      </c>
      <c r="N1549" s="2">
        <f>YEAR(B1549)</f>
        <v>2026</v>
      </c>
      <c r="O1549" t="str">
        <f>INDEX(Agences!$C:$C,MATCH(F1549,Agences!$A:$A,0))</f>
        <v>Sud-Ouest</v>
      </c>
      <c r="P1549" t="str">
        <f>INDEX(Produits!$C:$C,MATCH(H1549,Produits!$A:$A,0))</f>
        <v>Informatique</v>
      </c>
      <c r="Q1549" s="3">
        <f>I1549*INDEX(Produits!$E:$E,MATCH(H1549,Produits!$A:$A,0))</f>
        <v>576.7</v>
      </c>
      <c r="R1549" s="3">
        <f>L1549-Q1549</f>
        <v>213.29999999999995</v>
      </c>
      <c r="S1549" s="2">
        <f>NETWORKDAYS(B1549,C1549)-1</f>
        <v>4</v>
      </c>
      <c r="T1549" s="1">
        <f>WORKDAY(B1549,5)</f>
        <v>46058</v>
      </c>
      <c r="U1549" t="b">
        <f>C1549&gt;T1549</f>
        <v>0</v>
      </c>
    </row>
    <row r="1550" spans="1:21" x14ac:dyDescent="0.25">
      <c r="A1550" t="s">
        <v>1176</v>
      </c>
      <c r="B1550" s="1">
        <v>46051</v>
      </c>
      <c r="C1550" s="1">
        <v>46057</v>
      </c>
      <c r="D1550" t="s">
        <v>1041</v>
      </c>
      <c r="E1550" t="s">
        <v>38</v>
      </c>
      <c r="F1550" t="s">
        <v>39</v>
      </c>
      <c r="G1550" t="s">
        <v>40</v>
      </c>
      <c r="H1550" t="s">
        <v>196</v>
      </c>
      <c r="I1550" s="2">
        <v>10</v>
      </c>
      <c r="J1550" s="3">
        <v>18.5</v>
      </c>
      <c r="K1550" s="4">
        <v>0.08</v>
      </c>
      <c r="L1550" s="3">
        <v>170.2</v>
      </c>
      <c r="M1550" t="b">
        <v>1</v>
      </c>
      <c r="N1550" s="2">
        <f>YEAR(B1550)</f>
        <v>2026</v>
      </c>
      <c r="O1550" t="str">
        <f>INDEX(Agences!$C:$C,MATCH(F1550,Agences!$A:$A,0))</f>
        <v>Sud-Ouest</v>
      </c>
      <c r="P1550" t="str">
        <f>INDEX(Produits!$C:$C,MATCH(H1550,Produits!$A:$A,0))</f>
        <v>Fournitures</v>
      </c>
      <c r="Q1550" s="3">
        <f>I1550*INDEX(Produits!$E:$E,MATCH(H1550,Produits!$A:$A,0))</f>
        <v>94.39999999999999</v>
      </c>
      <c r="R1550" s="3">
        <f>L1550-Q1550</f>
        <v>75.8</v>
      </c>
      <c r="S1550" s="2">
        <f>NETWORKDAYS(B1550,C1550)-1</f>
        <v>4</v>
      </c>
      <c r="T1550" s="1">
        <f>WORKDAY(B1550,5)</f>
        <v>46058</v>
      </c>
      <c r="U1550" t="b">
        <f>C1550&gt;T1550</f>
        <v>0</v>
      </c>
    </row>
    <row r="1551" spans="1:21" x14ac:dyDescent="0.25">
      <c r="A1551" t="s">
        <v>1177</v>
      </c>
      <c r="B1551" s="1">
        <v>46051</v>
      </c>
      <c r="C1551" s="1">
        <v>46055</v>
      </c>
      <c r="D1551" t="s">
        <v>1178</v>
      </c>
      <c r="E1551" t="s">
        <v>191</v>
      </c>
      <c r="F1551" t="s">
        <v>62</v>
      </c>
      <c r="G1551" t="s">
        <v>68</v>
      </c>
      <c r="H1551" t="s">
        <v>57</v>
      </c>
      <c r="I1551" s="2">
        <v>3</v>
      </c>
      <c r="J1551" s="3">
        <v>149</v>
      </c>
      <c r="K1551" s="4">
        <v>0.08</v>
      </c>
      <c r="L1551" s="3">
        <v>411.24</v>
      </c>
      <c r="M1551" t="b">
        <v>1</v>
      </c>
      <c r="N1551" s="2">
        <f>YEAR(B1551)</f>
        <v>2026</v>
      </c>
      <c r="O1551" t="str">
        <f>INDEX(Agences!$C:$C,MATCH(F1551,Agences!$A:$A,0))</f>
        <v>Méditerranée</v>
      </c>
      <c r="P1551" t="str">
        <f>INDEX(Produits!$C:$C,MATCH(H1551,Produits!$A:$A,0))</f>
        <v>Informatique</v>
      </c>
      <c r="Q1551" s="3">
        <f>I1551*INDEX(Produits!$E:$E,MATCH(H1551,Produits!$A:$A,0))</f>
        <v>344.19</v>
      </c>
      <c r="R1551" s="3">
        <f>L1551-Q1551</f>
        <v>67.05000000000001</v>
      </c>
      <c r="S1551" s="2">
        <f>NETWORKDAYS(B1551,C1551)-1</f>
        <v>2</v>
      </c>
      <c r="T1551" s="1">
        <f>WORKDAY(B1551,5)</f>
        <v>46058</v>
      </c>
      <c r="U1551" t="b">
        <f>C1551&gt;T1551</f>
        <v>0</v>
      </c>
    </row>
    <row r="1552" spans="1:21" x14ac:dyDescent="0.25">
      <c r="A1552" t="s">
        <v>1177</v>
      </c>
      <c r="B1552" s="1">
        <v>46051</v>
      </c>
      <c r="C1552" s="1">
        <v>46055</v>
      </c>
      <c r="D1552" t="s">
        <v>1178</v>
      </c>
      <c r="E1552" t="s">
        <v>191</v>
      </c>
      <c r="F1552" t="s">
        <v>62</v>
      </c>
      <c r="G1552" t="s">
        <v>68</v>
      </c>
      <c r="H1552" t="s">
        <v>103</v>
      </c>
      <c r="I1552" s="2">
        <v>3</v>
      </c>
      <c r="J1552" s="3">
        <v>245</v>
      </c>
      <c r="K1552" s="4">
        <v>0</v>
      </c>
      <c r="L1552" s="3">
        <v>735</v>
      </c>
      <c r="M1552" t="b">
        <v>1</v>
      </c>
      <c r="N1552" s="2">
        <f>YEAR(B1552)</f>
        <v>2026</v>
      </c>
      <c r="O1552" t="str">
        <f>INDEX(Agences!$C:$C,MATCH(F1552,Agences!$A:$A,0))</f>
        <v>Méditerranée</v>
      </c>
      <c r="P1552" t="str">
        <f>INDEX(Produits!$C:$C,MATCH(H1552,Produits!$A:$A,0))</f>
        <v>Mobilier</v>
      </c>
      <c r="Q1552" s="3">
        <f>I1552*INDEX(Produits!$E:$E,MATCH(H1552,Produits!$A:$A,0))</f>
        <v>492.45000000000005</v>
      </c>
      <c r="R1552" s="3">
        <f>L1552-Q1552</f>
        <v>242.54999999999995</v>
      </c>
      <c r="S1552" s="2">
        <f>NETWORKDAYS(B1552,C1552)-1</f>
        <v>2</v>
      </c>
      <c r="T1552" s="1">
        <f>WORKDAY(B1552,5)</f>
        <v>46058</v>
      </c>
      <c r="U1552" t="b">
        <f>C1552&gt;T1552</f>
        <v>0</v>
      </c>
    </row>
    <row r="1553" spans="1:21" x14ac:dyDescent="0.25">
      <c r="A1553" t="s">
        <v>1179</v>
      </c>
      <c r="B1553" s="1">
        <v>46050</v>
      </c>
      <c r="C1553" s="1">
        <v>46056</v>
      </c>
      <c r="D1553" t="s">
        <v>212</v>
      </c>
      <c r="E1553" t="s">
        <v>213</v>
      </c>
      <c r="F1553" t="s">
        <v>138</v>
      </c>
      <c r="G1553" t="s">
        <v>214</v>
      </c>
      <c r="H1553" t="s">
        <v>51</v>
      </c>
      <c r="I1553" s="2">
        <v>1</v>
      </c>
      <c r="J1553" s="3">
        <v>180</v>
      </c>
      <c r="K1553" s="4">
        <v>0.02</v>
      </c>
      <c r="L1553" s="3">
        <v>176.4</v>
      </c>
      <c r="M1553" t="b">
        <v>1</v>
      </c>
      <c r="N1553" s="2">
        <f>YEAR(B1553)</f>
        <v>2026</v>
      </c>
      <c r="O1553" t="str">
        <f>INDEX(Agences!$C:$C,MATCH(F1553,Agences!$A:$A,0))</f>
        <v>Île-de-France</v>
      </c>
      <c r="P1553" t="str">
        <f>INDEX(Produits!$C:$C,MATCH(H1553,Produits!$A:$A,0))</f>
        <v>Maintenance</v>
      </c>
      <c r="Q1553" s="3">
        <f>I1553*INDEX(Produits!$E:$E,MATCH(H1553,Produits!$A:$A,0))</f>
        <v>82.8</v>
      </c>
      <c r="R1553" s="3">
        <f>L1553-Q1553</f>
        <v>93.60000000000001</v>
      </c>
      <c r="S1553" s="2">
        <f>NETWORKDAYS(B1553,C1553)-1</f>
        <v>4</v>
      </c>
      <c r="T1553" s="1">
        <f>WORKDAY(B1553,5)</f>
        <v>46057</v>
      </c>
      <c r="U1553" t="b">
        <f>C1553&gt;T1553</f>
        <v>0</v>
      </c>
    </row>
    <row r="1554" spans="1:21" x14ac:dyDescent="0.25">
      <c r="A1554" t="s">
        <v>1180</v>
      </c>
      <c r="B1554" s="1">
        <v>46049</v>
      </c>
      <c r="C1554" s="1">
        <v>46050</v>
      </c>
      <c r="D1554" t="s">
        <v>875</v>
      </c>
      <c r="E1554" t="s">
        <v>137</v>
      </c>
      <c r="F1554" t="s">
        <v>138</v>
      </c>
      <c r="G1554" t="s">
        <v>139</v>
      </c>
      <c r="H1554" t="s">
        <v>83</v>
      </c>
      <c r="I1554" s="2">
        <v>1</v>
      </c>
      <c r="J1554" s="3">
        <v>49</v>
      </c>
      <c r="K1554" s="4">
        <v>0</v>
      </c>
      <c r="L1554" s="3">
        <v>49</v>
      </c>
      <c r="M1554" t="b">
        <v>1</v>
      </c>
      <c r="N1554" s="2">
        <f>YEAR(B1554)</f>
        <v>2026</v>
      </c>
      <c r="O1554" t="str">
        <f>INDEX(Agences!$C:$C,MATCH(F1554,Agences!$A:$A,0))</f>
        <v>Île-de-France</v>
      </c>
      <c r="P1554" t="str">
        <f>INDEX(Produits!$C:$C,MATCH(H1554,Produits!$A:$A,0))</f>
        <v>Mobilier</v>
      </c>
      <c r="Q1554" s="3">
        <f>I1554*INDEX(Produits!$E:$E,MATCH(H1554,Produits!$A:$A,0))</f>
        <v>28.42</v>
      </c>
      <c r="R1554" s="3">
        <f>L1554-Q1554</f>
        <v>20.58</v>
      </c>
      <c r="S1554" s="2">
        <f>NETWORKDAYS(B1554,C1554)-1</f>
        <v>1</v>
      </c>
      <c r="T1554" s="1">
        <f>WORKDAY(B1554,5)</f>
        <v>46056</v>
      </c>
      <c r="U1554" t="b">
        <f>C1554&gt;T1554</f>
        <v>0</v>
      </c>
    </row>
    <row r="1555" spans="1:21" x14ac:dyDescent="0.25">
      <c r="A1555" t="s">
        <v>1181</v>
      </c>
      <c r="B1555" s="1">
        <v>46049</v>
      </c>
      <c r="C1555" s="1">
        <v>46055</v>
      </c>
      <c r="D1555" t="s">
        <v>1182</v>
      </c>
      <c r="E1555" t="s">
        <v>67</v>
      </c>
      <c r="F1555" t="s">
        <v>62</v>
      </c>
      <c r="G1555" t="s">
        <v>106</v>
      </c>
      <c r="H1555" t="s">
        <v>42</v>
      </c>
      <c r="I1555" s="2">
        <v>1</v>
      </c>
      <c r="J1555" s="3">
        <v>55</v>
      </c>
      <c r="K1555" s="4">
        <v>0.18</v>
      </c>
      <c r="L1555" s="3">
        <v>45.1</v>
      </c>
      <c r="M1555" t="b">
        <v>1</v>
      </c>
      <c r="N1555" s="2">
        <f>YEAR(B1555)</f>
        <v>2026</v>
      </c>
      <c r="O1555" t="str">
        <f>INDEX(Agences!$C:$C,MATCH(F1555,Agences!$A:$A,0))</f>
        <v>Méditerranée</v>
      </c>
      <c r="P1555" t="str">
        <f>INDEX(Produits!$C:$C,MATCH(H1555,Produits!$A:$A,0))</f>
        <v>Maintenance</v>
      </c>
      <c r="Q1555" s="3">
        <f>I1555*INDEX(Produits!$E:$E,MATCH(H1555,Produits!$A:$A,0))</f>
        <v>24.75</v>
      </c>
      <c r="R1555" s="3">
        <f>L1555-Q1555</f>
        <v>20.35</v>
      </c>
      <c r="S1555" s="2">
        <f>NETWORKDAYS(B1555,C1555)-1</f>
        <v>4</v>
      </c>
      <c r="T1555" s="1">
        <f>WORKDAY(B1555,5)</f>
        <v>46056</v>
      </c>
      <c r="U1555" t="b">
        <f>C1555&gt;T1555</f>
        <v>0</v>
      </c>
    </row>
    <row r="1556" spans="1:21" x14ac:dyDescent="0.25">
      <c r="A1556" t="s">
        <v>1181</v>
      </c>
      <c r="B1556" s="1">
        <v>46049</v>
      </c>
      <c r="C1556" s="1">
        <v>46055</v>
      </c>
      <c r="D1556" t="s">
        <v>1182</v>
      </c>
      <c r="E1556" t="s">
        <v>67</v>
      </c>
      <c r="F1556" t="s">
        <v>62</v>
      </c>
      <c r="G1556" t="s">
        <v>106</v>
      </c>
      <c r="H1556" t="s">
        <v>107</v>
      </c>
      <c r="I1556" s="2">
        <v>5</v>
      </c>
      <c r="J1556" s="3">
        <v>99</v>
      </c>
      <c r="K1556" s="4">
        <v>0.18</v>
      </c>
      <c r="L1556" s="3">
        <v>405.9</v>
      </c>
      <c r="M1556" t="b">
        <v>1</v>
      </c>
      <c r="N1556" s="2">
        <f>YEAR(B1556)</f>
        <v>2026</v>
      </c>
      <c r="O1556" t="str">
        <f>INDEX(Agences!$C:$C,MATCH(F1556,Agences!$A:$A,0))</f>
        <v>Méditerranée</v>
      </c>
      <c r="P1556" t="str">
        <f>INDEX(Produits!$C:$C,MATCH(H1556,Produits!$A:$A,0))</f>
        <v>Informatique</v>
      </c>
      <c r="Q1556" s="3">
        <f>I1556*INDEX(Produits!$E:$E,MATCH(H1556,Produits!$A:$A,0))</f>
        <v>376.2</v>
      </c>
      <c r="R1556" s="3">
        <f>L1556-Q1556</f>
        <v>29.69999999999999</v>
      </c>
      <c r="S1556" s="2">
        <f>NETWORKDAYS(B1556,C1556)-1</f>
        <v>4</v>
      </c>
      <c r="T1556" s="1">
        <f>WORKDAY(B1556,5)</f>
        <v>46056</v>
      </c>
      <c r="U1556" t="b">
        <f>C1556&gt;T1556</f>
        <v>0</v>
      </c>
    </row>
    <row r="1557" spans="1:21" x14ac:dyDescent="0.25">
      <c r="A1557" t="s">
        <v>1183</v>
      </c>
      <c r="B1557" s="1">
        <v>46048</v>
      </c>
      <c r="C1557" s="1">
        <v>46051</v>
      </c>
      <c r="D1557" t="s">
        <v>789</v>
      </c>
      <c r="E1557" t="s">
        <v>115</v>
      </c>
      <c r="F1557" t="s">
        <v>24</v>
      </c>
      <c r="G1557" t="s">
        <v>25</v>
      </c>
      <c r="H1557" t="s">
        <v>50</v>
      </c>
      <c r="I1557" s="2">
        <v>1</v>
      </c>
      <c r="J1557" s="3">
        <v>69</v>
      </c>
      <c r="K1557" s="4">
        <v>0</v>
      </c>
      <c r="L1557" s="3">
        <v>69</v>
      </c>
      <c r="M1557" t="b">
        <v>1</v>
      </c>
      <c r="N1557" s="2">
        <f>YEAR(B1557)</f>
        <v>2026</v>
      </c>
      <c r="O1557" t="str">
        <f>INDEX(Agences!$C:$C,MATCH(F1557,Agences!$A:$A,0))</f>
        <v>Nord</v>
      </c>
      <c r="P1557" t="str">
        <f>INDEX(Produits!$C:$C,MATCH(H1557,Produits!$A:$A,0))</f>
        <v>Informatique</v>
      </c>
      <c r="Q1557" s="3">
        <f>I1557*INDEX(Produits!$E:$E,MATCH(H1557,Produits!$A:$A,0))</f>
        <v>54.51</v>
      </c>
      <c r="R1557" s="3">
        <f>L1557-Q1557</f>
        <v>14.490000000000002</v>
      </c>
      <c r="S1557" s="2">
        <f>NETWORKDAYS(B1557,C1557)-1</f>
        <v>3</v>
      </c>
      <c r="T1557" s="1">
        <f>WORKDAY(B1557,5)</f>
        <v>46055</v>
      </c>
      <c r="U1557" t="b">
        <f>C1557&gt;T1557</f>
        <v>0</v>
      </c>
    </row>
    <row r="1558" spans="1:21" x14ac:dyDescent="0.25">
      <c r="A1558" t="s">
        <v>1184</v>
      </c>
      <c r="B1558" s="1">
        <v>46048</v>
      </c>
      <c r="C1558" s="1">
        <v>46050</v>
      </c>
      <c r="D1558" t="s">
        <v>699</v>
      </c>
      <c r="E1558" t="s">
        <v>165</v>
      </c>
      <c r="F1558" t="s">
        <v>166</v>
      </c>
      <c r="G1558" t="s">
        <v>167</v>
      </c>
      <c r="H1558" t="s">
        <v>196</v>
      </c>
      <c r="I1558" s="2">
        <v>5</v>
      </c>
      <c r="J1558" s="3">
        <v>18.5</v>
      </c>
      <c r="K1558" s="4">
        <v>0</v>
      </c>
      <c r="L1558" s="3">
        <v>92.5</v>
      </c>
      <c r="M1558" t="b">
        <v>1</v>
      </c>
      <c r="N1558" s="2">
        <f>YEAR(B1558)</f>
        <v>2026</v>
      </c>
      <c r="O1558" t="str">
        <f>INDEX(Agences!$C:$C,MATCH(F1558,Agences!$A:$A,0))</f>
        <v>Ouest</v>
      </c>
      <c r="P1558" t="str">
        <f>INDEX(Produits!$C:$C,MATCH(H1558,Produits!$A:$A,0))</f>
        <v>Fournitures</v>
      </c>
      <c r="Q1558" s="3">
        <f>I1558*INDEX(Produits!$E:$E,MATCH(H1558,Produits!$A:$A,0))</f>
        <v>47.199999999999996</v>
      </c>
      <c r="R1558" s="3">
        <f>L1558-Q1558</f>
        <v>45.300000000000004</v>
      </c>
      <c r="S1558" s="2">
        <f>NETWORKDAYS(B1558,C1558)-1</f>
        <v>2</v>
      </c>
      <c r="T1558" s="1">
        <f>WORKDAY(B1558,5)</f>
        <v>46055</v>
      </c>
      <c r="U1558" t="b">
        <f>C1558&gt;T1558</f>
        <v>0</v>
      </c>
    </row>
    <row r="1559" spans="1:21" x14ac:dyDescent="0.25">
      <c r="A1559" t="s">
        <v>1184</v>
      </c>
      <c r="B1559" s="1">
        <v>46048</v>
      </c>
      <c r="C1559" s="1">
        <v>46050</v>
      </c>
      <c r="D1559" t="s">
        <v>699</v>
      </c>
      <c r="E1559" t="s">
        <v>165</v>
      </c>
      <c r="F1559" t="s">
        <v>166</v>
      </c>
      <c r="G1559" t="s">
        <v>167</v>
      </c>
      <c r="H1559" t="s">
        <v>49</v>
      </c>
      <c r="I1559" s="2">
        <v>1</v>
      </c>
      <c r="J1559" s="3">
        <v>120</v>
      </c>
      <c r="K1559" s="4">
        <v>0</v>
      </c>
      <c r="L1559" s="3">
        <v>120</v>
      </c>
      <c r="M1559" t="b">
        <v>1</v>
      </c>
      <c r="N1559" s="2">
        <f>YEAR(B1559)</f>
        <v>2026</v>
      </c>
      <c r="O1559" t="str">
        <f>INDEX(Agences!$C:$C,MATCH(F1559,Agences!$A:$A,0))</f>
        <v>Ouest</v>
      </c>
      <c r="P1559" t="str">
        <f>INDEX(Produits!$C:$C,MATCH(H1559,Produits!$A:$A,0))</f>
        <v>Maintenance</v>
      </c>
      <c r="Q1559" s="3">
        <f>I1559*INDEX(Produits!$E:$E,MATCH(H1559,Produits!$A:$A,0))</f>
        <v>55.2</v>
      </c>
      <c r="R1559" s="3">
        <f>L1559-Q1559</f>
        <v>64.8</v>
      </c>
      <c r="S1559" s="2">
        <f>NETWORKDAYS(B1559,C1559)-1</f>
        <v>2</v>
      </c>
      <c r="T1559" s="1">
        <f>WORKDAY(B1559,5)</f>
        <v>46055</v>
      </c>
      <c r="U1559" t="b">
        <f>C1559&gt;T1559</f>
        <v>0</v>
      </c>
    </row>
    <row r="1560" spans="1:21" x14ac:dyDescent="0.25">
      <c r="A1560" t="s">
        <v>1184</v>
      </c>
      <c r="B1560" s="1">
        <v>46048</v>
      </c>
      <c r="C1560" s="1">
        <v>46050</v>
      </c>
      <c r="D1560" t="s">
        <v>699</v>
      </c>
      <c r="E1560" t="s">
        <v>165</v>
      </c>
      <c r="F1560" t="s">
        <v>166</v>
      </c>
      <c r="G1560" t="s">
        <v>167</v>
      </c>
      <c r="H1560" t="s">
        <v>51</v>
      </c>
      <c r="I1560" s="2">
        <v>1</v>
      </c>
      <c r="J1560" s="3">
        <v>180</v>
      </c>
      <c r="K1560" s="4">
        <v>0</v>
      </c>
      <c r="L1560" s="3">
        <v>180</v>
      </c>
      <c r="M1560" t="b">
        <v>1</v>
      </c>
      <c r="N1560" s="2">
        <f>YEAR(B1560)</f>
        <v>2026</v>
      </c>
      <c r="O1560" t="str">
        <f>INDEX(Agences!$C:$C,MATCH(F1560,Agences!$A:$A,0))</f>
        <v>Ouest</v>
      </c>
      <c r="P1560" t="str">
        <f>INDEX(Produits!$C:$C,MATCH(H1560,Produits!$A:$A,0))</f>
        <v>Maintenance</v>
      </c>
      <c r="Q1560" s="3">
        <f>I1560*INDEX(Produits!$E:$E,MATCH(H1560,Produits!$A:$A,0))</f>
        <v>82.8</v>
      </c>
      <c r="R1560" s="3">
        <f>L1560-Q1560</f>
        <v>97.2</v>
      </c>
      <c r="S1560" s="2">
        <f>NETWORKDAYS(B1560,C1560)-1</f>
        <v>2</v>
      </c>
      <c r="T1560" s="1">
        <f>WORKDAY(B1560,5)</f>
        <v>46055</v>
      </c>
      <c r="U1560" t="b">
        <f>C1560&gt;T1560</f>
        <v>0</v>
      </c>
    </row>
    <row r="1561" spans="1:21" x14ac:dyDescent="0.25">
      <c r="A1561" t="s">
        <v>1185</v>
      </c>
      <c r="B1561" s="1">
        <v>46045</v>
      </c>
      <c r="C1561" s="1">
        <v>46052</v>
      </c>
      <c r="D1561" t="s">
        <v>1186</v>
      </c>
      <c r="E1561" t="s">
        <v>126</v>
      </c>
      <c r="F1561" t="s">
        <v>99</v>
      </c>
      <c r="G1561" t="s">
        <v>210</v>
      </c>
      <c r="H1561" t="s">
        <v>64</v>
      </c>
      <c r="I1561" s="2">
        <v>15</v>
      </c>
      <c r="J1561" s="3">
        <v>16.8</v>
      </c>
      <c r="K1561" s="4">
        <v>0</v>
      </c>
      <c r="L1561" s="3">
        <v>252</v>
      </c>
      <c r="M1561" t="b">
        <v>1</v>
      </c>
      <c r="N1561" s="2">
        <f>YEAR(B1561)</f>
        <v>2026</v>
      </c>
      <c r="O1561" t="str">
        <f>INDEX(Agences!$C:$C,MATCH(F1561,Agences!$A:$A,0))</f>
        <v>Nord</v>
      </c>
      <c r="P1561" t="str">
        <f>INDEX(Produits!$C:$C,MATCH(H1561,Produits!$A:$A,0))</f>
        <v>Fournitures</v>
      </c>
      <c r="Q1561" s="3">
        <f>I1561*INDEX(Produits!$E:$E,MATCH(H1561,Produits!$A:$A,0))</f>
        <v>131.1</v>
      </c>
      <c r="R1561" s="3">
        <f>L1561-Q1561</f>
        <v>120.9</v>
      </c>
      <c r="S1561" s="2">
        <f>NETWORKDAYS(B1561,C1561)-1</f>
        <v>5</v>
      </c>
      <c r="T1561" s="1">
        <f>WORKDAY(B1561,5)</f>
        <v>46052</v>
      </c>
      <c r="U1561" t="b">
        <f>C1561&gt;T1561</f>
        <v>0</v>
      </c>
    </row>
    <row r="1562" spans="1:21" x14ac:dyDescent="0.25">
      <c r="A1562" t="s">
        <v>1185</v>
      </c>
      <c r="B1562" s="1">
        <v>46045</v>
      </c>
      <c r="C1562" s="1">
        <v>46052</v>
      </c>
      <c r="D1562" t="s">
        <v>1186</v>
      </c>
      <c r="E1562" t="s">
        <v>126</v>
      </c>
      <c r="F1562" t="s">
        <v>99</v>
      </c>
      <c r="G1562" t="s">
        <v>210</v>
      </c>
      <c r="H1562" t="s">
        <v>49</v>
      </c>
      <c r="I1562" s="2">
        <v>3</v>
      </c>
      <c r="J1562" s="3">
        <v>120</v>
      </c>
      <c r="K1562" s="4">
        <v>0.1</v>
      </c>
      <c r="L1562" s="3">
        <v>324</v>
      </c>
      <c r="M1562" t="b">
        <v>1</v>
      </c>
      <c r="N1562" s="2">
        <f>YEAR(B1562)</f>
        <v>2026</v>
      </c>
      <c r="O1562" t="str">
        <f>INDEX(Agences!$C:$C,MATCH(F1562,Agences!$A:$A,0))</f>
        <v>Nord</v>
      </c>
      <c r="P1562" t="str">
        <f>INDEX(Produits!$C:$C,MATCH(H1562,Produits!$A:$A,0))</f>
        <v>Maintenance</v>
      </c>
      <c r="Q1562" s="3">
        <f>I1562*INDEX(Produits!$E:$E,MATCH(H1562,Produits!$A:$A,0))</f>
        <v>165.60000000000002</v>
      </c>
      <c r="R1562" s="3">
        <f>L1562-Q1562</f>
        <v>158.39999999999998</v>
      </c>
      <c r="S1562" s="2">
        <f>NETWORKDAYS(B1562,C1562)-1</f>
        <v>5</v>
      </c>
      <c r="T1562" s="1">
        <f>WORKDAY(B1562,5)</f>
        <v>46052</v>
      </c>
      <c r="U1562" t="b">
        <f>C1562&gt;T1562</f>
        <v>0</v>
      </c>
    </row>
    <row r="1563" spans="1:21" x14ac:dyDescent="0.25">
      <c r="A1563" t="s">
        <v>1187</v>
      </c>
      <c r="B1563" s="1">
        <v>46045</v>
      </c>
      <c r="C1563" s="1">
        <v>46050</v>
      </c>
      <c r="D1563" t="s">
        <v>1188</v>
      </c>
      <c r="E1563" t="s">
        <v>251</v>
      </c>
      <c r="F1563" t="s">
        <v>166</v>
      </c>
      <c r="G1563" t="s">
        <v>179</v>
      </c>
      <c r="H1563" t="s">
        <v>83</v>
      </c>
      <c r="I1563" s="2">
        <v>1</v>
      </c>
      <c r="J1563" s="3">
        <v>49</v>
      </c>
      <c r="K1563" s="4">
        <v>0.05</v>
      </c>
      <c r="L1563" s="3">
        <v>46.55</v>
      </c>
      <c r="M1563" t="b">
        <v>1</v>
      </c>
      <c r="N1563" s="2">
        <f>YEAR(B1563)</f>
        <v>2026</v>
      </c>
      <c r="O1563" t="str">
        <f>INDEX(Agences!$C:$C,MATCH(F1563,Agences!$A:$A,0))</f>
        <v>Ouest</v>
      </c>
      <c r="P1563" t="str">
        <f>INDEX(Produits!$C:$C,MATCH(H1563,Produits!$A:$A,0))</f>
        <v>Mobilier</v>
      </c>
      <c r="Q1563" s="3">
        <f>I1563*INDEX(Produits!$E:$E,MATCH(H1563,Produits!$A:$A,0))</f>
        <v>28.42</v>
      </c>
      <c r="R1563" s="3">
        <f>L1563-Q1563</f>
        <v>18.129999999999995</v>
      </c>
      <c r="S1563" s="2">
        <f>NETWORKDAYS(B1563,C1563)-1</f>
        <v>3</v>
      </c>
      <c r="T1563" s="1">
        <f>WORKDAY(B1563,5)</f>
        <v>46052</v>
      </c>
      <c r="U1563" t="b">
        <f>C1563&gt;T1563</f>
        <v>0</v>
      </c>
    </row>
    <row r="1564" spans="1:21" x14ac:dyDescent="0.25">
      <c r="A1564" t="s">
        <v>1187</v>
      </c>
      <c r="B1564" s="1">
        <v>46045</v>
      </c>
      <c r="C1564" s="1">
        <v>46050</v>
      </c>
      <c r="D1564" t="s">
        <v>1188</v>
      </c>
      <c r="E1564" t="s">
        <v>251</v>
      </c>
      <c r="F1564" t="s">
        <v>166</v>
      </c>
      <c r="G1564" t="s">
        <v>179</v>
      </c>
      <c r="H1564" t="s">
        <v>127</v>
      </c>
      <c r="I1564" s="2">
        <v>2</v>
      </c>
      <c r="J1564" s="3">
        <v>649</v>
      </c>
      <c r="K1564" s="4">
        <v>0.02</v>
      </c>
      <c r="L1564" s="3">
        <v>1272.04</v>
      </c>
      <c r="M1564" t="b">
        <v>1</v>
      </c>
      <c r="N1564" s="2">
        <f>YEAR(B1564)</f>
        <v>2026</v>
      </c>
      <c r="O1564" t="str">
        <f>INDEX(Agences!$C:$C,MATCH(F1564,Agences!$A:$A,0))</f>
        <v>Ouest</v>
      </c>
      <c r="P1564" t="str">
        <f>INDEX(Produits!$C:$C,MATCH(H1564,Produits!$A:$A,0))</f>
        <v>Informatique</v>
      </c>
      <c r="Q1564" s="3">
        <f>I1564*INDEX(Produits!$E:$E,MATCH(H1564,Produits!$A:$A,0))</f>
        <v>960.52</v>
      </c>
      <c r="R1564" s="3">
        <f>L1564-Q1564</f>
        <v>311.52</v>
      </c>
      <c r="S1564" s="2">
        <f>NETWORKDAYS(B1564,C1564)-1</f>
        <v>3</v>
      </c>
      <c r="T1564" s="1">
        <f>WORKDAY(B1564,5)</f>
        <v>46052</v>
      </c>
      <c r="U1564" t="b">
        <f>C1564&gt;T1564</f>
        <v>0</v>
      </c>
    </row>
    <row r="1565" spans="1:21" x14ac:dyDescent="0.25">
      <c r="A1565" t="s">
        <v>1189</v>
      </c>
      <c r="B1565" s="1">
        <v>46045</v>
      </c>
      <c r="C1565" s="1">
        <v>46050</v>
      </c>
      <c r="D1565" t="s">
        <v>1190</v>
      </c>
      <c r="E1565" t="s">
        <v>165</v>
      </c>
      <c r="F1565" t="s">
        <v>166</v>
      </c>
      <c r="G1565" t="s">
        <v>167</v>
      </c>
      <c r="H1565" t="s">
        <v>49</v>
      </c>
      <c r="I1565" s="2">
        <v>1</v>
      </c>
      <c r="J1565" s="3">
        <v>120</v>
      </c>
      <c r="K1565" s="4">
        <v>0.05</v>
      </c>
      <c r="L1565" s="3">
        <v>114</v>
      </c>
      <c r="M1565" t="b">
        <v>1</v>
      </c>
      <c r="N1565" s="2">
        <f>YEAR(B1565)</f>
        <v>2026</v>
      </c>
      <c r="O1565" t="str">
        <f>INDEX(Agences!$C:$C,MATCH(F1565,Agences!$A:$A,0))</f>
        <v>Ouest</v>
      </c>
      <c r="P1565" t="str">
        <f>INDEX(Produits!$C:$C,MATCH(H1565,Produits!$A:$A,0))</f>
        <v>Maintenance</v>
      </c>
      <c r="Q1565" s="3">
        <f>I1565*INDEX(Produits!$E:$E,MATCH(H1565,Produits!$A:$A,0))</f>
        <v>55.2</v>
      </c>
      <c r="R1565" s="3">
        <f>L1565-Q1565</f>
        <v>58.8</v>
      </c>
      <c r="S1565" s="2">
        <f>NETWORKDAYS(B1565,C1565)-1</f>
        <v>3</v>
      </c>
      <c r="T1565" s="1">
        <f>WORKDAY(B1565,5)</f>
        <v>46052</v>
      </c>
      <c r="U1565" t="b">
        <f>C1565&gt;T1565</f>
        <v>0</v>
      </c>
    </row>
    <row r="1566" spans="1:21" x14ac:dyDescent="0.25">
      <c r="A1566" t="s">
        <v>1189</v>
      </c>
      <c r="B1566" s="1">
        <v>46045</v>
      </c>
      <c r="C1566" s="1">
        <v>46050</v>
      </c>
      <c r="D1566" t="s">
        <v>1190</v>
      </c>
      <c r="E1566" t="s">
        <v>165</v>
      </c>
      <c r="F1566" t="s">
        <v>166</v>
      </c>
      <c r="G1566" t="s">
        <v>167</v>
      </c>
      <c r="H1566" t="s">
        <v>162</v>
      </c>
      <c r="I1566" s="2">
        <v>6</v>
      </c>
      <c r="J1566" s="3">
        <v>289</v>
      </c>
      <c r="K1566" s="4">
        <v>0.05</v>
      </c>
      <c r="L1566" s="3">
        <v>1647.3</v>
      </c>
      <c r="M1566" t="b">
        <v>1</v>
      </c>
      <c r="N1566" s="2">
        <f>YEAR(B1566)</f>
        <v>2026</v>
      </c>
      <c r="O1566" t="str">
        <f>INDEX(Agences!$C:$C,MATCH(F1566,Agences!$A:$A,0))</f>
        <v>Ouest</v>
      </c>
      <c r="P1566" t="str">
        <f>INDEX(Produits!$C:$C,MATCH(H1566,Produits!$A:$A,0))</f>
        <v>Mobilier</v>
      </c>
      <c r="Q1566" s="3">
        <f>I1566*INDEX(Produits!$E:$E,MATCH(H1566,Produits!$A:$A,0))</f>
        <v>1161.78</v>
      </c>
      <c r="R1566" s="3">
        <f>L1566-Q1566</f>
        <v>485.52</v>
      </c>
      <c r="S1566" s="2">
        <f>NETWORKDAYS(B1566,C1566)-1</f>
        <v>3</v>
      </c>
      <c r="T1566" s="1">
        <f>WORKDAY(B1566,5)</f>
        <v>46052</v>
      </c>
      <c r="U1566" t="b">
        <f>C1566&gt;T1566</f>
        <v>0</v>
      </c>
    </row>
    <row r="1567" spans="1:21" x14ac:dyDescent="0.25">
      <c r="A1567" t="s">
        <v>1189</v>
      </c>
      <c r="B1567" s="1">
        <v>46045</v>
      </c>
      <c r="C1567" s="1">
        <v>46050</v>
      </c>
      <c r="D1567" t="s">
        <v>1190</v>
      </c>
      <c r="E1567" t="s">
        <v>165</v>
      </c>
      <c r="F1567" t="s">
        <v>166</v>
      </c>
      <c r="G1567" t="s">
        <v>167</v>
      </c>
      <c r="H1567" t="s">
        <v>112</v>
      </c>
      <c r="I1567" s="2">
        <v>1</v>
      </c>
      <c r="J1567" s="3">
        <v>129</v>
      </c>
      <c r="K1567" s="4">
        <v>0</v>
      </c>
      <c r="L1567" s="3">
        <v>129</v>
      </c>
      <c r="M1567" t="b">
        <v>1</v>
      </c>
      <c r="N1567" s="2">
        <f>YEAR(B1567)</f>
        <v>2026</v>
      </c>
      <c r="O1567" t="str">
        <f>INDEX(Agences!$C:$C,MATCH(F1567,Agences!$A:$A,0))</f>
        <v>Ouest</v>
      </c>
      <c r="P1567" t="str">
        <f>INDEX(Produits!$C:$C,MATCH(H1567,Produits!$A:$A,0))</f>
        <v>Mobilier</v>
      </c>
      <c r="Q1567" s="3">
        <f>I1567*INDEX(Produits!$E:$E,MATCH(H1567,Produits!$A:$A,0))</f>
        <v>86.43</v>
      </c>
      <c r="R1567" s="3">
        <f>L1567-Q1567</f>
        <v>42.56999999999999</v>
      </c>
      <c r="S1567" s="2">
        <f>NETWORKDAYS(B1567,C1567)-1</f>
        <v>3</v>
      </c>
      <c r="T1567" s="1">
        <f>WORKDAY(B1567,5)</f>
        <v>46052</v>
      </c>
      <c r="U1567" t="b">
        <f>C1567&gt;T1567</f>
        <v>0</v>
      </c>
    </row>
    <row r="1568" spans="1:21" x14ac:dyDescent="0.25">
      <c r="A1568" t="s">
        <v>1191</v>
      </c>
      <c r="B1568" s="1">
        <v>46045</v>
      </c>
      <c r="C1568" s="1">
        <v>46051</v>
      </c>
      <c r="D1568" t="s">
        <v>1192</v>
      </c>
      <c r="E1568" t="s">
        <v>256</v>
      </c>
      <c r="F1568" t="s">
        <v>88</v>
      </c>
      <c r="G1568" t="s">
        <v>226</v>
      </c>
      <c r="H1568" t="s">
        <v>48</v>
      </c>
      <c r="I1568" s="2">
        <v>1</v>
      </c>
      <c r="J1568" s="3">
        <v>165</v>
      </c>
      <c r="K1568" s="4">
        <v>0</v>
      </c>
      <c r="L1568" s="3">
        <v>165</v>
      </c>
      <c r="M1568" t="b">
        <v>1</v>
      </c>
      <c r="N1568" s="2">
        <f>YEAR(B1568)</f>
        <v>2026</v>
      </c>
      <c r="O1568" t="str">
        <f>INDEX(Agences!$C:$C,MATCH(F1568,Agences!$A:$A,0))</f>
        <v>Sud-Ouest</v>
      </c>
      <c r="P1568" t="str">
        <f>INDEX(Produits!$C:$C,MATCH(H1568,Produits!$A:$A,0))</f>
        <v>Mobilier</v>
      </c>
      <c r="Q1568" s="3">
        <f>I1568*INDEX(Produits!$E:$E,MATCH(H1568,Produits!$A:$A,0))</f>
        <v>107.25</v>
      </c>
      <c r="R1568" s="3">
        <f>L1568-Q1568</f>
        <v>57.75</v>
      </c>
      <c r="S1568" s="2">
        <f>NETWORKDAYS(B1568,C1568)-1</f>
        <v>4</v>
      </c>
      <c r="T1568" s="1">
        <f>WORKDAY(B1568,5)</f>
        <v>46052</v>
      </c>
      <c r="U1568" t="b">
        <f>C1568&gt;T1568</f>
        <v>0</v>
      </c>
    </row>
    <row r="1569" spans="1:21" x14ac:dyDescent="0.25">
      <c r="A1569" t="s">
        <v>1191</v>
      </c>
      <c r="B1569" s="1">
        <v>46045</v>
      </c>
      <c r="C1569" s="1">
        <v>46051</v>
      </c>
      <c r="D1569" t="s">
        <v>1192</v>
      </c>
      <c r="E1569" t="s">
        <v>256</v>
      </c>
      <c r="F1569" t="s">
        <v>88</v>
      </c>
      <c r="G1569" t="s">
        <v>226</v>
      </c>
      <c r="H1569" t="s">
        <v>72</v>
      </c>
      <c r="I1569" s="2">
        <v>3</v>
      </c>
      <c r="J1569" s="3">
        <v>179</v>
      </c>
      <c r="K1569" s="4">
        <v>0.05</v>
      </c>
      <c r="L1569" s="3">
        <v>510.15</v>
      </c>
      <c r="M1569" t="b">
        <v>1</v>
      </c>
      <c r="N1569" s="2">
        <f>YEAR(B1569)</f>
        <v>2026</v>
      </c>
      <c r="O1569" t="str">
        <f>INDEX(Agences!$C:$C,MATCH(F1569,Agences!$A:$A,0))</f>
        <v>Sud-Ouest</v>
      </c>
      <c r="P1569" t="str">
        <f>INDEX(Produits!$C:$C,MATCH(H1569,Produits!$A:$A,0))</f>
        <v>Informatique</v>
      </c>
      <c r="Q1569" s="3">
        <f>I1569*INDEX(Produits!$E:$E,MATCH(H1569,Produits!$A:$A,0))</f>
        <v>440.34000000000003</v>
      </c>
      <c r="R1569" s="3">
        <f>L1569-Q1569</f>
        <v>69.80999999999995</v>
      </c>
      <c r="S1569" s="2">
        <f>NETWORKDAYS(B1569,C1569)-1</f>
        <v>4</v>
      </c>
      <c r="T1569" s="1">
        <f>WORKDAY(B1569,5)</f>
        <v>46052</v>
      </c>
      <c r="U1569" t="b">
        <f>C1569&gt;T1569</f>
        <v>0</v>
      </c>
    </row>
    <row r="1570" spans="1:21" x14ac:dyDescent="0.25">
      <c r="A1570" t="s">
        <v>1193</v>
      </c>
      <c r="B1570" s="1">
        <v>46045</v>
      </c>
      <c r="C1570" s="1">
        <v>46052</v>
      </c>
      <c r="D1570" t="s">
        <v>848</v>
      </c>
      <c r="E1570" t="s">
        <v>242</v>
      </c>
      <c r="F1570" t="s">
        <v>94</v>
      </c>
      <c r="G1570" t="s">
        <v>95</v>
      </c>
      <c r="H1570" t="s">
        <v>123</v>
      </c>
      <c r="I1570" s="2">
        <v>10</v>
      </c>
      <c r="J1570" s="3">
        <v>39.9</v>
      </c>
      <c r="K1570" s="4">
        <v>0.05</v>
      </c>
      <c r="L1570" s="3">
        <v>379.05</v>
      </c>
      <c r="M1570" t="b">
        <v>1</v>
      </c>
      <c r="N1570" s="2">
        <f>YEAR(B1570)</f>
        <v>2026</v>
      </c>
      <c r="O1570" t="str">
        <f>INDEX(Agences!$C:$C,MATCH(F1570,Agences!$A:$A,0))</f>
        <v>Méditerranée</v>
      </c>
      <c r="P1570" t="str">
        <f>INDEX(Produits!$C:$C,MATCH(H1570,Produits!$A:$A,0))</f>
        <v>Fournitures</v>
      </c>
      <c r="Q1570" s="3">
        <f>I1570*INDEX(Produits!$E:$E,MATCH(H1570,Produits!$A:$A,0))</f>
        <v>223.4</v>
      </c>
      <c r="R1570" s="3">
        <f>L1570-Q1570</f>
        <v>155.65</v>
      </c>
      <c r="S1570" s="2">
        <f>NETWORKDAYS(B1570,C1570)-1</f>
        <v>5</v>
      </c>
      <c r="T1570" s="1">
        <f>WORKDAY(B1570,5)</f>
        <v>46052</v>
      </c>
      <c r="U1570" t="b">
        <f>C1570&gt;T1570</f>
        <v>0</v>
      </c>
    </row>
    <row r="1571" spans="1:21" x14ac:dyDescent="0.25">
      <c r="A1571" t="s">
        <v>1193</v>
      </c>
      <c r="B1571" s="1">
        <v>46045</v>
      </c>
      <c r="C1571" s="1">
        <v>46052</v>
      </c>
      <c r="D1571" t="s">
        <v>848</v>
      </c>
      <c r="E1571" t="s">
        <v>242</v>
      </c>
      <c r="F1571" t="s">
        <v>94</v>
      </c>
      <c r="G1571" t="s">
        <v>95</v>
      </c>
      <c r="H1571" t="s">
        <v>112</v>
      </c>
      <c r="I1571" s="2">
        <v>1</v>
      </c>
      <c r="J1571" s="3">
        <v>129</v>
      </c>
      <c r="K1571" s="4">
        <v>0.02</v>
      </c>
      <c r="L1571" s="3">
        <v>126.42</v>
      </c>
      <c r="M1571" t="b">
        <v>1</v>
      </c>
      <c r="N1571" s="2">
        <f>YEAR(B1571)</f>
        <v>2026</v>
      </c>
      <c r="O1571" t="str">
        <f>INDEX(Agences!$C:$C,MATCH(F1571,Agences!$A:$A,0))</f>
        <v>Méditerranée</v>
      </c>
      <c r="P1571" t="str">
        <f>INDEX(Produits!$C:$C,MATCH(H1571,Produits!$A:$A,0))</f>
        <v>Mobilier</v>
      </c>
      <c r="Q1571" s="3">
        <f>I1571*INDEX(Produits!$E:$E,MATCH(H1571,Produits!$A:$A,0))</f>
        <v>86.43</v>
      </c>
      <c r="R1571" s="3">
        <f>L1571-Q1571</f>
        <v>39.989999999999995</v>
      </c>
      <c r="S1571" s="2">
        <f>NETWORKDAYS(B1571,C1571)-1</f>
        <v>5</v>
      </c>
      <c r="T1571" s="1">
        <f>WORKDAY(B1571,5)</f>
        <v>46052</v>
      </c>
      <c r="U1571" t="b">
        <f>C1571&gt;T1571</f>
        <v>0</v>
      </c>
    </row>
    <row r="1572" spans="1:21" x14ac:dyDescent="0.25">
      <c r="A1572" t="s">
        <v>1193</v>
      </c>
      <c r="B1572" s="1">
        <v>46045</v>
      </c>
      <c r="C1572" s="1">
        <v>46052</v>
      </c>
      <c r="D1572" t="s">
        <v>848</v>
      </c>
      <c r="E1572" t="s">
        <v>242</v>
      </c>
      <c r="F1572" t="s">
        <v>94</v>
      </c>
      <c r="G1572" t="s">
        <v>95</v>
      </c>
      <c r="H1572" t="s">
        <v>42</v>
      </c>
      <c r="I1572" s="2">
        <v>1</v>
      </c>
      <c r="J1572" s="3">
        <v>55</v>
      </c>
      <c r="K1572" s="4">
        <v>0.02</v>
      </c>
      <c r="L1572" s="3">
        <v>53.9</v>
      </c>
      <c r="M1572" t="b">
        <v>1</v>
      </c>
      <c r="N1572" s="2">
        <f>YEAR(B1572)</f>
        <v>2026</v>
      </c>
      <c r="O1572" t="str">
        <f>INDEX(Agences!$C:$C,MATCH(F1572,Agences!$A:$A,0))</f>
        <v>Méditerranée</v>
      </c>
      <c r="P1572" t="str">
        <f>INDEX(Produits!$C:$C,MATCH(H1572,Produits!$A:$A,0))</f>
        <v>Maintenance</v>
      </c>
      <c r="Q1572" s="3">
        <f>I1572*INDEX(Produits!$E:$E,MATCH(H1572,Produits!$A:$A,0))</f>
        <v>24.75</v>
      </c>
      <c r="R1572" s="3">
        <f>L1572-Q1572</f>
        <v>29.15</v>
      </c>
      <c r="S1572" s="2">
        <f>NETWORKDAYS(B1572,C1572)-1</f>
        <v>5</v>
      </c>
      <c r="T1572" s="1">
        <f>WORKDAY(B1572,5)</f>
        <v>46052</v>
      </c>
      <c r="U1572" t="b">
        <f>C1572&gt;T1572</f>
        <v>0</v>
      </c>
    </row>
    <row r="1573" spans="1:21" x14ac:dyDescent="0.25">
      <c r="A1573" t="s">
        <v>1194</v>
      </c>
      <c r="B1573" s="1">
        <v>46045</v>
      </c>
      <c r="C1573" s="1">
        <v>46052</v>
      </c>
      <c r="D1573" t="s">
        <v>1195</v>
      </c>
      <c r="E1573" t="s">
        <v>229</v>
      </c>
      <c r="F1573" t="s">
        <v>55</v>
      </c>
      <c r="G1573" t="s">
        <v>56</v>
      </c>
      <c r="H1573" t="s">
        <v>42</v>
      </c>
      <c r="I1573" s="2">
        <v>1</v>
      </c>
      <c r="J1573" s="3">
        <v>55</v>
      </c>
      <c r="K1573" s="4">
        <v>0</v>
      </c>
      <c r="L1573" s="3">
        <v>55</v>
      </c>
      <c r="M1573" t="b">
        <v>1</v>
      </c>
      <c r="N1573" s="2">
        <f>YEAR(B1573)</f>
        <v>2026</v>
      </c>
      <c r="O1573" t="str">
        <f>INDEX(Agences!$C:$C,MATCH(F1573,Agences!$A:$A,0))</f>
        <v>Est</v>
      </c>
      <c r="P1573" t="str">
        <f>INDEX(Produits!$C:$C,MATCH(H1573,Produits!$A:$A,0))</f>
        <v>Maintenance</v>
      </c>
      <c r="Q1573" s="3">
        <f>I1573*INDEX(Produits!$E:$E,MATCH(H1573,Produits!$A:$A,0))</f>
        <v>24.75</v>
      </c>
      <c r="R1573" s="3">
        <f>L1573-Q1573</f>
        <v>30.25</v>
      </c>
      <c r="S1573" s="2">
        <f>NETWORKDAYS(B1573,C1573)-1</f>
        <v>5</v>
      </c>
      <c r="T1573" s="1">
        <f>WORKDAY(B1573,5)</f>
        <v>46052</v>
      </c>
      <c r="U1573" t="b">
        <f>C1573&gt;T1573</f>
        <v>0</v>
      </c>
    </row>
    <row r="1574" spans="1:21" x14ac:dyDescent="0.25">
      <c r="A1574" t="s">
        <v>1194</v>
      </c>
      <c r="B1574" s="1">
        <v>46045</v>
      </c>
      <c r="C1574" s="1">
        <v>46052</v>
      </c>
      <c r="D1574" t="s">
        <v>1195</v>
      </c>
      <c r="E1574" t="s">
        <v>229</v>
      </c>
      <c r="F1574" t="s">
        <v>55</v>
      </c>
      <c r="G1574" t="s">
        <v>56</v>
      </c>
      <c r="H1574" t="s">
        <v>205</v>
      </c>
      <c r="I1574" s="2">
        <v>3</v>
      </c>
      <c r="J1574" s="3">
        <v>359</v>
      </c>
      <c r="K1574" s="4">
        <v>0</v>
      </c>
      <c r="L1574" s="3">
        <v>1077</v>
      </c>
      <c r="M1574" t="b">
        <v>1</v>
      </c>
      <c r="N1574" s="2">
        <f>YEAR(B1574)</f>
        <v>2026</v>
      </c>
      <c r="O1574" t="str">
        <f>INDEX(Agences!$C:$C,MATCH(F1574,Agences!$A:$A,0))</f>
        <v>Est</v>
      </c>
      <c r="P1574" t="str">
        <f>INDEX(Produits!$C:$C,MATCH(H1574,Produits!$A:$A,0))</f>
        <v>Mobilier</v>
      </c>
      <c r="Q1574" s="3">
        <f>I1574*INDEX(Produits!$E:$E,MATCH(H1574,Produits!$A:$A,0))</f>
        <v>613.89</v>
      </c>
      <c r="R1574" s="3">
        <f>L1574-Q1574</f>
        <v>463.11</v>
      </c>
      <c r="S1574" s="2">
        <f>NETWORKDAYS(B1574,C1574)-1</f>
        <v>5</v>
      </c>
      <c r="T1574" s="1">
        <f>WORKDAY(B1574,5)</f>
        <v>46052</v>
      </c>
      <c r="U1574" t="b">
        <f>C1574&gt;T1574</f>
        <v>0</v>
      </c>
    </row>
    <row r="1575" spans="1:21" x14ac:dyDescent="0.25">
      <c r="A1575" t="s">
        <v>1196</v>
      </c>
      <c r="B1575" s="1">
        <v>46045</v>
      </c>
      <c r="C1575" s="1">
        <v>46049</v>
      </c>
      <c r="D1575" t="s">
        <v>1197</v>
      </c>
      <c r="E1575" t="s">
        <v>229</v>
      </c>
      <c r="F1575" t="s">
        <v>55</v>
      </c>
      <c r="G1575" t="s">
        <v>71</v>
      </c>
      <c r="H1575" t="s">
        <v>33</v>
      </c>
      <c r="I1575" s="2">
        <v>1</v>
      </c>
      <c r="J1575" s="3">
        <v>219</v>
      </c>
      <c r="K1575" s="4">
        <v>0</v>
      </c>
      <c r="L1575" s="3">
        <v>219</v>
      </c>
      <c r="M1575" t="b">
        <v>1</v>
      </c>
      <c r="N1575" s="2">
        <f>YEAR(B1575)</f>
        <v>2026</v>
      </c>
      <c r="O1575" t="str">
        <f>INDEX(Agences!$C:$C,MATCH(F1575,Agences!$A:$A,0))</f>
        <v>Est</v>
      </c>
      <c r="P1575" t="str">
        <f>INDEX(Produits!$C:$C,MATCH(H1575,Produits!$A:$A,0))</f>
        <v>Informatique</v>
      </c>
      <c r="Q1575" s="3">
        <f>I1575*INDEX(Produits!$E:$E,MATCH(H1575,Produits!$A:$A,0))</f>
        <v>179.58</v>
      </c>
      <c r="R1575" s="3">
        <f>L1575-Q1575</f>
        <v>39.41999999999999</v>
      </c>
      <c r="S1575" s="2">
        <f>NETWORKDAYS(B1575,C1575)-1</f>
        <v>2</v>
      </c>
      <c r="T1575" s="1">
        <f>WORKDAY(B1575,5)</f>
        <v>46052</v>
      </c>
      <c r="U1575" t="b">
        <f>C1575&gt;T1575</f>
        <v>0</v>
      </c>
    </row>
    <row r="1576" spans="1:21" x14ac:dyDescent="0.25">
      <c r="A1576" t="s">
        <v>1196</v>
      </c>
      <c r="B1576" s="1">
        <v>46045</v>
      </c>
      <c r="C1576" s="1">
        <v>46049</v>
      </c>
      <c r="D1576" t="s">
        <v>1197</v>
      </c>
      <c r="E1576" t="s">
        <v>229</v>
      </c>
      <c r="F1576" t="s">
        <v>55</v>
      </c>
      <c r="G1576" t="s">
        <v>71</v>
      </c>
      <c r="H1576" t="s">
        <v>206</v>
      </c>
      <c r="I1576" s="2">
        <v>10</v>
      </c>
      <c r="J1576" s="3">
        <v>34</v>
      </c>
      <c r="K1576" s="4">
        <v>0.08</v>
      </c>
      <c r="L1576" s="3">
        <v>312.8</v>
      </c>
      <c r="M1576" t="b">
        <v>1</v>
      </c>
      <c r="N1576" s="2">
        <f>YEAR(B1576)</f>
        <v>2026</v>
      </c>
      <c r="O1576" t="str">
        <f>INDEX(Agences!$C:$C,MATCH(F1576,Agences!$A:$A,0))</f>
        <v>Est</v>
      </c>
      <c r="P1576" t="str">
        <f>INDEX(Produits!$C:$C,MATCH(H1576,Produits!$A:$A,0))</f>
        <v>Fournitures</v>
      </c>
      <c r="Q1576" s="3">
        <f>I1576*INDEX(Produits!$E:$E,MATCH(H1576,Produits!$A:$A,0))</f>
        <v>193.79999999999998</v>
      </c>
      <c r="R1576" s="3">
        <f>L1576-Q1576</f>
        <v>119.00000000000003</v>
      </c>
      <c r="S1576" s="2">
        <f>NETWORKDAYS(B1576,C1576)-1</f>
        <v>2</v>
      </c>
      <c r="T1576" s="1">
        <f>WORKDAY(B1576,5)</f>
        <v>46052</v>
      </c>
      <c r="U1576" t="b">
        <f>C1576&gt;T1576</f>
        <v>0</v>
      </c>
    </row>
    <row r="1577" spans="1:21" x14ac:dyDescent="0.25">
      <c r="A1577" t="s">
        <v>1196</v>
      </c>
      <c r="B1577" s="1">
        <v>46045</v>
      </c>
      <c r="C1577" s="1">
        <v>46049</v>
      </c>
      <c r="D1577" t="s">
        <v>1197</v>
      </c>
      <c r="E1577" t="s">
        <v>229</v>
      </c>
      <c r="F1577" t="s">
        <v>55</v>
      </c>
      <c r="G1577" t="s">
        <v>71</v>
      </c>
      <c r="H1577" t="s">
        <v>64</v>
      </c>
      <c r="I1577" s="2">
        <v>5</v>
      </c>
      <c r="J1577" s="3">
        <v>16.8</v>
      </c>
      <c r="K1577" s="4">
        <v>0</v>
      </c>
      <c r="L1577" s="3">
        <v>84</v>
      </c>
      <c r="M1577" t="b">
        <v>1</v>
      </c>
      <c r="N1577" s="2">
        <f>YEAR(B1577)</f>
        <v>2026</v>
      </c>
      <c r="O1577" t="str">
        <f>INDEX(Agences!$C:$C,MATCH(F1577,Agences!$A:$A,0))</f>
        <v>Est</v>
      </c>
      <c r="P1577" t="str">
        <f>INDEX(Produits!$C:$C,MATCH(H1577,Produits!$A:$A,0))</f>
        <v>Fournitures</v>
      </c>
      <c r="Q1577" s="3">
        <f>I1577*INDEX(Produits!$E:$E,MATCH(H1577,Produits!$A:$A,0))</f>
        <v>43.7</v>
      </c>
      <c r="R1577" s="3">
        <f>L1577-Q1577</f>
        <v>40.3</v>
      </c>
      <c r="S1577" s="2">
        <f>NETWORKDAYS(B1577,C1577)-1</f>
        <v>2</v>
      </c>
      <c r="T1577" s="1">
        <f>WORKDAY(B1577,5)</f>
        <v>46052</v>
      </c>
      <c r="U1577" t="b">
        <f>C1577&gt;T1577</f>
        <v>0</v>
      </c>
    </row>
    <row r="1578" spans="1:21" x14ac:dyDescent="0.25">
      <c r="A1578" t="s">
        <v>1198</v>
      </c>
      <c r="B1578" s="1">
        <v>46044</v>
      </c>
      <c r="C1578" s="1">
        <v>46050</v>
      </c>
      <c r="D1578" t="s">
        <v>477</v>
      </c>
      <c r="E1578" t="s">
        <v>122</v>
      </c>
      <c r="F1578" t="s">
        <v>24</v>
      </c>
      <c r="G1578" t="s">
        <v>25</v>
      </c>
      <c r="H1578" t="s">
        <v>50</v>
      </c>
      <c r="I1578" s="2">
        <v>1</v>
      </c>
      <c r="J1578" s="3">
        <v>69</v>
      </c>
      <c r="K1578" s="4">
        <v>0</v>
      </c>
      <c r="L1578" s="3">
        <v>69</v>
      </c>
      <c r="M1578" t="b">
        <v>1</v>
      </c>
      <c r="N1578" s="2">
        <f>YEAR(B1578)</f>
        <v>2026</v>
      </c>
      <c r="O1578" t="str">
        <f>INDEX(Agences!$C:$C,MATCH(F1578,Agences!$A:$A,0))</f>
        <v>Nord</v>
      </c>
      <c r="P1578" t="str">
        <f>INDEX(Produits!$C:$C,MATCH(H1578,Produits!$A:$A,0))</f>
        <v>Informatique</v>
      </c>
      <c r="Q1578" s="3">
        <f>I1578*INDEX(Produits!$E:$E,MATCH(H1578,Produits!$A:$A,0))</f>
        <v>54.51</v>
      </c>
      <c r="R1578" s="3">
        <f>L1578-Q1578</f>
        <v>14.490000000000002</v>
      </c>
      <c r="S1578" s="2">
        <f>NETWORKDAYS(B1578,C1578)-1</f>
        <v>4</v>
      </c>
      <c r="T1578" s="1">
        <f>WORKDAY(B1578,5)</f>
        <v>46051</v>
      </c>
      <c r="U1578" t="b">
        <f>C1578&gt;T1578</f>
        <v>0</v>
      </c>
    </row>
    <row r="1579" spans="1:21" x14ac:dyDescent="0.25">
      <c r="A1579" t="s">
        <v>1198</v>
      </c>
      <c r="B1579" s="1">
        <v>46044</v>
      </c>
      <c r="C1579" s="1">
        <v>46050</v>
      </c>
      <c r="D1579" t="s">
        <v>477</v>
      </c>
      <c r="E1579" t="s">
        <v>122</v>
      </c>
      <c r="F1579" t="s">
        <v>24</v>
      </c>
      <c r="G1579" t="s">
        <v>25</v>
      </c>
      <c r="H1579" t="s">
        <v>107</v>
      </c>
      <c r="I1579" s="2">
        <v>2</v>
      </c>
      <c r="J1579" s="3">
        <v>99</v>
      </c>
      <c r="K1579" s="4">
        <v>0</v>
      </c>
      <c r="L1579" s="3">
        <v>198</v>
      </c>
      <c r="M1579" t="b">
        <v>1</v>
      </c>
      <c r="N1579" s="2">
        <f>YEAR(B1579)</f>
        <v>2026</v>
      </c>
      <c r="O1579" t="str">
        <f>INDEX(Agences!$C:$C,MATCH(F1579,Agences!$A:$A,0))</f>
        <v>Nord</v>
      </c>
      <c r="P1579" t="str">
        <f>INDEX(Produits!$C:$C,MATCH(H1579,Produits!$A:$A,0))</f>
        <v>Informatique</v>
      </c>
      <c r="Q1579" s="3">
        <f>I1579*INDEX(Produits!$E:$E,MATCH(H1579,Produits!$A:$A,0))</f>
        <v>150.48</v>
      </c>
      <c r="R1579" s="3">
        <f>L1579-Q1579</f>
        <v>47.52000000000001</v>
      </c>
      <c r="S1579" s="2">
        <f>NETWORKDAYS(B1579,C1579)-1</f>
        <v>4</v>
      </c>
      <c r="T1579" s="1">
        <f>WORKDAY(B1579,5)</f>
        <v>46051</v>
      </c>
      <c r="U1579" t="b">
        <f>C1579&gt;T1579</f>
        <v>0</v>
      </c>
    </row>
    <row r="1580" spans="1:21" x14ac:dyDescent="0.25">
      <c r="A1580" t="s">
        <v>1198</v>
      </c>
      <c r="B1580" s="1">
        <v>46044</v>
      </c>
      <c r="C1580" s="1">
        <v>46050</v>
      </c>
      <c r="D1580" t="s">
        <v>477</v>
      </c>
      <c r="E1580" t="s">
        <v>122</v>
      </c>
      <c r="F1580" t="s">
        <v>24</v>
      </c>
      <c r="G1580" t="s">
        <v>25</v>
      </c>
      <c r="H1580" t="s">
        <v>319</v>
      </c>
      <c r="I1580" s="2">
        <v>2</v>
      </c>
      <c r="J1580" s="3">
        <v>289</v>
      </c>
      <c r="K1580" s="4">
        <v>0.05</v>
      </c>
      <c r="L1580" s="3">
        <v>549.1</v>
      </c>
      <c r="M1580" t="b">
        <v>1</v>
      </c>
      <c r="N1580" s="2">
        <f>YEAR(B1580)</f>
        <v>2026</v>
      </c>
      <c r="O1580" t="str">
        <f>INDEX(Agences!$C:$C,MATCH(F1580,Agences!$A:$A,0))</f>
        <v>Nord</v>
      </c>
      <c r="P1580" t="str">
        <f>INDEX(Produits!$C:$C,MATCH(H1580,Produits!$A:$A,0))</f>
        <v>Informatique</v>
      </c>
      <c r="Q1580" s="3">
        <f>I1580*INDEX(Produits!$E:$E,MATCH(H1580,Produits!$A:$A,0))</f>
        <v>427.72</v>
      </c>
      <c r="R1580" s="3">
        <f>L1580-Q1580</f>
        <v>121.38</v>
      </c>
      <c r="S1580" s="2">
        <f>NETWORKDAYS(B1580,C1580)-1</f>
        <v>4</v>
      </c>
      <c r="T1580" s="1">
        <f>WORKDAY(B1580,5)</f>
        <v>46051</v>
      </c>
      <c r="U1580" t="b">
        <f>C1580&gt;T1580</f>
        <v>0</v>
      </c>
    </row>
    <row r="1581" spans="1:21" x14ac:dyDescent="0.25">
      <c r="A1581" t="s">
        <v>1199</v>
      </c>
      <c r="B1581" s="1">
        <v>46044</v>
      </c>
      <c r="C1581" s="1">
        <v>46045</v>
      </c>
      <c r="D1581" t="s">
        <v>371</v>
      </c>
      <c r="E1581" t="s">
        <v>126</v>
      </c>
      <c r="F1581" t="s">
        <v>99</v>
      </c>
      <c r="G1581" t="s">
        <v>210</v>
      </c>
      <c r="H1581" t="s">
        <v>57</v>
      </c>
      <c r="I1581" s="2">
        <v>1</v>
      </c>
      <c r="J1581" s="3">
        <v>149</v>
      </c>
      <c r="K1581" s="4">
        <v>0.08</v>
      </c>
      <c r="L1581" s="3">
        <v>137.08</v>
      </c>
      <c r="M1581" t="b">
        <v>1</v>
      </c>
      <c r="N1581" s="2">
        <f>YEAR(B1581)</f>
        <v>2026</v>
      </c>
      <c r="O1581" t="str">
        <f>INDEX(Agences!$C:$C,MATCH(F1581,Agences!$A:$A,0))</f>
        <v>Nord</v>
      </c>
      <c r="P1581" t="str">
        <f>INDEX(Produits!$C:$C,MATCH(H1581,Produits!$A:$A,0))</f>
        <v>Informatique</v>
      </c>
      <c r="Q1581" s="3">
        <f>I1581*INDEX(Produits!$E:$E,MATCH(H1581,Produits!$A:$A,0))</f>
        <v>114.73</v>
      </c>
      <c r="R1581" s="3">
        <f>L1581-Q1581</f>
        <v>22.35000000000001</v>
      </c>
      <c r="S1581" s="2">
        <f>NETWORKDAYS(B1581,C1581)-1</f>
        <v>1</v>
      </c>
      <c r="T1581" s="1">
        <f>WORKDAY(B1581,5)</f>
        <v>46051</v>
      </c>
      <c r="U1581" t="b">
        <f>C1581&gt;T1581</f>
        <v>0</v>
      </c>
    </row>
    <row r="1582" spans="1:21" x14ac:dyDescent="0.25">
      <c r="A1582" t="s">
        <v>1199</v>
      </c>
      <c r="B1582" s="1">
        <v>46044</v>
      </c>
      <c r="C1582" s="1">
        <v>46045</v>
      </c>
      <c r="D1582" t="s">
        <v>371</v>
      </c>
      <c r="E1582" t="s">
        <v>126</v>
      </c>
      <c r="F1582" t="s">
        <v>99</v>
      </c>
      <c r="G1582" t="s">
        <v>210</v>
      </c>
      <c r="H1582" t="s">
        <v>72</v>
      </c>
      <c r="I1582" s="2">
        <v>2</v>
      </c>
      <c r="J1582" s="3">
        <v>179</v>
      </c>
      <c r="K1582" s="4">
        <v>0.05</v>
      </c>
      <c r="L1582" s="3">
        <v>340.1</v>
      </c>
      <c r="M1582" t="b">
        <v>1</v>
      </c>
      <c r="N1582" s="2">
        <f>YEAR(B1582)</f>
        <v>2026</v>
      </c>
      <c r="O1582" t="str">
        <f>INDEX(Agences!$C:$C,MATCH(F1582,Agences!$A:$A,0))</f>
        <v>Nord</v>
      </c>
      <c r="P1582" t="str">
        <f>INDEX(Produits!$C:$C,MATCH(H1582,Produits!$A:$A,0))</f>
        <v>Informatique</v>
      </c>
      <c r="Q1582" s="3">
        <f>I1582*INDEX(Produits!$E:$E,MATCH(H1582,Produits!$A:$A,0))</f>
        <v>293.56</v>
      </c>
      <c r="R1582" s="3">
        <f>L1582-Q1582</f>
        <v>46.54000000000002</v>
      </c>
      <c r="S1582" s="2">
        <f>NETWORKDAYS(B1582,C1582)-1</f>
        <v>1</v>
      </c>
      <c r="T1582" s="1">
        <f>WORKDAY(B1582,5)</f>
        <v>46051</v>
      </c>
      <c r="U1582" t="b">
        <f>C1582&gt;T1582</f>
        <v>0</v>
      </c>
    </row>
    <row r="1583" spans="1:21" x14ac:dyDescent="0.25">
      <c r="A1583" t="s">
        <v>1199</v>
      </c>
      <c r="B1583" s="1">
        <v>46044</v>
      </c>
      <c r="C1583" s="1">
        <v>46045</v>
      </c>
      <c r="D1583" t="s">
        <v>371</v>
      </c>
      <c r="E1583" t="s">
        <v>126</v>
      </c>
      <c r="F1583" t="s">
        <v>99</v>
      </c>
      <c r="G1583" t="s">
        <v>210</v>
      </c>
      <c r="H1583" t="s">
        <v>83</v>
      </c>
      <c r="I1583" s="2">
        <v>8</v>
      </c>
      <c r="J1583" s="3">
        <v>49</v>
      </c>
      <c r="K1583" s="4">
        <v>0</v>
      </c>
      <c r="L1583" s="3">
        <v>392</v>
      </c>
      <c r="M1583" t="b">
        <v>1</v>
      </c>
      <c r="N1583" s="2">
        <f>YEAR(B1583)</f>
        <v>2026</v>
      </c>
      <c r="O1583" t="str">
        <f>INDEX(Agences!$C:$C,MATCH(F1583,Agences!$A:$A,0))</f>
        <v>Nord</v>
      </c>
      <c r="P1583" t="str">
        <f>INDEX(Produits!$C:$C,MATCH(H1583,Produits!$A:$A,0))</f>
        <v>Mobilier</v>
      </c>
      <c r="Q1583" s="3">
        <f>I1583*INDEX(Produits!$E:$E,MATCH(H1583,Produits!$A:$A,0))</f>
        <v>227.36</v>
      </c>
      <c r="R1583" s="3">
        <f>L1583-Q1583</f>
        <v>164.64</v>
      </c>
      <c r="S1583" s="2">
        <f>NETWORKDAYS(B1583,C1583)-1</f>
        <v>1</v>
      </c>
      <c r="T1583" s="1">
        <f>WORKDAY(B1583,5)</f>
        <v>46051</v>
      </c>
      <c r="U1583" t="b">
        <f>C1583&gt;T1583</f>
        <v>0</v>
      </c>
    </row>
    <row r="1584" spans="1:21" x14ac:dyDescent="0.25">
      <c r="A1584" t="s">
        <v>1199</v>
      </c>
      <c r="B1584" s="1">
        <v>46044</v>
      </c>
      <c r="C1584" s="1">
        <v>46045</v>
      </c>
      <c r="D1584" t="s">
        <v>371</v>
      </c>
      <c r="E1584" t="s">
        <v>126</v>
      </c>
      <c r="F1584" t="s">
        <v>99</v>
      </c>
      <c r="G1584" t="s">
        <v>210</v>
      </c>
      <c r="H1584" t="s">
        <v>35</v>
      </c>
      <c r="I1584" s="2">
        <v>1</v>
      </c>
      <c r="J1584" s="3">
        <v>79</v>
      </c>
      <c r="K1584" s="4">
        <v>0</v>
      </c>
      <c r="L1584" s="3">
        <v>79</v>
      </c>
      <c r="M1584" t="b">
        <v>1</v>
      </c>
      <c r="N1584" s="2">
        <f>YEAR(B1584)</f>
        <v>2026</v>
      </c>
      <c r="O1584" t="str">
        <f>INDEX(Agences!$C:$C,MATCH(F1584,Agences!$A:$A,0))</f>
        <v>Nord</v>
      </c>
      <c r="P1584" t="str">
        <f>INDEX(Produits!$C:$C,MATCH(H1584,Produits!$A:$A,0))</f>
        <v>Mobilier</v>
      </c>
      <c r="Q1584" s="3">
        <f>I1584*INDEX(Produits!$E:$E,MATCH(H1584,Produits!$A:$A,0))</f>
        <v>46.61</v>
      </c>
      <c r="R1584" s="3">
        <f>L1584-Q1584</f>
        <v>32.39</v>
      </c>
      <c r="S1584" s="2">
        <f>NETWORKDAYS(B1584,C1584)-1</f>
        <v>1</v>
      </c>
      <c r="T1584" s="1">
        <f>WORKDAY(B1584,5)</f>
        <v>46051</v>
      </c>
      <c r="U1584" t="b">
        <f>C1584&gt;T1584</f>
        <v>0</v>
      </c>
    </row>
    <row r="1585" spans="1:21" x14ac:dyDescent="0.25">
      <c r="A1585" t="s">
        <v>1200</v>
      </c>
      <c r="B1585" s="1">
        <v>46044</v>
      </c>
      <c r="C1585" s="1">
        <v>46049</v>
      </c>
      <c r="D1585" t="s">
        <v>1201</v>
      </c>
      <c r="E1585" t="s">
        <v>333</v>
      </c>
      <c r="F1585" t="s">
        <v>138</v>
      </c>
      <c r="G1585" t="s">
        <v>220</v>
      </c>
      <c r="H1585" t="s">
        <v>83</v>
      </c>
      <c r="I1585" s="2">
        <v>5</v>
      </c>
      <c r="J1585" s="3">
        <v>49</v>
      </c>
      <c r="K1585" s="4">
        <v>0</v>
      </c>
      <c r="L1585" s="3">
        <v>245</v>
      </c>
      <c r="M1585" t="b">
        <v>1</v>
      </c>
      <c r="N1585" s="2">
        <f>YEAR(B1585)</f>
        <v>2026</v>
      </c>
      <c r="O1585" t="str">
        <f>INDEX(Agences!$C:$C,MATCH(F1585,Agences!$A:$A,0))</f>
        <v>Île-de-France</v>
      </c>
      <c r="P1585" t="str">
        <f>INDEX(Produits!$C:$C,MATCH(H1585,Produits!$A:$A,0))</f>
        <v>Mobilier</v>
      </c>
      <c r="Q1585" s="3">
        <f>I1585*INDEX(Produits!$E:$E,MATCH(H1585,Produits!$A:$A,0))</f>
        <v>142.10000000000002</v>
      </c>
      <c r="R1585" s="3">
        <f>L1585-Q1585</f>
        <v>102.89999999999998</v>
      </c>
      <c r="S1585" s="2">
        <f>NETWORKDAYS(B1585,C1585)-1</f>
        <v>3</v>
      </c>
      <c r="T1585" s="1">
        <f>WORKDAY(B1585,5)</f>
        <v>46051</v>
      </c>
      <c r="U1585" t="b">
        <f>C1585&gt;T1585</f>
        <v>0</v>
      </c>
    </row>
    <row r="1586" spans="1:21" x14ac:dyDescent="0.25">
      <c r="A1586" t="s">
        <v>1202</v>
      </c>
      <c r="B1586" s="1">
        <v>46044</v>
      </c>
      <c r="C1586" s="1">
        <v>46050</v>
      </c>
      <c r="D1586" t="s">
        <v>458</v>
      </c>
      <c r="E1586" t="s">
        <v>419</v>
      </c>
      <c r="F1586" t="s">
        <v>62</v>
      </c>
      <c r="G1586" t="s">
        <v>68</v>
      </c>
      <c r="H1586" t="s">
        <v>237</v>
      </c>
      <c r="I1586" s="2">
        <v>1</v>
      </c>
      <c r="J1586" s="3">
        <v>890</v>
      </c>
      <c r="K1586" s="4">
        <v>0</v>
      </c>
      <c r="L1586" s="3">
        <v>890</v>
      </c>
      <c r="M1586" t="b">
        <v>1</v>
      </c>
      <c r="N1586" s="2">
        <f>YEAR(B1586)</f>
        <v>2026</v>
      </c>
      <c r="O1586" t="str">
        <f>INDEX(Agences!$C:$C,MATCH(F1586,Agences!$A:$A,0))</f>
        <v>Méditerranée</v>
      </c>
      <c r="P1586" t="str">
        <f>INDEX(Produits!$C:$C,MATCH(H1586,Produits!$A:$A,0))</f>
        <v>Mobilier</v>
      </c>
      <c r="Q1586" s="3">
        <f>I1586*INDEX(Produits!$E:$E,MATCH(H1586,Produits!$A:$A,0))</f>
        <v>596.3</v>
      </c>
      <c r="R1586" s="3">
        <f>L1586-Q1586</f>
        <v>293.70000000000005</v>
      </c>
      <c r="S1586" s="2">
        <f>NETWORKDAYS(B1586,C1586)-1</f>
        <v>4</v>
      </c>
      <c r="T1586" s="1">
        <f>WORKDAY(B1586,5)</f>
        <v>46051</v>
      </c>
      <c r="U1586" t="b">
        <f>C1586&gt;T1586</f>
        <v>0</v>
      </c>
    </row>
    <row r="1587" spans="1:21" x14ac:dyDescent="0.25">
      <c r="A1587" t="s">
        <v>1202</v>
      </c>
      <c r="B1587" s="1">
        <v>46044</v>
      </c>
      <c r="C1587" s="1">
        <v>46050</v>
      </c>
      <c r="D1587" t="s">
        <v>458</v>
      </c>
      <c r="E1587" t="s">
        <v>419</v>
      </c>
      <c r="F1587" t="s">
        <v>62</v>
      </c>
      <c r="G1587" t="s">
        <v>68</v>
      </c>
      <c r="H1587" t="s">
        <v>49</v>
      </c>
      <c r="I1587" s="2">
        <v>1</v>
      </c>
      <c r="J1587" s="3">
        <v>120</v>
      </c>
      <c r="K1587" s="4">
        <v>0</v>
      </c>
      <c r="L1587" s="3">
        <v>120</v>
      </c>
      <c r="M1587" t="b">
        <v>1</v>
      </c>
      <c r="N1587" s="2">
        <f>YEAR(B1587)</f>
        <v>2026</v>
      </c>
      <c r="O1587" t="str">
        <f>INDEX(Agences!$C:$C,MATCH(F1587,Agences!$A:$A,0))</f>
        <v>Méditerranée</v>
      </c>
      <c r="P1587" t="str">
        <f>INDEX(Produits!$C:$C,MATCH(H1587,Produits!$A:$A,0))</f>
        <v>Maintenance</v>
      </c>
      <c r="Q1587" s="3">
        <f>I1587*INDEX(Produits!$E:$E,MATCH(H1587,Produits!$A:$A,0))</f>
        <v>55.2</v>
      </c>
      <c r="R1587" s="3">
        <f>L1587-Q1587</f>
        <v>64.8</v>
      </c>
      <c r="S1587" s="2">
        <f>NETWORKDAYS(B1587,C1587)-1</f>
        <v>4</v>
      </c>
      <c r="T1587" s="1">
        <f>WORKDAY(B1587,5)</f>
        <v>46051</v>
      </c>
      <c r="U1587" t="b">
        <f>C1587&gt;T1587</f>
        <v>0</v>
      </c>
    </row>
    <row r="1588" spans="1:21" x14ac:dyDescent="0.25">
      <c r="A1588" t="s">
        <v>1202</v>
      </c>
      <c r="B1588" s="1">
        <v>46044</v>
      </c>
      <c r="C1588" s="1">
        <v>46050</v>
      </c>
      <c r="D1588" t="s">
        <v>458</v>
      </c>
      <c r="E1588" t="s">
        <v>419</v>
      </c>
      <c r="F1588" t="s">
        <v>62</v>
      </c>
      <c r="G1588" t="s">
        <v>68</v>
      </c>
      <c r="H1588" t="s">
        <v>206</v>
      </c>
      <c r="I1588" s="2">
        <v>10</v>
      </c>
      <c r="J1588" s="3">
        <v>34</v>
      </c>
      <c r="K1588" s="4">
        <v>0</v>
      </c>
      <c r="L1588" s="3">
        <v>340</v>
      </c>
      <c r="M1588" t="b">
        <v>1</v>
      </c>
      <c r="N1588" s="2">
        <f>YEAR(B1588)</f>
        <v>2026</v>
      </c>
      <c r="O1588" t="str">
        <f>INDEX(Agences!$C:$C,MATCH(F1588,Agences!$A:$A,0))</f>
        <v>Méditerranée</v>
      </c>
      <c r="P1588" t="str">
        <f>INDEX(Produits!$C:$C,MATCH(H1588,Produits!$A:$A,0))</f>
        <v>Fournitures</v>
      </c>
      <c r="Q1588" s="3">
        <f>I1588*INDEX(Produits!$E:$E,MATCH(H1588,Produits!$A:$A,0))</f>
        <v>193.79999999999998</v>
      </c>
      <c r="R1588" s="3">
        <f>L1588-Q1588</f>
        <v>146.20000000000002</v>
      </c>
      <c r="S1588" s="2">
        <f>NETWORKDAYS(B1588,C1588)-1</f>
        <v>4</v>
      </c>
      <c r="T1588" s="1">
        <f>WORKDAY(B1588,5)</f>
        <v>46051</v>
      </c>
      <c r="U1588" t="b">
        <f>C1588&gt;T1588</f>
        <v>0</v>
      </c>
    </row>
    <row r="1589" spans="1:21" x14ac:dyDescent="0.25">
      <c r="A1589" t="s">
        <v>1202</v>
      </c>
      <c r="B1589" s="1">
        <v>46044</v>
      </c>
      <c r="C1589" s="1">
        <v>46050</v>
      </c>
      <c r="D1589" t="s">
        <v>458</v>
      </c>
      <c r="E1589" t="s">
        <v>419</v>
      </c>
      <c r="F1589" t="s">
        <v>62</v>
      </c>
      <c r="G1589" t="s">
        <v>68</v>
      </c>
      <c r="H1589" t="s">
        <v>27</v>
      </c>
      <c r="I1589" s="2">
        <v>2</v>
      </c>
      <c r="J1589" s="3">
        <v>310</v>
      </c>
      <c r="K1589" s="4">
        <v>0.05</v>
      </c>
      <c r="L1589" s="3">
        <v>589</v>
      </c>
      <c r="M1589" t="b">
        <v>1</v>
      </c>
      <c r="N1589" s="2">
        <f>YEAR(B1589)</f>
        <v>2026</v>
      </c>
      <c r="O1589" t="str">
        <f>INDEX(Agences!$C:$C,MATCH(F1589,Agences!$A:$A,0))</f>
        <v>Méditerranée</v>
      </c>
      <c r="P1589" t="str">
        <f>INDEX(Produits!$C:$C,MATCH(H1589,Produits!$A:$A,0))</f>
        <v>Mobilier</v>
      </c>
      <c r="Q1589" s="3">
        <f>I1589*INDEX(Produits!$E:$E,MATCH(H1589,Produits!$A:$A,0))</f>
        <v>372</v>
      </c>
      <c r="R1589" s="3">
        <f>L1589-Q1589</f>
        <v>217</v>
      </c>
      <c r="S1589" s="2">
        <f>NETWORKDAYS(B1589,C1589)-1</f>
        <v>4</v>
      </c>
      <c r="T1589" s="1">
        <f>WORKDAY(B1589,5)</f>
        <v>46051</v>
      </c>
      <c r="U1589" t="b">
        <f>C1589&gt;T1589</f>
        <v>0</v>
      </c>
    </row>
    <row r="1590" spans="1:21" x14ac:dyDescent="0.25">
      <c r="A1590" t="s">
        <v>1203</v>
      </c>
      <c r="B1590" s="1">
        <v>46044</v>
      </c>
      <c r="C1590" s="1">
        <v>46048</v>
      </c>
      <c r="D1590" t="s">
        <v>972</v>
      </c>
      <c r="E1590" t="s">
        <v>316</v>
      </c>
      <c r="F1590" t="s">
        <v>46</v>
      </c>
      <c r="G1590" t="s">
        <v>111</v>
      </c>
      <c r="H1590" t="s">
        <v>50</v>
      </c>
      <c r="I1590" s="2">
        <v>1</v>
      </c>
      <c r="J1590" s="3">
        <v>69</v>
      </c>
      <c r="K1590" s="4">
        <v>0</v>
      </c>
      <c r="L1590" s="3">
        <v>69</v>
      </c>
      <c r="M1590" t="b">
        <v>1</v>
      </c>
      <c r="N1590" s="2">
        <f>YEAR(B1590)</f>
        <v>2026</v>
      </c>
      <c r="O1590" t="str">
        <f>INDEX(Agences!$C:$C,MATCH(F1590,Agences!$A:$A,0))</f>
        <v>Est</v>
      </c>
      <c r="P1590" t="str">
        <f>INDEX(Produits!$C:$C,MATCH(H1590,Produits!$A:$A,0))</f>
        <v>Informatique</v>
      </c>
      <c r="Q1590" s="3">
        <f>I1590*INDEX(Produits!$E:$E,MATCH(H1590,Produits!$A:$A,0))</f>
        <v>54.51</v>
      </c>
      <c r="R1590" s="3">
        <f>L1590-Q1590</f>
        <v>14.490000000000002</v>
      </c>
      <c r="S1590" s="2">
        <f>NETWORKDAYS(B1590,C1590)-1</f>
        <v>2</v>
      </c>
      <c r="T1590" s="1">
        <f>WORKDAY(B1590,5)</f>
        <v>46051</v>
      </c>
      <c r="U1590" t="b">
        <f>C1590&gt;T1590</f>
        <v>0</v>
      </c>
    </row>
    <row r="1591" spans="1:21" x14ac:dyDescent="0.25">
      <c r="A1591" t="s">
        <v>1203</v>
      </c>
      <c r="B1591" s="1">
        <v>46044</v>
      </c>
      <c r="C1591" s="1">
        <v>46048</v>
      </c>
      <c r="D1591" t="s">
        <v>972</v>
      </c>
      <c r="E1591" t="s">
        <v>316</v>
      </c>
      <c r="F1591" t="s">
        <v>46</v>
      </c>
      <c r="G1591" t="s">
        <v>111</v>
      </c>
      <c r="H1591" t="s">
        <v>206</v>
      </c>
      <c r="I1591" s="2">
        <v>5</v>
      </c>
      <c r="J1591" s="3">
        <v>34</v>
      </c>
      <c r="K1591" s="4">
        <v>0.1</v>
      </c>
      <c r="L1591" s="3">
        <v>153</v>
      </c>
      <c r="M1591" t="b">
        <v>1</v>
      </c>
      <c r="N1591" s="2">
        <f>YEAR(B1591)</f>
        <v>2026</v>
      </c>
      <c r="O1591" t="str">
        <f>INDEX(Agences!$C:$C,MATCH(F1591,Agences!$A:$A,0))</f>
        <v>Est</v>
      </c>
      <c r="P1591" t="str">
        <f>INDEX(Produits!$C:$C,MATCH(H1591,Produits!$A:$A,0))</f>
        <v>Fournitures</v>
      </c>
      <c r="Q1591" s="3">
        <f>I1591*INDEX(Produits!$E:$E,MATCH(H1591,Produits!$A:$A,0))</f>
        <v>96.89999999999999</v>
      </c>
      <c r="R1591" s="3">
        <f>L1591-Q1591</f>
        <v>56.10000000000001</v>
      </c>
      <c r="S1591" s="2">
        <f>NETWORKDAYS(B1591,C1591)-1</f>
        <v>2</v>
      </c>
      <c r="T1591" s="1">
        <f>WORKDAY(B1591,5)</f>
        <v>46051</v>
      </c>
      <c r="U1591" t="b">
        <f>C1591&gt;T1591</f>
        <v>0</v>
      </c>
    </row>
    <row r="1592" spans="1:21" x14ac:dyDescent="0.25">
      <c r="A1592" t="s">
        <v>1203</v>
      </c>
      <c r="B1592" s="1">
        <v>46044</v>
      </c>
      <c r="C1592" s="1">
        <v>46048</v>
      </c>
      <c r="D1592" t="s">
        <v>972</v>
      </c>
      <c r="E1592" t="s">
        <v>316</v>
      </c>
      <c r="F1592" t="s">
        <v>46</v>
      </c>
      <c r="G1592" t="s">
        <v>111</v>
      </c>
      <c r="H1592" t="s">
        <v>51</v>
      </c>
      <c r="I1592" s="2">
        <v>1</v>
      </c>
      <c r="J1592" s="3">
        <v>180</v>
      </c>
      <c r="K1592" s="4">
        <v>0</v>
      </c>
      <c r="L1592" s="3">
        <v>180</v>
      </c>
      <c r="M1592" t="b">
        <v>1</v>
      </c>
      <c r="N1592" s="2">
        <f>YEAR(B1592)</f>
        <v>2026</v>
      </c>
      <c r="O1592" t="str">
        <f>INDEX(Agences!$C:$C,MATCH(F1592,Agences!$A:$A,0))</f>
        <v>Est</v>
      </c>
      <c r="P1592" t="str">
        <f>INDEX(Produits!$C:$C,MATCH(H1592,Produits!$A:$A,0))</f>
        <v>Maintenance</v>
      </c>
      <c r="Q1592" s="3">
        <f>I1592*INDEX(Produits!$E:$E,MATCH(H1592,Produits!$A:$A,0))</f>
        <v>82.8</v>
      </c>
      <c r="R1592" s="3">
        <f>L1592-Q1592</f>
        <v>97.2</v>
      </c>
      <c r="S1592" s="2">
        <f>NETWORKDAYS(B1592,C1592)-1</f>
        <v>2</v>
      </c>
      <c r="T1592" s="1">
        <f>WORKDAY(B1592,5)</f>
        <v>46051</v>
      </c>
      <c r="U1592" t="b">
        <f>C1592&gt;T1592</f>
        <v>0</v>
      </c>
    </row>
    <row r="1593" spans="1:21" x14ac:dyDescent="0.25">
      <c r="A1593" t="s">
        <v>1204</v>
      </c>
      <c r="B1593" s="1">
        <v>46043</v>
      </c>
      <c r="C1593" s="1">
        <v>46050</v>
      </c>
      <c r="D1593" t="s">
        <v>975</v>
      </c>
      <c r="E1593" t="s">
        <v>175</v>
      </c>
      <c r="F1593" t="s">
        <v>76</v>
      </c>
      <c r="G1593" t="s">
        <v>176</v>
      </c>
      <c r="H1593" t="s">
        <v>107</v>
      </c>
      <c r="I1593" s="2">
        <v>4</v>
      </c>
      <c r="J1593" s="3">
        <v>99</v>
      </c>
      <c r="K1593" s="4">
        <v>0.05</v>
      </c>
      <c r="L1593" s="3">
        <v>376.2</v>
      </c>
      <c r="M1593" t="b">
        <v>1</v>
      </c>
      <c r="N1593" s="2">
        <f>YEAR(B1593)</f>
        <v>2026</v>
      </c>
      <c r="O1593" t="str">
        <f>INDEX(Agences!$C:$C,MATCH(F1593,Agences!$A:$A,0))</f>
        <v>Île-de-France</v>
      </c>
      <c r="P1593" t="str">
        <f>INDEX(Produits!$C:$C,MATCH(H1593,Produits!$A:$A,0))</f>
        <v>Informatique</v>
      </c>
      <c r="Q1593" s="3">
        <f>I1593*INDEX(Produits!$E:$E,MATCH(H1593,Produits!$A:$A,0))</f>
        <v>300.96</v>
      </c>
      <c r="R1593" s="3">
        <f>L1593-Q1593</f>
        <v>75.24000000000001</v>
      </c>
      <c r="S1593" s="2">
        <f>NETWORKDAYS(B1593,C1593)-1</f>
        <v>5</v>
      </c>
      <c r="T1593" s="1">
        <f>WORKDAY(B1593,5)</f>
        <v>46050</v>
      </c>
      <c r="U1593" t="b">
        <f>C1593&gt;T1593</f>
        <v>0</v>
      </c>
    </row>
    <row r="1594" spans="1:21" x14ac:dyDescent="0.25">
      <c r="A1594" t="s">
        <v>1204</v>
      </c>
      <c r="B1594" s="1">
        <v>46043</v>
      </c>
      <c r="C1594" s="1">
        <v>46050</v>
      </c>
      <c r="D1594" t="s">
        <v>975</v>
      </c>
      <c r="E1594" t="s">
        <v>175</v>
      </c>
      <c r="F1594" t="s">
        <v>76</v>
      </c>
      <c r="G1594" t="s">
        <v>176</v>
      </c>
      <c r="H1594" t="s">
        <v>72</v>
      </c>
      <c r="I1594" s="2">
        <v>1</v>
      </c>
      <c r="J1594" s="3">
        <v>179</v>
      </c>
      <c r="K1594" s="4">
        <v>0</v>
      </c>
      <c r="L1594" s="3">
        <v>179</v>
      </c>
      <c r="M1594" t="b">
        <v>1</v>
      </c>
      <c r="N1594" s="2">
        <f>YEAR(B1594)</f>
        <v>2026</v>
      </c>
      <c r="O1594" t="str">
        <f>INDEX(Agences!$C:$C,MATCH(F1594,Agences!$A:$A,0))</f>
        <v>Île-de-France</v>
      </c>
      <c r="P1594" t="str">
        <f>INDEX(Produits!$C:$C,MATCH(H1594,Produits!$A:$A,0))</f>
        <v>Informatique</v>
      </c>
      <c r="Q1594" s="3">
        <f>I1594*INDEX(Produits!$E:$E,MATCH(H1594,Produits!$A:$A,0))</f>
        <v>146.78</v>
      </c>
      <c r="R1594" s="3">
        <f>L1594-Q1594</f>
        <v>32.22</v>
      </c>
      <c r="S1594" s="2">
        <f>NETWORKDAYS(B1594,C1594)-1</f>
        <v>5</v>
      </c>
      <c r="T1594" s="1">
        <f>WORKDAY(B1594,5)</f>
        <v>46050</v>
      </c>
      <c r="U1594" t="b">
        <f>C1594&gt;T1594</f>
        <v>0</v>
      </c>
    </row>
    <row r="1595" spans="1:21" x14ac:dyDescent="0.25">
      <c r="A1595" t="s">
        <v>1204</v>
      </c>
      <c r="B1595" s="1">
        <v>46043</v>
      </c>
      <c r="C1595" s="1">
        <v>46050</v>
      </c>
      <c r="D1595" t="s">
        <v>975</v>
      </c>
      <c r="E1595" t="s">
        <v>175</v>
      </c>
      <c r="F1595" t="s">
        <v>76</v>
      </c>
      <c r="G1595" t="s">
        <v>176</v>
      </c>
      <c r="H1595" t="s">
        <v>161</v>
      </c>
      <c r="I1595" s="2">
        <v>10</v>
      </c>
      <c r="J1595" s="3">
        <v>32</v>
      </c>
      <c r="K1595" s="4">
        <v>0.08</v>
      </c>
      <c r="L1595" s="3">
        <v>294.4</v>
      </c>
      <c r="M1595" t="b">
        <v>1</v>
      </c>
      <c r="N1595" s="2">
        <f>YEAR(B1595)</f>
        <v>2026</v>
      </c>
      <c r="O1595" t="str">
        <f>INDEX(Agences!$C:$C,MATCH(F1595,Agences!$A:$A,0))</f>
        <v>Île-de-France</v>
      </c>
      <c r="P1595" t="str">
        <f>INDEX(Produits!$C:$C,MATCH(H1595,Produits!$A:$A,0))</f>
        <v>Fournitures</v>
      </c>
      <c r="Q1595" s="3">
        <f>I1595*INDEX(Produits!$E:$E,MATCH(H1595,Produits!$A:$A,0))</f>
        <v>176</v>
      </c>
      <c r="R1595" s="3">
        <f>L1595-Q1595</f>
        <v>118.39999999999998</v>
      </c>
      <c r="S1595" s="2">
        <f>NETWORKDAYS(B1595,C1595)-1</f>
        <v>5</v>
      </c>
      <c r="T1595" s="1">
        <f>WORKDAY(B1595,5)</f>
        <v>46050</v>
      </c>
      <c r="U1595" t="b">
        <f>C1595&gt;T1595</f>
        <v>0</v>
      </c>
    </row>
    <row r="1596" spans="1:21" x14ac:dyDescent="0.25">
      <c r="A1596" t="s">
        <v>1205</v>
      </c>
      <c r="B1596" s="1">
        <v>46043</v>
      </c>
      <c r="C1596" s="1">
        <v>46050</v>
      </c>
      <c r="D1596" t="s">
        <v>355</v>
      </c>
      <c r="E1596" t="s">
        <v>256</v>
      </c>
      <c r="F1596" t="s">
        <v>88</v>
      </c>
      <c r="G1596" t="s">
        <v>142</v>
      </c>
      <c r="H1596" t="s">
        <v>27</v>
      </c>
      <c r="I1596" s="2">
        <v>1</v>
      </c>
      <c r="J1596" s="3">
        <v>310</v>
      </c>
      <c r="K1596" s="4">
        <v>0</v>
      </c>
      <c r="L1596" s="3">
        <v>310</v>
      </c>
      <c r="M1596" t="b">
        <v>1</v>
      </c>
      <c r="N1596" s="2">
        <f>YEAR(B1596)</f>
        <v>2026</v>
      </c>
      <c r="O1596" t="str">
        <f>INDEX(Agences!$C:$C,MATCH(F1596,Agences!$A:$A,0))</f>
        <v>Sud-Ouest</v>
      </c>
      <c r="P1596" t="str">
        <f>INDEX(Produits!$C:$C,MATCH(H1596,Produits!$A:$A,0))</f>
        <v>Mobilier</v>
      </c>
      <c r="Q1596" s="3">
        <f>I1596*INDEX(Produits!$E:$E,MATCH(H1596,Produits!$A:$A,0))</f>
        <v>186</v>
      </c>
      <c r="R1596" s="3">
        <f>L1596-Q1596</f>
        <v>124</v>
      </c>
      <c r="S1596" s="2">
        <f>NETWORKDAYS(B1596,C1596)-1</f>
        <v>5</v>
      </c>
      <c r="T1596" s="1">
        <f>WORKDAY(B1596,5)</f>
        <v>46050</v>
      </c>
      <c r="U1596" t="b">
        <f>C1596&gt;T1596</f>
        <v>0</v>
      </c>
    </row>
    <row r="1597" spans="1:21" x14ac:dyDescent="0.25">
      <c r="A1597" t="s">
        <v>1206</v>
      </c>
      <c r="B1597" s="1">
        <v>46043</v>
      </c>
      <c r="C1597" s="1">
        <v>46049</v>
      </c>
      <c r="D1597" t="s">
        <v>781</v>
      </c>
      <c r="E1597" t="s">
        <v>256</v>
      </c>
      <c r="F1597" t="s">
        <v>88</v>
      </c>
      <c r="G1597" t="s">
        <v>89</v>
      </c>
      <c r="H1597" t="s">
        <v>42</v>
      </c>
      <c r="I1597" s="2">
        <v>1</v>
      </c>
      <c r="J1597" s="3">
        <v>55</v>
      </c>
      <c r="K1597" s="4">
        <v>0</v>
      </c>
      <c r="L1597" s="3">
        <v>55</v>
      </c>
      <c r="M1597" t="b">
        <v>1</v>
      </c>
      <c r="N1597" s="2">
        <f>YEAR(B1597)</f>
        <v>2026</v>
      </c>
      <c r="O1597" t="str">
        <f>INDEX(Agences!$C:$C,MATCH(F1597,Agences!$A:$A,0))</f>
        <v>Sud-Ouest</v>
      </c>
      <c r="P1597" t="str">
        <f>INDEX(Produits!$C:$C,MATCH(H1597,Produits!$A:$A,0))</f>
        <v>Maintenance</v>
      </c>
      <c r="Q1597" s="3">
        <f>I1597*INDEX(Produits!$E:$E,MATCH(H1597,Produits!$A:$A,0))</f>
        <v>24.75</v>
      </c>
      <c r="R1597" s="3">
        <f>L1597-Q1597</f>
        <v>30.25</v>
      </c>
      <c r="S1597" s="2">
        <f>NETWORKDAYS(B1597,C1597)-1</f>
        <v>4</v>
      </c>
      <c r="T1597" s="1">
        <f>WORKDAY(B1597,5)</f>
        <v>46050</v>
      </c>
      <c r="U1597" t="b">
        <f>C1597&gt;T1597</f>
        <v>0</v>
      </c>
    </row>
    <row r="1598" spans="1:21" x14ac:dyDescent="0.25">
      <c r="A1598" t="s">
        <v>1206</v>
      </c>
      <c r="B1598" s="1">
        <v>46043</v>
      </c>
      <c r="C1598" s="1">
        <v>46049</v>
      </c>
      <c r="D1598" t="s">
        <v>781</v>
      </c>
      <c r="E1598" t="s">
        <v>256</v>
      </c>
      <c r="F1598" t="s">
        <v>88</v>
      </c>
      <c r="G1598" t="s">
        <v>89</v>
      </c>
      <c r="H1598" t="s">
        <v>64</v>
      </c>
      <c r="I1598" s="2">
        <v>10</v>
      </c>
      <c r="J1598" s="3">
        <v>16.8</v>
      </c>
      <c r="K1598" s="4">
        <v>0.08</v>
      </c>
      <c r="L1598" s="3">
        <v>154.56</v>
      </c>
      <c r="M1598" t="b">
        <v>1</v>
      </c>
      <c r="N1598" s="2">
        <f>YEAR(B1598)</f>
        <v>2026</v>
      </c>
      <c r="O1598" t="str">
        <f>INDEX(Agences!$C:$C,MATCH(F1598,Agences!$A:$A,0))</f>
        <v>Sud-Ouest</v>
      </c>
      <c r="P1598" t="str">
        <f>INDEX(Produits!$C:$C,MATCH(H1598,Produits!$A:$A,0))</f>
        <v>Fournitures</v>
      </c>
      <c r="Q1598" s="3">
        <f>I1598*INDEX(Produits!$E:$E,MATCH(H1598,Produits!$A:$A,0))</f>
        <v>87.4</v>
      </c>
      <c r="R1598" s="3">
        <f>L1598-Q1598</f>
        <v>67.16</v>
      </c>
      <c r="S1598" s="2">
        <f>NETWORKDAYS(B1598,C1598)-1</f>
        <v>4</v>
      </c>
      <c r="T1598" s="1">
        <f>WORKDAY(B1598,5)</f>
        <v>46050</v>
      </c>
      <c r="U1598" t="b">
        <f>C1598&gt;T1598</f>
        <v>0</v>
      </c>
    </row>
    <row r="1599" spans="1:21" x14ac:dyDescent="0.25">
      <c r="A1599" t="s">
        <v>1206</v>
      </c>
      <c r="B1599" s="1">
        <v>46043</v>
      </c>
      <c r="C1599" s="1">
        <v>46049</v>
      </c>
      <c r="D1599" t="s">
        <v>781</v>
      </c>
      <c r="E1599" t="s">
        <v>256</v>
      </c>
      <c r="F1599" t="s">
        <v>88</v>
      </c>
      <c r="G1599" t="s">
        <v>89</v>
      </c>
      <c r="H1599" t="s">
        <v>150</v>
      </c>
      <c r="I1599" s="2">
        <v>1</v>
      </c>
      <c r="J1599" s="3">
        <v>790</v>
      </c>
      <c r="K1599" s="4">
        <v>0.08</v>
      </c>
      <c r="L1599" s="3">
        <v>726.8</v>
      </c>
      <c r="M1599" t="b">
        <v>1</v>
      </c>
      <c r="N1599" s="2">
        <f>YEAR(B1599)</f>
        <v>2026</v>
      </c>
      <c r="O1599" t="str">
        <f>INDEX(Agences!$C:$C,MATCH(F1599,Agences!$A:$A,0))</f>
        <v>Sud-Ouest</v>
      </c>
      <c r="P1599" t="str">
        <f>INDEX(Produits!$C:$C,MATCH(H1599,Produits!$A:$A,0))</f>
        <v>Informatique</v>
      </c>
      <c r="Q1599" s="3">
        <f>I1599*INDEX(Produits!$E:$E,MATCH(H1599,Produits!$A:$A,0))</f>
        <v>584.6</v>
      </c>
      <c r="R1599" s="3">
        <f>L1599-Q1599</f>
        <v>142.19999999999993</v>
      </c>
      <c r="S1599" s="2">
        <f>NETWORKDAYS(B1599,C1599)-1</f>
        <v>4</v>
      </c>
      <c r="T1599" s="1">
        <f>WORKDAY(B1599,5)</f>
        <v>46050</v>
      </c>
      <c r="U1599" t="b">
        <f>C1599&gt;T1599</f>
        <v>0</v>
      </c>
    </row>
    <row r="1600" spans="1:21" x14ac:dyDescent="0.25">
      <c r="A1600" t="s">
        <v>1207</v>
      </c>
      <c r="B1600" s="1">
        <v>46043</v>
      </c>
      <c r="C1600" s="1">
        <v>46045</v>
      </c>
      <c r="D1600" t="s">
        <v>292</v>
      </c>
      <c r="E1600" t="s">
        <v>45</v>
      </c>
      <c r="F1600" t="s">
        <v>46</v>
      </c>
      <c r="G1600" t="s">
        <v>47</v>
      </c>
      <c r="H1600" t="s">
        <v>83</v>
      </c>
      <c r="I1600" s="2">
        <v>4</v>
      </c>
      <c r="J1600" s="3">
        <v>49</v>
      </c>
      <c r="K1600" s="4">
        <v>0</v>
      </c>
      <c r="L1600" s="3">
        <v>196</v>
      </c>
      <c r="M1600" t="b">
        <v>1</v>
      </c>
      <c r="N1600" s="2">
        <f>YEAR(B1600)</f>
        <v>2026</v>
      </c>
      <c r="O1600" t="str">
        <f>INDEX(Agences!$C:$C,MATCH(F1600,Agences!$A:$A,0))</f>
        <v>Est</v>
      </c>
      <c r="P1600" t="str">
        <f>INDEX(Produits!$C:$C,MATCH(H1600,Produits!$A:$A,0))</f>
        <v>Mobilier</v>
      </c>
      <c r="Q1600" s="3">
        <f>I1600*INDEX(Produits!$E:$E,MATCH(H1600,Produits!$A:$A,0))</f>
        <v>113.68</v>
      </c>
      <c r="R1600" s="3">
        <f>L1600-Q1600</f>
        <v>82.32</v>
      </c>
      <c r="S1600" s="2">
        <f>NETWORKDAYS(B1600,C1600)-1</f>
        <v>2</v>
      </c>
      <c r="T1600" s="1">
        <f>WORKDAY(B1600,5)</f>
        <v>46050</v>
      </c>
      <c r="U1600" t="b">
        <f>C1600&gt;T1600</f>
        <v>0</v>
      </c>
    </row>
    <row r="1601" spans="1:21" x14ac:dyDescent="0.25">
      <c r="A1601" t="s">
        <v>1207</v>
      </c>
      <c r="B1601" s="1">
        <v>46043</v>
      </c>
      <c r="C1601" s="1">
        <v>46045</v>
      </c>
      <c r="D1601" t="s">
        <v>292</v>
      </c>
      <c r="E1601" t="s">
        <v>45</v>
      </c>
      <c r="F1601" t="s">
        <v>46</v>
      </c>
      <c r="G1601" t="s">
        <v>47</v>
      </c>
      <c r="H1601" t="s">
        <v>64</v>
      </c>
      <c r="I1601" s="2">
        <v>15</v>
      </c>
      <c r="J1601" s="3">
        <v>16.8</v>
      </c>
      <c r="K1601" s="4">
        <v>0</v>
      </c>
      <c r="L1601" s="3">
        <v>252</v>
      </c>
      <c r="M1601" t="b">
        <v>1</v>
      </c>
      <c r="N1601" s="2">
        <f>YEAR(B1601)</f>
        <v>2026</v>
      </c>
      <c r="O1601" t="str">
        <f>INDEX(Agences!$C:$C,MATCH(F1601,Agences!$A:$A,0))</f>
        <v>Est</v>
      </c>
      <c r="P1601" t="str">
        <f>INDEX(Produits!$C:$C,MATCH(H1601,Produits!$A:$A,0))</f>
        <v>Fournitures</v>
      </c>
      <c r="Q1601" s="3">
        <f>I1601*INDEX(Produits!$E:$E,MATCH(H1601,Produits!$A:$A,0))</f>
        <v>131.1</v>
      </c>
      <c r="R1601" s="3">
        <f>L1601-Q1601</f>
        <v>120.9</v>
      </c>
      <c r="S1601" s="2">
        <f>NETWORKDAYS(B1601,C1601)-1</f>
        <v>2</v>
      </c>
      <c r="T1601" s="1">
        <f>WORKDAY(B1601,5)</f>
        <v>46050</v>
      </c>
      <c r="U1601" t="b">
        <f>C1601&gt;T1601</f>
        <v>0</v>
      </c>
    </row>
    <row r="1602" spans="1:21" x14ac:dyDescent="0.25">
      <c r="A1602" t="s">
        <v>1207</v>
      </c>
      <c r="B1602" s="1">
        <v>46043</v>
      </c>
      <c r="C1602" s="1">
        <v>46045</v>
      </c>
      <c r="D1602" t="s">
        <v>292</v>
      </c>
      <c r="E1602" t="s">
        <v>45</v>
      </c>
      <c r="F1602" t="s">
        <v>46</v>
      </c>
      <c r="G1602" t="s">
        <v>47</v>
      </c>
      <c r="H1602" t="s">
        <v>50</v>
      </c>
      <c r="I1602" s="2">
        <v>1</v>
      </c>
      <c r="J1602" s="3">
        <v>69</v>
      </c>
      <c r="K1602" s="4">
        <v>0.08</v>
      </c>
      <c r="L1602" s="3">
        <v>63.48</v>
      </c>
      <c r="M1602" t="b">
        <v>1</v>
      </c>
      <c r="N1602" s="2">
        <f>YEAR(B1602)</f>
        <v>2026</v>
      </c>
      <c r="O1602" t="str">
        <f>INDEX(Agences!$C:$C,MATCH(F1602,Agences!$A:$A,0))</f>
        <v>Est</v>
      </c>
      <c r="P1602" t="str">
        <f>INDEX(Produits!$C:$C,MATCH(H1602,Produits!$A:$A,0))</f>
        <v>Informatique</v>
      </c>
      <c r="Q1602" s="3">
        <f>I1602*INDEX(Produits!$E:$E,MATCH(H1602,Produits!$A:$A,0))</f>
        <v>54.51</v>
      </c>
      <c r="R1602" s="3">
        <f>L1602-Q1602</f>
        <v>8.969999999999999</v>
      </c>
      <c r="S1602" s="2">
        <f>NETWORKDAYS(B1602,C1602)-1</f>
        <v>2</v>
      </c>
      <c r="T1602" s="1">
        <f>WORKDAY(B1602,5)</f>
        <v>46050</v>
      </c>
      <c r="U1602" t="b">
        <f>C1602&gt;T1602</f>
        <v>0</v>
      </c>
    </row>
    <row r="1603" spans="1:21" x14ac:dyDescent="0.25">
      <c r="A1603" t="s">
        <v>1208</v>
      </c>
      <c r="B1603" s="1">
        <v>46042</v>
      </c>
      <c r="C1603" s="1">
        <v>46044</v>
      </c>
      <c r="D1603" t="s">
        <v>1209</v>
      </c>
      <c r="E1603" t="s">
        <v>119</v>
      </c>
      <c r="F1603" t="s">
        <v>24</v>
      </c>
      <c r="G1603" t="s">
        <v>199</v>
      </c>
      <c r="H1603" t="s">
        <v>49</v>
      </c>
      <c r="I1603" s="2">
        <v>2</v>
      </c>
      <c r="J1603" s="3">
        <v>120</v>
      </c>
      <c r="K1603" s="4">
        <v>0</v>
      </c>
      <c r="L1603" s="3">
        <v>240</v>
      </c>
      <c r="M1603" t="b">
        <v>1</v>
      </c>
      <c r="N1603" s="2">
        <f>YEAR(B1603)</f>
        <v>2026</v>
      </c>
      <c r="O1603" t="str">
        <f>INDEX(Agences!$C:$C,MATCH(F1603,Agences!$A:$A,0))</f>
        <v>Nord</v>
      </c>
      <c r="P1603" t="str">
        <f>INDEX(Produits!$C:$C,MATCH(H1603,Produits!$A:$A,0))</f>
        <v>Maintenance</v>
      </c>
      <c r="Q1603" s="3">
        <f>I1603*INDEX(Produits!$E:$E,MATCH(H1603,Produits!$A:$A,0))</f>
        <v>110.4</v>
      </c>
      <c r="R1603" s="3">
        <f>L1603-Q1603</f>
        <v>129.6</v>
      </c>
      <c r="S1603" s="2">
        <f>NETWORKDAYS(B1603,C1603)-1</f>
        <v>2</v>
      </c>
      <c r="T1603" s="1">
        <f>WORKDAY(B1603,5)</f>
        <v>46049</v>
      </c>
      <c r="U1603" t="b">
        <f>C1603&gt;T1603</f>
        <v>0</v>
      </c>
    </row>
    <row r="1604" spans="1:21" x14ac:dyDescent="0.25">
      <c r="A1604" t="s">
        <v>1208</v>
      </c>
      <c r="B1604" s="1">
        <v>46042</v>
      </c>
      <c r="C1604" s="1">
        <v>46044</v>
      </c>
      <c r="D1604" t="s">
        <v>1209</v>
      </c>
      <c r="E1604" t="s">
        <v>119</v>
      </c>
      <c r="F1604" t="s">
        <v>24</v>
      </c>
      <c r="G1604" t="s">
        <v>199</v>
      </c>
      <c r="H1604" t="s">
        <v>41</v>
      </c>
      <c r="I1604" s="2">
        <v>1</v>
      </c>
      <c r="J1604" s="3">
        <v>790</v>
      </c>
      <c r="K1604" s="4">
        <v>0.1</v>
      </c>
      <c r="L1604" s="3">
        <v>711</v>
      </c>
      <c r="M1604" t="b">
        <v>1</v>
      </c>
      <c r="N1604" s="2">
        <f>YEAR(B1604)</f>
        <v>2026</v>
      </c>
      <c r="O1604" t="str">
        <f>INDEX(Agences!$C:$C,MATCH(F1604,Agences!$A:$A,0))</f>
        <v>Nord</v>
      </c>
      <c r="P1604" t="str">
        <f>INDEX(Produits!$C:$C,MATCH(H1604,Produits!$A:$A,0))</f>
        <v>Informatique</v>
      </c>
      <c r="Q1604" s="3">
        <f>I1604*INDEX(Produits!$E:$E,MATCH(H1604,Produits!$A:$A,0))</f>
        <v>576.7</v>
      </c>
      <c r="R1604" s="3">
        <f>L1604-Q1604</f>
        <v>134.29999999999995</v>
      </c>
      <c r="S1604" s="2">
        <f>NETWORKDAYS(B1604,C1604)-1</f>
        <v>2</v>
      </c>
      <c r="T1604" s="1">
        <f>WORKDAY(B1604,5)</f>
        <v>46049</v>
      </c>
      <c r="U1604" t="b">
        <f>C1604&gt;T1604</f>
        <v>0</v>
      </c>
    </row>
    <row r="1605" spans="1:21" x14ac:dyDescent="0.25">
      <c r="A1605" t="s">
        <v>1210</v>
      </c>
      <c r="B1605" s="1">
        <v>46042</v>
      </c>
      <c r="C1605" s="1">
        <v>46044</v>
      </c>
      <c r="D1605" t="s">
        <v>752</v>
      </c>
      <c r="E1605" t="s">
        <v>137</v>
      </c>
      <c r="F1605" t="s">
        <v>138</v>
      </c>
      <c r="G1605" t="s">
        <v>139</v>
      </c>
      <c r="H1605" t="s">
        <v>49</v>
      </c>
      <c r="I1605" s="2">
        <v>1</v>
      </c>
      <c r="J1605" s="3">
        <v>120</v>
      </c>
      <c r="K1605" s="4">
        <v>0</v>
      </c>
      <c r="L1605" s="3">
        <v>120</v>
      </c>
      <c r="M1605" t="b">
        <v>1</v>
      </c>
      <c r="N1605" s="2">
        <f>YEAR(B1605)</f>
        <v>2026</v>
      </c>
      <c r="O1605" t="str">
        <f>INDEX(Agences!$C:$C,MATCH(F1605,Agences!$A:$A,0))</f>
        <v>Île-de-France</v>
      </c>
      <c r="P1605" t="str">
        <f>INDEX(Produits!$C:$C,MATCH(H1605,Produits!$A:$A,0))</f>
        <v>Maintenance</v>
      </c>
      <c r="Q1605" s="3">
        <f>I1605*INDEX(Produits!$E:$E,MATCH(H1605,Produits!$A:$A,0))</f>
        <v>55.2</v>
      </c>
      <c r="R1605" s="3">
        <f>L1605-Q1605</f>
        <v>64.8</v>
      </c>
      <c r="S1605" s="2">
        <f>NETWORKDAYS(B1605,C1605)-1</f>
        <v>2</v>
      </c>
      <c r="T1605" s="1">
        <f>WORKDAY(B1605,5)</f>
        <v>46049</v>
      </c>
      <c r="U1605" t="b">
        <f>C1605&gt;T1605</f>
        <v>0</v>
      </c>
    </row>
    <row r="1606" spans="1:21" x14ac:dyDescent="0.25">
      <c r="A1606" t="s">
        <v>1211</v>
      </c>
      <c r="B1606" s="1">
        <v>46042</v>
      </c>
      <c r="C1606" s="1">
        <v>46043</v>
      </c>
      <c r="D1606" t="s">
        <v>1212</v>
      </c>
      <c r="E1606" t="s">
        <v>307</v>
      </c>
      <c r="F1606" t="s">
        <v>76</v>
      </c>
      <c r="G1606" t="s">
        <v>176</v>
      </c>
      <c r="H1606" t="s">
        <v>51</v>
      </c>
      <c r="I1606" s="2">
        <v>2</v>
      </c>
      <c r="J1606" s="3">
        <v>180</v>
      </c>
      <c r="K1606" s="4">
        <v>0.02</v>
      </c>
      <c r="L1606" s="3">
        <v>352.8</v>
      </c>
      <c r="M1606" t="b">
        <v>1</v>
      </c>
      <c r="N1606" s="2">
        <f>YEAR(B1606)</f>
        <v>2026</v>
      </c>
      <c r="O1606" t="str">
        <f>INDEX(Agences!$C:$C,MATCH(F1606,Agences!$A:$A,0))</f>
        <v>Île-de-France</v>
      </c>
      <c r="P1606" t="str">
        <f>INDEX(Produits!$C:$C,MATCH(H1606,Produits!$A:$A,0))</f>
        <v>Maintenance</v>
      </c>
      <c r="Q1606" s="3">
        <f>I1606*INDEX(Produits!$E:$E,MATCH(H1606,Produits!$A:$A,0))</f>
        <v>165.6</v>
      </c>
      <c r="R1606" s="3">
        <f>L1606-Q1606</f>
        <v>187.20000000000002</v>
      </c>
      <c r="S1606" s="2">
        <f>NETWORKDAYS(B1606,C1606)-1</f>
        <v>1</v>
      </c>
      <c r="T1606" s="1">
        <f>WORKDAY(B1606,5)</f>
        <v>46049</v>
      </c>
      <c r="U1606" t="b">
        <f>C1606&gt;T1606</f>
        <v>0</v>
      </c>
    </row>
    <row r="1607" spans="1:21" x14ac:dyDescent="0.25">
      <c r="A1607" t="s">
        <v>1213</v>
      </c>
      <c r="B1607" s="1">
        <v>46042</v>
      </c>
      <c r="C1607" s="1">
        <v>46048</v>
      </c>
      <c r="D1607" t="s">
        <v>1214</v>
      </c>
      <c r="E1607" t="s">
        <v>256</v>
      </c>
      <c r="F1607" t="s">
        <v>88</v>
      </c>
      <c r="G1607" t="s">
        <v>89</v>
      </c>
      <c r="H1607" t="s">
        <v>58</v>
      </c>
      <c r="I1607" s="2">
        <v>2</v>
      </c>
      <c r="J1607" s="3">
        <v>649</v>
      </c>
      <c r="K1607" s="4">
        <v>0</v>
      </c>
      <c r="L1607" s="3">
        <v>1298</v>
      </c>
      <c r="M1607" t="b">
        <v>1</v>
      </c>
      <c r="N1607" s="2">
        <f>YEAR(B1607)</f>
        <v>2026</v>
      </c>
      <c r="O1607" t="str">
        <f>INDEX(Agences!$C:$C,MATCH(F1607,Agences!$A:$A,0))</f>
        <v>Sud-Ouest</v>
      </c>
      <c r="P1607" t="str">
        <f>INDEX(Produits!$C:$C,MATCH(H1607,Produits!$A:$A,0))</f>
        <v>Mobilier</v>
      </c>
      <c r="Q1607" s="3">
        <f>I1607*INDEX(Produits!$E:$E,MATCH(H1607,Produits!$A:$A,0))</f>
        <v>817.74</v>
      </c>
      <c r="R1607" s="3">
        <f>L1607-Q1607</f>
        <v>480.26</v>
      </c>
      <c r="S1607" s="2">
        <f>NETWORKDAYS(B1607,C1607)-1</f>
        <v>4</v>
      </c>
      <c r="T1607" s="1">
        <f>WORKDAY(B1607,5)</f>
        <v>46049</v>
      </c>
      <c r="U1607" t="b">
        <f>C1607&gt;T1607</f>
        <v>0</v>
      </c>
    </row>
    <row r="1608" spans="1:21" x14ac:dyDescent="0.25">
      <c r="A1608" t="s">
        <v>1213</v>
      </c>
      <c r="B1608" s="1">
        <v>46042</v>
      </c>
      <c r="C1608" s="1">
        <v>46048</v>
      </c>
      <c r="D1608" t="s">
        <v>1214</v>
      </c>
      <c r="E1608" t="s">
        <v>256</v>
      </c>
      <c r="F1608" t="s">
        <v>88</v>
      </c>
      <c r="G1608" t="s">
        <v>89</v>
      </c>
      <c r="H1608" t="s">
        <v>83</v>
      </c>
      <c r="I1608" s="2">
        <v>4</v>
      </c>
      <c r="J1608" s="3">
        <v>49</v>
      </c>
      <c r="K1608" s="4">
        <v>0</v>
      </c>
      <c r="L1608" s="3">
        <v>196</v>
      </c>
      <c r="M1608" t="b">
        <v>1</v>
      </c>
      <c r="N1608" s="2">
        <f>YEAR(B1608)</f>
        <v>2026</v>
      </c>
      <c r="O1608" t="str">
        <f>INDEX(Agences!$C:$C,MATCH(F1608,Agences!$A:$A,0))</f>
        <v>Sud-Ouest</v>
      </c>
      <c r="P1608" t="str">
        <f>INDEX(Produits!$C:$C,MATCH(H1608,Produits!$A:$A,0))</f>
        <v>Mobilier</v>
      </c>
      <c r="Q1608" s="3">
        <f>I1608*INDEX(Produits!$E:$E,MATCH(H1608,Produits!$A:$A,0))</f>
        <v>113.68</v>
      </c>
      <c r="R1608" s="3">
        <f>L1608-Q1608</f>
        <v>82.32</v>
      </c>
      <c r="S1608" s="2">
        <f>NETWORKDAYS(B1608,C1608)-1</f>
        <v>4</v>
      </c>
      <c r="T1608" s="1">
        <f>WORKDAY(B1608,5)</f>
        <v>46049</v>
      </c>
      <c r="U1608" t="b">
        <f>C1608&gt;T1608</f>
        <v>0</v>
      </c>
    </row>
    <row r="1609" spans="1:21" x14ac:dyDescent="0.25">
      <c r="A1609" t="s">
        <v>1213</v>
      </c>
      <c r="B1609" s="1">
        <v>46042</v>
      </c>
      <c r="C1609" s="1">
        <v>46048</v>
      </c>
      <c r="D1609" t="s">
        <v>1214</v>
      </c>
      <c r="E1609" t="s">
        <v>256</v>
      </c>
      <c r="F1609" t="s">
        <v>88</v>
      </c>
      <c r="G1609" t="s">
        <v>89</v>
      </c>
      <c r="H1609" t="s">
        <v>42</v>
      </c>
      <c r="I1609" s="2">
        <v>2</v>
      </c>
      <c r="J1609" s="3">
        <v>55</v>
      </c>
      <c r="K1609" s="4">
        <v>0.02</v>
      </c>
      <c r="L1609" s="3">
        <v>107.8</v>
      </c>
      <c r="M1609" t="b">
        <v>1</v>
      </c>
      <c r="N1609" s="2">
        <f>YEAR(B1609)</f>
        <v>2026</v>
      </c>
      <c r="O1609" t="str">
        <f>INDEX(Agences!$C:$C,MATCH(F1609,Agences!$A:$A,0))</f>
        <v>Sud-Ouest</v>
      </c>
      <c r="P1609" t="str">
        <f>INDEX(Produits!$C:$C,MATCH(H1609,Produits!$A:$A,0))</f>
        <v>Maintenance</v>
      </c>
      <c r="Q1609" s="3">
        <f>I1609*INDEX(Produits!$E:$E,MATCH(H1609,Produits!$A:$A,0))</f>
        <v>49.5</v>
      </c>
      <c r="R1609" s="3">
        <f>L1609-Q1609</f>
        <v>58.3</v>
      </c>
      <c r="S1609" s="2">
        <f>NETWORKDAYS(B1609,C1609)-1</f>
        <v>4</v>
      </c>
      <c r="T1609" s="1">
        <f>WORKDAY(B1609,5)</f>
        <v>46049</v>
      </c>
      <c r="U1609" t="b">
        <f>C1609&gt;T1609</f>
        <v>0</v>
      </c>
    </row>
    <row r="1610" spans="1:21" x14ac:dyDescent="0.25">
      <c r="A1610" t="s">
        <v>1215</v>
      </c>
      <c r="B1610" s="1">
        <v>46041</v>
      </c>
      <c r="C1610" s="1">
        <v>46043</v>
      </c>
      <c r="D1610" t="s">
        <v>401</v>
      </c>
      <c r="E1610" t="s">
        <v>175</v>
      </c>
      <c r="F1610" t="s">
        <v>76</v>
      </c>
      <c r="G1610" t="s">
        <v>77</v>
      </c>
      <c r="H1610" t="s">
        <v>83</v>
      </c>
      <c r="I1610" s="2">
        <v>1</v>
      </c>
      <c r="J1610" s="3">
        <v>49</v>
      </c>
      <c r="K1610" s="4">
        <v>0</v>
      </c>
      <c r="L1610" s="3">
        <v>49</v>
      </c>
      <c r="M1610" t="b">
        <v>1</v>
      </c>
      <c r="N1610" s="2">
        <f>YEAR(B1610)</f>
        <v>2026</v>
      </c>
      <c r="O1610" t="str">
        <f>INDEX(Agences!$C:$C,MATCH(F1610,Agences!$A:$A,0))</f>
        <v>Île-de-France</v>
      </c>
      <c r="P1610" t="str">
        <f>INDEX(Produits!$C:$C,MATCH(H1610,Produits!$A:$A,0))</f>
        <v>Mobilier</v>
      </c>
      <c r="Q1610" s="3">
        <f>I1610*INDEX(Produits!$E:$E,MATCH(H1610,Produits!$A:$A,0))</f>
        <v>28.42</v>
      </c>
      <c r="R1610" s="3">
        <f>L1610-Q1610</f>
        <v>20.58</v>
      </c>
      <c r="S1610" s="2">
        <f>NETWORKDAYS(B1610,C1610)-1</f>
        <v>2</v>
      </c>
      <c r="T1610" s="1">
        <f>WORKDAY(B1610,5)</f>
        <v>46048</v>
      </c>
      <c r="U1610" t="b">
        <f>C1610&gt;T1610</f>
        <v>0</v>
      </c>
    </row>
    <row r="1611" spans="1:21" x14ac:dyDescent="0.25">
      <c r="A1611" t="s">
        <v>1216</v>
      </c>
      <c r="B1611" s="1">
        <v>46041</v>
      </c>
      <c r="C1611" s="1">
        <v>46043</v>
      </c>
      <c r="D1611" t="s">
        <v>247</v>
      </c>
      <c r="E1611" t="s">
        <v>165</v>
      </c>
      <c r="F1611" t="s">
        <v>166</v>
      </c>
      <c r="G1611" t="s">
        <v>179</v>
      </c>
      <c r="H1611" t="s">
        <v>83</v>
      </c>
      <c r="I1611" s="2">
        <v>1</v>
      </c>
      <c r="J1611" s="3">
        <v>49</v>
      </c>
      <c r="K1611" s="4">
        <v>0</v>
      </c>
      <c r="L1611" s="3">
        <v>49</v>
      </c>
      <c r="M1611" t="b">
        <v>1</v>
      </c>
      <c r="N1611" s="2">
        <f>YEAR(B1611)</f>
        <v>2026</v>
      </c>
      <c r="O1611" t="str">
        <f>INDEX(Agences!$C:$C,MATCH(F1611,Agences!$A:$A,0))</f>
        <v>Ouest</v>
      </c>
      <c r="P1611" t="str">
        <f>INDEX(Produits!$C:$C,MATCH(H1611,Produits!$A:$A,0))</f>
        <v>Mobilier</v>
      </c>
      <c r="Q1611" s="3">
        <f>I1611*INDEX(Produits!$E:$E,MATCH(H1611,Produits!$A:$A,0))</f>
        <v>28.42</v>
      </c>
      <c r="R1611" s="3">
        <f>L1611-Q1611</f>
        <v>20.58</v>
      </c>
      <c r="S1611" s="2">
        <f>NETWORKDAYS(B1611,C1611)-1</f>
        <v>2</v>
      </c>
      <c r="T1611" s="1">
        <f>WORKDAY(B1611,5)</f>
        <v>46048</v>
      </c>
      <c r="U1611" t="b">
        <f>C1611&gt;T1611</f>
        <v>0</v>
      </c>
    </row>
    <row r="1612" spans="1:21" x14ac:dyDescent="0.25">
      <c r="A1612" t="s">
        <v>1216</v>
      </c>
      <c r="B1612" s="1">
        <v>46041</v>
      </c>
      <c r="C1612" s="1">
        <v>46043</v>
      </c>
      <c r="D1612" t="s">
        <v>247</v>
      </c>
      <c r="E1612" t="s">
        <v>165</v>
      </c>
      <c r="F1612" t="s">
        <v>166</v>
      </c>
      <c r="G1612" t="s">
        <v>179</v>
      </c>
      <c r="H1612" t="s">
        <v>42</v>
      </c>
      <c r="I1612" s="2">
        <v>1</v>
      </c>
      <c r="J1612" s="3">
        <v>55</v>
      </c>
      <c r="K1612" s="4">
        <v>0</v>
      </c>
      <c r="L1612" s="3">
        <v>55</v>
      </c>
      <c r="M1612" t="b">
        <v>1</v>
      </c>
      <c r="N1612" s="2">
        <f>YEAR(B1612)</f>
        <v>2026</v>
      </c>
      <c r="O1612" t="str">
        <f>INDEX(Agences!$C:$C,MATCH(F1612,Agences!$A:$A,0))</f>
        <v>Ouest</v>
      </c>
      <c r="P1612" t="str">
        <f>INDEX(Produits!$C:$C,MATCH(H1612,Produits!$A:$A,0))</f>
        <v>Maintenance</v>
      </c>
      <c r="Q1612" s="3">
        <f>I1612*INDEX(Produits!$E:$E,MATCH(H1612,Produits!$A:$A,0))</f>
        <v>24.75</v>
      </c>
      <c r="R1612" s="3">
        <f>L1612-Q1612</f>
        <v>30.25</v>
      </c>
      <c r="S1612" s="2">
        <f>NETWORKDAYS(B1612,C1612)-1</f>
        <v>2</v>
      </c>
      <c r="T1612" s="1">
        <f>WORKDAY(B1612,5)</f>
        <v>46048</v>
      </c>
      <c r="U1612" t="b">
        <f>C1612&gt;T1612</f>
        <v>0</v>
      </c>
    </row>
    <row r="1613" spans="1:21" x14ac:dyDescent="0.25">
      <c r="A1613" t="s">
        <v>1216</v>
      </c>
      <c r="B1613" s="1">
        <v>46041</v>
      </c>
      <c r="C1613" s="1">
        <v>46043</v>
      </c>
      <c r="D1613" t="s">
        <v>247</v>
      </c>
      <c r="E1613" t="s">
        <v>165</v>
      </c>
      <c r="F1613" t="s">
        <v>166</v>
      </c>
      <c r="G1613" t="s">
        <v>179</v>
      </c>
      <c r="H1613" t="s">
        <v>107</v>
      </c>
      <c r="I1613" s="2">
        <v>1</v>
      </c>
      <c r="J1613" s="3">
        <v>99</v>
      </c>
      <c r="K1613" s="4">
        <v>0.08</v>
      </c>
      <c r="L1613" s="3">
        <v>91.08</v>
      </c>
      <c r="M1613" t="b">
        <v>1</v>
      </c>
      <c r="N1613" s="2">
        <f>YEAR(B1613)</f>
        <v>2026</v>
      </c>
      <c r="O1613" t="str">
        <f>INDEX(Agences!$C:$C,MATCH(F1613,Agences!$A:$A,0))</f>
        <v>Ouest</v>
      </c>
      <c r="P1613" t="str">
        <f>INDEX(Produits!$C:$C,MATCH(H1613,Produits!$A:$A,0))</f>
        <v>Informatique</v>
      </c>
      <c r="Q1613" s="3">
        <f>I1613*INDEX(Produits!$E:$E,MATCH(H1613,Produits!$A:$A,0))</f>
        <v>75.24</v>
      </c>
      <c r="R1613" s="3">
        <f>L1613-Q1613</f>
        <v>15.840000000000003</v>
      </c>
      <c r="S1613" s="2">
        <f>NETWORKDAYS(B1613,C1613)-1</f>
        <v>2</v>
      </c>
      <c r="T1613" s="1">
        <f>WORKDAY(B1613,5)</f>
        <v>46048</v>
      </c>
      <c r="U1613" t="b">
        <f>C1613&gt;T1613</f>
        <v>0</v>
      </c>
    </row>
    <row r="1614" spans="1:21" x14ac:dyDescent="0.25">
      <c r="A1614" t="s">
        <v>1216</v>
      </c>
      <c r="B1614" s="1">
        <v>46041</v>
      </c>
      <c r="C1614" s="1">
        <v>46043</v>
      </c>
      <c r="D1614" t="s">
        <v>247</v>
      </c>
      <c r="E1614" t="s">
        <v>165</v>
      </c>
      <c r="F1614" t="s">
        <v>166</v>
      </c>
      <c r="G1614" t="s">
        <v>179</v>
      </c>
      <c r="H1614" t="s">
        <v>72</v>
      </c>
      <c r="I1614" s="2">
        <v>1</v>
      </c>
      <c r="J1614" s="3">
        <v>179</v>
      </c>
      <c r="K1614" s="4">
        <v>0.05</v>
      </c>
      <c r="L1614" s="3">
        <v>170.05</v>
      </c>
      <c r="M1614" t="b">
        <v>1</v>
      </c>
      <c r="N1614" s="2">
        <f>YEAR(B1614)</f>
        <v>2026</v>
      </c>
      <c r="O1614" t="str">
        <f>INDEX(Agences!$C:$C,MATCH(F1614,Agences!$A:$A,0))</f>
        <v>Ouest</v>
      </c>
      <c r="P1614" t="str">
        <f>INDEX(Produits!$C:$C,MATCH(H1614,Produits!$A:$A,0))</f>
        <v>Informatique</v>
      </c>
      <c r="Q1614" s="3">
        <f>I1614*INDEX(Produits!$E:$E,MATCH(H1614,Produits!$A:$A,0))</f>
        <v>146.78</v>
      </c>
      <c r="R1614" s="3">
        <f>L1614-Q1614</f>
        <v>23.27000000000001</v>
      </c>
      <c r="S1614" s="2">
        <f>NETWORKDAYS(B1614,C1614)-1</f>
        <v>2</v>
      </c>
      <c r="T1614" s="1">
        <f>WORKDAY(B1614,5)</f>
        <v>46048</v>
      </c>
      <c r="U1614" t="b">
        <f>C1614&gt;T1614</f>
        <v>0</v>
      </c>
    </row>
    <row r="1615" spans="1:21" x14ac:dyDescent="0.25">
      <c r="A1615" t="s">
        <v>1216</v>
      </c>
      <c r="B1615" s="1">
        <v>46041</v>
      </c>
      <c r="C1615" s="1">
        <v>46043</v>
      </c>
      <c r="D1615" t="s">
        <v>247</v>
      </c>
      <c r="E1615" t="s">
        <v>165</v>
      </c>
      <c r="F1615" t="s">
        <v>166</v>
      </c>
      <c r="G1615" t="s">
        <v>179</v>
      </c>
      <c r="H1615" t="s">
        <v>90</v>
      </c>
      <c r="I1615" s="2">
        <v>20</v>
      </c>
      <c r="J1615" s="3">
        <v>22.9</v>
      </c>
      <c r="K1615" s="4">
        <v>0.02</v>
      </c>
      <c r="L1615" s="3">
        <v>448.84</v>
      </c>
      <c r="M1615" t="b">
        <v>1</v>
      </c>
      <c r="N1615" s="2">
        <f>YEAR(B1615)</f>
        <v>2026</v>
      </c>
      <c r="O1615" t="str">
        <f>INDEX(Agences!$C:$C,MATCH(F1615,Agences!$A:$A,0))</f>
        <v>Ouest</v>
      </c>
      <c r="P1615" t="str">
        <f>INDEX(Produits!$C:$C,MATCH(H1615,Produits!$A:$A,0))</f>
        <v>Fournitures</v>
      </c>
      <c r="Q1615" s="3">
        <f>I1615*INDEX(Produits!$E:$E,MATCH(H1615,Produits!$A:$A,0))</f>
        <v>256.4</v>
      </c>
      <c r="R1615" s="3">
        <f>L1615-Q1615</f>
        <v>192.44</v>
      </c>
      <c r="S1615" s="2">
        <f>NETWORKDAYS(B1615,C1615)-1</f>
        <v>2</v>
      </c>
      <c r="T1615" s="1">
        <f>WORKDAY(B1615,5)</f>
        <v>46048</v>
      </c>
      <c r="U1615" t="b">
        <f>C1615&gt;T1615</f>
        <v>0</v>
      </c>
    </row>
    <row r="1616" spans="1:21" x14ac:dyDescent="0.25">
      <c r="A1616" t="s">
        <v>1217</v>
      </c>
      <c r="B1616" s="1">
        <v>46041</v>
      </c>
      <c r="C1616" s="1">
        <v>46045</v>
      </c>
      <c r="D1616" t="s">
        <v>762</v>
      </c>
      <c r="E1616" t="s">
        <v>30</v>
      </c>
      <c r="F1616" t="s">
        <v>31</v>
      </c>
      <c r="G1616" t="s">
        <v>186</v>
      </c>
      <c r="H1616" t="s">
        <v>237</v>
      </c>
      <c r="I1616" s="2">
        <v>1</v>
      </c>
      <c r="J1616" s="3">
        <v>890</v>
      </c>
      <c r="K1616" s="4">
        <v>0.05</v>
      </c>
      <c r="L1616" s="3">
        <v>845.5</v>
      </c>
      <c r="M1616" t="b">
        <v>1</v>
      </c>
      <c r="N1616" s="2">
        <f>YEAR(B1616)</f>
        <v>2026</v>
      </c>
      <c r="O1616" t="str">
        <f>INDEX(Agences!$C:$C,MATCH(F1616,Agences!$A:$A,0))</f>
        <v>Ouest</v>
      </c>
      <c r="P1616" t="str">
        <f>INDEX(Produits!$C:$C,MATCH(H1616,Produits!$A:$A,0))</f>
        <v>Mobilier</v>
      </c>
      <c r="Q1616" s="3">
        <f>I1616*INDEX(Produits!$E:$E,MATCH(H1616,Produits!$A:$A,0))</f>
        <v>596.3</v>
      </c>
      <c r="R1616" s="3">
        <f>L1616-Q1616</f>
        <v>249.20000000000005</v>
      </c>
      <c r="S1616" s="2">
        <f>NETWORKDAYS(B1616,C1616)-1</f>
        <v>4</v>
      </c>
      <c r="T1616" s="1">
        <f>WORKDAY(B1616,5)</f>
        <v>46048</v>
      </c>
      <c r="U1616" t="b">
        <f>C1616&gt;T1616</f>
        <v>0</v>
      </c>
    </row>
    <row r="1617" spans="1:21" x14ac:dyDescent="0.25">
      <c r="A1617" t="s">
        <v>1217</v>
      </c>
      <c r="B1617" s="1">
        <v>46041</v>
      </c>
      <c r="C1617" s="1">
        <v>46045</v>
      </c>
      <c r="D1617" t="s">
        <v>762</v>
      </c>
      <c r="E1617" t="s">
        <v>30</v>
      </c>
      <c r="F1617" t="s">
        <v>31</v>
      </c>
      <c r="G1617" t="s">
        <v>186</v>
      </c>
      <c r="H1617" t="s">
        <v>64</v>
      </c>
      <c r="I1617" s="2">
        <v>5</v>
      </c>
      <c r="J1617" s="3">
        <v>16.8</v>
      </c>
      <c r="K1617" s="4">
        <v>0</v>
      </c>
      <c r="L1617" s="3">
        <v>84</v>
      </c>
      <c r="M1617" t="b">
        <v>1</v>
      </c>
      <c r="N1617" s="2">
        <f>YEAR(B1617)</f>
        <v>2026</v>
      </c>
      <c r="O1617" t="str">
        <f>INDEX(Agences!$C:$C,MATCH(F1617,Agences!$A:$A,0))</f>
        <v>Ouest</v>
      </c>
      <c r="P1617" t="str">
        <f>INDEX(Produits!$C:$C,MATCH(H1617,Produits!$A:$A,0))</f>
        <v>Fournitures</v>
      </c>
      <c r="Q1617" s="3">
        <f>I1617*INDEX(Produits!$E:$E,MATCH(H1617,Produits!$A:$A,0))</f>
        <v>43.7</v>
      </c>
      <c r="R1617" s="3">
        <f>L1617-Q1617</f>
        <v>40.3</v>
      </c>
      <c r="S1617" s="2">
        <f>NETWORKDAYS(B1617,C1617)-1</f>
        <v>4</v>
      </c>
      <c r="T1617" s="1">
        <f>WORKDAY(B1617,5)</f>
        <v>46048</v>
      </c>
      <c r="U1617" t="b">
        <f>C1617&gt;T1617</f>
        <v>0</v>
      </c>
    </row>
    <row r="1618" spans="1:21" x14ac:dyDescent="0.25">
      <c r="A1618" t="s">
        <v>1217</v>
      </c>
      <c r="B1618" s="1">
        <v>46041</v>
      </c>
      <c r="C1618" s="1">
        <v>46045</v>
      </c>
      <c r="D1618" t="s">
        <v>762</v>
      </c>
      <c r="E1618" t="s">
        <v>30</v>
      </c>
      <c r="F1618" t="s">
        <v>31</v>
      </c>
      <c r="G1618" t="s">
        <v>186</v>
      </c>
      <c r="H1618" t="s">
        <v>42</v>
      </c>
      <c r="I1618" s="2">
        <v>2</v>
      </c>
      <c r="J1618" s="3">
        <v>55</v>
      </c>
      <c r="K1618" s="4">
        <v>0.02</v>
      </c>
      <c r="L1618" s="3">
        <v>107.8</v>
      </c>
      <c r="M1618" t="b">
        <v>1</v>
      </c>
      <c r="N1618" s="2">
        <f>YEAR(B1618)</f>
        <v>2026</v>
      </c>
      <c r="O1618" t="str">
        <f>INDEX(Agences!$C:$C,MATCH(F1618,Agences!$A:$A,0))</f>
        <v>Ouest</v>
      </c>
      <c r="P1618" t="str">
        <f>INDEX(Produits!$C:$C,MATCH(H1618,Produits!$A:$A,0))</f>
        <v>Maintenance</v>
      </c>
      <c r="Q1618" s="3">
        <f>I1618*INDEX(Produits!$E:$E,MATCH(H1618,Produits!$A:$A,0))</f>
        <v>49.5</v>
      </c>
      <c r="R1618" s="3">
        <f>L1618-Q1618</f>
        <v>58.3</v>
      </c>
      <c r="S1618" s="2">
        <f>NETWORKDAYS(B1618,C1618)-1</f>
        <v>4</v>
      </c>
      <c r="T1618" s="1">
        <f>WORKDAY(B1618,5)</f>
        <v>46048</v>
      </c>
      <c r="U1618" t="b">
        <f>C1618&gt;T1618</f>
        <v>0</v>
      </c>
    </row>
    <row r="1619" spans="1:21" x14ac:dyDescent="0.25">
      <c r="A1619" t="s">
        <v>1218</v>
      </c>
      <c r="B1619" s="1">
        <v>46041</v>
      </c>
      <c r="C1619" s="1">
        <v>46048</v>
      </c>
      <c r="D1619" t="s">
        <v>897</v>
      </c>
      <c r="E1619" t="s">
        <v>87</v>
      </c>
      <c r="F1619" t="s">
        <v>88</v>
      </c>
      <c r="G1619" t="s">
        <v>226</v>
      </c>
      <c r="H1619" t="s">
        <v>57</v>
      </c>
      <c r="I1619" s="2">
        <v>1</v>
      </c>
      <c r="J1619" s="3">
        <v>149</v>
      </c>
      <c r="K1619" s="4">
        <v>0.05</v>
      </c>
      <c r="L1619" s="3">
        <v>141.55</v>
      </c>
      <c r="M1619" t="b">
        <v>1</v>
      </c>
      <c r="N1619" s="2">
        <f>YEAR(B1619)</f>
        <v>2026</v>
      </c>
      <c r="O1619" t="str">
        <f>INDEX(Agences!$C:$C,MATCH(F1619,Agences!$A:$A,0))</f>
        <v>Sud-Ouest</v>
      </c>
      <c r="P1619" t="str">
        <f>INDEX(Produits!$C:$C,MATCH(H1619,Produits!$A:$A,0))</f>
        <v>Informatique</v>
      </c>
      <c r="Q1619" s="3">
        <f>I1619*INDEX(Produits!$E:$E,MATCH(H1619,Produits!$A:$A,0))</f>
        <v>114.73</v>
      </c>
      <c r="R1619" s="3">
        <f>L1619-Q1619</f>
        <v>26.820000000000007</v>
      </c>
      <c r="S1619" s="2">
        <f>NETWORKDAYS(B1619,C1619)-1</f>
        <v>5</v>
      </c>
      <c r="T1619" s="1">
        <f>WORKDAY(B1619,5)</f>
        <v>46048</v>
      </c>
      <c r="U1619" t="b">
        <f>C1619&gt;T1619</f>
        <v>0</v>
      </c>
    </row>
    <row r="1620" spans="1:21" x14ac:dyDescent="0.25">
      <c r="A1620" t="s">
        <v>1218</v>
      </c>
      <c r="B1620" s="1">
        <v>46041</v>
      </c>
      <c r="C1620" s="1">
        <v>46048</v>
      </c>
      <c r="D1620" t="s">
        <v>897</v>
      </c>
      <c r="E1620" t="s">
        <v>87</v>
      </c>
      <c r="F1620" t="s">
        <v>88</v>
      </c>
      <c r="G1620" t="s">
        <v>226</v>
      </c>
      <c r="H1620" t="s">
        <v>79</v>
      </c>
      <c r="I1620" s="2">
        <v>15</v>
      </c>
      <c r="J1620" s="3">
        <v>14.9</v>
      </c>
      <c r="K1620" s="4">
        <v>0</v>
      </c>
      <c r="L1620" s="3">
        <v>223.5</v>
      </c>
      <c r="M1620" t="b">
        <v>1</v>
      </c>
      <c r="N1620" s="2">
        <f>YEAR(B1620)</f>
        <v>2026</v>
      </c>
      <c r="O1620" t="str">
        <f>INDEX(Agences!$C:$C,MATCH(F1620,Agences!$A:$A,0))</f>
        <v>Sud-Ouest</v>
      </c>
      <c r="P1620" t="str">
        <f>INDEX(Produits!$C:$C,MATCH(H1620,Produits!$A:$A,0))</f>
        <v>Fournitures</v>
      </c>
      <c r="Q1620" s="3">
        <f>I1620*INDEX(Produits!$E:$E,MATCH(H1620,Produits!$A:$A,0))</f>
        <v>120.75000000000001</v>
      </c>
      <c r="R1620" s="3">
        <f>L1620-Q1620</f>
        <v>102.74999999999999</v>
      </c>
      <c r="S1620" s="2">
        <f>NETWORKDAYS(B1620,C1620)-1</f>
        <v>5</v>
      </c>
      <c r="T1620" s="1">
        <f>WORKDAY(B1620,5)</f>
        <v>46048</v>
      </c>
      <c r="U1620" t="b">
        <f>C1620&gt;T1620</f>
        <v>0</v>
      </c>
    </row>
    <row r="1621" spans="1:21" x14ac:dyDescent="0.25">
      <c r="A1621" t="s">
        <v>1218</v>
      </c>
      <c r="B1621" s="1">
        <v>46041</v>
      </c>
      <c r="C1621" s="1">
        <v>46048</v>
      </c>
      <c r="D1621" t="s">
        <v>897</v>
      </c>
      <c r="E1621" t="s">
        <v>87</v>
      </c>
      <c r="F1621" t="s">
        <v>88</v>
      </c>
      <c r="G1621" t="s">
        <v>226</v>
      </c>
      <c r="H1621" t="s">
        <v>51</v>
      </c>
      <c r="I1621" s="2">
        <v>2</v>
      </c>
      <c r="J1621" s="3">
        <v>180</v>
      </c>
      <c r="K1621" s="4">
        <v>0.05</v>
      </c>
      <c r="L1621" s="3">
        <v>342</v>
      </c>
      <c r="M1621" t="b">
        <v>1</v>
      </c>
      <c r="N1621" s="2">
        <f>YEAR(B1621)</f>
        <v>2026</v>
      </c>
      <c r="O1621" t="str">
        <f>INDEX(Agences!$C:$C,MATCH(F1621,Agences!$A:$A,0))</f>
        <v>Sud-Ouest</v>
      </c>
      <c r="P1621" t="str">
        <f>INDEX(Produits!$C:$C,MATCH(H1621,Produits!$A:$A,0))</f>
        <v>Maintenance</v>
      </c>
      <c r="Q1621" s="3">
        <f>I1621*INDEX(Produits!$E:$E,MATCH(H1621,Produits!$A:$A,0))</f>
        <v>165.6</v>
      </c>
      <c r="R1621" s="3">
        <f>L1621-Q1621</f>
        <v>176.4</v>
      </c>
      <c r="S1621" s="2">
        <f>NETWORKDAYS(B1621,C1621)-1</f>
        <v>5</v>
      </c>
      <c r="T1621" s="1">
        <f>WORKDAY(B1621,5)</f>
        <v>46048</v>
      </c>
      <c r="U1621" t="b">
        <f>C1621&gt;T1621</f>
        <v>0</v>
      </c>
    </row>
    <row r="1622" spans="1:21" x14ac:dyDescent="0.25">
      <c r="A1622" t="s">
        <v>1219</v>
      </c>
      <c r="B1622" s="1">
        <v>46038</v>
      </c>
      <c r="C1622" s="1">
        <v>46043</v>
      </c>
      <c r="D1622" t="s">
        <v>477</v>
      </c>
      <c r="E1622" t="s">
        <v>122</v>
      </c>
      <c r="F1622" t="s">
        <v>24</v>
      </c>
      <c r="G1622" t="s">
        <v>25</v>
      </c>
      <c r="H1622" t="s">
        <v>42</v>
      </c>
      <c r="I1622" s="2">
        <v>1</v>
      </c>
      <c r="J1622" s="3">
        <v>55</v>
      </c>
      <c r="K1622" s="4">
        <v>0</v>
      </c>
      <c r="L1622" s="3">
        <v>55</v>
      </c>
      <c r="M1622" t="b">
        <v>1</v>
      </c>
      <c r="N1622" s="2">
        <f>YEAR(B1622)</f>
        <v>2026</v>
      </c>
      <c r="O1622" t="str">
        <f>INDEX(Agences!$C:$C,MATCH(F1622,Agences!$A:$A,0))</f>
        <v>Nord</v>
      </c>
      <c r="P1622" t="str">
        <f>INDEX(Produits!$C:$C,MATCH(H1622,Produits!$A:$A,0))</f>
        <v>Maintenance</v>
      </c>
      <c r="Q1622" s="3">
        <f>I1622*INDEX(Produits!$E:$E,MATCH(H1622,Produits!$A:$A,0))</f>
        <v>24.75</v>
      </c>
      <c r="R1622" s="3">
        <f>L1622-Q1622</f>
        <v>30.25</v>
      </c>
      <c r="S1622" s="2">
        <f>NETWORKDAYS(B1622,C1622)-1</f>
        <v>3</v>
      </c>
      <c r="T1622" s="1">
        <f>WORKDAY(B1622,5)</f>
        <v>46045</v>
      </c>
      <c r="U1622" t="b">
        <f>C1622&gt;T1622</f>
        <v>0</v>
      </c>
    </row>
    <row r="1623" spans="1:21" x14ac:dyDescent="0.25">
      <c r="A1623" t="s">
        <v>1220</v>
      </c>
      <c r="B1623" s="1">
        <v>46038</v>
      </c>
      <c r="C1623" s="1">
        <v>46041</v>
      </c>
      <c r="D1623" t="s">
        <v>1101</v>
      </c>
      <c r="E1623" t="s">
        <v>75</v>
      </c>
      <c r="F1623" t="s">
        <v>76</v>
      </c>
      <c r="G1623" t="s">
        <v>176</v>
      </c>
      <c r="H1623" t="s">
        <v>51</v>
      </c>
      <c r="I1623" s="2">
        <v>1</v>
      </c>
      <c r="J1623" s="3">
        <v>180</v>
      </c>
      <c r="K1623" s="4">
        <v>0.02</v>
      </c>
      <c r="L1623" s="3">
        <v>176.4</v>
      </c>
      <c r="M1623" t="b">
        <v>1</v>
      </c>
      <c r="N1623" s="2">
        <f>YEAR(B1623)</f>
        <v>2026</v>
      </c>
      <c r="O1623" t="str">
        <f>INDEX(Agences!$C:$C,MATCH(F1623,Agences!$A:$A,0))</f>
        <v>Île-de-France</v>
      </c>
      <c r="P1623" t="str">
        <f>INDEX(Produits!$C:$C,MATCH(H1623,Produits!$A:$A,0))</f>
        <v>Maintenance</v>
      </c>
      <c r="Q1623" s="3">
        <f>I1623*INDEX(Produits!$E:$E,MATCH(H1623,Produits!$A:$A,0))</f>
        <v>82.8</v>
      </c>
      <c r="R1623" s="3">
        <f>L1623-Q1623</f>
        <v>93.60000000000001</v>
      </c>
      <c r="S1623" s="2">
        <f>NETWORKDAYS(B1623,C1623)-1</f>
        <v>1</v>
      </c>
      <c r="T1623" s="1">
        <f>WORKDAY(B1623,5)</f>
        <v>46045</v>
      </c>
      <c r="U1623" t="b">
        <f>C1623&gt;T1623</f>
        <v>0</v>
      </c>
    </row>
    <row r="1624" spans="1:21" x14ac:dyDescent="0.25">
      <c r="A1624" t="s">
        <v>1220</v>
      </c>
      <c r="B1624" s="1">
        <v>46038</v>
      </c>
      <c r="C1624" s="1">
        <v>46041</v>
      </c>
      <c r="D1624" t="s">
        <v>1101</v>
      </c>
      <c r="E1624" t="s">
        <v>75</v>
      </c>
      <c r="F1624" t="s">
        <v>76</v>
      </c>
      <c r="G1624" t="s">
        <v>176</v>
      </c>
      <c r="H1624" t="s">
        <v>33</v>
      </c>
      <c r="I1624" s="2">
        <v>4</v>
      </c>
      <c r="J1624" s="3">
        <v>219</v>
      </c>
      <c r="K1624" s="4">
        <v>0</v>
      </c>
      <c r="L1624" s="3">
        <v>876</v>
      </c>
      <c r="M1624" t="b">
        <v>1</v>
      </c>
      <c r="N1624" s="2">
        <f>YEAR(B1624)</f>
        <v>2026</v>
      </c>
      <c r="O1624" t="str">
        <f>INDEX(Agences!$C:$C,MATCH(F1624,Agences!$A:$A,0))</f>
        <v>Île-de-France</v>
      </c>
      <c r="P1624" t="str">
        <f>INDEX(Produits!$C:$C,MATCH(H1624,Produits!$A:$A,0))</f>
        <v>Informatique</v>
      </c>
      <c r="Q1624" s="3">
        <f>I1624*INDEX(Produits!$E:$E,MATCH(H1624,Produits!$A:$A,0))</f>
        <v>718.32</v>
      </c>
      <c r="R1624" s="3">
        <f>L1624-Q1624</f>
        <v>157.67999999999995</v>
      </c>
      <c r="S1624" s="2">
        <f>NETWORKDAYS(B1624,C1624)-1</f>
        <v>1</v>
      </c>
      <c r="T1624" s="1">
        <f>WORKDAY(B1624,5)</f>
        <v>46045</v>
      </c>
      <c r="U1624" t="b">
        <f>C1624&gt;T1624</f>
        <v>0</v>
      </c>
    </row>
    <row r="1625" spans="1:21" x14ac:dyDescent="0.25">
      <c r="A1625" t="s">
        <v>1220</v>
      </c>
      <c r="B1625" s="1">
        <v>46038</v>
      </c>
      <c r="C1625" s="1">
        <v>46041</v>
      </c>
      <c r="D1625" t="s">
        <v>1101</v>
      </c>
      <c r="E1625" t="s">
        <v>75</v>
      </c>
      <c r="F1625" t="s">
        <v>76</v>
      </c>
      <c r="G1625" t="s">
        <v>176</v>
      </c>
      <c r="H1625" t="s">
        <v>58</v>
      </c>
      <c r="I1625" s="2">
        <v>1</v>
      </c>
      <c r="J1625" s="3">
        <v>649</v>
      </c>
      <c r="K1625" s="4">
        <v>0</v>
      </c>
      <c r="L1625" s="3">
        <v>649</v>
      </c>
      <c r="M1625" t="b">
        <v>1</v>
      </c>
      <c r="N1625" s="2">
        <f>YEAR(B1625)</f>
        <v>2026</v>
      </c>
      <c r="O1625" t="str">
        <f>INDEX(Agences!$C:$C,MATCH(F1625,Agences!$A:$A,0))</f>
        <v>Île-de-France</v>
      </c>
      <c r="P1625" t="str">
        <f>INDEX(Produits!$C:$C,MATCH(H1625,Produits!$A:$A,0))</f>
        <v>Mobilier</v>
      </c>
      <c r="Q1625" s="3">
        <f>I1625*INDEX(Produits!$E:$E,MATCH(H1625,Produits!$A:$A,0))</f>
        <v>408.87</v>
      </c>
      <c r="R1625" s="3">
        <f>L1625-Q1625</f>
        <v>240.13</v>
      </c>
      <c r="S1625" s="2">
        <f>NETWORKDAYS(B1625,C1625)-1</f>
        <v>1</v>
      </c>
      <c r="T1625" s="1">
        <f>WORKDAY(B1625,5)</f>
        <v>46045</v>
      </c>
      <c r="U1625" t="b">
        <f>C1625&gt;T1625</f>
        <v>0</v>
      </c>
    </row>
    <row r="1626" spans="1:21" x14ac:dyDescent="0.25">
      <c r="A1626" t="s">
        <v>1220</v>
      </c>
      <c r="B1626" s="1">
        <v>46038</v>
      </c>
      <c r="C1626" s="1">
        <v>46041</v>
      </c>
      <c r="D1626" t="s">
        <v>1101</v>
      </c>
      <c r="E1626" t="s">
        <v>75</v>
      </c>
      <c r="F1626" t="s">
        <v>76</v>
      </c>
      <c r="G1626" t="s">
        <v>176</v>
      </c>
      <c r="H1626" t="s">
        <v>103</v>
      </c>
      <c r="I1626" s="2">
        <v>5</v>
      </c>
      <c r="J1626" s="3">
        <v>245</v>
      </c>
      <c r="K1626" s="4">
        <v>0</v>
      </c>
      <c r="L1626" s="3">
        <v>1225</v>
      </c>
      <c r="M1626" t="b">
        <v>1</v>
      </c>
      <c r="N1626" s="2">
        <f>YEAR(B1626)</f>
        <v>2026</v>
      </c>
      <c r="O1626" t="str">
        <f>INDEX(Agences!$C:$C,MATCH(F1626,Agences!$A:$A,0))</f>
        <v>Île-de-France</v>
      </c>
      <c r="P1626" t="str">
        <f>INDEX(Produits!$C:$C,MATCH(H1626,Produits!$A:$A,0))</f>
        <v>Mobilier</v>
      </c>
      <c r="Q1626" s="3">
        <f>I1626*INDEX(Produits!$E:$E,MATCH(H1626,Produits!$A:$A,0))</f>
        <v>820.75</v>
      </c>
      <c r="R1626" s="3">
        <f>L1626-Q1626</f>
        <v>404.25</v>
      </c>
      <c r="S1626" s="2">
        <f>NETWORKDAYS(B1626,C1626)-1</f>
        <v>1</v>
      </c>
      <c r="T1626" s="1">
        <f>WORKDAY(B1626,5)</f>
        <v>46045</v>
      </c>
      <c r="U1626" t="b">
        <f>C1626&gt;T1626</f>
        <v>0</v>
      </c>
    </row>
    <row r="1627" spans="1:21" x14ac:dyDescent="0.25">
      <c r="A1627" t="s">
        <v>1221</v>
      </c>
      <c r="B1627" s="1">
        <v>46038</v>
      </c>
      <c r="C1627" s="1">
        <v>46042</v>
      </c>
      <c r="D1627" t="s">
        <v>760</v>
      </c>
      <c r="E1627" t="s">
        <v>339</v>
      </c>
      <c r="F1627" t="s">
        <v>31</v>
      </c>
      <c r="G1627" t="s">
        <v>32</v>
      </c>
      <c r="H1627" t="s">
        <v>233</v>
      </c>
      <c r="I1627" s="2">
        <v>10</v>
      </c>
      <c r="J1627" s="3">
        <v>27.5</v>
      </c>
      <c r="K1627" s="4">
        <v>0</v>
      </c>
      <c r="L1627" s="3">
        <v>275</v>
      </c>
      <c r="M1627" t="b">
        <v>1</v>
      </c>
      <c r="N1627" s="2">
        <f>YEAR(B1627)</f>
        <v>2026</v>
      </c>
      <c r="O1627" t="str">
        <f>INDEX(Agences!$C:$C,MATCH(F1627,Agences!$A:$A,0))</f>
        <v>Ouest</v>
      </c>
      <c r="P1627" t="str">
        <f>INDEX(Produits!$C:$C,MATCH(H1627,Produits!$A:$A,0))</f>
        <v>Fournitures</v>
      </c>
      <c r="Q1627" s="3">
        <f>I1627*INDEX(Produits!$E:$E,MATCH(H1627,Produits!$A:$A,0))</f>
        <v>154</v>
      </c>
      <c r="R1627" s="3">
        <f>L1627-Q1627</f>
        <v>121</v>
      </c>
      <c r="S1627" s="2">
        <f>NETWORKDAYS(B1627,C1627)-1</f>
        <v>2</v>
      </c>
      <c r="T1627" s="1">
        <f>WORKDAY(B1627,5)</f>
        <v>46045</v>
      </c>
      <c r="U1627" t="b">
        <f>C1627&gt;T1627</f>
        <v>0</v>
      </c>
    </row>
    <row r="1628" spans="1:21" x14ac:dyDescent="0.25">
      <c r="A1628" t="s">
        <v>1221</v>
      </c>
      <c r="B1628" s="1">
        <v>46038</v>
      </c>
      <c r="C1628" s="1">
        <v>46042</v>
      </c>
      <c r="D1628" t="s">
        <v>760</v>
      </c>
      <c r="E1628" t="s">
        <v>339</v>
      </c>
      <c r="F1628" t="s">
        <v>31</v>
      </c>
      <c r="G1628" t="s">
        <v>32</v>
      </c>
      <c r="H1628" t="s">
        <v>51</v>
      </c>
      <c r="I1628" s="2">
        <v>1</v>
      </c>
      <c r="J1628" s="3">
        <v>180</v>
      </c>
      <c r="K1628" s="4">
        <v>0.02</v>
      </c>
      <c r="L1628" s="3">
        <v>176.4</v>
      </c>
      <c r="M1628" t="b">
        <v>1</v>
      </c>
      <c r="N1628" s="2">
        <f>YEAR(B1628)</f>
        <v>2026</v>
      </c>
      <c r="O1628" t="str">
        <f>INDEX(Agences!$C:$C,MATCH(F1628,Agences!$A:$A,0))</f>
        <v>Ouest</v>
      </c>
      <c r="P1628" t="str">
        <f>INDEX(Produits!$C:$C,MATCH(H1628,Produits!$A:$A,0))</f>
        <v>Maintenance</v>
      </c>
      <c r="Q1628" s="3">
        <f>I1628*INDEX(Produits!$E:$E,MATCH(H1628,Produits!$A:$A,0))</f>
        <v>82.8</v>
      </c>
      <c r="R1628" s="3">
        <f>L1628-Q1628</f>
        <v>93.60000000000001</v>
      </c>
      <c r="S1628" s="2">
        <f>NETWORKDAYS(B1628,C1628)-1</f>
        <v>2</v>
      </c>
      <c r="T1628" s="1">
        <f>WORKDAY(B1628,5)</f>
        <v>46045</v>
      </c>
      <c r="U1628" t="b">
        <f>C1628&gt;T1628</f>
        <v>0</v>
      </c>
    </row>
    <row r="1629" spans="1:21" x14ac:dyDescent="0.25">
      <c r="A1629" t="s">
        <v>1221</v>
      </c>
      <c r="B1629" s="1">
        <v>46038</v>
      </c>
      <c r="C1629" s="1">
        <v>46042</v>
      </c>
      <c r="D1629" t="s">
        <v>760</v>
      </c>
      <c r="E1629" t="s">
        <v>339</v>
      </c>
      <c r="F1629" t="s">
        <v>31</v>
      </c>
      <c r="G1629" t="s">
        <v>32</v>
      </c>
      <c r="H1629" t="s">
        <v>64</v>
      </c>
      <c r="I1629" s="2">
        <v>5</v>
      </c>
      <c r="J1629" s="3">
        <v>16.8</v>
      </c>
      <c r="K1629" s="4">
        <v>0</v>
      </c>
      <c r="L1629" s="3">
        <v>84</v>
      </c>
      <c r="M1629" t="b">
        <v>1</v>
      </c>
      <c r="N1629" s="2">
        <f>YEAR(B1629)</f>
        <v>2026</v>
      </c>
      <c r="O1629" t="str">
        <f>INDEX(Agences!$C:$C,MATCH(F1629,Agences!$A:$A,0))</f>
        <v>Ouest</v>
      </c>
      <c r="P1629" t="str">
        <f>INDEX(Produits!$C:$C,MATCH(H1629,Produits!$A:$A,0))</f>
        <v>Fournitures</v>
      </c>
      <c r="Q1629" s="3">
        <f>I1629*INDEX(Produits!$E:$E,MATCH(H1629,Produits!$A:$A,0))</f>
        <v>43.7</v>
      </c>
      <c r="R1629" s="3">
        <f>L1629-Q1629</f>
        <v>40.3</v>
      </c>
      <c r="S1629" s="2">
        <f>NETWORKDAYS(B1629,C1629)-1</f>
        <v>2</v>
      </c>
      <c r="T1629" s="1">
        <f>WORKDAY(B1629,5)</f>
        <v>46045</v>
      </c>
      <c r="U1629" t="b">
        <f>C1629&gt;T1629</f>
        <v>0</v>
      </c>
    </row>
    <row r="1630" spans="1:21" x14ac:dyDescent="0.25">
      <c r="A1630" t="s">
        <v>1221</v>
      </c>
      <c r="B1630" s="1">
        <v>46038</v>
      </c>
      <c r="C1630" s="1">
        <v>46042</v>
      </c>
      <c r="D1630" t="s">
        <v>760</v>
      </c>
      <c r="E1630" t="s">
        <v>339</v>
      </c>
      <c r="F1630" t="s">
        <v>31</v>
      </c>
      <c r="G1630" t="s">
        <v>32</v>
      </c>
      <c r="H1630" t="s">
        <v>107</v>
      </c>
      <c r="I1630" s="2">
        <v>1</v>
      </c>
      <c r="J1630" s="3">
        <v>99</v>
      </c>
      <c r="K1630" s="4">
        <v>0.05</v>
      </c>
      <c r="L1630" s="3">
        <v>94.05</v>
      </c>
      <c r="M1630" t="b">
        <v>1</v>
      </c>
      <c r="N1630" s="2">
        <f>YEAR(B1630)</f>
        <v>2026</v>
      </c>
      <c r="O1630" t="str">
        <f>INDEX(Agences!$C:$C,MATCH(F1630,Agences!$A:$A,0))</f>
        <v>Ouest</v>
      </c>
      <c r="P1630" t="str">
        <f>INDEX(Produits!$C:$C,MATCH(H1630,Produits!$A:$A,0))</f>
        <v>Informatique</v>
      </c>
      <c r="Q1630" s="3">
        <f>I1630*INDEX(Produits!$E:$E,MATCH(H1630,Produits!$A:$A,0))</f>
        <v>75.24</v>
      </c>
      <c r="R1630" s="3">
        <f>L1630-Q1630</f>
        <v>18.810000000000002</v>
      </c>
      <c r="S1630" s="2">
        <f>NETWORKDAYS(B1630,C1630)-1</f>
        <v>2</v>
      </c>
      <c r="T1630" s="1">
        <f>WORKDAY(B1630,5)</f>
        <v>46045</v>
      </c>
      <c r="U1630" t="b">
        <f>C1630&gt;T1630</f>
        <v>0</v>
      </c>
    </row>
    <row r="1631" spans="1:21" x14ac:dyDescent="0.25">
      <c r="A1631" t="s">
        <v>1222</v>
      </c>
      <c r="B1631" s="1">
        <v>46038</v>
      </c>
      <c r="C1631" s="1">
        <v>46041</v>
      </c>
      <c r="D1631" t="s">
        <v>1223</v>
      </c>
      <c r="E1631" t="s">
        <v>185</v>
      </c>
      <c r="F1631" t="s">
        <v>31</v>
      </c>
      <c r="G1631" t="s">
        <v>32</v>
      </c>
      <c r="H1631" t="s">
        <v>49</v>
      </c>
      <c r="I1631" s="2">
        <v>1</v>
      </c>
      <c r="J1631" s="3">
        <v>120</v>
      </c>
      <c r="K1631" s="4">
        <v>0.05</v>
      </c>
      <c r="L1631" s="3">
        <v>114</v>
      </c>
      <c r="M1631" t="b">
        <v>1</v>
      </c>
      <c r="N1631" s="2">
        <f>YEAR(B1631)</f>
        <v>2026</v>
      </c>
      <c r="O1631" t="str">
        <f>INDEX(Agences!$C:$C,MATCH(F1631,Agences!$A:$A,0))</f>
        <v>Ouest</v>
      </c>
      <c r="P1631" t="str">
        <f>INDEX(Produits!$C:$C,MATCH(H1631,Produits!$A:$A,0))</f>
        <v>Maintenance</v>
      </c>
      <c r="Q1631" s="3">
        <f>I1631*INDEX(Produits!$E:$E,MATCH(H1631,Produits!$A:$A,0))</f>
        <v>55.2</v>
      </c>
      <c r="R1631" s="3">
        <f>L1631-Q1631</f>
        <v>58.8</v>
      </c>
      <c r="S1631" s="2">
        <f>NETWORKDAYS(B1631,C1631)-1</f>
        <v>1</v>
      </c>
      <c r="T1631" s="1">
        <f>WORKDAY(B1631,5)</f>
        <v>46045</v>
      </c>
      <c r="U1631" t="b">
        <f>C1631&gt;T1631</f>
        <v>0</v>
      </c>
    </row>
    <row r="1632" spans="1:21" x14ac:dyDescent="0.25">
      <c r="A1632" t="s">
        <v>1222</v>
      </c>
      <c r="B1632" s="1">
        <v>46038</v>
      </c>
      <c r="C1632" s="1">
        <v>46041</v>
      </c>
      <c r="D1632" t="s">
        <v>1223</v>
      </c>
      <c r="E1632" t="s">
        <v>185</v>
      </c>
      <c r="F1632" t="s">
        <v>31</v>
      </c>
      <c r="G1632" t="s">
        <v>32</v>
      </c>
      <c r="H1632" t="s">
        <v>205</v>
      </c>
      <c r="I1632" s="2">
        <v>1</v>
      </c>
      <c r="J1632" s="3">
        <v>359</v>
      </c>
      <c r="K1632" s="4">
        <v>0.05</v>
      </c>
      <c r="L1632" s="3">
        <v>341.05</v>
      </c>
      <c r="M1632" t="b">
        <v>1</v>
      </c>
      <c r="N1632" s="2">
        <f>YEAR(B1632)</f>
        <v>2026</v>
      </c>
      <c r="O1632" t="str">
        <f>INDEX(Agences!$C:$C,MATCH(F1632,Agences!$A:$A,0))</f>
        <v>Ouest</v>
      </c>
      <c r="P1632" t="str">
        <f>INDEX(Produits!$C:$C,MATCH(H1632,Produits!$A:$A,0))</f>
        <v>Mobilier</v>
      </c>
      <c r="Q1632" s="3">
        <f>I1632*INDEX(Produits!$E:$E,MATCH(H1632,Produits!$A:$A,0))</f>
        <v>204.63</v>
      </c>
      <c r="R1632" s="3">
        <f>L1632-Q1632</f>
        <v>136.42000000000002</v>
      </c>
      <c r="S1632" s="2">
        <f>NETWORKDAYS(B1632,C1632)-1</f>
        <v>1</v>
      </c>
      <c r="T1632" s="1">
        <f>WORKDAY(B1632,5)</f>
        <v>46045</v>
      </c>
      <c r="U1632" t="b">
        <f>C1632&gt;T1632</f>
        <v>0</v>
      </c>
    </row>
    <row r="1633" spans="1:21" x14ac:dyDescent="0.25">
      <c r="A1633" t="s">
        <v>1222</v>
      </c>
      <c r="B1633" s="1">
        <v>46038</v>
      </c>
      <c r="C1633" s="1">
        <v>46041</v>
      </c>
      <c r="D1633" t="s">
        <v>1223</v>
      </c>
      <c r="E1633" t="s">
        <v>185</v>
      </c>
      <c r="F1633" t="s">
        <v>31</v>
      </c>
      <c r="G1633" t="s">
        <v>32</v>
      </c>
      <c r="H1633" t="s">
        <v>33</v>
      </c>
      <c r="I1633" s="2">
        <v>1</v>
      </c>
      <c r="J1633" s="3">
        <v>219</v>
      </c>
      <c r="K1633" s="4">
        <v>0.1</v>
      </c>
      <c r="L1633" s="3">
        <v>197.1</v>
      </c>
      <c r="M1633" t="b">
        <v>1</v>
      </c>
      <c r="N1633" s="2">
        <f>YEAR(B1633)</f>
        <v>2026</v>
      </c>
      <c r="O1633" t="str">
        <f>INDEX(Agences!$C:$C,MATCH(F1633,Agences!$A:$A,0))</f>
        <v>Ouest</v>
      </c>
      <c r="P1633" t="str">
        <f>INDEX(Produits!$C:$C,MATCH(H1633,Produits!$A:$A,0))</f>
        <v>Informatique</v>
      </c>
      <c r="Q1633" s="3">
        <f>I1633*INDEX(Produits!$E:$E,MATCH(H1633,Produits!$A:$A,0))</f>
        <v>179.58</v>
      </c>
      <c r="R1633" s="3">
        <f>L1633-Q1633</f>
        <v>17.519999999999982</v>
      </c>
      <c r="S1633" s="2">
        <f>NETWORKDAYS(B1633,C1633)-1</f>
        <v>1</v>
      </c>
      <c r="T1633" s="1">
        <f>WORKDAY(B1633,5)</f>
        <v>46045</v>
      </c>
      <c r="U1633" t="b">
        <f>C1633&gt;T1633</f>
        <v>0</v>
      </c>
    </row>
    <row r="1634" spans="1:21" x14ac:dyDescent="0.25">
      <c r="A1634" t="s">
        <v>1224</v>
      </c>
      <c r="B1634" s="1">
        <v>46038</v>
      </c>
      <c r="C1634" s="1">
        <v>46042</v>
      </c>
      <c r="D1634" t="s">
        <v>292</v>
      </c>
      <c r="E1634" t="s">
        <v>45</v>
      </c>
      <c r="F1634" t="s">
        <v>46</v>
      </c>
      <c r="G1634" t="s">
        <v>111</v>
      </c>
      <c r="H1634" t="s">
        <v>162</v>
      </c>
      <c r="I1634" s="2">
        <v>3</v>
      </c>
      <c r="J1634" s="3">
        <v>289</v>
      </c>
      <c r="K1634" s="4">
        <v>0.02</v>
      </c>
      <c r="L1634" s="3">
        <v>849.66</v>
      </c>
      <c r="M1634" t="b">
        <v>1</v>
      </c>
      <c r="N1634" s="2">
        <f>YEAR(B1634)</f>
        <v>2026</v>
      </c>
      <c r="O1634" t="str">
        <f>INDEX(Agences!$C:$C,MATCH(F1634,Agences!$A:$A,0))</f>
        <v>Est</v>
      </c>
      <c r="P1634" t="str">
        <f>INDEX(Produits!$C:$C,MATCH(H1634,Produits!$A:$A,0))</f>
        <v>Mobilier</v>
      </c>
      <c r="Q1634" s="3">
        <f>I1634*INDEX(Produits!$E:$E,MATCH(H1634,Produits!$A:$A,0))</f>
        <v>580.89</v>
      </c>
      <c r="R1634" s="3">
        <f>L1634-Q1634</f>
        <v>268.77</v>
      </c>
      <c r="S1634" s="2">
        <f>NETWORKDAYS(B1634,C1634)-1</f>
        <v>2</v>
      </c>
      <c r="T1634" s="1">
        <f>WORKDAY(B1634,5)</f>
        <v>46045</v>
      </c>
      <c r="U1634" t="b">
        <f>C1634&gt;T1634</f>
        <v>0</v>
      </c>
    </row>
    <row r="1635" spans="1:21" x14ac:dyDescent="0.25">
      <c r="A1635" t="s">
        <v>1224</v>
      </c>
      <c r="B1635" s="1">
        <v>46038</v>
      </c>
      <c r="C1635" s="1">
        <v>46042</v>
      </c>
      <c r="D1635" t="s">
        <v>292</v>
      </c>
      <c r="E1635" t="s">
        <v>45</v>
      </c>
      <c r="F1635" t="s">
        <v>46</v>
      </c>
      <c r="G1635" t="s">
        <v>111</v>
      </c>
      <c r="H1635" t="s">
        <v>64</v>
      </c>
      <c r="I1635" s="2">
        <v>10</v>
      </c>
      <c r="J1635" s="3">
        <v>16.8</v>
      </c>
      <c r="K1635" s="4">
        <v>0.02</v>
      </c>
      <c r="L1635" s="3">
        <v>164.64</v>
      </c>
      <c r="M1635" t="b">
        <v>1</v>
      </c>
      <c r="N1635" s="2">
        <f>YEAR(B1635)</f>
        <v>2026</v>
      </c>
      <c r="O1635" t="str">
        <f>INDEX(Agences!$C:$C,MATCH(F1635,Agences!$A:$A,0))</f>
        <v>Est</v>
      </c>
      <c r="P1635" t="str">
        <f>INDEX(Produits!$C:$C,MATCH(H1635,Produits!$A:$A,0))</f>
        <v>Fournitures</v>
      </c>
      <c r="Q1635" s="3">
        <f>I1635*INDEX(Produits!$E:$E,MATCH(H1635,Produits!$A:$A,0))</f>
        <v>87.4</v>
      </c>
      <c r="R1635" s="3">
        <f>L1635-Q1635</f>
        <v>77.23999999999998</v>
      </c>
      <c r="S1635" s="2">
        <f>NETWORKDAYS(B1635,C1635)-1</f>
        <v>2</v>
      </c>
      <c r="T1635" s="1">
        <f>WORKDAY(B1635,5)</f>
        <v>46045</v>
      </c>
      <c r="U1635" t="b">
        <f>C1635&gt;T1635</f>
        <v>0</v>
      </c>
    </row>
    <row r="1636" spans="1:21" x14ac:dyDescent="0.25">
      <c r="A1636" t="s">
        <v>1225</v>
      </c>
      <c r="B1636" s="1">
        <v>46038</v>
      </c>
      <c r="C1636" s="1">
        <v>46042</v>
      </c>
      <c r="D1636" t="s">
        <v>1195</v>
      </c>
      <c r="E1636" t="s">
        <v>229</v>
      </c>
      <c r="F1636" t="s">
        <v>55</v>
      </c>
      <c r="G1636" t="s">
        <v>71</v>
      </c>
      <c r="H1636" t="s">
        <v>42</v>
      </c>
      <c r="I1636" s="2">
        <v>1</v>
      </c>
      <c r="J1636" s="3">
        <v>55</v>
      </c>
      <c r="K1636" s="4">
        <v>0.08</v>
      </c>
      <c r="L1636" s="3">
        <v>50.6</v>
      </c>
      <c r="M1636" t="b">
        <v>1</v>
      </c>
      <c r="N1636" s="2">
        <f>YEAR(B1636)</f>
        <v>2026</v>
      </c>
      <c r="O1636" t="str">
        <f>INDEX(Agences!$C:$C,MATCH(F1636,Agences!$A:$A,0))</f>
        <v>Est</v>
      </c>
      <c r="P1636" t="str">
        <f>INDEX(Produits!$C:$C,MATCH(H1636,Produits!$A:$A,0))</f>
        <v>Maintenance</v>
      </c>
      <c r="Q1636" s="3">
        <f>I1636*INDEX(Produits!$E:$E,MATCH(H1636,Produits!$A:$A,0))</f>
        <v>24.75</v>
      </c>
      <c r="R1636" s="3">
        <f>L1636-Q1636</f>
        <v>25.85</v>
      </c>
      <c r="S1636" s="2">
        <f>NETWORKDAYS(B1636,C1636)-1</f>
        <v>2</v>
      </c>
      <c r="T1636" s="1">
        <f>WORKDAY(B1636,5)</f>
        <v>46045</v>
      </c>
      <c r="U1636" t="b">
        <f>C1636&gt;T1636</f>
        <v>0</v>
      </c>
    </row>
    <row r="1637" spans="1:21" x14ac:dyDescent="0.25">
      <c r="A1637" t="s">
        <v>1226</v>
      </c>
      <c r="B1637" s="1">
        <v>46037</v>
      </c>
      <c r="C1637" s="1">
        <v>46041</v>
      </c>
      <c r="D1637" t="s">
        <v>1227</v>
      </c>
      <c r="E1637" t="s">
        <v>38</v>
      </c>
      <c r="F1637" t="s">
        <v>39</v>
      </c>
      <c r="G1637" t="s">
        <v>322</v>
      </c>
      <c r="H1637" t="s">
        <v>72</v>
      </c>
      <c r="I1637" s="2">
        <v>3</v>
      </c>
      <c r="J1637" s="3">
        <v>179</v>
      </c>
      <c r="K1637" s="4">
        <v>0.1</v>
      </c>
      <c r="L1637" s="3">
        <v>483.3</v>
      </c>
      <c r="M1637" t="b">
        <v>1</v>
      </c>
      <c r="N1637" s="2">
        <f>YEAR(B1637)</f>
        <v>2026</v>
      </c>
      <c r="O1637" t="str">
        <f>INDEX(Agences!$C:$C,MATCH(F1637,Agences!$A:$A,0))</f>
        <v>Sud-Ouest</v>
      </c>
      <c r="P1637" t="str">
        <f>INDEX(Produits!$C:$C,MATCH(H1637,Produits!$A:$A,0))</f>
        <v>Informatique</v>
      </c>
      <c r="Q1637" s="3">
        <f>I1637*INDEX(Produits!$E:$E,MATCH(H1637,Produits!$A:$A,0))</f>
        <v>440.34000000000003</v>
      </c>
      <c r="R1637" s="3">
        <f>L1637-Q1637</f>
        <v>42.95999999999998</v>
      </c>
      <c r="S1637" s="2">
        <f>NETWORKDAYS(B1637,C1637)-1</f>
        <v>2</v>
      </c>
      <c r="T1637" s="1">
        <f>WORKDAY(B1637,5)</f>
        <v>46044</v>
      </c>
      <c r="U1637" t="b">
        <f>C1637&gt;T1637</f>
        <v>0</v>
      </c>
    </row>
    <row r="1638" spans="1:21" x14ac:dyDescent="0.25">
      <c r="A1638" t="s">
        <v>1228</v>
      </c>
      <c r="B1638" s="1">
        <v>46037</v>
      </c>
      <c r="C1638" s="1">
        <v>46041</v>
      </c>
      <c r="D1638" t="s">
        <v>190</v>
      </c>
      <c r="E1638" t="s">
        <v>191</v>
      </c>
      <c r="F1638" t="s">
        <v>62</v>
      </c>
      <c r="G1638" t="s">
        <v>106</v>
      </c>
      <c r="H1638" t="s">
        <v>35</v>
      </c>
      <c r="I1638" s="2">
        <v>1</v>
      </c>
      <c r="J1638" s="3">
        <v>79</v>
      </c>
      <c r="K1638" s="4">
        <v>0.18</v>
      </c>
      <c r="L1638" s="3">
        <v>64.78</v>
      </c>
      <c r="M1638" t="b">
        <v>1</v>
      </c>
      <c r="N1638" s="2">
        <f>YEAR(B1638)</f>
        <v>2026</v>
      </c>
      <c r="O1638" t="str">
        <f>INDEX(Agences!$C:$C,MATCH(F1638,Agences!$A:$A,0))</f>
        <v>Méditerranée</v>
      </c>
      <c r="P1638" t="str">
        <f>INDEX(Produits!$C:$C,MATCH(H1638,Produits!$A:$A,0))</f>
        <v>Mobilier</v>
      </c>
      <c r="Q1638" s="3">
        <f>I1638*INDEX(Produits!$E:$E,MATCH(H1638,Produits!$A:$A,0))</f>
        <v>46.61</v>
      </c>
      <c r="R1638" s="3">
        <f>L1638-Q1638</f>
        <v>18.17</v>
      </c>
      <c r="S1638" s="2">
        <f>NETWORKDAYS(B1638,C1638)-1</f>
        <v>2</v>
      </c>
      <c r="T1638" s="1">
        <f>WORKDAY(B1638,5)</f>
        <v>46044</v>
      </c>
      <c r="U1638" t="b">
        <f>C1638&gt;T1638</f>
        <v>0</v>
      </c>
    </row>
    <row r="1639" spans="1:21" x14ac:dyDescent="0.25">
      <c r="A1639" t="s">
        <v>1228</v>
      </c>
      <c r="B1639" s="1">
        <v>46037</v>
      </c>
      <c r="C1639" s="1">
        <v>46041</v>
      </c>
      <c r="D1639" t="s">
        <v>190</v>
      </c>
      <c r="E1639" t="s">
        <v>191</v>
      </c>
      <c r="F1639" t="s">
        <v>62</v>
      </c>
      <c r="G1639" t="s">
        <v>106</v>
      </c>
      <c r="H1639" t="s">
        <v>57</v>
      </c>
      <c r="I1639" s="2">
        <v>1</v>
      </c>
      <c r="J1639" s="3">
        <v>149</v>
      </c>
      <c r="K1639" s="4">
        <v>0.3</v>
      </c>
      <c r="L1639" s="3">
        <v>104.3</v>
      </c>
      <c r="M1639" t="b">
        <v>1</v>
      </c>
      <c r="N1639" s="2">
        <f>YEAR(B1639)</f>
        <v>2026</v>
      </c>
      <c r="O1639" t="str">
        <f>INDEX(Agences!$C:$C,MATCH(F1639,Agences!$A:$A,0))</f>
        <v>Méditerranée</v>
      </c>
      <c r="P1639" t="str">
        <f>INDEX(Produits!$C:$C,MATCH(H1639,Produits!$A:$A,0))</f>
        <v>Informatique</v>
      </c>
      <c r="Q1639" s="3">
        <f>I1639*INDEX(Produits!$E:$E,MATCH(H1639,Produits!$A:$A,0))</f>
        <v>114.73</v>
      </c>
      <c r="R1639" s="3">
        <f>L1639-Q1639</f>
        <v>-10.430000000000007</v>
      </c>
      <c r="S1639" s="2">
        <f>NETWORKDAYS(B1639,C1639)-1</f>
        <v>2</v>
      </c>
      <c r="T1639" s="1">
        <f>WORKDAY(B1639,5)</f>
        <v>46044</v>
      </c>
      <c r="U1639" t="b">
        <f>C1639&gt;T1639</f>
        <v>0</v>
      </c>
    </row>
    <row r="1640" spans="1:21" x14ac:dyDescent="0.25">
      <c r="A1640" t="s">
        <v>1228</v>
      </c>
      <c r="B1640" s="1">
        <v>46037</v>
      </c>
      <c r="C1640" s="1">
        <v>46041</v>
      </c>
      <c r="D1640" t="s">
        <v>190</v>
      </c>
      <c r="E1640" t="s">
        <v>191</v>
      </c>
      <c r="F1640" t="s">
        <v>62</v>
      </c>
      <c r="G1640" t="s">
        <v>106</v>
      </c>
      <c r="H1640" t="s">
        <v>217</v>
      </c>
      <c r="I1640" s="2">
        <v>1</v>
      </c>
      <c r="J1640" s="3">
        <v>1090</v>
      </c>
      <c r="K1640" s="4">
        <v>0.22</v>
      </c>
      <c r="L1640" s="3">
        <v>850.2</v>
      </c>
      <c r="M1640" t="b">
        <v>1</v>
      </c>
      <c r="N1640" s="2">
        <f>YEAR(B1640)</f>
        <v>2026</v>
      </c>
      <c r="O1640" t="str">
        <f>INDEX(Agences!$C:$C,MATCH(F1640,Agences!$A:$A,0))</f>
        <v>Méditerranée</v>
      </c>
      <c r="P1640" t="str">
        <f>INDEX(Produits!$C:$C,MATCH(H1640,Produits!$A:$A,0))</f>
        <v>Informatique</v>
      </c>
      <c r="Q1640" s="3">
        <f>I1640*INDEX(Produits!$E:$E,MATCH(H1640,Produits!$A:$A,0))</f>
        <v>817.5</v>
      </c>
      <c r="R1640" s="3">
        <f>L1640-Q1640</f>
        <v>32.700000000000045</v>
      </c>
      <c r="S1640" s="2">
        <f>NETWORKDAYS(B1640,C1640)-1</f>
        <v>2</v>
      </c>
      <c r="T1640" s="1">
        <f>WORKDAY(B1640,5)</f>
        <v>46044</v>
      </c>
      <c r="U1640" t="b">
        <f>C1640&gt;T1640</f>
        <v>0</v>
      </c>
    </row>
    <row r="1641" spans="1:21" x14ac:dyDescent="0.25">
      <c r="A1641" t="s">
        <v>1228</v>
      </c>
      <c r="B1641" s="1">
        <v>46037</v>
      </c>
      <c r="C1641" s="1">
        <v>46041</v>
      </c>
      <c r="D1641" t="s">
        <v>190</v>
      </c>
      <c r="E1641" t="s">
        <v>191</v>
      </c>
      <c r="F1641" t="s">
        <v>62</v>
      </c>
      <c r="G1641" t="s">
        <v>106</v>
      </c>
      <c r="H1641" t="s">
        <v>51</v>
      </c>
      <c r="I1641" s="2">
        <v>1</v>
      </c>
      <c r="J1641" s="3">
        <v>180</v>
      </c>
      <c r="K1641" s="4">
        <v>0.18</v>
      </c>
      <c r="L1641" s="3">
        <v>147.6</v>
      </c>
      <c r="M1641" t="b">
        <v>1</v>
      </c>
      <c r="N1641" s="2">
        <f>YEAR(B1641)</f>
        <v>2026</v>
      </c>
      <c r="O1641" t="str">
        <f>INDEX(Agences!$C:$C,MATCH(F1641,Agences!$A:$A,0))</f>
        <v>Méditerranée</v>
      </c>
      <c r="P1641" t="str">
        <f>INDEX(Produits!$C:$C,MATCH(H1641,Produits!$A:$A,0))</f>
        <v>Maintenance</v>
      </c>
      <c r="Q1641" s="3">
        <f>I1641*INDEX(Produits!$E:$E,MATCH(H1641,Produits!$A:$A,0))</f>
        <v>82.8</v>
      </c>
      <c r="R1641" s="3">
        <f>L1641-Q1641</f>
        <v>64.8</v>
      </c>
      <c r="S1641" s="2">
        <f>NETWORKDAYS(B1641,C1641)-1</f>
        <v>2</v>
      </c>
      <c r="T1641" s="1">
        <f>WORKDAY(B1641,5)</f>
        <v>46044</v>
      </c>
      <c r="U1641" t="b">
        <f>C1641&gt;T1641</f>
        <v>0</v>
      </c>
    </row>
    <row r="1642" spans="1:21" x14ac:dyDescent="0.25">
      <c r="A1642" t="s">
        <v>1229</v>
      </c>
      <c r="B1642" s="1">
        <v>46037</v>
      </c>
      <c r="C1642" s="1">
        <v>46038</v>
      </c>
      <c r="D1642" t="s">
        <v>1064</v>
      </c>
      <c r="E1642" t="s">
        <v>242</v>
      </c>
      <c r="F1642" t="s">
        <v>94</v>
      </c>
      <c r="G1642" t="s">
        <v>154</v>
      </c>
      <c r="H1642" t="s">
        <v>51</v>
      </c>
      <c r="I1642" s="2">
        <v>1</v>
      </c>
      <c r="J1642" s="3">
        <v>180</v>
      </c>
      <c r="K1642" s="4">
        <v>0.05</v>
      </c>
      <c r="L1642" s="3">
        <v>171</v>
      </c>
      <c r="M1642" t="b">
        <v>1</v>
      </c>
      <c r="N1642" s="2">
        <f>YEAR(B1642)</f>
        <v>2026</v>
      </c>
      <c r="O1642" t="str">
        <f>INDEX(Agences!$C:$C,MATCH(F1642,Agences!$A:$A,0))</f>
        <v>Méditerranée</v>
      </c>
      <c r="P1642" t="str">
        <f>INDEX(Produits!$C:$C,MATCH(H1642,Produits!$A:$A,0))</f>
        <v>Maintenance</v>
      </c>
      <c r="Q1642" s="3">
        <f>I1642*INDEX(Produits!$E:$E,MATCH(H1642,Produits!$A:$A,0))</f>
        <v>82.8</v>
      </c>
      <c r="R1642" s="3">
        <f>L1642-Q1642</f>
        <v>88.2</v>
      </c>
      <c r="S1642" s="2">
        <f>NETWORKDAYS(B1642,C1642)-1</f>
        <v>1</v>
      </c>
      <c r="T1642" s="1">
        <f>WORKDAY(B1642,5)</f>
        <v>46044</v>
      </c>
      <c r="U1642" t="b">
        <f>C1642&gt;T1642</f>
        <v>0</v>
      </c>
    </row>
    <row r="1643" spans="1:21" x14ac:dyDescent="0.25">
      <c r="A1643" t="s">
        <v>1229</v>
      </c>
      <c r="B1643" s="1">
        <v>46037</v>
      </c>
      <c r="C1643" s="1">
        <v>46038</v>
      </c>
      <c r="D1643" t="s">
        <v>1064</v>
      </c>
      <c r="E1643" t="s">
        <v>242</v>
      </c>
      <c r="F1643" t="s">
        <v>94</v>
      </c>
      <c r="G1643" t="s">
        <v>154</v>
      </c>
      <c r="H1643" t="s">
        <v>112</v>
      </c>
      <c r="I1643" s="2">
        <v>1</v>
      </c>
      <c r="J1643" s="3">
        <v>129</v>
      </c>
      <c r="K1643" s="4">
        <v>0.05</v>
      </c>
      <c r="L1643" s="3">
        <v>122.55</v>
      </c>
      <c r="M1643" t="b">
        <v>1</v>
      </c>
      <c r="N1643" s="2">
        <f>YEAR(B1643)</f>
        <v>2026</v>
      </c>
      <c r="O1643" t="str">
        <f>INDEX(Agences!$C:$C,MATCH(F1643,Agences!$A:$A,0))</f>
        <v>Méditerranée</v>
      </c>
      <c r="P1643" t="str">
        <f>INDEX(Produits!$C:$C,MATCH(H1643,Produits!$A:$A,0))</f>
        <v>Mobilier</v>
      </c>
      <c r="Q1643" s="3">
        <f>I1643*INDEX(Produits!$E:$E,MATCH(H1643,Produits!$A:$A,0))</f>
        <v>86.43</v>
      </c>
      <c r="R1643" s="3">
        <f>L1643-Q1643</f>
        <v>36.11999999999999</v>
      </c>
      <c r="S1643" s="2">
        <f>NETWORKDAYS(B1643,C1643)-1</f>
        <v>1</v>
      </c>
      <c r="T1643" s="1">
        <f>WORKDAY(B1643,5)</f>
        <v>46044</v>
      </c>
      <c r="U1643" t="b">
        <f>C1643&gt;T1643</f>
        <v>0</v>
      </c>
    </row>
    <row r="1644" spans="1:21" x14ac:dyDescent="0.25">
      <c r="A1644" t="s">
        <v>1229</v>
      </c>
      <c r="B1644" s="1">
        <v>46037</v>
      </c>
      <c r="C1644" s="1">
        <v>46038</v>
      </c>
      <c r="D1644" t="s">
        <v>1064</v>
      </c>
      <c r="E1644" t="s">
        <v>242</v>
      </c>
      <c r="F1644" t="s">
        <v>94</v>
      </c>
      <c r="G1644" t="s">
        <v>154</v>
      </c>
      <c r="H1644" t="s">
        <v>78</v>
      </c>
      <c r="I1644" s="2">
        <v>1</v>
      </c>
      <c r="J1644" s="3">
        <v>1390</v>
      </c>
      <c r="K1644" s="4">
        <v>0.08</v>
      </c>
      <c r="L1644" s="3">
        <v>1278.8</v>
      </c>
      <c r="M1644" t="b">
        <v>1</v>
      </c>
      <c r="N1644" s="2">
        <f>YEAR(B1644)</f>
        <v>2026</v>
      </c>
      <c r="O1644" t="str">
        <f>INDEX(Agences!$C:$C,MATCH(F1644,Agences!$A:$A,0))</f>
        <v>Méditerranée</v>
      </c>
      <c r="P1644" t="str">
        <f>INDEX(Produits!$C:$C,MATCH(H1644,Produits!$A:$A,0))</f>
        <v>Informatique</v>
      </c>
      <c r="Q1644" s="3">
        <f>I1644*INDEX(Produits!$E:$E,MATCH(H1644,Produits!$A:$A,0))</f>
        <v>1125.9</v>
      </c>
      <c r="R1644" s="3">
        <f>L1644-Q1644</f>
        <v>152.89999999999986</v>
      </c>
      <c r="S1644" s="2">
        <f>NETWORKDAYS(B1644,C1644)-1</f>
        <v>1</v>
      </c>
      <c r="T1644" s="1">
        <f>WORKDAY(B1644,5)</f>
        <v>46044</v>
      </c>
      <c r="U1644" t="b">
        <f>C1644&gt;T1644</f>
        <v>0</v>
      </c>
    </row>
    <row r="1645" spans="1:21" x14ac:dyDescent="0.25">
      <c r="A1645" t="s">
        <v>1229</v>
      </c>
      <c r="B1645" s="1">
        <v>46037</v>
      </c>
      <c r="C1645" s="1">
        <v>46038</v>
      </c>
      <c r="D1645" t="s">
        <v>1064</v>
      </c>
      <c r="E1645" t="s">
        <v>242</v>
      </c>
      <c r="F1645" t="s">
        <v>94</v>
      </c>
      <c r="G1645" t="s">
        <v>154</v>
      </c>
      <c r="H1645" t="s">
        <v>35</v>
      </c>
      <c r="I1645" s="2">
        <v>1</v>
      </c>
      <c r="J1645" s="3">
        <v>79</v>
      </c>
      <c r="K1645" s="4">
        <v>0.02</v>
      </c>
      <c r="L1645" s="3">
        <v>77.42</v>
      </c>
      <c r="M1645" t="b">
        <v>1</v>
      </c>
      <c r="N1645" s="2">
        <f>YEAR(B1645)</f>
        <v>2026</v>
      </c>
      <c r="O1645" t="str">
        <f>INDEX(Agences!$C:$C,MATCH(F1645,Agences!$A:$A,0))</f>
        <v>Méditerranée</v>
      </c>
      <c r="P1645" t="str">
        <f>INDEX(Produits!$C:$C,MATCH(H1645,Produits!$A:$A,0))</f>
        <v>Mobilier</v>
      </c>
      <c r="Q1645" s="3">
        <f>I1645*INDEX(Produits!$E:$E,MATCH(H1645,Produits!$A:$A,0))</f>
        <v>46.61</v>
      </c>
      <c r="R1645" s="3">
        <f>L1645-Q1645</f>
        <v>30.810000000000002</v>
      </c>
      <c r="S1645" s="2">
        <f>NETWORKDAYS(B1645,C1645)-1</f>
        <v>1</v>
      </c>
      <c r="T1645" s="1">
        <f>WORKDAY(B1645,5)</f>
        <v>46044</v>
      </c>
      <c r="U1645" t="b">
        <f>C1645&gt;T1645</f>
        <v>0</v>
      </c>
    </row>
    <row r="1646" spans="1:21" x14ac:dyDescent="0.25">
      <c r="A1646" t="s">
        <v>1229</v>
      </c>
      <c r="B1646" s="1">
        <v>46037</v>
      </c>
      <c r="C1646" s="1">
        <v>46038</v>
      </c>
      <c r="D1646" t="s">
        <v>1064</v>
      </c>
      <c r="E1646" t="s">
        <v>242</v>
      </c>
      <c r="F1646" t="s">
        <v>94</v>
      </c>
      <c r="G1646" t="s">
        <v>154</v>
      </c>
      <c r="H1646" t="s">
        <v>83</v>
      </c>
      <c r="I1646" s="2">
        <v>1</v>
      </c>
      <c r="J1646" s="3">
        <v>49</v>
      </c>
      <c r="K1646" s="4">
        <v>0.05</v>
      </c>
      <c r="L1646" s="3">
        <v>46.55</v>
      </c>
      <c r="M1646" t="b">
        <v>1</v>
      </c>
      <c r="N1646" s="2">
        <f>YEAR(B1646)</f>
        <v>2026</v>
      </c>
      <c r="O1646" t="str">
        <f>INDEX(Agences!$C:$C,MATCH(F1646,Agences!$A:$A,0))</f>
        <v>Méditerranée</v>
      </c>
      <c r="P1646" t="str">
        <f>INDEX(Produits!$C:$C,MATCH(H1646,Produits!$A:$A,0))</f>
        <v>Mobilier</v>
      </c>
      <c r="Q1646" s="3">
        <f>I1646*INDEX(Produits!$E:$E,MATCH(H1646,Produits!$A:$A,0))</f>
        <v>28.42</v>
      </c>
      <c r="R1646" s="3">
        <f>L1646-Q1646</f>
        <v>18.129999999999995</v>
      </c>
      <c r="S1646" s="2">
        <f>NETWORKDAYS(B1646,C1646)-1</f>
        <v>1</v>
      </c>
      <c r="T1646" s="1">
        <f>WORKDAY(B1646,5)</f>
        <v>46044</v>
      </c>
      <c r="U1646" t="b">
        <f>C1646&gt;T1646</f>
        <v>0</v>
      </c>
    </row>
    <row r="1647" spans="1:21" x14ac:dyDescent="0.25">
      <c r="A1647" t="s">
        <v>1230</v>
      </c>
      <c r="B1647" s="1">
        <v>46037</v>
      </c>
      <c r="C1647" s="1">
        <v>46043</v>
      </c>
      <c r="D1647" t="s">
        <v>1231</v>
      </c>
      <c r="E1647" t="s">
        <v>194</v>
      </c>
      <c r="F1647" t="s">
        <v>55</v>
      </c>
      <c r="G1647" t="s">
        <v>195</v>
      </c>
      <c r="H1647" t="s">
        <v>57</v>
      </c>
      <c r="I1647" s="2">
        <v>4</v>
      </c>
      <c r="J1647" s="3">
        <v>149</v>
      </c>
      <c r="K1647" s="4">
        <v>0</v>
      </c>
      <c r="L1647" s="3">
        <v>596</v>
      </c>
      <c r="M1647" t="b">
        <v>1</v>
      </c>
      <c r="N1647" s="2">
        <f>YEAR(B1647)</f>
        <v>2026</v>
      </c>
      <c r="O1647" t="str">
        <f>INDEX(Agences!$C:$C,MATCH(F1647,Agences!$A:$A,0))</f>
        <v>Est</v>
      </c>
      <c r="P1647" t="str">
        <f>INDEX(Produits!$C:$C,MATCH(H1647,Produits!$A:$A,0))</f>
        <v>Informatique</v>
      </c>
      <c r="Q1647" s="3">
        <f>I1647*INDEX(Produits!$E:$E,MATCH(H1647,Produits!$A:$A,0))</f>
        <v>458.92</v>
      </c>
      <c r="R1647" s="3">
        <f>L1647-Q1647</f>
        <v>137.07999999999998</v>
      </c>
      <c r="S1647" s="2">
        <f>NETWORKDAYS(B1647,C1647)-1</f>
        <v>4</v>
      </c>
      <c r="T1647" s="1">
        <f>WORKDAY(B1647,5)</f>
        <v>46044</v>
      </c>
      <c r="U1647" t="b">
        <f>C1647&gt;T1647</f>
        <v>0</v>
      </c>
    </row>
    <row r="1648" spans="1:21" x14ac:dyDescent="0.25">
      <c r="A1648" t="s">
        <v>1230</v>
      </c>
      <c r="B1648" s="1">
        <v>46037</v>
      </c>
      <c r="C1648" s="1">
        <v>46043</v>
      </c>
      <c r="D1648" t="s">
        <v>1231</v>
      </c>
      <c r="E1648" t="s">
        <v>194</v>
      </c>
      <c r="F1648" t="s">
        <v>55</v>
      </c>
      <c r="G1648" t="s">
        <v>195</v>
      </c>
      <c r="H1648" t="s">
        <v>107</v>
      </c>
      <c r="I1648" s="2">
        <v>3</v>
      </c>
      <c r="J1648" s="3">
        <v>99</v>
      </c>
      <c r="K1648" s="4">
        <v>0.08</v>
      </c>
      <c r="L1648" s="3">
        <v>273.24</v>
      </c>
      <c r="M1648" t="b">
        <v>1</v>
      </c>
      <c r="N1648" s="2">
        <f>YEAR(B1648)</f>
        <v>2026</v>
      </c>
      <c r="O1648" t="str">
        <f>INDEX(Agences!$C:$C,MATCH(F1648,Agences!$A:$A,0))</f>
        <v>Est</v>
      </c>
      <c r="P1648" t="str">
        <f>INDEX(Produits!$C:$C,MATCH(H1648,Produits!$A:$A,0))</f>
        <v>Informatique</v>
      </c>
      <c r="Q1648" s="3">
        <f>I1648*INDEX(Produits!$E:$E,MATCH(H1648,Produits!$A:$A,0))</f>
        <v>225.71999999999997</v>
      </c>
      <c r="R1648" s="3">
        <f>L1648-Q1648</f>
        <v>47.52000000000004</v>
      </c>
      <c r="S1648" s="2">
        <f>NETWORKDAYS(B1648,C1648)-1</f>
        <v>4</v>
      </c>
      <c r="T1648" s="1">
        <f>WORKDAY(B1648,5)</f>
        <v>46044</v>
      </c>
      <c r="U1648" t="b">
        <f>C1648&gt;T1648</f>
        <v>0</v>
      </c>
    </row>
    <row r="1649" spans="1:21" x14ac:dyDescent="0.25">
      <c r="A1649" t="s">
        <v>1230</v>
      </c>
      <c r="B1649" s="1">
        <v>46037</v>
      </c>
      <c r="C1649" s="1">
        <v>46043</v>
      </c>
      <c r="D1649" t="s">
        <v>1231</v>
      </c>
      <c r="E1649" t="s">
        <v>194</v>
      </c>
      <c r="F1649" t="s">
        <v>55</v>
      </c>
      <c r="G1649" t="s">
        <v>195</v>
      </c>
      <c r="H1649" t="s">
        <v>50</v>
      </c>
      <c r="I1649" s="2">
        <v>1</v>
      </c>
      <c r="J1649" s="3">
        <v>69</v>
      </c>
      <c r="K1649" s="4">
        <v>0</v>
      </c>
      <c r="L1649" s="3">
        <v>69</v>
      </c>
      <c r="M1649" t="b">
        <v>1</v>
      </c>
      <c r="N1649" s="2">
        <f>YEAR(B1649)</f>
        <v>2026</v>
      </c>
      <c r="O1649" t="str">
        <f>INDEX(Agences!$C:$C,MATCH(F1649,Agences!$A:$A,0))</f>
        <v>Est</v>
      </c>
      <c r="P1649" t="str">
        <f>INDEX(Produits!$C:$C,MATCH(H1649,Produits!$A:$A,0))</f>
        <v>Informatique</v>
      </c>
      <c r="Q1649" s="3">
        <f>I1649*INDEX(Produits!$E:$E,MATCH(H1649,Produits!$A:$A,0))</f>
        <v>54.51</v>
      </c>
      <c r="R1649" s="3">
        <f>L1649-Q1649</f>
        <v>14.490000000000002</v>
      </c>
      <c r="S1649" s="2">
        <f>NETWORKDAYS(B1649,C1649)-1</f>
        <v>4</v>
      </c>
      <c r="T1649" s="1">
        <f>WORKDAY(B1649,5)</f>
        <v>46044</v>
      </c>
      <c r="U1649" t="b">
        <f>C1649&gt;T1649</f>
        <v>0</v>
      </c>
    </row>
    <row r="1650" spans="1:21" x14ac:dyDescent="0.25">
      <c r="A1650" t="s">
        <v>1232</v>
      </c>
      <c r="B1650" s="1">
        <v>46036</v>
      </c>
      <c r="C1650" s="1">
        <v>46038</v>
      </c>
      <c r="D1650" t="s">
        <v>1233</v>
      </c>
      <c r="E1650" t="s">
        <v>270</v>
      </c>
      <c r="F1650" t="s">
        <v>76</v>
      </c>
      <c r="G1650" t="s">
        <v>232</v>
      </c>
      <c r="H1650" t="s">
        <v>48</v>
      </c>
      <c r="I1650" s="2">
        <v>2</v>
      </c>
      <c r="J1650" s="3">
        <v>165</v>
      </c>
      <c r="K1650" s="4">
        <v>0.05</v>
      </c>
      <c r="L1650" s="3">
        <v>313.5</v>
      </c>
      <c r="M1650" t="b">
        <v>1</v>
      </c>
      <c r="N1650" s="2">
        <f>YEAR(B1650)</f>
        <v>2026</v>
      </c>
      <c r="O1650" t="str">
        <f>INDEX(Agences!$C:$C,MATCH(F1650,Agences!$A:$A,0))</f>
        <v>Île-de-France</v>
      </c>
      <c r="P1650" t="str">
        <f>INDEX(Produits!$C:$C,MATCH(H1650,Produits!$A:$A,0))</f>
        <v>Mobilier</v>
      </c>
      <c r="Q1650" s="3">
        <f>I1650*INDEX(Produits!$E:$E,MATCH(H1650,Produits!$A:$A,0))</f>
        <v>214.5</v>
      </c>
      <c r="R1650" s="3">
        <f>L1650-Q1650</f>
        <v>99</v>
      </c>
      <c r="S1650" s="2">
        <f>NETWORKDAYS(B1650,C1650)-1</f>
        <v>2</v>
      </c>
      <c r="T1650" s="1">
        <f>WORKDAY(B1650,5)</f>
        <v>46043</v>
      </c>
      <c r="U1650" t="b">
        <f>C1650&gt;T1650</f>
        <v>0</v>
      </c>
    </row>
    <row r="1651" spans="1:21" x14ac:dyDescent="0.25">
      <c r="A1651" t="s">
        <v>1232</v>
      </c>
      <c r="B1651" s="1">
        <v>46036</v>
      </c>
      <c r="C1651" s="1">
        <v>46038</v>
      </c>
      <c r="D1651" t="s">
        <v>1233</v>
      </c>
      <c r="E1651" t="s">
        <v>270</v>
      </c>
      <c r="F1651" t="s">
        <v>76</v>
      </c>
      <c r="G1651" t="s">
        <v>232</v>
      </c>
      <c r="H1651" t="s">
        <v>150</v>
      </c>
      <c r="I1651" s="2">
        <v>1</v>
      </c>
      <c r="J1651" s="3">
        <v>790</v>
      </c>
      <c r="K1651" s="4">
        <v>0</v>
      </c>
      <c r="L1651" s="3">
        <v>790</v>
      </c>
      <c r="M1651" t="b">
        <v>1</v>
      </c>
      <c r="N1651" s="2">
        <f>YEAR(B1651)</f>
        <v>2026</v>
      </c>
      <c r="O1651" t="str">
        <f>INDEX(Agences!$C:$C,MATCH(F1651,Agences!$A:$A,0))</f>
        <v>Île-de-France</v>
      </c>
      <c r="P1651" t="str">
        <f>INDEX(Produits!$C:$C,MATCH(H1651,Produits!$A:$A,0))</f>
        <v>Informatique</v>
      </c>
      <c r="Q1651" s="3">
        <f>I1651*INDEX(Produits!$E:$E,MATCH(H1651,Produits!$A:$A,0))</f>
        <v>584.6</v>
      </c>
      <c r="R1651" s="3">
        <f>L1651-Q1651</f>
        <v>205.39999999999998</v>
      </c>
      <c r="S1651" s="2">
        <f>NETWORKDAYS(B1651,C1651)-1</f>
        <v>2</v>
      </c>
      <c r="T1651" s="1">
        <f>WORKDAY(B1651,5)</f>
        <v>46043</v>
      </c>
      <c r="U1651" t="b">
        <f>C1651&gt;T1651</f>
        <v>0</v>
      </c>
    </row>
    <row r="1652" spans="1:21" x14ac:dyDescent="0.25">
      <c r="A1652" t="s">
        <v>1234</v>
      </c>
      <c r="B1652" s="1">
        <v>46036</v>
      </c>
      <c r="C1652" s="1">
        <v>46042</v>
      </c>
      <c r="D1652" t="s">
        <v>704</v>
      </c>
      <c r="E1652" t="s">
        <v>67</v>
      </c>
      <c r="F1652" t="s">
        <v>62</v>
      </c>
      <c r="G1652" t="s">
        <v>106</v>
      </c>
      <c r="H1652" t="s">
        <v>57</v>
      </c>
      <c r="I1652" s="2">
        <v>1</v>
      </c>
      <c r="J1652" s="3">
        <v>149</v>
      </c>
      <c r="K1652" s="4">
        <v>0.2</v>
      </c>
      <c r="L1652" s="3">
        <v>119.2</v>
      </c>
      <c r="M1652" t="b">
        <v>1</v>
      </c>
      <c r="N1652" s="2">
        <f>YEAR(B1652)</f>
        <v>2026</v>
      </c>
      <c r="O1652" t="str">
        <f>INDEX(Agences!$C:$C,MATCH(F1652,Agences!$A:$A,0))</f>
        <v>Méditerranée</v>
      </c>
      <c r="P1652" t="str">
        <f>INDEX(Produits!$C:$C,MATCH(H1652,Produits!$A:$A,0))</f>
        <v>Informatique</v>
      </c>
      <c r="Q1652" s="3">
        <f>I1652*INDEX(Produits!$E:$E,MATCH(H1652,Produits!$A:$A,0))</f>
        <v>114.73</v>
      </c>
      <c r="R1652" s="3">
        <f>L1652-Q1652</f>
        <v>4.469999999999999</v>
      </c>
      <c r="S1652" s="2">
        <f>NETWORKDAYS(B1652,C1652)-1</f>
        <v>4</v>
      </c>
      <c r="T1652" s="1">
        <f>WORKDAY(B1652,5)</f>
        <v>46043</v>
      </c>
      <c r="U1652" t="b">
        <f>C1652&gt;T1652</f>
        <v>0</v>
      </c>
    </row>
    <row r="1653" spans="1:21" x14ac:dyDescent="0.25">
      <c r="A1653" t="s">
        <v>1234</v>
      </c>
      <c r="B1653" s="1">
        <v>46036</v>
      </c>
      <c r="C1653" s="1">
        <v>46042</v>
      </c>
      <c r="D1653" t="s">
        <v>704</v>
      </c>
      <c r="E1653" t="s">
        <v>67</v>
      </c>
      <c r="F1653" t="s">
        <v>62</v>
      </c>
      <c r="G1653" t="s">
        <v>106</v>
      </c>
      <c r="H1653" t="s">
        <v>112</v>
      </c>
      <c r="I1653" s="2">
        <v>1</v>
      </c>
      <c r="J1653" s="3">
        <v>129</v>
      </c>
      <c r="K1653" s="4">
        <v>0.25</v>
      </c>
      <c r="L1653" s="3">
        <v>96.75</v>
      </c>
      <c r="M1653" t="b">
        <v>1</v>
      </c>
      <c r="N1653" s="2">
        <f>YEAR(B1653)</f>
        <v>2026</v>
      </c>
      <c r="O1653" t="str">
        <f>INDEX(Agences!$C:$C,MATCH(F1653,Agences!$A:$A,0))</f>
        <v>Méditerranée</v>
      </c>
      <c r="P1653" t="str">
        <f>INDEX(Produits!$C:$C,MATCH(H1653,Produits!$A:$A,0))</f>
        <v>Mobilier</v>
      </c>
      <c r="Q1653" s="3">
        <f>I1653*INDEX(Produits!$E:$E,MATCH(H1653,Produits!$A:$A,0))</f>
        <v>86.43</v>
      </c>
      <c r="R1653" s="3">
        <f>L1653-Q1653</f>
        <v>10.319999999999993</v>
      </c>
      <c r="S1653" s="2">
        <f>NETWORKDAYS(B1653,C1653)-1</f>
        <v>4</v>
      </c>
      <c r="T1653" s="1">
        <f>WORKDAY(B1653,5)</f>
        <v>46043</v>
      </c>
      <c r="U1653" t="b">
        <f>C1653&gt;T1653</f>
        <v>0</v>
      </c>
    </row>
    <row r="1654" spans="1:21" x14ac:dyDescent="0.25">
      <c r="A1654" t="s">
        <v>1235</v>
      </c>
      <c r="B1654" s="1">
        <v>46036</v>
      </c>
      <c r="C1654" s="1">
        <v>46038</v>
      </c>
      <c r="D1654" t="s">
        <v>614</v>
      </c>
      <c r="E1654" t="s">
        <v>45</v>
      </c>
      <c r="F1654" t="s">
        <v>46</v>
      </c>
      <c r="G1654" t="s">
        <v>111</v>
      </c>
      <c r="H1654" t="s">
        <v>107</v>
      </c>
      <c r="I1654" s="2">
        <v>1</v>
      </c>
      <c r="J1654" s="3">
        <v>99</v>
      </c>
      <c r="K1654" s="4">
        <v>0.05</v>
      </c>
      <c r="L1654" s="3">
        <v>94.05</v>
      </c>
      <c r="M1654" t="b">
        <v>1</v>
      </c>
      <c r="N1654" s="2">
        <f>YEAR(B1654)</f>
        <v>2026</v>
      </c>
      <c r="O1654" t="str">
        <f>INDEX(Agences!$C:$C,MATCH(F1654,Agences!$A:$A,0))</f>
        <v>Est</v>
      </c>
      <c r="P1654" t="str">
        <f>INDEX(Produits!$C:$C,MATCH(H1654,Produits!$A:$A,0))</f>
        <v>Informatique</v>
      </c>
      <c r="Q1654" s="3">
        <f>I1654*INDEX(Produits!$E:$E,MATCH(H1654,Produits!$A:$A,0))</f>
        <v>75.24</v>
      </c>
      <c r="R1654" s="3">
        <f>L1654-Q1654</f>
        <v>18.810000000000002</v>
      </c>
      <c r="S1654" s="2">
        <f>NETWORKDAYS(B1654,C1654)-1</f>
        <v>2</v>
      </c>
      <c r="T1654" s="1">
        <f>WORKDAY(B1654,5)</f>
        <v>46043</v>
      </c>
      <c r="U1654" t="b">
        <f>C1654&gt;T1654</f>
        <v>0</v>
      </c>
    </row>
    <row r="1655" spans="1:21" x14ac:dyDescent="0.25">
      <c r="A1655" t="s">
        <v>1236</v>
      </c>
      <c r="B1655" s="1">
        <v>46036</v>
      </c>
      <c r="C1655" s="1">
        <v>46041</v>
      </c>
      <c r="D1655" t="s">
        <v>1237</v>
      </c>
      <c r="E1655" t="s">
        <v>194</v>
      </c>
      <c r="F1655" t="s">
        <v>55</v>
      </c>
      <c r="G1655" t="s">
        <v>71</v>
      </c>
      <c r="H1655" t="s">
        <v>57</v>
      </c>
      <c r="I1655" s="2">
        <v>3</v>
      </c>
      <c r="J1655" s="3">
        <v>149</v>
      </c>
      <c r="K1655" s="4">
        <v>0.05</v>
      </c>
      <c r="L1655" s="3">
        <v>424.65</v>
      </c>
      <c r="M1655" t="b">
        <v>1</v>
      </c>
      <c r="N1655" s="2">
        <f>YEAR(B1655)</f>
        <v>2026</v>
      </c>
      <c r="O1655" t="str">
        <f>INDEX(Agences!$C:$C,MATCH(F1655,Agences!$A:$A,0))</f>
        <v>Est</v>
      </c>
      <c r="P1655" t="str">
        <f>INDEX(Produits!$C:$C,MATCH(H1655,Produits!$A:$A,0))</f>
        <v>Informatique</v>
      </c>
      <c r="Q1655" s="3">
        <f>I1655*INDEX(Produits!$E:$E,MATCH(H1655,Produits!$A:$A,0))</f>
        <v>344.19</v>
      </c>
      <c r="R1655" s="3">
        <f>L1655-Q1655</f>
        <v>80.45999999999998</v>
      </c>
      <c r="S1655" s="2">
        <f>NETWORKDAYS(B1655,C1655)-1</f>
        <v>3</v>
      </c>
      <c r="T1655" s="1">
        <f>WORKDAY(B1655,5)</f>
        <v>46043</v>
      </c>
      <c r="U1655" t="b">
        <f>C1655&gt;T1655</f>
        <v>0</v>
      </c>
    </row>
    <row r="1656" spans="1:21" x14ac:dyDescent="0.25">
      <c r="A1656" t="s">
        <v>1236</v>
      </c>
      <c r="B1656" s="1">
        <v>46036</v>
      </c>
      <c r="C1656" s="1">
        <v>46041</v>
      </c>
      <c r="D1656" t="s">
        <v>1237</v>
      </c>
      <c r="E1656" t="s">
        <v>194</v>
      </c>
      <c r="F1656" t="s">
        <v>55</v>
      </c>
      <c r="G1656" t="s">
        <v>71</v>
      </c>
      <c r="H1656" t="s">
        <v>49</v>
      </c>
      <c r="I1656" s="2">
        <v>1</v>
      </c>
      <c r="J1656" s="3">
        <v>120</v>
      </c>
      <c r="K1656" s="4">
        <v>0</v>
      </c>
      <c r="L1656" s="3">
        <v>120</v>
      </c>
      <c r="M1656" t="b">
        <v>1</v>
      </c>
      <c r="N1656" s="2">
        <f>YEAR(B1656)</f>
        <v>2026</v>
      </c>
      <c r="O1656" t="str">
        <f>INDEX(Agences!$C:$C,MATCH(F1656,Agences!$A:$A,0))</f>
        <v>Est</v>
      </c>
      <c r="P1656" t="str">
        <f>INDEX(Produits!$C:$C,MATCH(H1656,Produits!$A:$A,0))</f>
        <v>Maintenance</v>
      </c>
      <c r="Q1656" s="3">
        <f>I1656*INDEX(Produits!$E:$E,MATCH(H1656,Produits!$A:$A,0))</f>
        <v>55.2</v>
      </c>
      <c r="R1656" s="3">
        <f>L1656-Q1656</f>
        <v>64.8</v>
      </c>
      <c r="S1656" s="2">
        <f>NETWORKDAYS(B1656,C1656)-1</f>
        <v>3</v>
      </c>
      <c r="T1656" s="1">
        <f>WORKDAY(B1656,5)</f>
        <v>46043</v>
      </c>
      <c r="U1656" t="b">
        <f>C1656&gt;T1656</f>
        <v>0</v>
      </c>
    </row>
    <row r="1657" spans="1:21" x14ac:dyDescent="0.25">
      <c r="A1657" t="s">
        <v>1236</v>
      </c>
      <c r="B1657" s="1">
        <v>46036</v>
      </c>
      <c r="C1657" s="1">
        <v>46041</v>
      </c>
      <c r="D1657" t="s">
        <v>1237</v>
      </c>
      <c r="E1657" t="s">
        <v>194</v>
      </c>
      <c r="F1657" t="s">
        <v>55</v>
      </c>
      <c r="G1657" t="s">
        <v>71</v>
      </c>
      <c r="H1657" t="s">
        <v>162</v>
      </c>
      <c r="I1657" s="2">
        <v>2</v>
      </c>
      <c r="J1657" s="3">
        <v>289</v>
      </c>
      <c r="K1657" s="4">
        <v>0.1</v>
      </c>
      <c r="L1657" s="3">
        <v>520.2</v>
      </c>
      <c r="M1657" t="b">
        <v>1</v>
      </c>
      <c r="N1657" s="2">
        <f>YEAR(B1657)</f>
        <v>2026</v>
      </c>
      <c r="O1657" t="str">
        <f>INDEX(Agences!$C:$C,MATCH(F1657,Agences!$A:$A,0))</f>
        <v>Est</v>
      </c>
      <c r="P1657" t="str">
        <f>INDEX(Produits!$C:$C,MATCH(H1657,Produits!$A:$A,0))</f>
        <v>Mobilier</v>
      </c>
      <c r="Q1657" s="3">
        <f>I1657*INDEX(Produits!$E:$E,MATCH(H1657,Produits!$A:$A,0))</f>
        <v>387.26</v>
      </c>
      <c r="R1657" s="3">
        <f>L1657-Q1657</f>
        <v>132.94000000000005</v>
      </c>
      <c r="S1657" s="2">
        <f>NETWORKDAYS(B1657,C1657)-1</f>
        <v>3</v>
      </c>
      <c r="T1657" s="1">
        <f>WORKDAY(B1657,5)</f>
        <v>46043</v>
      </c>
      <c r="U1657" t="b">
        <f>C1657&gt;T1657</f>
        <v>0</v>
      </c>
    </row>
    <row r="1658" spans="1:21" x14ac:dyDescent="0.25">
      <c r="A1658" t="s">
        <v>1238</v>
      </c>
      <c r="B1658" s="1">
        <v>46035</v>
      </c>
      <c r="C1658" s="1">
        <v>46041</v>
      </c>
      <c r="D1658" t="s">
        <v>879</v>
      </c>
      <c r="E1658" t="s">
        <v>126</v>
      </c>
      <c r="F1658" t="s">
        <v>99</v>
      </c>
      <c r="G1658" t="s">
        <v>265</v>
      </c>
      <c r="H1658" t="s">
        <v>57</v>
      </c>
      <c r="I1658" s="2">
        <v>2</v>
      </c>
      <c r="J1658" s="3">
        <v>149</v>
      </c>
      <c r="K1658" s="4">
        <v>0</v>
      </c>
      <c r="L1658" s="3">
        <v>298</v>
      </c>
      <c r="M1658" t="b">
        <v>1</v>
      </c>
      <c r="N1658" s="2">
        <f>YEAR(B1658)</f>
        <v>2026</v>
      </c>
      <c r="O1658" t="str">
        <f>INDEX(Agences!$C:$C,MATCH(F1658,Agences!$A:$A,0))</f>
        <v>Nord</v>
      </c>
      <c r="P1658" t="str">
        <f>INDEX(Produits!$C:$C,MATCH(H1658,Produits!$A:$A,0))</f>
        <v>Informatique</v>
      </c>
      <c r="Q1658" s="3">
        <f>I1658*INDEX(Produits!$E:$E,MATCH(H1658,Produits!$A:$A,0))</f>
        <v>229.46</v>
      </c>
      <c r="R1658" s="3">
        <f>L1658-Q1658</f>
        <v>68.53999999999999</v>
      </c>
      <c r="S1658" s="2">
        <f>NETWORKDAYS(B1658,C1658)-1</f>
        <v>4</v>
      </c>
      <c r="T1658" s="1">
        <f>WORKDAY(B1658,5)</f>
        <v>46042</v>
      </c>
      <c r="U1658" t="b">
        <f>C1658&gt;T1658</f>
        <v>0</v>
      </c>
    </row>
    <row r="1659" spans="1:21" x14ac:dyDescent="0.25">
      <c r="A1659" t="s">
        <v>1238</v>
      </c>
      <c r="B1659" s="1">
        <v>46035</v>
      </c>
      <c r="C1659" s="1">
        <v>46041</v>
      </c>
      <c r="D1659" t="s">
        <v>879</v>
      </c>
      <c r="E1659" t="s">
        <v>126</v>
      </c>
      <c r="F1659" t="s">
        <v>99</v>
      </c>
      <c r="G1659" t="s">
        <v>265</v>
      </c>
      <c r="H1659" t="s">
        <v>112</v>
      </c>
      <c r="I1659" s="2">
        <v>4</v>
      </c>
      <c r="J1659" s="3">
        <v>129</v>
      </c>
      <c r="K1659" s="4">
        <v>0</v>
      </c>
      <c r="L1659" s="3">
        <v>516</v>
      </c>
      <c r="M1659" t="b">
        <v>1</v>
      </c>
      <c r="N1659" s="2">
        <f>YEAR(B1659)</f>
        <v>2026</v>
      </c>
      <c r="O1659" t="str">
        <f>INDEX(Agences!$C:$C,MATCH(F1659,Agences!$A:$A,0))</f>
        <v>Nord</v>
      </c>
      <c r="P1659" t="str">
        <f>INDEX(Produits!$C:$C,MATCH(H1659,Produits!$A:$A,0))</f>
        <v>Mobilier</v>
      </c>
      <c r="Q1659" s="3">
        <f>I1659*INDEX(Produits!$E:$E,MATCH(H1659,Produits!$A:$A,0))</f>
        <v>345.72</v>
      </c>
      <c r="R1659" s="3">
        <f>L1659-Q1659</f>
        <v>170.27999999999997</v>
      </c>
      <c r="S1659" s="2">
        <f>NETWORKDAYS(B1659,C1659)-1</f>
        <v>4</v>
      </c>
      <c r="T1659" s="1">
        <f>WORKDAY(B1659,5)</f>
        <v>46042</v>
      </c>
      <c r="U1659" t="b">
        <f>C1659&gt;T1659</f>
        <v>0</v>
      </c>
    </row>
    <row r="1660" spans="1:21" x14ac:dyDescent="0.25">
      <c r="A1660" t="s">
        <v>1238</v>
      </c>
      <c r="B1660" s="1">
        <v>46035</v>
      </c>
      <c r="C1660" s="1">
        <v>46041</v>
      </c>
      <c r="D1660" t="s">
        <v>879</v>
      </c>
      <c r="E1660" t="s">
        <v>126</v>
      </c>
      <c r="F1660" t="s">
        <v>99</v>
      </c>
      <c r="G1660" t="s">
        <v>265</v>
      </c>
      <c r="H1660" t="s">
        <v>162</v>
      </c>
      <c r="I1660" s="2">
        <v>2</v>
      </c>
      <c r="J1660" s="3">
        <v>289</v>
      </c>
      <c r="K1660" s="4">
        <v>0</v>
      </c>
      <c r="L1660" s="3">
        <v>578</v>
      </c>
      <c r="M1660" t="b">
        <v>1</v>
      </c>
      <c r="N1660" s="2">
        <f>YEAR(B1660)</f>
        <v>2026</v>
      </c>
      <c r="O1660" t="str">
        <f>INDEX(Agences!$C:$C,MATCH(F1660,Agences!$A:$A,0))</f>
        <v>Nord</v>
      </c>
      <c r="P1660" t="str">
        <f>INDEX(Produits!$C:$C,MATCH(H1660,Produits!$A:$A,0))</f>
        <v>Mobilier</v>
      </c>
      <c r="Q1660" s="3">
        <f>I1660*INDEX(Produits!$E:$E,MATCH(H1660,Produits!$A:$A,0))</f>
        <v>387.26</v>
      </c>
      <c r="R1660" s="3">
        <f>L1660-Q1660</f>
        <v>190.74</v>
      </c>
      <c r="S1660" s="2">
        <f>NETWORKDAYS(B1660,C1660)-1</f>
        <v>4</v>
      </c>
      <c r="T1660" s="1">
        <f>WORKDAY(B1660,5)</f>
        <v>46042</v>
      </c>
      <c r="U1660" t="b">
        <f>C1660&gt;T1660</f>
        <v>0</v>
      </c>
    </row>
    <row r="1661" spans="1:21" x14ac:dyDescent="0.25">
      <c r="A1661" t="s">
        <v>1239</v>
      </c>
      <c r="B1661" s="1">
        <v>46035</v>
      </c>
      <c r="C1661" s="1">
        <v>46038</v>
      </c>
      <c r="D1661" t="s">
        <v>1240</v>
      </c>
      <c r="E1661" t="s">
        <v>374</v>
      </c>
      <c r="F1661" t="s">
        <v>31</v>
      </c>
      <c r="G1661" t="s">
        <v>186</v>
      </c>
      <c r="H1661" t="s">
        <v>72</v>
      </c>
      <c r="I1661" s="2">
        <v>3</v>
      </c>
      <c r="J1661" s="3">
        <v>179</v>
      </c>
      <c r="K1661" s="4">
        <v>0.08</v>
      </c>
      <c r="L1661" s="3">
        <v>494.04</v>
      </c>
      <c r="M1661" t="b">
        <v>1</v>
      </c>
      <c r="N1661" s="2">
        <f>YEAR(B1661)</f>
        <v>2026</v>
      </c>
      <c r="O1661" t="str">
        <f>INDEX(Agences!$C:$C,MATCH(F1661,Agences!$A:$A,0))</f>
        <v>Ouest</v>
      </c>
      <c r="P1661" t="str">
        <f>INDEX(Produits!$C:$C,MATCH(H1661,Produits!$A:$A,0))</f>
        <v>Informatique</v>
      </c>
      <c r="Q1661" s="3">
        <f>I1661*INDEX(Produits!$E:$E,MATCH(H1661,Produits!$A:$A,0))</f>
        <v>440.34000000000003</v>
      </c>
      <c r="R1661" s="3">
        <f>L1661-Q1661</f>
        <v>53.69999999999999</v>
      </c>
      <c r="S1661" s="2">
        <f>NETWORKDAYS(B1661,C1661)-1</f>
        <v>3</v>
      </c>
      <c r="T1661" s="1">
        <f>WORKDAY(B1661,5)</f>
        <v>46042</v>
      </c>
      <c r="U1661" t="b">
        <f>C1661&gt;T1661</f>
        <v>0</v>
      </c>
    </row>
    <row r="1662" spans="1:21" x14ac:dyDescent="0.25">
      <c r="A1662" t="s">
        <v>1241</v>
      </c>
      <c r="B1662" s="1">
        <v>46034</v>
      </c>
      <c r="C1662" s="1">
        <v>46041</v>
      </c>
      <c r="D1662" t="s">
        <v>280</v>
      </c>
      <c r="E1662" t="s">
        <v>270</v>
      </c>
      <c r="F1662" t="s">
        <v>76</v>
      </c>
      <c r="G1662" t="s">
        <v>232</v>
      </c>
      <c r="H1662" t="s">
        <v>48</v>
      </c>
      <c r="I1662" s="2">
        <v>3</v>
      </c>
      <c r="J1662" s="3">
        <v>165</v>
      </c>
      <c r="K1662" s="4">
        <v>0</v>
      </c>
      <c r="L1662" s="3">
        <v>495</v>
      </c>
      <c r="M1662" t="b">
        <v>1</v>
      </c>
      <c r="N1662" s="2">
        <f>YEAR(B1662)</f>
        <v>2026</v>
      </c>
      <c r="O1662" t="str">
        <f>INDEX(Agences!$C:$C,MATCH(F1662,Agences!$A:$A,0))</f>
        <v>Île-de-France</v>
      </c>
      <c r="P1662" t="str">
        <f>INDEX(Produits!$C:$C,MATCH(H1662,Produits!$A:$A,0))</f>
        <v>Mobilier</v>
      </c>
      <c r="Q1662" s="3">
        <f>I1662*INDEX(Produits!$E:$E,MATCH(H1662,Produits!$A:$A,0))</f>
        <v>321.75</v>
      </c>
      <c r="R1662" s="3">
        <f>L1662-Q1662</f>
        <v>173.25</v>
      </c>
      <c r="S1662" s="2">
        <f>NETWORKDAYS(B1662,C1662)-1</f>
        <v>5</v>
      </c>
      <c r="T1662" s="1">
        <f>WORKDAY(B1662,5)</f>
        <v>46041</v>
      </c>
      <c r="U1662" t="b">
        <f>C1662&gt;T1662</f>
        <v>0</v>
      </c>
    </row>
    <row r="1663" spans="1:21" x14ac:dyDescent="0.25">
      <c r="A1663" t="s">
        <v>1241</v>
      </c>
      <c r="B1663" s="1">
        <v>46034</v>
      </c>
      <c r="C1663" s="1">
        <v>46041</v>
      </c>
      <c r="D1663" t="s">
        <v>280</v>
      </c>
      <c r="E1663" t="s">
        <v>270</v>
      </c>
      <c r="F1663" t="s">
        <v>76</v>
      </c>
      <c r="G1663" t="s">
        <v>232</v>
      </c>
      <c r="H1663" t="s">
        <v>57</v>
      </c>
      <c r="I1663" s="2">
        <v>1</v>
      </c>
      <c r="J1663" s="3">
        <v>149</v>
      </c>
      <c r="K1663" s="4">
        <v>0</v>
      </c>
      <c r="L1663" s="3">
        <v>149</v>
      </c>
      <c r="M1663" t="b">
        <v>1</v>
      </c>
      <c r="N1663" s="2">
        <f>YEAR(B1663)</f>
        <v>2026</v>
      </c>
      <c r="O1663" t="str">
        <f>INDEX(Agences!$C:$C,MATCH(F1663,Agences!$A:$A,0))</f>
        <v>Île-de-France</v>
      </c>
      <c r="P1663" t="str">
        <f>INDEX(Produits!$C:$C,MATCH(H1663,Produits!$A:$A,0))</f>
        <v>Informatique</v>
      </c>
      <c r="Q1663" s="3">
        <f>I1663*INDEX(Produits!$E:$E,MATCH(H1663,Produits!$A:$A,0))</f>
        <v>114.73</v>
      </c>
      <c r="R1663" s="3">
        <f>L1663-Q1663</f>
        <v>34.269999999999996</v>
      </c>
      <c r="S1663" s="2">
        <f>NETWORKDAYS(B1663,C1663)-1</f>
        <v>5</v>
      </c>
      <c r="T1663" s="1">
        <f>WORKDAY(B1663,5)</f>
        <v>46041</v>
      </c>
      <c r="U1663" t="b">
        <f>C1663&gt;T1663</f>
        <v>0</v>
      </c>
    </row>
    <row r="1664" spans="1:21" x14ac:dyDescent="0.25">
      <c r="A1664" t="s">
        <v>1241</v>
      </c>
      <c r="B1664" s="1">
        <v>46034</v>
      </c>
      <c r="C1664" s="1">
        <v>46041</v>
      </c>
      <c r="D1664" t="s">
        <v>280</v>
      </c>
      <c r="E1664" t="s">
        <v>270</v>
      </c>
      <c r="F1664" t="s">
        <v>76</v>
      </c>
      <c r="G1664" t="s">
        <v>232</v>
      </c>
      <c r="H1664" t="s">
        <v>123</v>
      </c>
      <c r="I1664" s="2">
        <v>10</v>
      </c>
      <c r="J1664" s="3">
        <v>39.9</v>
      </c>
      <c r="K1664" s="4">
        <v>0.02</v>
      </c>
      <c r="L1664" s="3">
        <v>391.02</v>
      </c>
      <c r="M1664" t="b">
        <v>1</v>
      </c>
      <c r="N1664" s="2">
        <f>YEAR(B1664)</f>
        <v>2026</v>
      </c>
      <c r="O1664" t="str">
        <f>INDEX(Agences!$C:$C,MATCH(F1664,Agences!$A:$A,0))</f>
        <v>Île-de-France</v>
      </c>
      <c r="P1664" t="str">
        <f>INDEX(Produits!$C:$C,MATCH(H1664,Produits!$A:$A,0))</f>
        <v>Fournitures</v>
      </c>
      <c r="Q1664" s="3">
        <f>I1664*INDEX(Produits!$E:$E,MATCH(H1664,Produits!$A:$A,0))</f>
        <v>223.4</v>
      </c>
      <c r="R1664" s="3">
        <f>L1664-Q1664</f>
        <v>167.61999999999998</v>
      </c>
      <c r="S1664" s="2">
        <f>NETWORKDAYS(B1664,C1664)-1</f>
        <v>5</v>
      </c>
      <c r="T1664" s="1">
        <f>WORKDAY(B1664,5)</f>
        <v>46041</v>
      </c>
      <c r="U1664" t="b">
        <f>C1664&gt;T1664</f>
        <v>0</v>
      </c>
    </row>
    <row r="1665" spans="1:21" x14ac:dyDescent="0.25">
      <c r="A1665" t="s">
        <v>1242</v>
      </c>
      <c r="B1665" s="1">
        <v>46031</v>
      </c>
      <c r="C1665" s="1">
        <v>46035</v>
      </c>
      <c r="D1665" t="s">
        <v>22</v>
      </c>
      <c r="E1665" t="s">
        <v>23</v>
      </c>
      <c r="F1665" t="s">
        <v>24</v>
      </c>
      <c r="G1665" t="s">
        <v>116</v>
      </c>
      <c r="H1665" t="s">
        <v>50</v>
      </c>
      <c r="I1665" s="2">
        <v>3</v>
      </c>
      <c r="J1665" s="3">
        <v>69</v>
      </c>
      <c r="K1665" s="4">
        <v>0.1</v>
      </c>
      <c r="L1665" s="3">
        <v>186.3</v>
      </c>
      <c r="M1665" t="b">
        <v>1</v>
      </c>
      <c r="N1665" s="2">
        <f>YEAR(B1665)</f>
        <v>2026</v>
      </c>
      <c r="O1665" t="str">
        <f>INDEX(Agences!$C:$C,MATCH(F1665,Agences!$A:$A,0))</f>
        <v>Nord</v>
      </c>
      <c r="P1665" t="str">
        <f>INDEX(Produits!$C:$C,MATCH(H1665,Produits!$A:$A,0))</f>
        <v>Informatique</v>
      </c>
      <c r="Q1665" s="3">
        <f>I1665*INDEX(Produits!$E:$E,MATCH(H1665,Produits!$A:$A,0))</f>
        <v>163.53</v>
      </c>
      <c r="R1665" s="3">
        <f>L1665-Q1665</f>
        <v>22.77000000000001</v>
      </c>
      <c r="S1665" s="2">
        <f>NETWORKDAYS(B1665,C1665)-1</f>
        <v>2</v>
      </c>
      <c r="T1665" s="1">
        <f>WORKDAY(B1665,5)</f>
        <v>46038</v>
      </c>
      <c r="U1665" t="b">
        <f>C1665&gt;T1665</f>
        <v>0</v>
      </c>
    </row>
    <row r="1666" spans="1:21" x14ac:dyDescent="0.25">
      <c r="A1666" t="s">
        <v>1242</v>
      </c>
      <c r="B1666" s="1">
        <v>46031</v>
      </c>
      <c r="C1666" s="1">
        <v>46035</v>
      </c>
      <c r="D1666" t="s">
        <v>22</v>
      </c>
      <c r="E1666" t="s">
        <v>23</v>
      </c>
      <c r="F1666" t="s">
        <v>24</v>
      </c>
      <c r="G1666" t="s">
        <v>116</v>
      </c>
      <c r="H1666" t="s">
        <v>27</v>
      </c>
      <c r="I1666" s="2">
        <v>1</v>
      </c>
      <c r="J1666" s="3">
        <v>310</v>
      </c>
      <c r="K1666" s="4">
        <v>0</v>
      </c>
      <c r="L1666" s="3">
        <v>310</v>
      </c>
      <c r="M1666" t="b">
        <v>1</v>
      </c>
      <c r="N1666" s="2">
        <f>YEAR(B1666)</f>
        <v>2026</v>
      </c>
      <c r="O1666" t="str">
        <f>INDEX(Agences!$C:$C,MATCH(F1666,Agences!$A:$A,0))</f>
        <v>Nord</v>
      </c>
      <c r="P1666" t="str">
        <f>INDEX(Produits!$C:$C,MATCH(H1666,Produits!$A:$A,0))</f>
        <v>Mobilier</v>
      </c>
      <c r="Q1666" s="3">
        <f>I1666*INDEX(Produits!$E:$E,MATCH(H1666,Produits!$A:$A,0))</f>
        <v>186</v>
      </c>
      <c r="R1666" s="3">
        <f>L1666-Q1666</f>
        <v>124</v>
      </c>
      <c r="S1666" s="2">
        <f>NETWORKDAYS(B1666,C1666)-1</f>
        <v>2</v>
      </c>
      <c r="T1666" s="1">
        <f>WORKDAY(B1666,5)</f>
        <v>46038</v>
      </c>
      <c r="U1666" t="b">
        <f>C1666&gt;T1666</f>
        <v>0</v>
      </c>
    </row>
    <row r="1667" spans="1:21" x14ac:dyDescent="0.25">
      <c r="A1667" t="s">
        <v>1242</v>
      </c>
      <c r="B1667" s="1">
        <v>46031</v>
      </c>
      <c r="C1667" s="1">
        <v>46035</v>
      </c>
      <c r="D1667" t="s">
        <v>22</v>
      </c>
      <c r="E1667" t="s">
        <v>23</v>
      </c>
      <c r="F1667" t="s">
        <v>24</v>
      </c>
      <c r="G1667" t="s">
        <v>116</v>
      </c>
      <c r="H1667" t="s">
        <v>233</v>
      </c>
      <c r="I1667" s="2">
        <v>20</v>
      </c>
      <c r="J1667" s="3">
        <v>27.5</v>
      </c>
      <c r="K1667" s="4">
        <v>0.05</v>
      </c>
      <c r="L1667" s="3">
        <v>522.5</v>
      </c>
      <c r="M1667" t="b">
        <v>1</v>
      </c>
      <c r="N1667" s="2">
        <f>YEAR(B1667)</f>
        <v>2026</v>
      </c>
      <c r="O1667" t="str">
        <f>INDEX(Agences!$C:$C,MATCH(F1667,Agences!$A:$A,0))</f>
        <v>Nord</v>
      </c>
      <c r="P1667" t="str">
        <f>INDEX(Produits!$C:$C,MATCH(H1667,Produits!$A:$A,0))</f>
        <v>Fournitures</v>
      </c>
      <c r="Q1667" s="3">
        <f>I1667*INDEX(Produits!$E:$E,MATCH(H1667,Produits!$A:$A,0))</f>
        <v>308</v>
      </c>
      <c r="R1667" s="3">
        <f>L1667-Q1667</f>
        <v>214.5</v>
      </c>
      <c r="S1667" s="2">
        <f>NETWORKDAYS(B1667,C1667)-1</f>
        <v>2</v>
      </c>
      <c r="T1667" s="1">
        <f>WORKDAY(B1667,5)</f>
        <v>46038</v>
      </c>
      <c r="U1667" t="b">
        <f>C1667&gt;T1667</f>
        <v>0</v>
      </c>
    </row>
    <row r="1668" spans="1:21" x14ac:dyDescent="0.25">
      <c r="A1668" t="s">
        <v>1242</v>
      </c>
      <c r="B1668" s="1">
        <v>46031</v>
      </c>
      <c r="C1668" s="1">
        <v>46035</v>
      </c>
      <c r="D1668" t="s">
        <v>22</v>
      </c>
      <c r="E1668" t="s">
        <v>23</v>
      </c>
      <c r="F1668" t="s">
        <v>24</v>
      </c>
      <c r="G1668" t="s">
        <v>116</v>
      </c>
      <c r="H1668" t="s">
        <v>48</v>
      </c>
      <c r="I1668" s="2">
        <v>5</v>
      </c>
      <c r="J1668" s="3">
        <v>165</v>
      </c>
      <c r="K1668" s="4">
        <v>0.05</v>
      </c>
      <c r="L1668" s="3">
        <v>783.75</v>
      </c>
      <c r="M1668" t="b">
        <v>1</v>
      </c>
      <c r="N1668" s="2">
        <f>YEAR(B1668)</f>
        <v>2026</v>
      </c>
      <c r="O1668" t="str">
        <f>INDEX(Agences!$C:$C,MATCH(F1668,Agences!$A:$A,0))</f>
        <v>Nord</v>
      </c>
      <c r="P1668" t="str">
        <f>INDEX(Produits!$C:$C,MATCH(H1668,Produits!$A:$A,0))</f>
        <v>Mobilier</v>
      </c>
      <c r="Q1668" s="3">
        <f>I1668*INDEX(Produits!$E:$E,MATCH(H1668,Produits!$A:$A,0))</f>
        <v>536.25</v>
      </c>
      <c r="R1668" s="3">
        <f>L1668-Q1668</f>
        <v>247.5</v>
      </c>
      <c r="S1668" s="2">
        <f>NETWORKDAYS(B1668,C1668)-1</f>
        <v>2</v>
      </c>
      <c r="T1668" s="1">
        <f>WORKDAY(B1668,5)</f>
        <v>46038</v>
      </c>
      <c r="U1668" t="b">
        <f>C1668&gt;T1668</f>
        <v>0</v>
      </c>
    </row>
    <row r="1669" spans="1:21" x14ac:dyDescent="0.25">
      <c r="A1669" t="s">
        <v>1243</v>
      </c>
      <c r="B1669" s="1">
        <v>46031</v>
      </c>
      <c r="C1669" s="1">
        <v>46036</v>
      </c>
      <c r="D1669" t="s">
        <v>1244</v>
      </c>
      <c r="E1669" t="s">
        <v>172</v>
      </c>
      <c r="F1669" t="s">
        <v>99</v>
      </c>
      <c r="G1669" t="s">
        <v>210</v>
      </c>
      <c r="H1669" t="s">
        <v>42</v>
      </c>
      <c r="I1669" s="2">
        <v>1</v>
      </c>
      <c r="J1669" s="3">
        <v>55</v>
      </c>
      <c r="K1669" s="4">
        <v>0.02</v>
      </c>
      <c r="L1669" s="3">
        <v>53.9</v>
      </c>
      <c r="M1669" t="b">
        <v>1</v>
      </c>
      <c r="N1669" s="2">
        <f>YEAR(B1669)</f>
        <v>2026</v>
      </c>
      <c r="O1669" t="str">
        <f>INDEX(Agences!$C:$C,MATCH(F1669,Agences!$A:$A,0))</f>
        <v>Nord</v>
      </c>
      <c r="P1669" t="str">
        <f>INDEX(Produits!$C:$C,MATCH(H1669,Produits!$A:$A,0))</f>
        <v>Maintenance</v>
      </c>
      <c r="Q1669" s="3">
        <f>I1669*INDEX(Produits!$E:$E,MATCH(H1669,Produits!$A:$A,0))</f>
        <v>24.75</v>
      </c>
      <c r="R1669" s="3">
        <f>L1669-Q1669</f>
        <v>29.15</v>
      </c>
      <c r="S1669" s="2">
        <f>NETWORKDAYS(B1669,C1669)-1</f>
        <v>3</v>
      </c>
      <c r="T1669" s="1">
        <f>WORKDAY(B1669,5)</f>
        <v>46038</v>
      </c>
      <c r="U1669" t="b">
        <f>C1669&gt;T1669</f>
        <v>0</v>
      </c>
    </row>
    <row r="1670" spans="1:21" x14ac:dyDescent="0.25">
      <c r="A1670" t="s">
        <v>1243</v>
      </c>
      <c r="B1670" s="1">
        <v>46031</v>
      </c>
      <c r="C1670" s="1">
        <v>46036</v>
      </c>
      <c r="D1670" t="s">
        <v>1244</v>
      </c>
      <c r="E1670" t="s">
        <v>172</v>
      </c>
      <c r="F1670" t="s">
        <v>99</v>
      </c>
      <c r="G1670" t="s">
        <v>210</v>
      </c>
      <c r="H1670" t="s">
        <v>83</v>
      </c>
      <c r="I1670" s="2">
        <v>1</v>
      </c>
      <c r="J1670" s="3">
        <v>49</v>
      </c>
      <c r="K1670" s="4">
        <v>0.08</v>
      </c>
      <c r="L1670" s="3">
        <v>45.08</v>
      </c>
      <c r="M1670" t="b">
        <v>1</v>
      </c>
      <c r="N1670" s="2">
        <f>YEAR(B1670)</f>
        <v>2026</v>
      </c>
      <c r="O1670" t="str">
        <f>INDEX(Agences!$C:$C,MATCH(F1670,Agences!$A:$A,0))</f>
        <v>Nord</v>
      </c>
      <c r="P1670" t="str">
        <f>INDEX(Produits!$C:$C,MATCH(H1670,Produits!$A:$A,0))</f>
        <v>Mobilier</v>
      </c>
      <c r="Q1670" s="3">
        <f>I1670*INDEX(Produits!$E:$E,MATCH(H1670,Produits!$A:$A,0))</f>
        <v>28.42</v>
      </c>
      <c r="R1670" s="3">
        <f>L1670-Q1670</f>
        <v>16.659999999999997</v>
      </c>
      <c r="S1670" s="2">
        <f>NETWORKDAYS(B1670,C1670)-1</f>
        <v>3</v>
      </c>
      <c r="T1670" s="1">
        <f>WORKDAY(B1670,5)</f>
        <v>46038</v>
      </c>
      <c r="U1670" t="b">
        <f>C1670&gt;T1670</f>
        <v>0</v>
      </c>
    </row>
    <row r="1671" spans="1:21" x14ac:dyDescent="0.25">
      <c r="A1671" t="s">
        <v>1245</v>
      </c>
      <c r="B1671" s="1">
        <v>46031</v>
      </c>
      <c r="C1671" s="1">
        <v>46036</v>
      </c>
      <c r="D1671" t="s">
        <v>1246</v>
      </c>
      <c r="E1671" t="s">
        <v>213</v>
      </c>
      <c r="F1671" t="s">
        <v>138</v>
      </c>
      <c r="G1671" t="s">
        <v>139</v>
      </c>
      <c r="H1671" t="s">
        <v>26</v>
      </c>
      <c r="I1671" s="2">
        <v>1</v>
      </c>
      <c r="J1671" s="3">
        <v>290</v>
      </c>
      <c r="K1671" s="4">
        <v>0.05</v>
      </c>
      <c r="L1671" s="3">
        <v>275.5</v>
      </c>
      <c r="M1671" t="b">
        <v>1</v>
      </c>
      <c r="N1671" s="2">
        <f>YEAR(B1671)</f>
        <v>2026</v>
      </c>
      <c r="O1671" t="str">
        <f>INDEX(Agences!$C:$C,MATCH(F1671,Agences!$A:$A,0))</f>
        <v>Île-de-France</v>
      </c>
      <c r="P1671" t="str">
        <f>INDEX(Produits!$C:$C,MATCH(H1671,Produits!$A:$A,0))</f>
        <v>Maintenance</v>
      </c>
      <c r="Q1671" s="3">
        <f>I1671*INDEX(Produits!$E:$E,MATCH(H1671,Produits!$A:$A,0))</f>
        <v>139.2</v>
      </c>
      <c r="R1671" s="3">
        <f>L1671-Q1671</f>
        <v>136.3</v>
      </c>
      <c r="S1671" s="2">
        <f>NETWORKDAYS(B1671,C1671)-1</f>
        <v>3</v>
      </c>
      <c r="T1671" s="1">
        <f>WORKDAY(B1671,5)</f>
        <v>46038</v>
      </c>
      <c r="U1671" t="b">
        <f>C1671&gt;T1671</f>
        <v>0</v>
      </c>
    </row>
    <row r="1672" spans="1:21" x14ac:dyDescent="0.25">
      <c r="A1672" t="s">
        <v>1245</v>
      </c>
      <c r="B1672" s="1">
        <v>46031</v>
      </c>
      <c r="C1672" s="1">
        <v>46036</v>
      </c>
      <c r="D1672" t="s">
        <v>1246</v>
      </c>
      <c r="E1672" t="s">
        <v>213</v>
      </c>
      <c r="F1672" t="s">
        <v>138</v>
      </c>
      <c r="G1672" t="s">
        <v>139</v>
      </c>
      <c r="H1672" t="s">
        <v>79</v>
      </c>
      <c r="I1672" s="2">
        <v>10</v>
      </c>
      <c r="J1672" s="3">
        <v>14.9</v>
      </c>
      <c r="K1672" s="4">
        <v>0.05</v>
      </c>
      <c r="L1672" s="3">
        <v>141.55</v>
      </c>
      <c r="M1672" t="b">
        <v>1</v>
      </c>
      <c r="N1672" s="2">
        <f>YEAR(B1672)</f>
        <v>2026</v>
      </c>
      <c r="O1672" t="str">
        <f>INDEX(Agences!$C:$C,MATCH(F1672,Agences!$A:$A,0))</f>
        <v>Île-de-France</v>
      </c>
      <c r="P1672" t="str">
        <f>INDEX(Produits!$C:$C,MATCH(H1672,Produits!$A:$A,0))</f>
        <v>Fournitures</v>
      </c>
      <c r="Q1672" s="3">
        <f>I1672*INDEX(Produits!$E:$E,MATCH(H1672,Produits!$A:$A,0))</f>
        <v>80.5</v>
      </c>
      <c r="R1672" s="3">
        <f>L1672-Q1672</f>
        <v>61.05000000000001</v>
      </c>
      <c r="S1672" s="2">
        <f>NETWORKDAYS(B1672,C1672)-1</f>
        <v>3</v>
      </c>
      <c r="T1672" s="1">
        <f>WORKDAY(B1672,5)</f>
        <v>46038</v>
      </c>
      <c r="U1672" t="b">
        <f>C1672&gt;T1672</f>
        <v>0</v>
      </c>
    </row>
    <row r="1673" spans="1:21" x14ac:dyDescent="0.25">
      <c r="A1673" t="s">
        <v>1245</v>
      </c>
      <c r="B1673" s="1">
        <v>46031</v>
      </c>
      <c r="C1673" s="1">
        <v>46036</v>
      </c>
      <c r="D1673" t="s">
        <v>1246</v>
      </c>
      <c r="E1673" t="s">
        <v>213</v>
      </c>
      <c r="F1673" t="s">
        <v>138</v>
      </c>
      <c r="G1673" t="s">
        <v>139</v>
      </c>
      <c r="H1673" t="s">
        <v>112</v>
      </c>
      <c r="I1673" s="2">
        <v>1</v>
      </c>
      <c r="J1673" s="3">
        <v>129</v>
      </c>
      <c r="K1673" s="4">
        <v>0.02</v>
      </c>
      <c r="L1673" s="3">
        <v>126.42</v>
      </c>
      <c r="M1673" t="b">
        <v>1</v>
      </c>
      <c r="N1673" s="2">
        <f>YEAR(B1673)</f>
        <v>2026</v>
      </c>
      <c r="O1673" t="str">
        <f>INDEX(Agences!$C:$C,MATCH(F1673,Agences!$A:$A,0))</f>
        <v>Île-de-France</v>
      </c>
      <c r="P1673" t="str">
        <f>INDEX(Produits!$C:$C,MATCH(H1673,Produits!$A:$A,0))</f>
        <v>Mobilier</v>
      </c>
      <c r="Q1673" s="3">
        <f>I1673*INDEX(Produits!$E:$E,MATCH(H1673,Produits!$A:$A,0))</f>
        <v>86.43</v>
      </c>
      <c r="R1673" s="3">
        <f>L1673-Q1673</f>
        <v>39.989999999999995</v>
      </c>
      <c r="S1673" s="2">
        <f>NETWORKDAYS(B1673,C1673)-1</f>
        <v>3</v>
      </c>
      <c r="T1673" s="1">
        <f>WORKDAY(B1673,5)</f>
        <v>46038</v>
      </c>
      <c r="U1673" t="b">
        <f>C1673&gt;T1673</f>
        <v>0</v>
      </c>
    </row>
    <row r="1674" spans="1:21" x14ac:dyDescent="0.25">
      <c r="A1674" t="s">
        <v>1247</v>
      </c>
      <c r="B1674" s="1">
        <v>46031</v>
      </c>
      <c r="C1674" s="1">
        <v>46036</v>
      </c>
      <c r="D1674" t="s">
        <v>988</v>
      </c>
      <c r="E1674" t="s">
        <v>242</v>
      </c>
      <c r="F1674" t="s">
        <v>94</v>
      </c>
      <c r="G1674" t="s">
        <v>154</v>
      </c>
      <c r="H1674" t="s">
        <v>49</v>
      </c>
      <c r="I1674" s="2">
        <v>2</v>
      </c>
      <c r="J1674" s="3">
        <v>120</v>
      </c>
      <c r="K1674" s="4">
        <v>0</v>
      </c>
      <c r="L1674" s="3">
        <v>240</v>
      </c>
      <c r="M1674" t="b">
        <v>1</v>
      </c>
      <c r="N1674" s="2">
        <f>YEAR(B1674)</f>
        <v>2026</v>
      </c>
      <c r="O1674" t="str">
        <f>INDEX(Agences!$C:$C,MATCH(F1674,Agences!$A:$A,0))</f>
        <v>Méditerranée</v>
      </c>
      <c r="P1674" t="str">
        <f>INDEX(Produits!$C:$C,MATCH(H1674,Produits!$A:$A,0))</f>
        <v>Maintenance</v>
      </c>
      <c r="Q1674" s="3">
        <f>I1674*INDEX(Produits!$E:$E,MATCH(H1674,Produits!$A:$A,0))</f>
        <v>110.4</v>
      </c>
      <c r="R1674" s="3">
        <f>L1674-Q1674</f>
        <v>129.6</v>
      </c>
      <c r="S1674" s="2">
        <f>NETWORKDAYS(B1674,C1674)-1</f>
        <v>3</v>
      </c>
      <c r="T1674" s="1">
        <f>WORKDAY(B1674,5)</f>
        <v>46038</v>
      </c>
      <c r="U1674" t="b">
        <f>C1674&gt;T1674</f>
        <v>0</v>
      </c>
    </row>
    <row r="1675" spans="1:21" x14ac:dyDescent="0.25">
      <c r="A1675" t="s">
        <v>1247</v>
      </c>
      <c r="B1675" s="1">
        <v>46031</v>
      </c>
      <c r="C1675" s="1">
        <v>46036</v>
      </c>
      <c r="D1675" t="s">
        <v>988</v>
      </c>
      <c r="E1675" t="s">
        <v>242</v>
      </c>
      <c r="F1675" t="s">
        <v>94</v>
      </c>
      <c r="G1675" t="s">
        <v>154</v>
      </c>
      <c r="H1675" t="s">
        <v>112</v>
      </c>
      <c r="I1675" s="2">
        <v>1</v>
      </c>
      <c r="J1675" s="3">
        <v>129</v>
      </c>
      <c r="K1675" s="4">
        <v>0</v>
      </c>
      <c r="L1675" s="3">
        <v>129</v>
      </c>
      <c r="M1675" t="b">
        <v>1</v>
      </c>
      <c r="N1675" s="2">
        <f>YEAR(B1675)</f>
        <v>2026</v>
      </c>
      <c r="O1675" t="str">
        <f>INDEX(Agences!$C:$C,MATCH(F1675,Agences!$A:$A,0))</f>
        <v>Méditerranée</v>
      </c>
      <c r="P1675" t="str">
        <f>INDEX(Produits!$C:$C,MATCH(H1675,Produits!$A:$A,0))</f>
        <v>Mobilier</v>
      </c>
      <c r="Q1675" s="3">
        <f>I1675*INDEX(Produits!$E:$E,MATCH(H1675,Produits!$A:$A,0))</f>
        <v>86.43</v>
      </c>
      <c r="R1675" s="3">
        <f>L1675-Q1675</f>
        <v>42.56999999999999</v>
      </c>
      <c r="S1675" s="2">
        <f>NETWORKDAYS(B1675,C1675)-1</f>
        <v>3</v>
      </c>
      <c r="T1675" s="1">
        <f>WORKDAY(B1675,5)</f>
        <v>46038</v>
      </c>
      <c r="U1675" t="b">
        <f>C1675&gt;T1675</f>
        <v>0</v>
      </c>
    </row>
    <row r="1676" spans="1:21" x14ac:dyDescent="0.25">
      <c r="A1676" t="s">
        <v>1247</v>
      </c>
      <c r="B1676" s="1">
        <v>46031</v>
      </c>
      <c r="C1676" s="1">
        <v>46036</v>
      </c>
      <c r="D1676" t="s">
        <v>988</v>
      </c>
      <c r="E1676" t="s">
        <v>242</v>
      </c>
      <c r="F1676" t="s">
        <v>94</v>
      </c>
      <c r="G1676" t="s">
        <v>154</v>
      </c>
      <c r="H1676" t="s">
        <v>50</v>
      </c>
      <c r="I1676" s="2">
        <v>5</v>
      </c>
      <c r="J1676" s="3">
        <v>69</v>
      </c>
      <c r="K1676" s="4">
        <v>0.05</v>
      </c>
      <c r="L1676" s="3">
        <v>327.75</v>
      </c>
      <c r="M1676" t="b">
        <v>1</v>
      </c>
      <c r="N1676" s="2">
        <f>YEAR(B1676)</f>
        <v>2026</v>
      </c>
      <c r="O1676" t="str">
        <f>INDEX(Agences!$C:$C,MATCH(F1676,Agences!$A:$A,0))</f>
        <v>Méditerranée</v>
      </c>
      <c r="P1676" t="str">
        <f>INDEX(Produits!$C:$C,MATCH(H1676,Produits!$A:$A,0))</f>
        <v>Informatique</v>
      </c>
      <c r="Q1676" s="3">
        <f>I1676*INDEX(Produits!$E:$E,MATCH(H1676,Produits!$A:$A,0))</f>
        <v>272.55</v>
      </c>
      <c r="R1676" s="3">
        <f>L1676-Q1676</f>
        <v>55.19999999999999</v>
      </c>
      <c r="S1676" s="2">
        <f>NETWORKDAYS(B1676,C1676)-1</f>
        <v>3</v>
      </c>
      <c r="T1676" s="1">
        <f>WORKDAY(B1676,5)</f>
        <v>46038</v>
      </c>
      <c r="U1676" t="b">
        <f>C1676&gt;T1676</f>
        <v>0</v>
      </c>
    </row>
    <row r="1677" spans="1:21" x14ac:dyDescent="0.25">
      <c r="A1677" t="s">
        <v>1247</v>
      </c>
      <c r="B1677" s="1">
        <v>46031</v>
      </c>
      <c r="C1677" s="1">
        <v>46036</v>
      </c>
      <c r="D1677" t="s">
        <v>988</v>
      </c>
      <c r="E1677" t="s">
        <v>242</v>
      </c>
      <c r="F1677" t="s">
        <v>94</v>
      </c>
      <c r="G1677" t="s">
        <v>154</v>
      </c>
      <c r="H1677" t="s">
        <v>58</v>
      </c>
      <c r="I1677" s="2">
        <v>2</v>
      </c>
      <c r="J1677" s="3">
        <v>649</v>
      </c>
      <c r="K1677" s="4">
        <v>0.05</v>
      </c>
      <c r="L1677" s="3">
        <v>1233.1</v>
      </c>
      <c r="M1677" t="b">
        <v>1</v>
      </c>
      <c r="N1677" s="2">
        <f>YEAR(B1677)</f>
        <v>2026</v>
      </c>
      <c r="O1677" t="str">
        <f>INDEX(Agences!$C:$C,MATCH(F1677,Agences!$A:$A,0))</f>
        <v>Méditerranée</v>
      </c>
      <c r="P1677" t="str">
        <f>INDEX(Produits!$C:$C,MATCH(H1677,Produits!$A:$A,0))</f>
        <v>Mobilier</v>
      </c>
      <c r="Q1677" s="3">
        <f>I1677*INDEX(Produits!$E:$E,MATCH(H1677,Produits!$A:$A,0))</f>
        <v>817.74</v>
      </c>
      <c r="R1677" s="3">
        <f>L1677-Q1677</f>
        <v>415.3599999999999</v>
      </c>
      <c r="S1677" s="2">
        <f>NETWORKDAYS(B1677,C1677)-1</f>
        <v>3</v>
      </c>
      <c r="T1677" s="1">
        <f>WORKDAY(B1677,5)</f>
        <v>46038</v>
      </c>
      <c r="U1677" t="b">
        <f>C1677&gt;T1677</f>
        <v>0</v>
      </c>
    </row>
    <row r="1678" spans="1:21" x14ac:dyDescent="0.25">
      <c r="A1678" t="s">
        <v>1247</v>
      </c>
      <c r="B1678" s="1">
        <v>46031</v>
      </c>
      <c r="C1678" s="1">
        <v>46036</v>
      </c>
      <c r="D1678" t="s">
        <v>988</v>
      </c>
      <c r="E1678" t="s">
        <v>242</v>
      </c>
      <c r="F1678" t="s">
        <v>94</v>
      </c>
      <c r="G1678" t="s">
        <v>154</v>
      </c>
      <c r="H1678" t="s">
        <v>79</v>
      </c>
      <c r="I1678" s="2">
        <v>5</v>
      </c>
      <c r="J1678" s="3">
        <v>14.9</v>
      </c>
      <c r="K1678" s="4">
        <v>0.05</v>
      </c>
      <c r="L1678" s="3">
        <v>70.78</v>
      </c>
      <c r="M1678" t="b">
        <v>1</v>
      </c>
      <c r="N1678" s="2">
        <f>YEAR(B1678)</f>
        <v>2026</v>
      </c>
      <c r="O1678" t="str">
        <f>INDEX(Agences!$C:$C,MATCH(F1678,Agences!$A:$A,0))</f>
        <v>Méditerranée</v>
      </c>
      <c r="P1678" t="str">
        <f>INDEX(Produits!$C:$C,MATCH(H1678,Produits!$A:$A,0))</f>
        <v>Fournitures</v>
      </c>
      <c r="Q1678" s="3">
        <f>I1678*INDEX(Produits!$E:$E,MATCH(H1678,Produits!$A:$A,0))</f>
        <v>40.25</v>
      </c>
      <c r="R1678" s="3">
        <f>L1678-Q1678</f>
        <v>30.53</v>
      </c>
      <c r="S1678" s="2">
        <f>NETWORKDAYS(B1678,C1678)-1</f>
        <v>3</v>
      </c>
      <c r="T1678" s="1">
        <f>WORKDAY(B1678,5)</f>
        <v>46038</v>
      </c>
      <c r="U1678" t="b">
        <f>C1678&gt;T1678</f>
        <v>0</v>
      </c>
    </row>
    <row r="1679" spans="1:21" x14ac:dyDescent="0.25">
      <c r="A1679" t="s">
        <v>1248</v>
      </c>
      <c r="B1679" s="1">
        <v>46031</v>
      </c>
      <c r="C1679" s="1">
        <v>46037</v>
      </c>
      <c r="D1679" t="s">
        <v>612</v>
      </c>
      <c r="E1679" t="s">
        <v>157</v>
      </c>
      <c r="F1679" t="s">
        <v>46</v>
      </c>
      <c r="G1679" t="s">
        <v>111</v>
      </c>
      <c r="H1679" t="s">
        <v>64</v>
      </c>
      <c r="I1679" s="2">
        <v>5</v>
      </c>
      <c r="J1679" s="3">
        <v>16.8</v>
      </c>
      <c r="K1679" s="4">
        <v>0.1</v>
      </c>
      <c r="L1679" s="3">
        <v>75.6</v>
      </c>
      <c r="M1679" t="b">
        <v>1</v>
      </c>
      <c r="N1679" s="2">
        <f>YEAR(B1679)</f>
        <v>2026</v>
      </c>
      <c r="O1679" t="str">
        <f>INDEX(Agences!$C:$C,MATCH(F1679,Agences!$A:$A,0))</f>
        <v>Est</v>
      </c>
      <c r="P1679" t="str">
        <f>INDEX(Produits!$C:$C,MATCH(H1679,Produits!$A:$A,0))</f>
        <v>Fournitures</v>
      </c>
      <c r="Q1679" s="3">
        <f>I1679*INDEX(Produits!$E:$E,MATCH(H1679,Produits!$A:$A,0))</f>
        <v>43.7</v>
      </c>
      <c r="R1679" s="3">
        <f>L1679-Q1679</f>
        <v>31.89999999999999</v>
      </c>
      <c r="S1679" s="2">
        <f>NETWORKDAYS(B1679,C1679)-1</f>
        <v>4</v>
      </c>
      <c r="T1679" s="1">
        <f>WORKDAY(B1679,5)</f>
        <v>46038</v>
      </c>
      <c r="U1679" t="b">
        <f>C1679&gt;T1679</f>
        <v>0</v>
      </c>
    </row>
    <row r="1680" spans="1:21" x14ac:dyDescent="0.25">
      <c r="A1680" t="s">
        <v>1248</v>
      </c>
      <c r="B1680" s="1">
        <v>46031</v>
      </c>
      <c r="C1680" s="1">
        <v>46037</v>
      </c>
      <c r="D1680" t="s">
        <v>612</v>
      </c>
      <c r="E1680" t="s">
        <v>157</v>
      </c>
      <c r="F1680" t="s">
        <v>46</v>
      </c>
      <c r="G1680" t="s">
        <v>111</v>
      </c>
      <c r="H1680" t="s">
        <v>112</v>
      </c>
      <c r="I1680" s="2">
        <v>2</v>
      </c>
      <c r="J1680" s="3">
        <v>129</v>
      </c>
      <c r="K1680" s="4">
        <v>0.02</v>
      </c>
      <c r="L1680" s="3">
        <v>252.84</v>
      </c>
      <c r="M1680" t="b">
        <v>1</v>
      </c>
      <c r="N1680" s="2">
        <f>YEAR(B1680)</f>
        <v>2026</v>
      </c>
      <c r="O1680" t="str">
        <f>INDEX(Agences!$C:$C,MATCH(F1680,Agences!$A:$A,0))</f>
        <v>Est</v>
      </c>
      <c r="P1680" t="str">
        <f>INDEX(Produits!$C:$C,MATCH(H1680,Produits!$A:$A,0))</f>
        <v>Mobilier</v>
      </c>
      <c r="Q1680" s="3">
        <f>I1680*INDEX(Produits!$E:$E,MATCH(H1680,Produits!$A:$A,0))</f>
        <v>172.86</v>
      </c>
      <c r="R1680" s="3">
        <f>L1680-Q1680</f>
        <v>79.97999999999999</v>
      </c>
      <c r="S1680" s="2">
        <f>NETWORKDAYS(B1680,C1680)-1</f>
        <v>4</v>
      </c>
      <c r="T1680" s="1">
        <f>WORKDAY(B1680,5)</f>
        <v>46038</v>
      </c>
      <c r="U1680" t="b">
        <f>C1680&gt;T1680</f>
        <v>0</v>
      </c>
    </row>
    <row r="1681" spans="1:21" x14ac:dyDescent="0.25">
      <c r="A1681" t="s">
        <v>1249</v>
      </c>
      <c r="B1681" s="1">
        <v>46030</v>
      </c>
      <c r="C1681" s="1">
        <v>46037</v>
      </c>
      <c r="D1681" t="s">
        <v>558</v>
      </c>
      <c r="E1681" t="s">
        <v>316</v>
      </c>
      <c r="F1681" t="s">
        <v>46</v>
      </c>
      <c r="G1681" t="s">
        <v>158</v>
      </c>
      <c r="H1681" t="s">
        <v>35</v>
      </c>
      <c r="I1681" s="2">
        <v>8</v>
      </c>
      <c r="J1681" s="3">
        <v>79</v>
      </c>
      <c r="K1681" s="4">
        <v>0</v>
      </c>
      <c r="L1681" s="3">
        <v>632</v>
      </c>
      <c r="M1681" t="b">
        <v>1</v>
      </c>
      <c r="N1681" s="2">
        <f>YEAR(B1681)</f>
        <v>2026</v>
      </c>
      <c r="O1681" t="str">
        <f>INDEX(Agences!$C:$C,MATCH(F1681,Agences!$A:$A,0))</f>
        <v>Est</v>
      </c>
      <c r="P1681" t="str">
        <f>INDEX(Produits!$C:$C,MATCH(H1681,Produits!$A:$A,0))</f>
        <v>Mobilier</v>
      </c>
      <c r="Q1681" s="3">
        <f>I1681*INDEX(Produits!$E:$E,MATCH(H1681,Produits!$A:$A,0))</f>
        <v>372.88</v>
      </c>
      <c r="R1681" s="3">
        <f>L1681-Q1681</f>
        <v>259.12</v>
      </c>
      <c r="S1681" s="2">
        <f>NETWORKDAYS(B1681,C1681)-1</f>
        <v>5</v>
      </c>
      <c r="T1681" s="1">
        <f>WORKDAY(B1681,5)</f>
        <v>46037</v>
      </c>
      <c r="U1681" t="b">
        <f>C1681&gt;T1681</f>
        <v>0</v>
      </c>
    </row>
    <row r="1682" spans="1:21" x14ac:dyDescent="0.25">
      <c r="A1682" t="s">
        <v>1249</v>
      </c>
      <c r="B1682" s="1">
        <v>46030</v>
      </c>
      <c r="C1682" s="1">
        <v>46037</v>
      </c>
      <c r="D1682" t="s">
        <v>558</v>
      </c>
      <c r="E1682" t="s">
        <v>316</v>
      </c>
      <c r="F1682" t="s">
        <v>46</v>
      </c>
      <c r="G1682" t="s">
        <v>158</v>
      </c>
      <c r="H1682" t="s">
        <v>57</v>
      </c>
      <c r="I1682" s="2">
        <v>4</v>
      </c>
      <c r="J1682" s="3">
        <v>149</v>
      </c>
      <c r="K1682" s="4">
        <v>0</v>
      </c>
      <c r="L1682" s="3">
        <v>596</v>
      </c>
      <c r="M1682" t="b">
        <v>1</v>
      </c>
      <c r="N1682" s="2">
        <f>YEAR(B1682)</f>
        <v>2026</v>
      </c>
      <c r="O1682" t="str">
        <f>INDEX(Agences!$C:$C,MATCH(F1682,Agences!$A:$A,0))</f>
        <v>Est</v>
      </c>
      <c r="P1682" t="str">
        <f>INDEX(Produits!$C:$C,MATCH(H1682,Produits!$A:$A,0))</f>
        <v>Informatique</v>
      </c>
      <c r="Q1682" s="3">
        <f>I1682*INDEX(Produits!$E:$E,MATCH(H1682,Produits!$A:$A,0))</f>
        <v>458.92</v>
      </c>
      <c r="R1682" s="3">
        <f>L1682-Q1682</f>
        <v>137.07999999999998</v>
      </c>
      <c r="S1682" s="2">
        <f>NETWORKDAYS(B1682,C1682)-1</f>
        <v>5</v>
      </c>
      <c r="T1682" s="1">
        <f>WORKDAY(B1682,5)</f>
        <v>46037</v>
      </c>
      <c r="U1682" t="b">
        <f>C1682&gt;T1682</f>
        <v>0</v>
      </c>
    </row>
    <row r="1683" spans="1:21" x14ac:dyDescent="0.25">
      <c r="A1683" t="s">
        <v>1249</v>
      </c>
      <c r="B1683" s="1">
        <v>46030</v>
      </c>
      <c r="C1683" s="1">
        <v>46037</v>
      </c>
      <c r="D1683" t="s">
        <v>558</v>
      </c>
      <c r="E1683" t="s">
        <v>316</v>
      </c>
      <c r="F1683" t="s">
        <v>46</v>
      </c>
      <c r="G1683" t="s">
        <v>158</v>
      </c>
      <c r="H1683" t="s">
        <v>51</v>
      </c>
      <c r="I1683" s="2">
        <v>3</v>
      </c>
      <c r="J1683" s="3">
        <v>180</v>
      </c>
      <c r="K1683" s="4">
        <v>0</v>
      </c>
      <c r="L1683" s="3">
        <v>540</v>
      </c>
      <c r="M1683" t="b">
        <v>1</v>
      </c>
      <c r="N1683" s="2">
        <f>YEAR(B1683)</f>
        <v>2026</v>
      </c>
      <c r="O1683" t="str">
        <f>INDEX(Agences!$C:$C,MATCH(F1683,Agences!$A:$A,0))</f>
        <v>Est</v>
      </c>
      <c r="P1683" t="str">
        <f>INDEX(Produits!$C:$C,MATCH(H1683,Produits!$A:$A,0))</f>
        <v>Maintenance</v>
      </c>
      <c r="Q1683" s="3">
        <f>I1683*INDEX(Produits!$E:$E,MATCH(H1683,Produits!$A:$A,0))</f>
        <v>248.39999999999998</v>
      </c>
      <c r="R1683" s="3">
        <f>L1683-Q1683</f>
        <v>291.6</v>
      </c>
      <c r="S1683" s="2">
        <f>NETWORKDAYS(B1683,C1683)-1</f>
        <v>5</v>
      </c>
      <c r="T1683" s="1">
        <f>WORKDAY(B1683,5)</f>
        <v>46037</v>
      </c>
      <c r="U1683" t="b">
        <f>C1683&gt;T1683</f>
        <v>0</v>
      </c>
    </row>
    <row r="1684" spans="1:21" x14ac:dyDescent="0.25">
      <c r="A1684" t="s">
        <v>1249</v>
      </c>
      <c r="B1684" s="1">
        <v>46030</v>
      </c>
      <c r="C1684" s="1">
        <v>46037</v>
      </c>
      <c r="D1684" t="s">
        <v>558</v>
      </c>
      <c r="E1684" t="s">
        <v>316</v>
      </c>
      <c r="F1684" t="s">
        <v>46</v>
      </c>
      <c r="G1684" t="s">
        <v>158</v>
      </c>
      <c r="H1684" t="s">
        <v>319</v>
      </c>
      <c r="I1684" s="2">
        <v>5</v>
      </c>
      <c r="J1684" s="3">
        <v>289</v>
      </c>
      <c r="K1684" s="4">
        <v>0.02</v>
      </c>
      <c r="L1684" s="3">
        <v>1416.1</v>
      </c>
      <c r="M1684" t="b">
        <v>1</v>
      </c>
      <c r="N1684" s="2">
        <f>YEAR(B1684)</f>
        <v>2026</v>
      </c>
      <c r="O1684" t="str">
        <f>INDEX(Agences!$C:$C,MATCH(F1684,Agences!$A:$A,0))</f>
        <v>Est</v>
      </c>
      <c r="P1684" t="str">
        <f>INDEX(Produits!$C:$C,MATCH(H1684,Produits!$A:$A,0))</f>
        <v>Informatique</v>
      </c>
      <c r="Q1684" s="3">
        <f>I1684*INDEX(Produits!$E:$E,MATCH(H1684,Produits!$A:$A,0))</f>
        <v>1069.3000000000002</v>
      </c>
      <c r="R1684" s="3">
        <f>L1684-Q1684</f>
        <v>346.7999999999997</v>
      </c>
      <c r="S1684" s="2">
        <f>NETWORKDAYS(B1684,C1684)-1</f>
        <v>5</v>
      </c>
      <c r="T1684" s="1">
        <f>WORKDAY(B1684,5)</f>
        <v>46037</v>
      </c>
      <c r="U1684" t="b">
        <f>C1684&gt;T1684</f>
        <v>0</v>
      </c>
    </row>
    <row r="1685" spans="1:21" x14ac:dyDescent="0.25">
      <c r="A1685" t="s">
        <v>1250</v>
      </c>
      <c r="B1685" s="1">
        <v>46029</v>
      </c>
      <c r="C1685" s="1">
        <v>46031</v>
      </c>
      <c r="D1685" t="s">
        <v>733</v>
      </c>
      <c r="E1685" t="s">
        <v>307</v>
      </c>
      <c r="F1685" t="s">
        <v>76</v>
      </c>
      <c r="G1685" t="s">
        <v>176</v>
      </c>
      <c r="H1685" t="s">
        <v>51</v>
      </c>
      <c r="I1685" s="2">
        <v>1</v>
      </c>
      <c r="J1685" s="3">
        <v>180</v>
      </c>
      <c r="K1685" s="4">
        <v>0.02</v>
      </c>
      <c r="L1685" s="3">
        <v>176.4</v>
      </c>
      <c r="M1685" t="b">
        <v>1</v>
      </c>
      <c r="N1685" s="2">
        <f>YEAR(B1685)</f>
        <v>2026</v>
      </c>
      <c r="O1685" t="str">
        <f>INDEX(Agences!$C:$C,MATCH(F1685,Agences!$A:$A,0))</f>
        <v>Île-de-France</v>
      </c>
      <c r="P1685" t="str">
        <f>INDEX(Produits!$C:$C,MATCH(H1685,Produits!$A:$A,0))</f>
        <v>Maintenance</v>
      </c>
      <c r="Q1685" s="3">
        <f>I1685*INDEX(Produits!$E:$E,MATCH(H1685,Produits!$A:$A,0))</f>
        <v>82.8</v>
      </c>
      <c r="R1685" s="3">
        <f>L1685-Q1685</f>
        <v>93.60000000000001</v>
      </c>
      <c r="S1685" s="2">
        <f>NETWORKDAYS(B1685,C1685)-1</f>
        <v>2</v>
      </c>
      <c r="T1685" s="1">
        <f>WORKDAY(B1685,5)</f>
        <v>46036</v>
      </c>
      <c r="U1685" t="b">
        <f>C1685&gt;T1685</f>
        <v>0</v>
      </c>
    </row>
    <row r="1686" spans="1:21" x14ac:dyDescent="0.25">
      <c r="A1686" t="s">
        <v>1250</v>
      </c>
      <c r="B1686" s="1">
        <v>46029</v>
      </c>
      <c r="C1686" s="1">
        <v>46031</v>
      </c>
      <c r="D1686" t="s">
        <v>733</v>
      </c>
      <c r="E1686" t="s">
        <v>307</v>
      </c>
      <c r="F1686" t="s">
        <v>76</v>
      </c>
      <c r="G1686" t="s">
        <v>176</v>
      </c>
      <c r="H1686" t="s">
        <v>83</v>
      </c>
      <c r="I1686" s="2">
        <v>2</v>
      </c>
      <c r="J1686" s="3">
        <v>49</v>
      </c>
      <c r="K1686" s="4">
        <v>0</v>
      </c>
      <c r="L1686" s="3">
        <v>98</v>
      </c>
      <c r="M1686" t="b">
        <v>1</v>
      </c>
      <c r="N1686" s="2">
        <f>YEAR(B1686)</f>
        <v>2026</v>
      </c>
      <c r="O1686" t="str">
        <f>INDEX(Agences!$C:$C,MATCH(F1686,Agences!$A:$A,0))</f>
        <v>Île-de-France</v>
      </c>
      <c r="P1686" t="str">
        <f>INDEX(Produits!$C:$C,MATCH(H1686,Produits!$A:$A,0))</f>
        <v>Mobilier</v>
      </c>
      <c r="Q1686" s="3">
        <f>I1686*INDEX(Produits!$E:$E,MATCH(H1686,Produits!$A:$A,0))</f>
        <v>56.84</v>
      </c>
      <c r="R1686" s="3">
        <f>L1686-Q1686</f>
        <v>41.16</v>
      </c>
      <c r="S1686" s="2">
        <f>NETWORKDAYS(B1686,C1686)-1</f>
        <v>2</v>
      </c>
      <c r="T1686" s="1">
        <f>WORKDAY(B1686,5)</f>
        <v>46036</v>
      </c>
      <c r="U1686" t="b">
        <f>C1686&gt;T1686</f>
        <v>0</v>
      </c>
    </row>
    <row r="1687" spans="1:21" x14ac:dyDescent="0.25">
      <c r="A1687" t="s">
        <v>1250</v>
      </c>
      <c r="B1687" s="1">
        <v>46029</v>
      </c>
      <c r="C1687" s="1">
        <v>46031</v>
      </c>
      <c r="D1687" t="s">
        <v>733</v>
      </c>
      <c r="E1687" t="s">
        <v>307</v>
      </c>
      <c r="F1687" t="s">
        <v>76</v>
      </c>
      <c r="G1687" t="s">
        <v>176</v>
      </c>
      <c r="H1687" t="s">
        <v>57</v>
      </c>
      <c r="I1687" s="2">
        <v>2</v>
      </c>
      <c r="J1687" s="3">
        <v>149</v>
      </c>
      <c r="K1687" s="4">
        <v>0.02</v>
      </c>
      <c r="L1687" s="3">
        <v>292.04</v>
      </c>
      <c r="M1687" t="b">
        <v>1</v>
      </c>
      <c r="N1687" s="2">
        <f>YEAR(B1687)</f>
        <v>2026</v>
      </c>
      <c r="O1687" t="str">
        <f>INDEX(Agences!$C:$C,MATCH(F1687,Agences!$A:$A,0))</f>
        <v>Île-de-France</v>
      </c>
      <c r="P1687" t="str">
        <f>INDEX(Produits!$C:$C,MATCH(H1687,Produits!$A:$A,0))</f>
        <v>Informatique</v>
      </c>
      <c r="Q1687" s="3">
        <f>I1687*INDEX(Produits!$E:$E,MATCH(H1687,Produits!$A:$A,0))</f>
        <v>229.46</v>
      </c>
      <c r="R1687" s="3">
        <f>L1687-Q1687</f>
        <v>62.58000000000001</v>
      </c>
      <c r="S1687" s="2">
        <f>NETWORKDAYS(B1687,C1687)-1</f>
        <v>2</v>
      </c>
      <c r="T1687" s="1">
        <f>WORKDAY(B1687,5)</f>
        <v>46036</v>
      </c>
      <c r="U1687" t="b">
        <f>C1687&gt;T1687</f>
        <v>0</v>
      </c>
    </row>
    <row r="1688" spans="1:21" x14ac:dyDescent="0.25">
      <c r="A1688" t="s">
        <v>1250</v>
      </c>
      <c r="B1688" s="1">
        <v>46029</v>
      </c>
      <c r="C1688" s="1">
        <v>46031</v>
      </c>
      <c r="D1688" t="s">
        <v>733</v>
      </c>
      <c r="E1688" t="s">
        <v>307</v>
      </c>
      <c r="F1688" t="s">
        <v>76</v>
      </c>
      <c r="G1688" t="s">
        <v>176</v>
      </c>
      <c r="H1688" t="s">
        <v>42</v>
      </c>
      <c r="I1688" s="2">
        <v>1</v>
      </c>
      <c r="J1688" s="3">
        <v>55</v>
      </c>
      <c r="K1688" s="4">
        <v>0</v>
      </c>
      <c r="L1688" s="3">
        <v>55</v>
      </c>
      <c r="M1688" t="b">
        <v>1</v>
      </c>
      <c r="N1688" s="2">
        <f>YEAR(B1688)</f>
        <v>2026</v>
      </c>
      <c r="O1688" t="str">
        <f>INDEX(Agences!$C:$C,MATCH(F1688,Agences!$A:$A,0))</f>
        <v>Île-de-France</v>
      </c>
      <c r="P1688" t="str">
        <f>INDEX(Produits!$C:$C,MATCH(H1688,Produits!$A:$A,0))</f>
        <v>Maintenance</v>
      </c>
      <c r="Q1688" s="3">
        <f>I1688*INDEX(Produits!$E:$E,MATCH(H1688,Produits!$A:$A,0))</f>
        <v>24.75</v>
      </c>
      <c r="R1688" s="3">
        <f>L1688-Q1688</f>
        <v>30.25</v>
      </c>
      <c r="S1688" s="2">
        <f>NETWORKDAYS(B1688,C1688)-1</f>
        <v>2</v>
      </c>
      <c r="T1688" s="1">
        <f>WORKDAY(B1688,5)</f>
        <v>46036</v>
      </c>
      <c r="U1688" t="b">
        <f>C1688&gt;T1688</f>
        <v>0</v>
      </c>
    </row>
    <row r="1689" spans="1:21" x14ac:dyDescent="0.25">
      <c r="A1689" t="s">
        <v>1251</v>
      </c>
      <c r="B1689" s="1">
        <v>46029</v>
      </c>
      <c r="C1689" s="1">
        <v>46030</v>
      </c>
      <c r="D1689" t="s">
        <v>1252</v>
      </c>
      <c r="E1689" t="s">
        <v>82</v>
      </c>
      <c r="F1689" t="s">
        <v>39</v>
      </c>
      <c r="G1689" t="s">
        <v>40</v>
      </c>
      <c r="H1689" t="s">
        <v>57</v>
      </c>
      <c r="I1689" s="2">
        <v>1</v>
      </c>
      <c r="J1689" s="3">
        <v>149</v>
      </c>
      <c r="K1689" s="4">
        <v>0</v>
      </c>
      <c r="L1689" s="3">
        <v>149</v>
      </c>
      <c r="M1689" t="b">
        <v>1</v>
      </c>
      <c r="N1689" s="2">
        <f>YEAR(B1689)</f>
        <v>2026</v>
      </c>
      <c r="O1689" t="str">
        <f>INDEX(Agences!$C:$C,MATCH(F1689,Agences!$A:$A,0))</f>
        <v>Sud-Ouest</v>
      </c>
      <c r="P1689" t="str">
        <f>INDEX(Produits!$C:$C,MATCH(H1689,Produits!$A:$A,0))</f>
        <v>Informatique</v>
      </c>
      <c r="Q1689" s="3">
        <f>I1689*INDEX(Produits!$E:$E,MATCH(H1689,Produits!$A:$A,0))</f>
        <v>114.73</v>
      </c>
      <c r="R1689" s="3">
        <f>L1689-Q1689</f>
        <v>34.269999999999996</v>
      </c>
      <c r="S1689" s="2">
        <f>NETWORKDAYS(B1689,C1689)-1</f>
        <v>1</v>
      </c>
      <c r="T1689" s="1">
        <f>WORKDAY(B1689,5)</f>
        <v>46036</v>
      </c>
      <c r="U1689" t="b">
        <f>C1689&gt;T1689</f>
        <v>0</v>
      </c>
    </row>
    <row r="1690" spans="1:21" x14ac:dyDescent="0.25">
      <c r="A1690" t="s">
        <v>1251</v>
      </c>
      <c r="B1690" s="1">
        <v>46029</v>
      </c>
      <c r="C1690" s="1">
        <v>46030</v>
      </c>
      <c r="D1690" t="s">
        <v>1252</v>
      </c>
      <c r="E1690" t="s">
        <v>82</v>
      </c>
      <c r="F1690" t="s">
        <v>39</v>
      </c>
      <c r="G1690" t="s">
        <v>40</v>
      </c>
      <c r="H1690" t="s">
        <v>83</v>
      </c>
      <c r="I1690" s="2">
        <v>2</v>
      </c>
      <c r="J1690" s="3">
        <v>49</v>
      </c>
      <c r="K1690" s="4">
        <v>0.08</v>
      </c>
      <c r="L1690" s="3">
        <v>90.16</v>
      </c>
      <c r="M1690" t="b">
        <v>1</v>
      </c>
      <c r="N1690" s="2">
        <f>YEAR(B1690)</f>
        <v>2026</v>
      </c>
      <c r="O1690" t="str">
        <f>INDEX(Agences!$C:$C,MATCH(F1690,Agences!$A:$A,0))</f>
        <v>Sud-Ouest</v>
      </c>
      <c r="P1690" t="str">
        <f>INDEX(Produits!$C:$C,MATCH(H1690,Produits!$A:$A,0))</f>
        <v>Mobilier</v>
      </c>
      <c r="Q1690" s="3">
        <f>I1690*INDEX(Produits!$E:$E,MATCH(H1690,Produits!$A:$A,0))</f>
        <v>56.84</v>
      </c>
      <c r="R1690" s="3">
        <f>L1690-Q1690</f>
        <v>33.31999999999999</v>
      </c>
      <c r="S1690" s="2">
        <f>NETWORKDAYS(B1690,C1690)-1</f>
        <v>1</v>
      </c>
      <c r="T1690" s="1">
        <f>WORKDAY(B1690,5)</f>
        <v>46036</v>
      </c>
      <c r="U1690" t="b">
        <f>C1690&gt;T1690</f>
        <v>0</v>
      </c>
    </row>
    <row r="1691" spans="1:21" x14ac:dyDescent="0.25">
      <c r="A1691" t="s">
        <v>1251</v>
      </c>
      <c r="B1691" s="1">
        <v>46029</v>
      </c>
      <c r="C1691" s="1">
        <v>46030</v>
      </c>
      <c r="D1691" t="s">
        <v>1252</v>
      </c>
      <c r="E1691" t="s">
        <v>82</v>
      </c>
      <c r="F1691" t="s">
        <v>39</v>
      </c>
      <c r="G1691" t="s">
        <v>40</v>
      </c>
      <c r="H1691" t="s">
        <v>58</v>
      </c>
      <c r="I1691" s="2">
        <v>2</v>
      </c>
      <c r="J1691" s="3">
        <v>649</v>
      </c>
      <c r="K1691" s="4">
        <v>0.02</v>
      </c>
      <c r="L1691" s="3">
        <v>1272.04</v>
      </c>
      <c r="M1691" t="b">
        <v>1</v>
      </c>
      <c r="N1691" s="2">
        <f>YEAR(B1691)</f>
        <v>2026</v>
      </c>
      <c r="O1691" t="str">
        <f>INDEX(Agences!$C:$C,MATCH(F1691,Agences!$A:$A,0))</f>
        <v>Sud-Ouest</v>
      </c>
      <c r="P1691" t="str">
        <f>INDEX(Produits!$C:$C,MATCH(H1691,Produits!$A:$A,0))</f>
        <v>Mobilier</v>
      </c>
      <c r="Q1691" s="3">
        <f>I1691*INDEX(Produits!$E:$E,MATCH(H1691,Produits!$A:$A,0))</f>
        <v>817.74</v>
      </c>
      <c r="R1691" s="3">
        <f>L1691-Q1691</f>
        <v>454.29999999999995</v>
      </c>
      <c r="S1691" s="2">
        <f>NETWORKDAYS(B1691,C1691)-1</f>
        <v>1</v>
      </c>
      <c r="T1691" s="1">
        <f>WORKDAY(B1691,5)</f>
        <v>46036</v>
      </c>
      <c r="U1691" t="b">
        <f>C1691&gt;T1691</f>
        <v>0</v>
      </c>
    </row>
    <row r="1692" spans="1:21" x14ac:dyDescent="0.25">
      <c r="A1692" t="s">
        <v>1251</v>
      </c>
      <c r="B1692" s="1">
        <v>46029</v>
      </c>
      <c r="C1692" s="1">
        <v>46030</v>
      </c>
      <c r="D1692" t="s">
        <v>1252</v>
      </c>
      <c r="E1692" t="s">
        <v>82</v>
      </c>
      <c r="F1692" t="s">
        <v>39</v>
      </c>
      <c r="G1692" t="s">
        <v>40</v>
      </c>
      <c r="H1692" t="s">
        <v>64</v>
      </c>
      <c r="I1692" s="2">
        <v>5</v>
      </c>
      <c r="J1692" s="3">
        <v>16.8</v>
      </c>
      <c r="K1692" s="4">
        <v>0.05</v>
      </c>
      <c r="L1692" s="3">
        <v>79.8</v>
      </c>
      <c r="M1692" t="b">
        <v>1</v>
      </c>
      <c r="N1692" s="2">
        <f>YEAR(B1692)</f>
        <v>2026</v>
      </c>
      <c r="O1692" t="str">
        <f>INDEX(Agences!$C:$C,MATCH(F1692,Agences!$A:$A,0))</f>
        <v>Sud-Ouest</v>
      </c>
      <c r="P1692" t="str">
        <f>INDEX(Produits!$C:$C,MATCH(H1692,Produits!$A:$A,0))</f>
        <v>Fournitures</v>
      </c>
      <c r="Q1692" s="3">
        <f>I1692*INDEX(Produits!$E:$E,MATCH(H1692,Produits!$A:$A,0))</f>
        <v>43.7</v>
      </c>
      <c r="R1692" s="3">
        <f>L1692-Q1692</f>
        <v>36.099999999999994</v>
      </c>
      <c r="S1692" s="2">
        <f>NETWORKDAYS(B1692,C1692)-1</f>
        <v>1</v>
      </c>
      <c r="T1692" s="1">
        <f>WORKDAY(B1692,5)</f>
        <v>46036</v>
      </c>
      <c r="U1692" t="b">
        <f>C1692&gt;T1692</f>
        <v>0</v>
      </c>
    </row>
    <row r="1693" spans="1:21" x14ac:dyDescent="0.25">
      <c r="A1693" t="s">
        <v>1253</v>
      </c>
      <c r="B1693" s="1">
        <v>46028</v>
      </c>
      <c r="C1693" s="1">
        <v>46030</v>
      </c>
      <c r="D1693" t="s">
        <v>286</v>
      </c>
      <c r="E1693" t="s">
        <v>115</v>
      </c>
      <c r="F1693" t="s">
        <v>24</v>
      </c>
      <c r="G1693" t="s">
        <v>199</v>
      </c>
      <c r="H1693" t="s">
        <v>27</v>
      </c>
      <c r="I1693" s="2">
        <v>1</v>
      </c>
      <c r="J1693" s="3">
        <v>310</v>
      </c>
      <c r="K1693" s="4">
        <v>0.08</v>
      </c>
      <c r="L1693" s="3">
        <v>285.2</v>
      </c>
      <c r="M1693" t="b">
        <v>1</v>
      </c>
      <c r="N1693" s="2">
        <f>YEAR(B1693)</f>
        <v>2026</v>
      </c>
      <c r="O1693" t="str">
        <f>INDEX(Agences!$C:$C,MATCH(F1693,Agences!$A:$A,0))</f>
        <v>Nord</v>
      </c>
      <c r="P1693" t="str">
        <f>INDEX(Produits!$C:$C,MATCH(H1693,Produits!$A:$A,0))</f>
        <v>Mobilier</v>
      </c>
      <c r="Q1693" s="3">
        <f>I1693*INDEX(Produits!$E:$E,MATCH(H1693,Produits!$A:$A,0))</f>
        <v>186</v>
      </c>
      <c r="R1693" s="3">
        <f>L1693-Q1693</f>
        <v>99.19999999999999</v>
      </c>
      <c r="S1693" s="2">
        <f>NETWORKDAYS(B1693,C1693)-1</f>
        <v>2</v>
      </c>
      <c r="T1693" s="1">
        <f>WORKDAY(B1693,5)</f>
        <v>46035</v>
      </c>
      <c r="U1693" t="b">
        <f>C1693&gt;T1693</f>
        <v>0</v>
      </c>
    </row>
    <row r="1694" spans="1:21" x14ac:dyDescent="0.25">
      <c r="A1694" t="s">
        <v>1253</v>
      </c>
      <c r="B1694" s="1">
        <v>46028</v>
      </c>
      <c r="C1694" s="1">
        <v>46030</v>
      </c>
      <c r="D1694" t="s">
        <v>286</v>
      </c>
      <c r="E1694" t="s">
        <v>115</v>
      </c>
      <c r="F1694" t="s">
        <v>24</v>
      </c>
      <c r="G1694" t="s">
        <v>199</v>
      </c>
      <c r="H1694" t="s">
        <v>64</v>
      </c>
      <c r="I1694" s="2">
        <v>5</v>
      </c>
      <c r="J1694" s="3">
        <v>16.8</v>
      </c>
      <c r="K1694" s="4">
        <v>0</v>
      </c>
      <c r="L1694" s="3">
        <v>84</v>
      </c>
      <c r="M1694" t="b">
        <v>1</v>
      </c>
      <c r="N1694" s="2">
        <f>YEAR(B1694)</f>
        <v>2026</v>
      </c>
      <c r="O1694" t="str">
        <f>INDEX(Agences!$C:$C,MATCH(F1694,Agences!$A:$A,0))</f>
        <v>Nord</v>
      </c>
      <c r="P1694" t="str">
        <f>INDEX(Produits!$C:$C,MATCH(H1694,Produits!$A:$A,0))</f>
        <v>Fournitures</v>
      </c>
      <c r="Q1694" s="3">
        <f>I1694*INDEX(Produits!$E:$E,MATCH(H1694,Produits!$A:$A,0))</f>
        <v>43.7</v>
      </c>
      <c r="R1694" s="3">
        <f>L1694-Q1694</f>
        <v>40.3</v>
      </c>
      <c r="S1694" s="2">
        <f>NETWORKDAYS(B1694,C1694)-1</f>
        <v>2</v>
      </c>
      <c r="T1694" s="1">
        <f>WORKDAY(B1694,5)</f>
        <v>46035</v>
      </c>
      <c r="U1694" t="b">
        <f>C1694&gt;T1694</f>
        <v>0</v>
      </c>
    </row>
    <row r="1695" spans="1:21" x14ac:dyDescent="0.25">
      <c r="A1695" t="s">
        <v>1254</v>
      </c>
      <c r="B1695" s="1">
        <v>46027</v>
      </c>
      <c r="C1695" s="1">
        <v>46028</v>
      </c>
      <c r="D1695" t="s">
        <v>219</v>
      </c>
      <c r="E1695" t="s">
        <v>213</v>
      </c>
      <c r="F1695" t="s">
        <v>138</v>
      </c>
      <c r="G1695" t="s">
        <v>139</v>
      </c>
      <c r="H1695" t="s">
        <v>108</v>
      </c>
      <c r="I1695" s="2">
        <v>15</v>
      </c>
      <c r="J1695" s="3">
        <v>24.5</v>
      </c>
      <c r="K1695" s="4">
        <v>0.08</v>
      </c>
      <c r="L1695" s="3">
        <v>338.1</v>
      </c>
      <c r="M1695" t="b">
        <v>1</v>
      </c>
      <c r="N1695" s="2">
        <f>YEAR(B1695)</f>
        <v>2026</v>
      </c>
      <c r="O1695" t="str">
        <f>INDEX(Agences!$C:$C,MATCH(F1695,Agences!$A:$A,0))</f>
        <v>Île-de-France</v>
      </c>
      <c r="P1695" t="str">
        <f>INDEX(Produits!$C:$C,MATCH(H1695,Produits!$A:$A,0))</f>
        <v>Fournitures</v>
      </c>
      <c r="Q1695" s="3">
        <f>I1695*INDEX(Produits!$E:$E,MATCH(H1695,Produits!$A:$A,0))</f>
        <v>220.5</v>
      </c>
      <c r="R1695" s="3">
        <f>L1695-Q1695</f>
        <v>117.60000000000002</v>
      </c>
      <c r="S1695" s="2">
        <f>NETWORKDAYS(B1695,C1695)-1</f>
        <v>1</v>
      </c>
      <c r="T1695" s="1">
        <f>WORKDAY(B1695,5)</f>
        <v>46034</v>
      </c>
      <c r="U1695" t="b">
        <f>C1695&gt;T1695</f>
        <v>0</v>
      </c>
    </row>
    <row r="1696" spans="1:21" x14ac:dyDescent="0.25">
      <c r="A1696" t="s">
        <v>1254</v>
      </c>
      <c r="B1696" s="1">
        <v>46027</v>
      </c>
      <c r="C1696" s="1">
        <v>46028</v>
      </c>
      <c r="D1696" t="s">
        <v>219</v>
      </c>
      <c r="E1696" t="s">
        <v>213</v>
      </c>
      <c r="F1696" t="s">
        <v>138</v>
      </c>
      <c r="G1696" t="s">
        <v>139</v>
      </c>
      <c r="H1696" t="s">
        <v>112</v>
      </c>
      <c r="I1696" s="2">
        <v>1</v>
      </c>
      <c r="J1696" s="3">
        <v>129</v>
      </c>
      <c r="K1696" s="4">
        <v>0</v>
      </c>
      <c r="L1696" s="3">
        <v>129</v>
      </c>
      <c r="M1696" t="b">
        <v>1</v>
      </c>
      <c r="N1696" s="2">
        <f>YEAR(B1696)</f>
        <v>2026</v>
      </c>
      <c r="O1696" t="str">
        <f>INDEX(Agences!$C:$C,MATCH(F1696,Agences!$A:$A,0))</f>
        <v>Île-de-France</v>
      </c>
      <c r="P1696" t="str">
        <f>INDEX(Produits!$C:$C,MATCH(H1696,Produits!$A:$A,0))</f>
        <v>Mobilier</v>
      </c>
      <c r="Q1696" s="3">
        <f>I1696*INDEX(Produits!$E:$E,MATCH(H1696,Produits!$A:$A,0))</f>
        <v>86.43</v>
      </c>
      <c r="R1696" s="3">
        <f>L1696-Q1696</f>
        <v>42.56999999999999</v>
      </c>
      <c r="S1696" s="2">
        <f>NETWORKDAYS(B1696,C1696)-1</f>
        <v>1</v>
      </c>
      <c r="T1696" s="1">
        <f>WORKDAY(B1696,5)</f>
        <v>46034</v>
      </c>
      <c r="U1696" t="b">
        <f>C1696&gt;T1696</f>
        <v>0</v>
      </c>
    </row>
    <row r="1697" spans="1:21" x14ac:dyDescent="0.25">
      <c r="A1697" t="s">
        <v>1254</v>
      </c>
      <c r="B1697" s="1">
        <v>46027</v>
      </c>
      <c r="C1697" s="1">
        <v>46028</v>
      </c>
      <c r="D1697" t="s">
        <v>219</v>
      </c>
      <c r="E1697" t="s">
        <v>213</v>
      </c>
      <c r="F1697" t="s">
        <v>138</v>
      </c>
      <c r="G1697" t="s">
        <v>139</v>
      </c>
      <c r="H1697" t="s">
        <v>64</v>
      </c>
      <c r="I1697" s="2">
        <v>5</v>
      </c>
      <c r="J1697" s="3">
        <v>16.8</v>
      </c>
      <c r="K1697" s="4">
        <v>0</v>
      </c>
      <c r="L1697" s="3">
        <v>84</v>
      </c>
      <c r="M1697" t="b">
        <v>1</v>
      </c>
      <c r="N1697" s="2">
        <f>YEAR(B1697)</f>
        <v>2026</v>
      </c>
      <c r="O1697" t="str">
        <f>INDEX(Agences!$C:$C,MATCH(F1697,Agences!$A:$A,0))</f>
        <v>Île-de-France</v>
      </c>
      <c r="P1697" t="str">
        <f>INDEX(Produits!$C:$C,MATCH(H1697,Produits!$A:$A,0))</f>
        <v>Fournitures</v>
      </c>
      <c r="Q1697" s="3">
        <f>I1697*INDEX(Produits!$E:$E,MATCH(H1697,Produits!$A:$A,0))</f>
        <v>43.7</v>
      </c>
      <c r="R1697" s="3">
        <f>L1697-Q1697</f>
        <v>40.3</v>
      </c>
      <c r="S1697" s="2">
        <f>NETWORKDAYS(B1697,C1697)-1</f>
        <v>1</v>
      </c>
      <c r="T1697" s="1">
        <f>WORKDAY(B1697,5)</f>
        <v>46034</v>
      </c>
      <c r="U1697" t="b">
        <f>C1697&gt;T1697</f>
        <v>0</v>
      </c>
    </row>
    <row r="1698" spans="1:21" x14ac:dyDescent="0.25">
      <c r="A1698" t="s">
        <v>1254</v>
      </c>
      <c r="B1698" s="1">
        <v>46027</v>
      </c>
      <c r="C1698" s="1">
        <v>46028</v>
      </c>
      <c r="D1698" t="s">
        <v>219</v>
      </c>
      <c r="E1698" t="s">
        <v>213</v>
      </c>
      <c r="F1698" t="s">
        <v>138</v>
      </c>
      <c r="G1698" t="s">
        <v>139</v>
      </c>
      <c r="H1698" t="s">
        <v>161</v>
      </c>
      <c r="I1698" s="2">
        <v>5</v>
      </c>
      <c r="J1698" s="3">
        <v>32</v>
      </c>
      <c r="K1698" s="4">
        <v>0.05</v>
      </c>
      <c r="L1698" s="3">
        <v>152</v>
      </c>
      <c r="M1698" t="b">
        <v>1</v>
      </c>
      <c r="N1698" s="2">
        <f>YEAR(B1698)</f>
        <v>2026</v>
      </c>
      <c r="O1698" t="str">
        <f>INDEX(Agences!$C:$C,MATCH(F1698,Agences!$A:$A,0))</f>
        <v>Île-de-France</v>
      </c>
      <c r="P1698" t="str">
        <f>INDEX(Produits!$C:$C,MATCH(H1698,Produits!$A:$A,0))</f>
        <v>Fournitures</v>
      </c>
      <c r="Q1698" s="3">
        <f>I1698*INDEX(Produits!$E:$E,MATCH(H1698,Produits!$A:$A,0))</f>
        <v>88</v>
      </c>
      <c r="R1698" s="3">
        <f>L1698-Q1698</f>
        <v>64</v>
      </c>
      <c r="S1698" s="2">
        <f>NETWORKDAYS(B1698,C1698)-1</f>
        <v>1</v>
      </c>
      <c r="T1698" s="1">
        <f>WORKDAY(B1698,5)</f>
        <v>46034</v>
      </c>
      <c r="U1698" t="b">
        <f>C1698&gt;T1698</f>
        <v>0</v>
      </c>
    </row>
    <row r="1699" spans="1:21" x14ac:dyDescent="0.25">
      <c r="A1699" t="s">
        <v>1255</v>
      </c>
      <c r="B1699" s="1">
        <v>46027</v>
      </c>
      <c r="C1699" s="1">
        <v>46031</v>
      </c>
      <c r="D1699" t="s">
        <v>1256</v>
      </c>
      <c r="E1699" t="s">
        <v>213</v>
      </c>
      <c r="F1699" t="s">
        <v>138</v>
      </c>
      <c r="G1699" t="s">
        <v>214</v>
      </c>
      <c r="H1699" t="s">
        <v>205</v>
      </c>
      <c r="I1699" s="2">
        <v>3</v>
      </c>
      <c r="J1699" s="3">
        <v>359</v>
      </c>
      <c r="K1699" s="4">
        <v>0.02</v>
      </c>
      <c r="L1699" s="3">
        <v>1055.46</v>
      </c>
      <c r="M1699" t="b">
        <v>1</v>
      </c>
      <c r="N1699" s="2">
        <f>YEAR(B1699)</f>
        <v>2026</v>
      </c>
      <c r="O1699" t="str">
        <f>INDEX(Agences!$C:$C,MATCH(F1699,Agences!$A:$A,0))</f>
        <v>Île-de-France</v>
      </c>
      <c r="P1699" t="str">
        <f>INDEX(Produits!$C:$C,MATCH(H1699,Produits!$A:$A,0))</f>
        <v>Mobilier</v>
      </c>
      <c r="Q1699" s="3">
        <f>I1699*INDEX(Produits!$E:$E,MATCH(H1699,Produits!$A:$A,0))</f>
        <v>613.89</v>
      </c>
      <c r="R1699" s="3">
        <f>L1699-Q1699</f>
        <v>441.57000000000005</v>
      </c>
      <c r="S1699" s="2">
        <f>NETWORKDAYS(B1699,C1699)-1</f>
        <v>4</v>
      </c>
      <c r="T1699" s="1">
        <f>WORKDAY(B1699,5)</f>
        <v>46034</v>
      </c>
      <c r="U1699" t="b">
        <f>C1699&gt;T1699</f>
        <v>0</v>
      </c>
    </row>
    <row r="1700" spans="1:21" x14ac:dyDescent="0.25">
      <c r="A1700" t="s">
        <v>1255</v>
      </c>
      <c r="B1700" s="1">
        <v>46027</v>
      </c>
      <c r="C1700" s="1">
        <v>46031</v>
      </c>
      <c r="D1700" t="s">
        <v>1256</v>
      </c>
      <c r="E1700" t="s">
        <v>213</v>
      </c>
      <c r="F1700" t="s">
        <v>138</v>
      </c>
      <c r="G1700" t="s">
        <v>214</v>
      </c>
      <c r="H1700" t="s">
        <v>107</v>
      </c>
      <c r="I1700" s="2">
        <v>4</v>
      </c>
      <c r="J1700" s="3">
        <v>99</v>
      </c>
      <c r="K1700" s="4">
        <v>0.02</v>
      </c>
      <c r="L1700" s="3">
        <v>388.08</v>
      </c>
      <c r="M1700" t="b">
        <v>1</v>
      </c>
      <c r="N1700" s="2">
        <f>YEAR(B1700)</f>
        <v>2026</v>
      </c>
      <c r="O1700" t="str">
        <f>INDEX(Agences!$C:$C,MATCH(F1700,Agences!$A:$A,0))</f>
        <v>Île-de-France</v>
      </c>
      <c r="P1700" t="str">
        <f>INDEX(Produits!$C:$C,MATCH(H1700,Produits!$A:$A,0))</f>
        <v>Informatique</v>
      </c>
      <c r="Q1700" s="3">
        <f>I1700*INDEX(Produits!$E:$E,MATCH(H1700,Produits!$A:$A,0))</f>
        <v>300.96</v>
      </c>
      <c r="R1700" s="3">
        <f>L1700-Q1700</f>
        <v>87.12</v>
      </c>
      <c r="S1700" s="2">
        <f>NETWORKDAYS(B1700,C1700)-1</f>
        <v>4</v>
      </c>
      <c r="T1700" s="1">
        <f>WORKDAY(B1700,5)</f>
        <v>46034</v>
      </c>
      <c r="U1700" t="b">
        <f>C1700&gt;T1700</f>
        <v>0</v>
      </c>
    </row>
    <row r="1701" spans="1:21" x14ac:dyDescent="0.25">
      <c r="A1701" t="s">
        <v>1255</v>
      </c>
      <c r="B1701" s="1">
        <v>46027</v>
      </c>
      <c r="C1701" s="1">
        <v>46031</v>
      </c>
      <c r="D1701" t="s">
        <v>1256</v>
      </c>
      <c r="E1701" t="s">
        <v>213</v>
      </c>
      <c r="F1701" t="s">
        <v>138</v>
      </c>
      <c r="G1701" t="s">
        <v>214</v>
      </c>
      <c r="H1701" t="s">
        <v>42</v>
      </c>
      <c r="I1701" s="2">
        <v>1</v>
      </c>
      <c r="J1701" s="3">
        <v>55</v>
      </c>
      <c r="K1701" s="4">
        <v>0</v>
      </c>
      <c r="L1701" s="3">
        <v>55</v>
      </c>
      <c r="M1701" t="b">
        <v>1</v>
      </c>
      <c r="N1701" s="2">
        <f>YEAR(B1701)</f>
        <v>2026</v>
      </c>
      <c r="O1701" t="str">
        <f>INDEX(Agences!$C:$C,MATCH(F1701,Agences!$A:$A,0))</f>
        <v>Île-de-France</v>
      </c>
      <c r="P1701" t="str">
        <f>INDEX(Produits!$C:$C,MATCH(H1701,Produits!$A:$A,0))</f>
        <v>Maintenance</v>
      </c>
      <c r="Q1701" s="3">
        <f>I1701*INDEX(Produits!$E:$E,MATCH(H1701,Produits!$A:$A,0))</f>
        <v>24.75</v>
      </c>
      <c r="R1701" s="3">
        <f>L1701-Q1701</f>
        <v>30.25</v>
      </c>
      <c r="S1701" s="2">
        <f>NETWORKDAYS(B1701,C1701)-1</f>
        <v>4</v>
      </c>
      <c r="T1701" s="1">
        <f>WORKDAY(B1701,5)</f>
        <v>46034</v>
      </c>
      <c r="U1701" t="b">
        <f>C1701&gt;T1701</f>
        <v>0</v>
      </c>
    </row>
    <row r="1702" spans="1:21" x14ac:dyDescent="0.25">
      <c r="A1702" t="s">
        <v>1255</v>
      </c>
      <c r="B1702" s="1">
        <v>46027</v>
      </c>
      <c r="C1702" s="1">
        <v>46031</v>
      </c>
      <c r="D1702" t="s">
        <v>1256</v>
      </c>
      <c r="E1702" t="s">
        <v>213</v>
      </c>
      <c r="F1702" t="s">
        <v>138</v>
      </c>
      <c r="G1702" t="s">
        <v>214</v>
      </c>
      <c r="H1702" t="s">
        <v>103</v>
      </c>
      <c r="I1702" s="2">
        <v>2</v>
      </c>
      <c r="J1702" s="3">
        <v>245</v>
      </c>
      <c r="K1702" s="4">
        <v>0.08</v>
      </c>
      <c r="L1702" s="3">
        <v>450.8</v>
      </c>
      <c r="M1702" t="b">
        <v>1</v>
      </c>
      <c r="N1702" s="2">
        <f>YEAR(B1702)</f>
        <v>2026</v>
      </c>
      <c r="O1702" t="str">
        <f>INDEX(Agences!$C:$C,MATCH(F1702,Agences!$A:$A,0))</f>
        <v>Île-de-France</v>
      </c>
      <c r="P1702" t="str">
        <f>INDEX(Produits!$C:$C,MATCH(H1702,Produits!$A:$A,0))</f>
        <v>Mobilier</v>
      </c>
      <c r="Q1702" s="3">
        <f>I1702*INDEX(Produits!$E:$E,MATCH(H1702,Produits!$A:$A,0))</f>
        <v>328.3</v>
      </c>
      <c r="R1702" s="3">
        <f>L1702-Q1702</f>
        <v>122.5</v>
      </c>
      <c r="S1702" s="2">
        <f>NETWORKDAYS(B1702,C1702)-1</f>
        <v>4</v>
      </c>
      <c r="T1702" s="1">
        <f>WORKDAY(B1702,5)</f>
        <v>46034</v>
      </c>
      <c r="U1702" t="b">
        <f>C1702&gt;T1702</f>
        <v>0</v>
      </c>
    </row>
    <row r="1703" spans="1:21" x14ac:dyDescent="0.25">
      <c r="A1703" t="s">
        <v>1257</v>
      </c>
      <c r="B1703" s="1">
        <v>46027</v>
      </c>
      <c r="C1703" s="1">
        <v>46030</v>
      </c>
      <c r="D1703" t="s">
        <v>1039</v>
      </c>
      <c r="E1703" t="s">
        <v>374</v>
      </c>
      <c r="F1703" t="s">
        <v>31</v>
      </c>
      <c r="G1703" t="s">
        <v>32</v>
      </c>
      <c r="H1703" t="s">
        <v>107</v>
      </c>
      <c r="I1703" s="2">
        <v>1</v>
      </c>
      <c r="J1703" s="3">
        <v>99</v>
      </c>
      <c r="K1703" s="4">
        <v>0</v>
      </c>
      <c r="L1703" s="3">
        <v>99</v>
      </c>
      <c r="M1703" t="b">
        <v>1</v>
      </c>
      <c r="N1703" s="2">
        <f>YEAR(B1703)</f>
        <v>2026</v>
      </c>
      <c r="O1703" t="str">
        <f>INDEX(Agences!$C:$C,MATCH(F1703,Agences!$A:$A,0))</f>
        <v>Ouest</v>
      </c>
      <c r="P1703" t="str">
        <f>INDEX(Produits!$C:$C,MATCH(H1703,Produits!$A:$A,0))</f>
        <v>Informatique</v>
      </c>
      <c r="Q1703" s="3">
        <f>I1703*INDEX(Produits!$E:$E,MATCH(H1703,Produits!$A:$A,0))</f>
        <v>75.24</v>
      </c>
      <c r="R1703" s="3">
        <f>L1703-Q1703</f>
        <v>23.760000000000005</v>
      </c>
      <c r="S1703" s="2">
        <f>NETWORKDAYS(B1703,C1703)-1</f>
        <v>3</v>
      </c>
      <c r="T1703" s="1">
        <f>WORKDAY(B1703,5)</f>
        <v>46034</v>
      </c>
      <c r="U1703" t="b">
        <f>C1703&gt;T1703</f>
        <v>0</v>
      </c>
    </row>
    <row r="1704" spans="1:21" x14ac:dyDescent="0.25">
      <c r="A1704" t="s">
        <v>1258</v>
      </c>
      <c r="B1704" s="1">
        <v>46027</v>
      </c>
      <c r="C1704" s="1">
        <v>46030</v>
      </c>
      <c r="D1704" t="s">
        <v>1259</v>
      </c>
      <c r="E1704" t="s">
        <v>225</v>
      </c>
      <c r="F1704" t="s">
        <v>88</v>
      </c>
      <c r="G1704" t="s">
        <v>89</v>
      </c>
      <c r="H1704" t="s">
        <v>123</v>
      </c>
      <c r="I1704" s="2">
        <v>5</v>
      </c>
      <c r="J1704" s="3">
        <v>39.9</v>
      </c>
      <c r="K1704" s="4">
        <v>0.02</v>
      </c>
      <c r="L1704" s="3">
        <v>195.51</v>
      </c>
      <c r="M1704" t="b">
        <v>1</v>
      </c>
      <c r="N1704" s="2">
        <f>YEAR(B1704)</f>
        <v>2026</v>
      </c>
      <c r="O1704" t="str">
        <f>INDEX(Agences!$C:$C,MATCH(F1704,Agences!$A:$A,0))</f>
        <v>Sud-Ouest</v>
      </c>
      <c r="P1704" t="str">
        <f>INDEX(Produits!$C:$C,MATCH(H1704,Produits!$A:$A,0))</f>
        <v>Fournitures</v>
      </c>
      <c r="Q1704" s="3">
        <f>I1704*INDEX(Produits!$E:$E,MATCH(H1704,Produits!$A:$A,0))</f>
        <v>111.7</v>
      </c>
      <c r="R1704" s="3">
        <f>L1704-Q1704</f>
        <v>83.80999999999999</v>
      </c>
      <c r="S1704" s="2">
        <f>NETWORKDAYS(B1704,C1704)-1</f>
        <v>3</v>
      </c>
      <c r="T1704" s="1">
        <f>WORKDAY(B1704,5)</f>
        <v>46034</v>
      </c>
      <c r="U1704" t="b">
        <f>C1704&gt;T1704</f>
        <v>0</v>
      </c>
    </row>
    <row r="1705" spans="1:21" x14ac:dyDescent="0.25">
      <c r="A1705" t="s">
        <v>1258</v>
      </c>
      <c r="B1705" s="1">
        <v>46027</v>
      </c>
      <c r="C1705" s="1">
        <v>46030</v>
      </c>
      <c r="D1705" t="s">
        <v>1259</v>
      </c>
      <c r="E1705" t="s">
        <v>225</v>
      </c>
      <c r="F1705" t="s">
        <v>88</v>
      </c>
      <c r="G1705" t="s">
        <v>89</v>
      </c>
      <c r="H1705" t="s">
        <v>50</v>
      </c>
      <c r="I1705" s="2">
        <v>3</v>
      </c>
      <c r="J1705" s="3">
        <v>69</v>
      </c>
      <c r="K1705" s="4">
        <v>0</v>
      </c>
      <c r="L1705" s="3">
        <v>207</v>
      </c>
      <c r="M1705" t="b">
        <v>1</v>
      </c>
      <c r="N1705" s="2">
        <f>YEAR(B1705)</f>
        <v>2026</v>
      </c>
      <c r="O1705" t="str">
        <f>INDEX(Agences!$C:$C,MATCH(F1705,Agences!$A:$A,0))</f>
        <v>Sud-Ouest</v>
      </c>
      <c r="P1705" t="str">
        <f>INDEX(Produits!$C:$C,MATCH(H1705,Produits!$A:$A,0))</f>
        <v>Informatique</v>
      </c>
      <c r="Q1705" s="3">
        <f>I1705*INDEX(Produits!$E:$E,MATCH(H1705,Produits!$A:$A,0))</f>
        <v>163.53</v>
      </c>
      <c r="R1705" s="3">
        <f>L1705-Q1705</f>
        <v>43.47</v>
      </c>
      <c r="S1705" s="2">
        <f>NETWORKDAYS(B1705,C1705)-1</f>
        <v>3</v>
      </c>
      <c r="T1705" s="1">
        <f>WORKDAY(B1705,5)</f>
        <v>46034</v>
      </c>
      <c r="U1705" t="b">
        <f>C1705&gt;T1705</f>
        <v>0</v>
      </c>
    </row>
    <row r="1706" spans="1:21" x14ac:dyDescent="0.25">
      <c r="A1706" t="s">
        <v>1260</v>
      </c>
      <c r="B1706" s="1">
        <v>46024</v>
      </c>
      <c r="C1706" s="1">
        <v>46028</v>
      </c>
      <c r="D1706" t="s">
        <v>673</v>
      </c>
      <c r="E1706" t="s">
        <v>229</v>
      </c>
      <c r="F1706" t="s">
        <v>55</v>
      </c>
      <c r="G1706" t="s">
        <v>56</v>
      </c>
      <c r="H1706" t="s">
        <v>42</v>
      </c>
      <c r="I1706" s="2">
        <v>1</v>
      </c>
      <c r="J1706" s="3">
        <v>55</v>
      </c>
      <c r="K1706" s="4">
        <v>0</v>
      </c>
      <c r="L1706" s="3">
        <v>55</v>
      </c>
      <c r="M1706" t="b">
        <v>1</v>
      </c>
      <c r="N1706" s="2">
        <f>YEAR(B1706)</f>
        <v>2026</v>
      </c>
      <c r="O1706" t="str">
        <f>INDEX(Agences!$C:$C,MATCH(F1706,Agences!$A:$A,0))</f>
        <v>Est</v>
      </c>
      <c r="P1706" t="str">
        <f>INDEX(Produits!$C:$C,MATCH(H1706,Produits!$A:$A,0))</f>
        <v>Maintenance</v>
      </c>
      <c r="Q1706" s="3">
        <f>I1706*INDEX(Produits!$E:$E,MATCH(H1706,Produits!$A:$A,0))</f>
        <v>24.75</v>
      </c>
      <c r="R1706" s="3">
        <f>L1706-Q1706</f>
        <v>30.25</v>
      </c>
      <c r="S1706" s="2">
        <f>NETWORKDAYS(B1706,C1706)-1</f>
        <v>2</v>
      </c>
      <c r="T1706" s="1">
        <f>WORKDAY(B1706,5)</f>
        <v>46031</v>
      </c>
      <c r="U1706" t="b">
        <f>C1706&gt;T1706</f>
        <v>0</v>
      </c>
    </row>
    <row r="1707" spans="1:21" x14ac:dyDescent="0.25">
      <c r="A1707" t="s">
        <v>1260</v>
      </c>
      <c r="B1707" s="1">
        <v>46024</v>
      </c>
      <c r="C1707" s="1">
        <v>46028</v>
      </c>
      <c r="D1707" t="s">
        <v>673</v>
      </c>
      <c r="E1707" t="s">
        <v>229</v>
      </c>
      <c r="F1707" t="s">
        <v>55</v>
      </c>
      <c r="G1707" t="s">
        <v>56</v>
      </c>
      <c r="H1707" t="s">
        <v>83</v>
      </c>
      <c r="I1707" s="2">
        <v>1</v>
      </c>
      <c r="J1707" s="3">
        <v>49</v>
      </c>
      <c r="K1707" s="4">
        <v>0.08</v>
      </c>
      <c r="L1707" s="3">
        <v>45.08</v>
      </c>
      <c r="M1707" t="b">
        <v>1</v>
      </c>
      <c r="N1707" s="2">
        <f>YEAR(B1707)</f>
        <v>2026</v>
      </c>
      <c r="O1707" t="str">
        <f>INDEX(Agences!$C:$C,MATCH(F1707,Agences!$A:$A,0))</f>
        <v>Est</v>
      </c>
      <c r="P1707" t="str">
        <f>INDEX(Produits!$C:$C,MATCH(H1707,Produits!$A:$A,0))</f>
        <v>Mobilier</v>
      </c>
      <c r="Q1707" s="3">
        <f>I1707*INDEX(Produits!$E:$E,MATCH(H1707,Produits!$A:$A,0))</f>
        <v>28.42</v>
      </c>
      <c r="R1707" s="3">
        <f>L1707-Q1707</f>
        <v>16.659999999999997</v>
      </c>
      <c r="S1707" s="2">
        <f>NETWORKDAYS(B1707,C1707)-1</f>
        <v>2</v>
      </c>
      <c r="T1707" s="1">
        <f>WORKDAY(B1707,5)</f>
        <v>46031</v>
      </c>
      <c r="U1707" t="b">
        <f>C1707&gt;T1707</f>
        <v>0</v>
      </c>
    </row>
    <row r="1708" spans="1:21" x14ac:dyDescent="0.25">
      <c r="A1708" t="s">
        <v>1260</v>
      </c>
      <c r="B1708" s="1">
        <v>46024</v>
      </c>
      <c r="C1708" s="1">
        <v>46028</v>
      </c>
      <c r="D1708" t="s">
        <v>673</v>
      </c>
      <c r="E1708" t="s">
        <v>229</v>
      </c>
      <c r="F1708" t="s">
        <v>55</v>
      </c>
      <c r="G1708" t="s">
        <v>56</v>
      </c>
      <c r="H1708" t="s">
        <v>51</v>
      </c>
      <c r="I1708" s="2">
        <v>1</v>
      </c>
      <c r="J1708" s="3">
        <v>180</v>
      </c>
      <c r="K1708" s="4">
        <v>0</v>
      </c>
      <c r="L1708" s="3">
        <v>180</v>
      </c>
      <c r="M1708" t="b">
        <v>1</v>
      </c>
      <c r="N1708" s="2">
        <f>YEAR(B1708)</f>
        <v>2026</v>
      </c>
      <c r="O1708" t="str">
        <f>INDEX(Agences!$C:$C,MATCH(F1708,Agences!$A:$A,0))</f>
        <v>Est</v>
      </c>
      <c r="P1708" t="str">
        <f>INDEX(Produits!$C:$C,MATCH(H1708,Produits!$A:$A,0))</f>
        <v>Maintenance</v>
      </c>
      <c r="Q1708" s="3">
        <f>I1708*INDEX(Produits!$E:$E,MATCH(H1708,Produits!$A:$A,0))</f>
        <v>82.8</v>
      </c>
      <c r="R1708" s="3">
        <f>L1708-Q1708</f>
        <v>97.2</v>
      </c>
      <c r="S1708" s="2">
        <f>NETWORKDAYS(B1708,C1708)-1</f>
        <v>2</v>
      </c>
      <c r="T1708" s="1">
        <f>WORKDAY(B1708,5)</f>
        <v>46031</v>
      </c>
      <c r="U1708" t="b">
        <f>C1708&gt;T1708</f>
        <v>0</v>
      </c>
    </row>
    <row r="1709" spans="1:21" x14ac:dyDescent="0.25">
      <c r="A1709" t="s">
        <v>1261</v>
      </c>
      <c r="B1709" s="1">
        <v>46023</v>
      </c>
      <c r="C1709" s="1">
        <v>46027</v>
      </c>
      <c r="D1709" t="s">
        <v>477</v>
      </c>
      <c r="E1709" t="s">
        <v>122</v>
      </c>
      <c r="F1709" t="s">
        <v>24</v>
      </c>
      <c r="G1709" t="s">
        <v>199</v>
      </c>
      <c r="H1709" t="s">
        <v>107</v>
      </c>
      <c r="I1709" s="2">
        <v>3</v>
      </c>
      <c r="J1709" s="3">
        <v>99</v>
      </c>
      <c r="K1709" s="4">
        <v>0.02</v>
      </c>
      <c r="L1709" s="3">
        <v>291.06</v>
      </c>
      <c r="M1709" t="b">
        <v>1</v>
      </c>
      <c r="N1709" s="2">
        <f>YEAR(B1709)</f>
        <v>2026</v>
      </c>
      <c r="O1709" t="str">
        <f>INDEX(Agences!$C:$C,MATCH(F1709,Agences!$A:$A,0))</f>
        <v>Nord</v>
      </c>
      <c r="P1709" t="str">
        <f>INDEX(Produits!$C:$C,MATCH(H1709,Produits!$A:$A,0))</f>
        <v>Informatique</v>
      </c>
      <c r="Q1709" s="3">
        <f>I1709*INDEX(Produits!$E:$E,MATCH(H1709,Produits!$A:$A,0))</f>
        <v>225.71999999999997</v>
      </c>
      <c r="R1709" s="3">
        <f>L1709-Q1709</f>
        <v>65.34000000000003</v>
      </c>
      <c r="S1709" s="2">
        <f>NETWORKDAYS(B1709,C1709)-1</f>
        <v>2</v>
      </c>
      <c r="T1709" s="1">
        <f>WORKDAY(B1709,5)</f>
        <v>46030</v>
      </c>
      <c r="U1709" t="b">
        <f>C1709&gt;T1709</f>
        <v>0</v>
      </c>
    </row>
    <row r="1710" spans="1:21" x14ac:dyDescent="0.25">
      <c r="A1710" t="s">
        <v>1261</v>
      </c>
      <c r="B1710" s="1">
        <v>46023</v>
      </c>
      <c r="C1710" s="1">
        <v>46027</v>
      </c>
      <c r="D1710" t="s">
        <v>477</v>
      </c>
      <c r="E1710" t="s">
        <v>122</v>
      </c>
      <c r="F1710" t="s">
        <v>24</v>
      </c>
      <c r="G1710" t="s">
        <v>199</v>
      </c>
      <c r="H1710" t="s">
        <v>27</v>
      </c>
      <c r="I1710" s="2">
        <v>1</v>
      </c>
      <c r="J1710" s="3">
        <v>310</v>
      </c>
      <c r="K1710" s="4">
        <v>0.02</v>
      </c>
      <c r="L1710" s="3">
        <v>303.8</v>
      </c>
      <c r="M1710" t="b">
        <v>1</v>
      </c>
      <c r="N1710" s="2">
        <f>YEAR(B1710)</f>
        <v>2026</v>
      </c>
      <c r="O1710" t="str">
        <f>INDEX(Agences!$C:$C,MATCH(F1710,Agences!$A:$A,0))</f>
        <v>Nord</v>
      </c>
      <c r="P1710" t="str">
        <f>INDEX(Produits!$C:$C,MATCH(H1710,Produits!$A:$A,0))</f>
        <v>Mobilier</v>
      </c>
      <c r="Q1710" s="3">
        <f>I1710*INDEX(Produits!$E:$E,MATCH(H1710,Produits!$A:$A,0))</f>
        <v>186</v>
      </c>
      <c r="R1710" s="3">
        <f>L1710-Q1710</f>
        <v>117.80000000000001</v>
      </c>
      <c r="S1710" s="2">
        <f>NETWORKDAYS(B1710,C1710)-1</f>
        <v>2</v>
      </c>
      <c r="T1710" s="1">
        <f>WORKDAY(B1710,5)</f>
        <v>46030</v>
      </c>
      <c r="U1710" t="b">
        <f>C1710&gt;T1710</f>
        <v>0</v>
      </c>
    </row>
    <row r="1711" spans="1:21" x14ac:dyDescent="0.25">
      <c r="A1711" t="s">
        <v>1262</v>
      </c>
      <c r="B1711" s="1">
        <v>46023</v>
      </c>
      <c r="C1711" s="1">
        <v>46024</v>
      </c>
      <c r="D1711" t="s">
        <v>504</v>
      </c>
      <c r="E1711" t="s">
        <v>115</v>
      </c>
      <c r="F1711" t="s">
        <v>24</v>
      </c>
      <c r="G1711" t="s">
        <v>116</v>
      </c>
      <c r="H1711" t="s">
        <v>58</v>
      </c>
      <c r="I1711" s="2">
        <v>1</v>
      </c>
      <c r="J1711" s="3">
        <v>649</v>
      </c>
      <c r="K1711" s="4">
        <v>0</v>
      </c>
      <c r="L1711" s="3">
        <v>649</v>
      </c>
      <c r="M1711" t="b">
        <v>1</v>
      </c>
      <c r="N1711" s="2">
        <f>YEAR(B1711)</f>
        <v>2026</v>
      </c>
      <c r="O1711" t="str">
        <f>INDEX(Agences!$C:$C,MATCH(F1711,Agences!$A:$A,0))</f>
        <v>Nord</v>
      </c>
      <c r="P1711" t="str">
        <f>INDEX(Produits!$C:$C,MATCH(H1711,Produits!$A:$A,0))</f>
        <v>Mobilier</v>
      </c>
      <c r="Q1711" s="3">
        <f>I1711*INDEX(Produits!$E:$E,MATCH(H1711,Produits!$A:$A,0))</f>
        <v>408.87</v>
      </c>
      <c r="R1711" s="3">
        <f>L1711-Q1711</f>
        <v>240.13</v>
      </c>
      <c r="S1711" s="2">
        <f>NETWORKDAYS(B1711,C1711)-1</f>
        <v>1</v>
      </c>
      <c r="T1711" s="1">
        <f>WORKDAY(B1711,5)</f>
        <v>46030</v>
      </c>
      <c r="U1711" t="b">
        <f>C1711&gt;T1711</f>
        <v>0</v>
      </c>
    </row>
    <row r="1712" spans="1:21" x14ac:dyDescent="0.25">
      <c r="A1712" t="s">
        <v>1262</v>
      </c>
      <c r="B1712" s="1">
        <v>46023</v>
      </c>
      <c r="C1712" s="1">
        <v>46024</v>
      </c>
      <c r="D1712" t="s">
        <v>504</v>
      </c>
      <c r="E1712" t="s">
        <v>115</v>
      </c>
      <c r="F1712" t="s">
        <v>24</v>
      </c>
      <c r="G1712" t="s">
        <v>116</v>
      </c>
      <c r="H1712" t="s">
        <v>33</v>
      </c>
      <c r="I1712" s="2">
        <v>1</v>
      </c>
      <c r="J1712" s="3">
        <v>219</v>
      </c>
      <c r="K1712" s="4">
        <v>0.08</v>
      </c>
      <c r="L1712" s="3">
        <v>201.48</v>
      </c>
      <c r="M1712" t="b">
        <v>1</v>
      </c>
      <c r="N1712" s="2">
        <f>YEAR(B1712)</f>
        <v>2026</v>
      </c>
      <c r="O1712" t="str">
        <f>INDEX(Agences!$C:$C,MATCH(F1712,Agences!$A:$A,0))</f>
        <v>Nord</v>
      </c>
      <c r="P1712" t="str">
        <f>INDEX(Produits!$C:$C,MATCH(H1712,Produits!$A:$A,0))</f>
        <v>Informatique</v>
      </c>
      <c r="Q1712" s="3">
        <f>I1712*INDEX(Produits!$E:$E,MATCH(H1712,Produits!$A:$A,0))</f>
        <v>179.58</v>
      </c>
      <c r="R1712" s="3">
        <f>L1712-Q1712</f>
        <v>21.899999999999977</v>
      </c>
      <c r="S1712" s="2">
        <f>NETWORKDAYS(B1712,C1712)-1</f>
        <v>1</v>
      </c>
      <c r="T1712" s="1">
        <f>WORKDAY(B1712,5)</f>
        <v>46030</v>
      </c>
      <c r="U1712" t="b">
        <f>C1712&gt;T1712</f>
        <v>0</v>
      </c>
    </row>
    <row r="1713" spans="1:21" x14ac:dyDescent="0.25">
      <c r="A1713" t="s">
        <v>1263</v>
      </c>
      <c r="B1713" s="1">
        <v>46023</v>
      </c>
      <c r="C1713" s="1">
        <v>46030</v>
      </c>
      <c r="D1713" t="s">
        <v>351</v>
      </c>
      <c r="E1713" t="s">
        <v>202</v>
      </c>
      <c r="F1713" t="s">
        <v>138</v>
      </c>
      <c r="G1713" t="s">
        <v>214</v>
      </c>
      <c r="H1713" t="s">
        <v>107</v>
      </c>
      <c r="I1713" s="2">
        <v>3</v>
      </c>
      <c r="J1713" s="3">
        <v>99</v>
      </c>
      <c r="K1713" s="4">
        <v>0</v>
      </c>
      <c r="L1713" s="3">
        <v>297</v>
      </c>
      <c r="M1713" t="b">
        <v>1</v>
      </c>
      <c r="N1713" s="2">
        <f>YEAR(B1713)</f>
        <v>2026</v>
      </c>
      <c r="O1713" t="str">
        <f>INDEX(Agences!$C:$C,MATCH(F1713,Agences!$A:$A,0))</f>
        <v>Île-de-France</v>
      </c>
      <c r="P1713" t="str">
        <f>INDEX(Produits!$C:$C,MATCH(H1713,Produits!$A:$A,0))</f>
        <v>Informatique</v>
      </c>
      <c r="Q1713" s="3">
        <f>I1713*INDEX(Produits!$E:$E,MATCH(H1713,Produits!$A:$A,0))</f>
        <v>225.71999999999997</v>
      </c>
      <c r="R1713" s="3">
        <f>L1713-Q1713</f>
        <v>71.28000000000003</v>
      </c>
      <c r="S1713" s="2">
        <f>NETWORKDAYS(B1713,C1713)-1</f>
        <v>5</v>
      </c>
      <c r="T1713" s="1">
        <f>WORKDAY(B1713,5)</f>
        <v>46030</v>
      </c>
      <c r="U1713" t="b">
        <f>C1713&gt;T1713</f>
        <v>0</v>
      </c>
    </row>
    <row r="1714" spans="1:21" x14ac:dyDescent="0.25">
      <c r="A1714" t="s">
        <v>1263</v>
      </c>
      <c r="B1714" s="1">
        <v>46023</v>
      </c>
      <c r="C1714" s="1">
        <v>46030</v>
      </c>
      <c r="D1714" t="s">
        <v>351</v>
      </c>
      <c r="E1714" t="s">
        <v>202</v>
      </c>
      <c r="F1714" t="s">
        <v>138</v>
      </c>
      <c r="G1714" t="s">
        <v>214</v>
      </c>
      <c r="H1714" t="s">
        <v>72</v>
      </c>
      <c r="I1714" s="2">
        <v>3</v>
      </c>
      <c r="J1714" s="3">
        <v>179</v>
      </c>
      <c r="K1714" s="4">
        <v>0</v>
      </c>
      <c r="L1714" s="3">
        <v>537</v>
      </c>
      <c r="M1714" t="b">
        <v>1</v>
      </c>
      <c r="N1714" s="2">
        <f>YEAR(B1714)</f>
        <v>2026</v>
      </c>
      <c r="O1714" t="str">
        <f>INDEX(Agences!$C:$C,MATCH(F1714,Agences!$A:$A,0))</f>
        <v>Île-de-France</v>
      </c>
      <c r="P1714" t="str">
        <f>INDEX(Produits!$C:$C,MATCH(H1714,Produits!$A:$A,0))</f>
        <v>Informatique</v>
      </c>
      <c r="Q1714" s="3">
        <f>I1714*INDEX(Produits!$E:$E,MATCH(H1714,Produits!$A:$A,0))</f>
        <v>440.34000000000003</v>
      </c>
      <c r="R1714" s="3">
        <f>L1714-Q1714</f>
        <v>96.65999999999997</v>
      </c>
      <c r="S1714" s="2">
        <f>NETWORKDAYS(B1714,C1714)-1</f>
        <v>5</v>
      </c>
      <c r="T1714" s="1">
        <f>WORKDAY(B1714,5)</f>
        <v>46030</v>
      </c>
      <c r="U1714" t="b">
        <f>C1714&gt;T1714</f>
        <v>0</v>
      </c>
    </row>
    <row r="1715" spans="1:21" x14ac:dyDescent="0.25">
      <c r="A1715" t="s">
        <v>1263</v>
      </c>
      <c r="B1715" s="1">
        <v>46023</v>
      </c>
      <c r="C1715" s="1">
        <v>46030</v>
      </c>
      <c r="D1715" t="s">
        <v>351</v>
      </c>
      <c r="E1715" t="s">
        <v>202</v>
      </c>
      <c r="F1715" t="s">
        <v>138</v>
      </c>
      <c r="G1715" t="s">
        <v>214</v>
      </c>
      <c r="H1715" t="s">
        <v>41</v>
      </c>
      <c r="I1715" s="2">
        <v>2</v>
      </c>
      <c r="J1715" s="3">
        <v>790</v>
      </c>
      <c r="K1715" s="4">
        <v>0.1</v>
      </c>
      <c r="L1715" s="3">
        <v>1422</v>
      </c>
      <c r="M1715" t="b">
        <v>1</v>
      </c>
      <c r="N1715" s="2">
        <f>YEAR(B1715)</f>
        <v>2026</v>
      </c>
      <c r="O1715" t="str">
        <f>INDEX(Agences!$C:$C,MATCH(F1715,Agences!$A:$A,0))</f>
        <v>Île-de-France</v>
      </c>
      <c r="P1715" t="str">
        <f>INDEX(Produits!$C:$C,MATCH(H1715,Produits!$A:$A,0))</f>
        <v>Informatique</v>
      </c>
      <c r="Q1715" s="3">
        <f>I1715*INDEX(Produits!$E:$E,MATCH(H1715,Produits!$A:$A,0))</f>
        <v>1153.4</v>
      </c>
      <c r="R1715" s="3">
        <f>L1715-Q1715</f>
        <v>268.5999999999999</v>
      </c>
      <c r="S1715" s="2">
        <f>NETWORKDAYS(B1715,C1715)-1</f>
        <v>5</v>
      </c>
      <c r="T1715" s="1">
        <f>WORKDAY(B1715,5)</f>
        <v>46030</v>
      </c>
      <c r="U1715" t="b">
        <f>C1715&gt;T1715</f>
        <v>0</v>
      </c>
    </row>
    <row r="1716" spans="1:21" x14ac:dyDescent="0.25">
      <c r="A1716" t="s">
        <v>1264</v>
      </c>
      <c r="B1716" s="1">
        <v>46023</v>
      </c>
      <c r="C1716" s="1">
        <v>46027</v>
      </c>
      <c r="D1716" t="s">
        <v>1190</v>
      </c>
      <c r="E1716" t="s">
        <v>165</v>
      </c>
      <c r="F1716" t="s">
        <v>166</v>
      </c>
      <c r="G1716" t="s">
        <v>179</v>
      </c>
      <c r="H1716" t="s">
        <v>33</v>
      </c>
      <c r="I1716" s="2">
        <v>2</v>
      </c>
      <c r="J1716" s="3">
        <v>219</v>
      </c>
      <c r="K1716" s="4">
        <v>0.08</v>
      </c>
      <c r="L1716" s="3">
        <v>402.96</v>
      </c>
      <c r="M1716" t="b">
        <v>1</v>
      </c>
      <c r="N1716" s="2">
        <f>YEAR(B1716)</f>
        <v>2026</v>
      </c>
      <c r="O1716" t="str">
        <f>INDEX(Agences!$C:$C,MATCH(F1716,Agences!$A:$A,0))</f>
        <v>Ouest</v>
      </c>
      <c r="P1716" t="str">
        <f>INDEX(Produits!$C:$C,MATCH(H1716,Produits!$A:$A,0))</f>
        <v>Informatique</v>
      </c>
      <c r="Q1716" s="3">
        <f>I1716*INDEX(Produits!$E:$E,MATCH(H1716,Produits!$A:$A,0))</f>
        <v>359.16</v>
      </c>
      <c r="R1716" s="3">
        <f>L1716-Q1716</f>
        <v>43.799999999999955</v>
      </c>
      <c r="S1716" s="2">
        <f>NETWORKDAYS(B1716,C1716)-1</f>
        <v>2</v>
      </c>
      <c r="T1716" s="1">
        <f>WORKDAY(B1716,5)</f>
        <v>46030</v>
      </c>
      <c r="U1716" t="b">
        <f>C1716&gt;T1716</f>
        <v>0</v>
      </c>
    </row>
    <row r="1717" spans="1:21" x14ac:dyDescent="0.25">
      <c r="A1717" t="s">
        <v>1264</v>
      </c>
      <c r="B1717" s="1">
        <v>46023</v>
      </c>
      <c r="C1717" s="1">
        <v>46027</v>
      </c>
      <c r="D1717" t="s">
        <v>1190</v>
      </c>
      <c r="E1717" t="s">
        <v>165</v>
      </c>
      <c r="F1717" t="s">
        <v>166</v>
      </c>
      <c r="G1717" t="s">
        <v>179</v>
      </c>
      <c r="H1717" t="s">
        <v>48</v>
      </c>
      <c r="I1717" s="2">
        <v>1</v>
      </c>
      <c r="J1717" s="3">
        <v>165</v>
      </c>
      <c r="K1717" s="4">
        <v>0.02</v>
      </c>
      <c r="L1717" s="3">
        <v>161.7</v>
      </c>
      <c r="M1717" t="b">
        <v>1</v>
      </c>
      <c r="N1717" s="2">
        <f>YEAR(B1717)</f>
        <v>2026</v>
      </c>
      <c r="O1717" t="str">
        <f>INDEX(Agences!$C:$C,MATCH(F1717,Agences!$A:$A,0))</f>
        <v>Ouest</v>
      </c>
      <c r="P1717" t="str">
        <f>INDEX(Produits!$C:$C,MATCH(H1717,Produits!$A:$A,0))</f>
        <v>Mobilier</v>
      </c>
      <c r="Q1717" s="3">
        <f>I1717*INDEX(Produits!$E:$E,MATCH(H1717,Produits!$A:$A,0))</f>
        <v>107.25</v>
      </c>
      <c r="R1717" s="3">
        <f>L1717-Q1717</f>
        <v>54.44999999999999</v>
      </c>
      <c r="S1717" s="2">
        <f>NETWORKDAYS(B1717,C1717)-1</f>
        <v>2</v>
      </c>
      <c r="T1717" s="1">
        <f>WORKDAY(B1717,5)</f>
        <v>46030</v>
      </c>
      <c r="U1717" t="b">
        <f>C1717&gt;T1717</f>
        <v>0</v>
      </c>
    </row>
    <row r="1718" spans="1:21" x14ac:dyDescent="0.25">
      <c r="A1718" t="s">
        <v>1264</v>
      </c>
      <c r="B1718" s="1">
        <v>46023</v>
      </c>
      <c r="C1718" s="1">
        <v>46027</v>
      </c>
      <c r="D1718" t="s">
        <v>1190</v>
      </c>
      <c r="E1718" t="s">
        <v>165</v>
      </c>
      <c r="F1718" t="s">
        <v>166</v>
      </c>
      <c r="G1718" t="s">
        <v>179</v>
      </c>
      <c r="H1718" t="s">
        <v>49</v>
      </c>
      <c r="I1718" s="2">
        <v>1</v>
      </c>
      <c r="J1718" s="3">
        <v>120</v>
      </c>
      <c r="K1718" s="4">
        <v>0.05</v>
      </c>
      <c r="L1718" s="3">
        <v>114</v>
      </c>
      <c r="M1718" t="b">
        <v>1</v>
      </c>
      <c r="N1718" s="2">
        <f>YEAR(B1718)</f>
        <v>2026</v>
      </c>
      <c r="O1718" t="str">
        <f>INDEX(Agences!$C:$C,MATCH(F1718,Agences!$A:$A,0))</f>
        <v>Ouest</v>
      </c>
      <c r="P1718" t="str">
        <f>INDEX(Produits!$C:$C,MATCH(H1718,Produits!$A:$A,0))</f>
        <v>Maintenance</v>
      </c>
      <c r="Q1718" s="3">
        <f>I1718*INDEX(Produits!$E:$E,MATCH(H1718,Produits!$A:$A,0))</f>
        <v>55.2</v>
      </c>
      <c r="R1718" s="3">
        <f>L1718-Q1718</f>
        <v>58.8</v>
      </c>
      <c r="S1718" s="2">
        <f>NETWORKDAYS(B1718,C1718)-1</f>
        <v>2</v>
      </c>
      <c r="T1718" s="1">
        <f>WORKDAY(B1718,5)</f>
        <v>46030</v>
      </c>
      <c r="U1718" t="b">
        <f>C1718&gt;T1718</f>
        <v>0</v>
      </c>
    </row>
    <row r="1719" spans="1:21" x14ac:dyDescent="0.25">
      <c r="A1719" t="s">
        <v>1265</v>
      </c>
      <c r="B1719" s="1">
        <v>46023</v>
      </c>
      <c r="C1719" s="1">
        <v>46027</v>
      </c>
      <c r="D1719" t="s">
        <v>1252</v>
      </c>
      <c r="E1719" t="s">
        <v>82</v>
      </c>
      <c r="F1719" t="s">
        <v>39</v>
      </c>
      <c r="G1719" t="s">
        <v>40</v>
      </c>
      <c r="H1719" t="s">
        <v>123</v>
      </c>
      <c r="I1719" s="2">
        <v>5</v>
      </c>
      <c r="J1719" s="3">
        <v>39.9</v>
      </c>
      <c r="K1719" s="4">
        <v>0.1</v>
      </c>
      <c r="L1719" s="3">
        <v>179.55</v>
      </c>
      <c r="M1719" t="b">
        <v>1</v>
      </c>
      <c r="N1719" s="2">
        <f>YEAR(B1719)</f>
        <v>2026</v>
      </c>
      <c r="O1719" t="str">
        <f>INDEX(Agences!$C:$C,MATCH(F1719,Agences!$A:$A,0))</f>
        <v>Sud-Ouest</v>
      </c>
      <c r="P1719" t="str">
        <f>INDEX(Produits!$C:$C,MATCH(H1719,Produits!$A:$A,0))</f>
        <v>Fournitures</v>
      </c>
      <c r="Q1719" s="3">
        <f>I1719*INDEX(Produits!$E:$E,MATCH(H1719,Produits!$A:$A,0))</f>
        <v>111.7</v>
      </c>
      <c r="R1719" s="3">
        <f>L1719-Q1719</f>
        <v>67.85000000000001</v>
      </c>
      <c r="S1719" s="2">
        <f>NETWORKDAYS(B1719,C1719)-1</f>
        <v>2</v>
      </c>
      <c r="T1719" s="1">
        <f>WORKDAY(B1719,5)</f>
        <v>46030</v>
      </c>
      <c r="U1719" t="b">
        <f>C1719&gt;T1719</f>
        <v>0</v>
      </c>
    </row>
    <row r="1720" spans="1:21" x14ac:dyDescent="0.25">
      <c r="A1720" t="s">
        <v>1265</v>
      </c>
      <c r="B1720" s="1">
        <v>46023</v>
      </c>
      <c r="C1720" s="1">
        <v>46027</v>
      </c>
      <c r="D1720" t="s">
        <v>1252</v>
      </c>
      <c r="E1720" t="s">
        <v>82</v>
      </c>
      <c r="F1720" t="s">
        <v>39</v>
      </c>
      <c r="G1720" t="s">
        <v>40</v>
      </c>
      <c r="H1720" t="s">
        <v>233</v>
      </c>
      <c r="I1720" s="2">
        <v>5</v>
      </c>
      <c r="J1720" s="3">
        <v>27.5</v>
      </c>
      <c r="K1720" s="4">
        <v>0.05</v>
      </c>
      <c r="L1720" s="3">
        <v>130.63</v>
      </c>
      <c r="M1720" t="b">
        <v>1</v>
      </c>
      <c r="N1720" s="2">
        <f>YEAR(B1720)</f>
        <v>2026</v>
      </c>
      <c r="O1720" t="str">
        <f>INDEX(Agences!$C:$C,MATCH(F1720,Agences!$A:$A,0))</f>
        <v>Sud-Ouest</v>
      </c>
      <c r="P1720" t="str">
        <f>INDEX(Produits!$C:$C,MATCH(H1720,Produits!$A:$A,0))</f>
        <v>Fournitures</v>
      </c>
      <c r="Q1720" s="3">
        <f>I1720*INDEX(Produits!$E:$E,MATCH(H1720,Produits!$A:$A,0))</f>
        <v>77</v>
      </c>
      <c r="R1720" s="3">
        <f>L1720-Q1720</f>
        <v>53.629999999999995</v>
      </c>
      <c r="S1720" s="2">
        <f>NETWORKDAYS(B1720,C1720)-1</f>
        <v>2</v>
      </c>
      <c r="T1720" s="1">
        <f>WORKDAY(B1720,5)</f>
        <v>46030</v>
      </c>
      <c r="U1720" t="b">
        <f>C1720&gt;T1720</f>
        <v>0</v>
      </c>
    </row>
    <row r="1721" spans="1:21" x14ac:dyDescent="0.25">
      <c r="A1721" t="s">
        <v>1265</v>
      </c>
      <c r="B1721" s="1">
        <v>46023</v>
      </c>
      <c r="C1721" s="1">
        <v>46027</v>
      </c>
      <c r="D1721" t="s">
        <v>1252</v>
      </c>
      <c r="E1721" t="s">
        <v>82</v>
      </c>
      <c r="F1721" t="s">
        <v>39</v>
      </c>
      <c r="G1721" t="s">
        <v>40</v>
      </c>
      <c r="H1721" t="s">
        <v>72</v>
      </c>
      <c r="I1721" s="2">
        <v>4</v>
      </c>
      <c r="J1721" s="3">
        <v>179</v>
      </c>
      <c r="K1721" s="4">
        <v>0</v>
      </c>
      <c r="L1721" s="3">
        <v>716</v>
      </c>
      <c r="M1721" t="b">
        <v>1</v>
      </c>
      <c r="N1721" s="2">
        <f>YEAR(B1721)</f>
        <v>2026</v>
      </c>
      <c r="O1721" t="str">
        <f>INDEX(Agences!$C:$C,MATCH(F1721,Agences!$A:$A,0))</f>
        <v>Sud-Ouest</v>
      </c>
      <c r="P1721" t="str">
        <f>INDEX(Produits!$C:$C,MATCH(H1721,Produits!$A:$A,0))</f>
        <v>Informatique</v>
      </c>
      <c r="Q1721" s="3">
        <f>I1721*INDEX(Produits!$E:$E,MATCH(H1721,Produits!$A:$A,0))</f>
        <v>587.12</v>
      </c>
      <c r="R1721" s="3">
        <f>L1721-Q1721</f>
        <v>128.88</v>
      </c>
      <c r="S1721" s="2">
        <f>NETWORKDAYS(B1721,C1721)-1</f>
        <v>2</v>
      </c>
      <c r="T1721" s="1">
        <f>WORKDAY(B1721,5)</f>
        <v>46030</v>
      </c>
      <c r="U1721" t="b">
        <f>C1721&gt;T1721</f>
        <v>0</v>
      </c>
    </row>
    <row r="1722" spans="1:21" x14ac:dyDescent="0.25">
      <c r="A1722" t="s">
        <v>1266</v>
      </c>
      <c r="B1722" s="1">
        <v>46023</v>
      </c>
      <c r="C1722" s="1">
        <v>46024</v>
      </c>
      <c r="D1722" t="s">
        <v>832</v>
      </c>
      <c r="E1722" t="s">
        <v>256</v>
      </c>
      <c r="F1722" t="s">
        <v>88</v>
      </c>
      <c r="G1722" t="s">
        <v>142</v>
      </c>
      <c r="H1722" t="s">
        <v>42</v>
      </c>
      <c r="I1722" s="2">
        <v>1</v>
      </c>
      <c r="J1722" s="3">
        <v>55</v>
      </c>
      <c r="K1722" s="4">
        <v>0</v>
      </c>
      <c r="L1722" s="3">
        <v>55</v>
      </c>
      <c r="M1722" t="b">
        <v>1</v>
      </c>
      <c r="N1722" s="2">
        <f>YEAR(B1722)</f>
        <v>2026</v>
      </c>
      <c r="O1722" t="str">
        <f>INDEX(Agences!$C:$C,MATCH(F1722,Agences!$A:$A,0))</f>
        <v>Sud-Ouest</v>
      </c>
      <c r="P1722" t="str">
        <f>INDEX(Produits!$C:$C,MATCH(H1722,Produits!$A:$A,0))</f>
        <v>Maintenance</v>
      </c>
      <c r="Q1722" s="3">
        <f>I1722*INDEX(Produits!$E:$E,MATCH(H1722,Produits!$A:$A,0))</f>
        <v>24.75</v>
      </c>
      <c r="R1722" s="3">
        <f>L1722-Q1722</f>
        <v>30.25</v>
      </c>
      <c r="S1722" s="2">
        <f>NETWORKDAYS(B1722,C1722)-1</f>
        <v>1</v>
      </c>
      <c r="T1722" s="1">
        <f>WORKDAY(B1722,5)</f>
        <v>46030</v>
      </c>
      <c r="U1722" t="b">
        <f>C1722&gt;T1722</f>
        <v>0</v>
      </c>
    </row>
    <row r="1723" spans="1:21" x14ac:dyDescent="0.25">
      <c r="A1723" t="s">
        <v>1266</v>
      </c>
      <c r="B1723" s="1">
        <v>46023</v>
      </c>
      <c r="C1723" s="1">
        <v>46024</v>
      </c>
      <c r="D1723" t="s">
        <v>832</v>
      </c>
      <c r="E1723" t="s">
        <v>256</v>
      </c>
      <c r="F1723" t="s">
        <v>88</v>
      </c>
      <c r="G1723" t="s">
        <v>142</v>
      </c>
      <c r="H1723" t="s">
        <v>57</v>
      </c>
      <c r="I1723" s="2">
        <v>1</v>
      </c>
      <c r="J1723" s="3">
        <v>149</v>
      </c>
      <c r="K1723" s="4">
        <v>0.02</v>
      </c>
      <c r="L1723" s="3">
        <v>146.02</v>
      </c>
      <c r="M1723" t="b">
        <v>1</v>
      </c>
      <c r="N1723" s="2">
        <f>YEAR(B1723)</f>
        <v>2026</v>
      </c>
      <c r="O1723" t="str">
        <f>INDEX(Agences!$C:$C,MATCH(F1723,Agences!$A:$A,0))</f>
        <v>Sud-Ouest</v>
      </c>
      <c r="P1723" t="str">
        <f>INDEX(Produits!$C:$C,MATCH(H1723,Produits!$A:$A,0))</f>
        <v>Informatique</v>
      </c>
      <c r="Q1723" s="3">
        <f>I1723*INDEX(Produits!$E:$E,MATCH(H1723,Produits!$A:$A,0))</f>
        <v>114.73</v>
      </c>
      <c r="R1723" s="3">
        <f>L1723-Q1723</f>
        <v>31.290000000000006</v>
      </c>
      <c r="S1723" s="2">
        <f>NETWORKDAYS(B1723,C1723)-1</f>
        <v>1</v>
      </c>
      <c r="T1723" s="1">
        <f>WORKDAY(B1723,5)</f>
        <v>46030</v>
      </c>
      <c r="U1723" t="b">
        <f>C1723&gt;T1723</f>
        <v>0</v>
      </c>
    </row>
    <row r="1724" spans="1:21" x14ac:dyDescent="0.25">
      <c r="A1724" t="s">
        <v>1266</v>
      </c>
      <c r="B1724" s="1">
        <v>46023</v>
      </c>
      <c r="C1724" s="1">
        <v>46024</v>
      </c>
      <c r="D1724" t="s">
        <v>832</v>
      </c>
      <c r="E1724" t="s">
        <v>256</v>
      </c>
      <c r="F1724" t="s">
        <v>88</v>
      </c>
      <c r="G1724" t="s">
        <v>142</v>
      </c>
      <c r="H1724" t="s">
        <v>72</v>
      </c>
      <c r="I1724" s="2">
        <v>1</v>
      </c>
      <c r="J1724" s="3">
        <v>179</v>
      </c>
      <c r="K1724" s="4">
        <v>0</v>
      </c>
      <c r="L1724" s="3">
        <v>179</v>
      </c>
      <c r="M1724" t="b">
        <v>1</v>
      </c>
      <c r="N1724" s="2">
        <f>YEAR(B1724)</f>
        <v>2026</v>
      </c>
      <c r="O1724" t="str">
        <f>INDEX(Agences!$C:$C,MATCH(F1724,Agences!$A:$A,0))</f>
        <v>Sud-Ouest</v>
      </c>
      <c r="P1724" t="str">
        <f>INDEX(Produits!$C:$C,MATCH(H1724,Produits!$A:$A,0))</f>
        <v>Informatique</v>
      </c>
      <c r="Q1724" s="3">
        <f>I1724*INDEX(Produits!$E:$E,MATCH(H1724,Produits!$A:$A,0))</f>
        <v>146.78</v>
      </c>
      <c r="R1724" s="3">
        <f>L1724-Q1724</f>
        <v>32.22</v>
      </c>
      <c r="S1724" s="2">
        <f>NETWORKDAYS(B1724,C1724)-1</f>
        <v>1</v>
      </c>
      <c r="T1724" s="1">
        <f>WORKDAY(B1724,5)</f>
        <v>46030</v>
      </c>
      <c r="U1724" t="b">
        <f>C1724&gt;T1724</f>
        <v>0</v>
      </c>
    </row>
    <row r="1725" spans="1:21" x14ac:dyDescent="0.25">
      <c r="A1725" t="s">
        <v>1266</v>
      </c>
      <c r="B1725" s="1">
        <v>46023</v>
      </c>
      <c r="C1725" s="1">
        <v>46024</v>
      </c>
      <c r="D1725" t="s">
        <v>832</v>
      </c>
      <c r="E1725" t="s">
        <v>256</v>
      </c>
      <c r="F1725" t="s">
        <v>88</v>
      </c>
      <c r="G1725" t="s">
        <v>142</v>
      </c>
      <c r="H1725" t="s">
        <v>83</v>
      </c>
      <c r="I1725" s="2">
        <v>3</v>
      </c>
      <c r="J1725" s="3">
        <v>49</v>
      </c>
      <c r="K1725" s="4">
        <v>0.02</v>
      </c>
      <c r="L1725" s="3">
        <v>144.06</v>
      </c>
      <c r="M1725" t="b">
        <v>1</v>
      </c>
      <c r="N1725" s="2">
        <f>YEAR(B1725)</f>
        <v>2026</v>
      </c>
      <c r="O1725" t="str">
        <f>INDEX(Agences!$C:$C,MATCH(F1725,Agences!$A:$A,0))</f>
        <v>Sud-Ouest</v>
      </c>
      <c r="P1725" t="str">
        <f>INDEX(Produits!$C:$C,MATCH(H1725,Produits!$A:$A,0))</f>
        <v>Mobilier</v>
      </c>
      <c r="Q1725" s="3">
        <f>I1725*INDEX(Produits!$E:$E,MATCH(H1725,Produits!$A:$A,0))</f>
        <v>85.26</v>
      </c>
      <c r="R1725" s="3">
        <f>L1725-Q1725</f>
        <v>58.8</v>
      </c>
      <c r="S1725" s="2">
        <f>NETWORKDAYS(B1725,C1725)-1</f>
        <v>1</v>
      </c>
      <c r="T1725" s="1">
        <f>WORKDAY(B1725,5)</f>
        <v>46030</v>
      </c>
      <c r="U1725" t="b">
        <f>C1725&gt;T1725</f>
        <v>0</v>
      </c>
    </row>
    <row r="1726" spans="1:21" x14ac:dyDescent="0.25">
      <c r="A1726" t="s">
        <v>1267</v>
      </c>
      <c r="B1726" s="1">
        <v>46023</v>
      </c>
      <c r="C1726" s="1">
        <v>46024</v>
      </c>
      <c r="D1726" t="s">
        <v>1268</v>
      </c>
      <c r="E1726" t="s">
        <v>191</v>
      </c>
      <c r="F1726" t="s">
        <v>62</v>
      </c>
      <c r="G1726" t="s">
        <v>68</v>
      </c>
      <c r="H1726" t="s">
        <v>51</v>
      </c>
      <c r="I1726" s="2">
        <v>1</v>
      </c>
      <c r="J1726" s="3">
        <v>180</v>
      </c>
      <c r="K1726" s="4">
        <v>0</v>
      </c>
      <c r="L1726" s="3">
        <v>180</v>
      </c>
      <c r="M1726" t="b">
        <v>1</v>
      </c>
      <c r="N1726" s="2">
        <f>YEAR(B1726)</f>
        <v>2026</v>
      </c>
      <c r="O1726" t="str">
        <f>INDEX(Agences!$C:$C,MATCH(F1726,Agences!$A:$A,0))</f>
        <v>Méditerranée</v>
      </c>
      <c r="P1726" t="str">
        <f>INDEX(Produits!$C:$C,MATCH(H1726,Produits!$A:$A,0))</f>
        <v>Maintenance</v>
      </c>
      <c r="Q1726" s="3">
        <f>I1726*INDEX(Produits!$E:$E,MATCH(H1726,Produits!$A:$A,0))</f>
        <v>82.8</v>
      </c>
      <c r="R1726" s="3">
        <f>L1726-Q1726</f>
        <v>97.2</v>
      </c>
      <c r="S1726" s="2">
        <f>NETWORKDAYS(B1726,C1726)-1</f>
        <v>1</v>
      </c>
      <c r="T1726" s="1">
        <f>WORKDAY(B1726,5)</f>
        <v>46030</v>
      </c>
      <c r="U1726" t="b">
        <f>C1726&gt;T1726</f>
        <v>0</v>
      </c>
    </row>
    <row r="1727" spans="1:21" x14ac:dyDescent="0.25">
      <c r="A1727" t="s">
        <v>1267</v>
      </c>
      <c r="B1727" s="1">
        <v>46023</v>
      </c>
      <c r="C1727" s="1">
        <v>46024</v>
      </c>
      <c r="D1727" t="s">
        <v>1268</v>
      </c>
      <c r="E1727" t="s">
        <v>191</v>
      </c>
      <c r="F1727" t="s">
        <v>62</v>
      </c>
      <c r="G1727" t="s">
        <v>68</v>
      </c>
      <c r="H1727" t="s">
        <v>42</v>
      </c>
      <c r="I1727" s="2">
        <v>2</v>
      </c>
      <c r="J1727" s="3">
        <v>55</v>
      </c>
      <c r="K1727" s="4">
        <v>0.02</v>
      </c>
      <c r="L1727" s="3">
        <v>107.8</v>
      </c>
      <c r="M1727" t="b">
        <v>1</v>
      </c>
      <c r="N1727" s="2">
        <f>YEAR(B1727)</f>
        <v>2026</v>
      </c>
      <c r="O1727" t="str">
        <f>INDEX(Agences!$C:$C,MATCH(F1727,Agences!$A:$A,0))</f>
        <v>Méditerranée</v>
      </c>
      <c r="P1727" t="str">
        <f>INDEX(Produits!$C:$C,MATCH(H1727,Produits!$A:$A,0))</f>
        <v>Maintenance</v>
      </c>
      <c r="Q1727" s="3">
        <f>I1727*INDEX(Produits!$E:$E,MATCH(H1727,Produits!$A:$A,0))</f>
        <v>49.5</v>
      </c>
      <c r="R1727" s="3">
        <f>L1727-Q1727</f>
        <v>58.3</v>
      </c>
      <c r="S1727" s="2">
        <f>NETWORKDAYS(B1727,C1727)-1</f>
        <v>1</v>
      </c>
      <c r="T1727" s="1">
        <f>WORKDAY(B1727,5)</f>
        <v>46030</v>
      </c>
      <c r="U1727" t="b">
        <f>C1727&gt;T1727</f>
        <v>0</v>
      </c>
    </row>
    <row r="1728" spans="1:21" x14ac:dyDescent="0.25">
      <c r="A1728" t="s">
        <v>1267</v>
      </c>
      <c r="B1728" s="1">
        <v>46023</v>
      </c>
      <c r="C1728" s="1">
        <v>46024</v>
      </c>
      <c r="D1728" t="s">
        <v>1268</v>
      </c>
      <c r="E1728" t="s">
        <v>191</v>
      </c>
      <c r="F1728" t="s">
        <v>62</v>
      </c>
      <c r="G1728" t="s">
        <v>68</v>
      </c>
      <c r="H1728" t="s">
        <v>233</v>
      </c>
      <c r="I1728" s="2">
        <v>10</v>
      </c>
      <c r="J1728" s="3">
        <v>27.5</v>
      </c>
      <c r="K1728" s="4">
        <v>0.05</v>
      </c>
      <c r="L1728" s="3">
        <v>261.25</v>
      </c>
      <c r="M1728" t="b">
        <v>1</v>
      </c>
      <c r="N1728" s="2">
        <f>YEAR(B1728)</f>
        <v>2026</v>
      </c>
      <c r="O1728" t="str">
        <f>INDEX(Agences!$C:$C,MATCH(F1728,Agences!$A:$A,0))</f>
        <v>Méditerranée</v>
      </c>
      <c r="P1728" t="str">
        <f>INDEX(Produits!$C:$C,MATCH(H1728,Produits!$A:$A,0))</f>
        <v>Fournitures</v>
      </c>
      <c r="Q1728" s="3">
        <f>I1728*INDEX(Produits!$E:$E,MATCH(H1728,Produits!$A:$A,0))</f>
        <v>154</v>
      </c>
      <c r="R1728" s="3">
        <f>L1728-Q1728</f>
        <v>107.25</v>
      </c>
      <c r="S1728" s="2">
        <f>NETWORKDAYS(B1728,C1728)-1</f>
        <v>1</v>
      </c>
      <c r="T1728" s="1">
        <f>WORKDAY(B1728,5)</f>
        <v>46030</v>
      </c>
      <c r="U1728" t="b">
        <f>C1728&gt;T1728</f>
        <v>0</v>
      </c>
    </row>
    <row r="1729" spans="1:21" x14ac:dyDescent="0.25">
      <c r="A1729" t="s">
        <v>1269</v>
      </c>
      <c r="B1729" s="1">
        <v>46023</v>
      </c>
      <c r="C1729" s="1">
        <v>46027</v>
      </c>
      <c r="D1729" t="s">
        <v>369</v>
      </c>
      <c r="E1729" t="s">
        <v>157</v>
      </c>
      <c r="F1729" t="s">
        <v>46</v>
      </c>
      <c r="G1729" t="s">
        <v>111</v>
      </c>
      <c r="H1729" t="s">
        <v>103</v>
      </c>
      <c r="I1729" s="2">
        <v>1</v>
      </c>
      <c r="J1729" s="3">
        <v>245</v>
      </c>
      <c r="K1729" s="4">
        <v>0</v>
      </c>
      <c r="L1729" s="3">
        <v>245</v>
      </c>
      <c r="M1729" t="b">
        <v>1</v>
      </c>
      <c r="N1729" s="2">
        <f>YEAR(B1729)</f>
        <v>2026</v>
      </c>
      <c r="O1729" t="str">
        <f>INDEX(Agences!$C:$C,MATCH(F1729,Agences!$A:$A,0))</f>
        <v>Est</v>
      </c>
      <c r="P1729" t="str">
        <f>INDEX(Produits!$C:$C,MATCH(H1729,Produits!$A:$A,0))</f>
        <v>Mobilier</v>
      </c>
      <c r="Q1729" s="3">
        <f>I1729*INDEX(Produits!$E:$E,MATCH(H1729,Produits!$A:$A,0))</f>
        <v>164.15</v>
      </c>
      <c r="R1729" s="3">
        <f>L1729-Q1729</f>
        <v>80.85</v>
      </c>
      <c r="S1729" s="2">
        <f>NETWORKDAYS(B1729,C1729)-1</f>
        <v>2</v>
      </c>
      <c r="T1729" s="1">
        <f>WORKDAY(B1729,5)</f>
        <v>46030</v>
      </c>
      <c r="U1729" t="b">
        <f>C1729&gt;T1729</f>
        <v>0</v>
      </c>
    </row>
    <row r="1730" spans="1:21" x14ac:dyDescent="0.25">
      <c r="A1730" t="s">
        <v>1269</v>
      </c>
      <c r="B1730" s="1">
        <v>46023</v>
      </c>
      <c r="C1730" s="1">
        <v>46027</v>
      </c>
      <c r="D1730" t="s">
        <v>369</v>
      </c>
      <c r="E1730" t="s">
        <v>157</v>
      </c>
      <c r="F1730" t="s">
        <v>46</v>
      </c>
      <c r="G1730" t="s">
        <v>111</v>
      </c>
      <c r="H1730" t="s">
        <v>35</v>
      </c>
      <c r="I1730" s="2">
        <v>2</v>
      </c>
      <c r="J1730" s="3">
        <v>79</v>
      </c>
      <c r="K1730" s="4">
        <v>0.05</v>
      </c>
      <c r="L1730" s="3">
        <v>150.1</v>
      </c>
      <c r="M1730" t="b">
        <v>1</v>
      </c>
      <c r="N1730" s="2">
        <f>YEAR(B1730)</f>
        <v>2026</v>
      </c>
      <c r="O1730" t="str">
        <f>INDEX(Agences!$C:$C,MATCH(F1730,Agences!$A:$A,0))</f>
        <v>Est</v>
      </c>
      <c r="P1730" t="str">
        <f>INDEX(Produits!$C:$C,MATCH(H1730,Produits!$A:$A,0))</f>
        <v>Mobilier</v>
      </c>
      <c r="Q1730" s="3">
        <f>I1730*INDEX(Produits!$E:$E,MATCH(H1730,Produits!$A:$A,0))</f>
        <v>93.22</v>
      </c>
      <c r="R1730" s="3">
        <f>L1730-Q1730</f>
        <v>56.879999999999995</v>
      </c>
      <c r="S1730" s="2">
        <f>NETWORKDAYS(B1730,C1730)-1</f>
        <v>2</v>
      </c>
      <c r="T1730" s="1">
        <f>WORKDAY(B1730,5)</f>
        <v>46030</v>
      </c>
      <c r="U1730" t="b">
        <f>C1730&gt;T1730</f>
        <v>0</v>
      </c>
    </row>
    <row r="1731" spans="1:21" x14ac:dyDescent="0.25">
      <c r="A1731" t="s">
        <v>1269</v>
      </c>
      <c r="B1731" s="1">
        <v>46023</v>
      </c>
      <c r="C1731" s="1">
        <v>46027</v>
      </c>
      <c r="D1731" t="s">
        <v>369</v>
      </c>
      <c r="E1731" t="s">
        <v>157</v>
      </c>
      <c r="F1731" t="s">
        <v>46</v>
      </c>
      <c r="G1731" t="s">
        <v>111</v>
      </c>
      <c r="H1731" t="s">
        <v>205</v>
      </c>
      <c r="I1731" s="2">
        <v>1</v>
      </c>
      <c r="J1731" s="3">
        <v>359</v>
      </c>
      <c r="K1731" s="4">
        <v>0</v>
      </c>
      <c r="L1731" s="3">
        <v>359</v>
      </c>
      <c r="M1731" t="b">
        <v>1</v>
      </c>
      <c r="N1731" s="2">
        <f>YEAR(B1731)</f>
        <v>2026</v>
      </c>
      <c r="O1731" t="str">
        <f>INDEX(Agences!$C:$C,MATCH(F1731,Agences!$A:$A,0))</f>
        <v>Est</v>
      </c>
      <c r="P1731" t="str">
        <f>INDEX(Produits!$C:$C,MATCH(H1731,Produits!$A:$A,0))</f>
        <v>Mobilier</v>
      </c>
      <c r="Q1731" s="3">
        <f>I1731*INDEX(Produits!$E:$E,MATCH(H1731,Produits!$A:$A,0))</f>
        <v>204.63</v>
      </c>
      <c r="R1731" s="3">
        <f>L1731-Q1731</f>
        <v>154.37</v>
      </c>
      <c r="S1731" s="2">
        <f>NETWORKDAYS(B1731,C1731)-1</f>
        <v>2</v>
      </c>
      <c r="T1731" s="1">
        <f>WORKDAY(B1731,5)</f>
        <v>46030</v>
      </c>
      <c r="U1731" t="b">
        <f>C1731&gt;T1731</f>
        <v>0</v>
      </c>
    </row>
    <row r="1732" spans="1:21" x14ac:dyDescent="0.25">
      <c r="A1732" t="s">
        <v>1269</v>
      </c>
      <c r="B1732" s="1">
        <v>46023</v>
      </c>
      <c r="C1732" s="1">
        <v>46027</v>
      </c>
      <c r="D1732" t="s">
        <v>369</v>
      </c>
      <c r="E1732" t="s">
        <v>157</v>
      </c>
      <c r="F1732" t="s">
        <v>46</v>
      </c>
      <c r="G1732" t="s">
        <v>111</v>
      </c>
      <c r="H1732" t="s">
        <v>57</v>
      </c>
      <c r="I1732" s="2">
        <v>2</v>
      </c>
      <c r="J1732" s="3">
        <v>149</v>
      </c>
      <c r="K1732" s="4">
        <v>0.1</v>
      </c>
      <c r="L1732" s="3">
        <v>268.2</v>
      </c>
      <c r="M1732" t="b">
        <v>1</v>
      </c>
      <c r="N1732" s="2">
        <f>YEAR(B1732)</f>
        <v>2026</v>
      </c>
      <c r="O1732" t="str">
        <f>INDEX(Agences!$C:$C,MATCH(F1732,Agences!$A:$A,0))</f>
        <v>Est</v>
      </c>
      <c r="P1732" t="str">
        <f>INDEX(Produits!$C:$C,MATCH(H1732,Produits!$A:$A,0))</f>
        <v>Informatique</v>
      </c>
      <c r="Q1732" s="3">
        <f>I1732*INDEX(Produits!$E:$E,MATCH(H1732,Produits!$A:$A,0))</f>
        <v>229.46</v>
      </c>
      <c r="R1732" s="3">
        <f>L1732-Q1732</f>
        <v>38.73999999999998</v>
      </c>
      <c r="S1732" s="2">
        <f>NETWORKDAYS(B1732,C1732)-1</f>
        <v>2</v>
      </c>
      <c r="T1732" s="1">
        <f>WORKDAY(B1732,5)</f>
        <v>46030</v>
      </c>
      <c r="U1732" t="b">
        <f>C1732&gt;T1732</f>
        <v>0</v>
      </c>
    </row>
    <row r="1733" spans="1:21" x14ac:dyDescent="0.25">
      <c r="A1733" t="s">
        <v>1270</v>
      </c>
      <c r="B1733" s="1">
        <v>46022</v>
      </c>
      <c r="C1733" s="1">
        <v>46023</v>
      </c>
      <c r="D1733" t="s">
        <v>1271</v>
      </c>
      <c r="E1733" t="s">
        <v>185</v>
      </c>
      <c r="F1733" t="s">
        <v>31</v>
      </c>
      <c r="G1733" t="s">
        <v>375</v>
      </c>
      <c r="H1733" t="s">
        <v>57</v>
      </c>
      <c r="I1733" s="2">
        <v>1</v>
      </c>
      <c r="J1733" s="3">
        <v>149</v>
      </c>
      <c r="K1733" s="4">
        <v>0</v>
      </c>
      <c r="L1733" s="3">
        <v>149</v>
      </c>
      <c r="M1733" t="b">
        <v>1</v>
      </c>
      <c r="N1733" s="2">
        <f>YEAR(B1733)</f>
        <v>2025</v>
      </c>
      <c r="O1733" t="str">
        <f>INDEX(Agences!$C:$C,MATCH(F1733,Agences!$A:$A,0))</f>
        <v>Ouest</v>
      </c>
      <c r="P1733" t="str">
        <f>INDEX(Produits!$C:$C,MATCH(H1733,Produits!$A:$A,0))</f>
        <v>Informatique</v>
      </c>
      <c r="Q1733" s="3">
        <f>I1733*INDEX(Produits!$E:$E,MATCH(H1733,Produits!$A:$A,0))</f>
        <v>114.73</v>
      </c>
      <c r="R1733" s="3">
        <f>L1733-Q1733</f>
        <v>34.269999999999996</v>
      </c>
      <c r="S1733" s="2">
        <f>NETWORKDAYS(B1733,C1733)-1</f>
        <v>1</v>
      </c>
      <c r="T1733" s="1">
        <f>WORKDAY(B1733,5)</f>
        <v>46029</v>
      </c>
      <c r="U1733" t="b">
        <f>C1733&gt;T1733</f>
        <v>0</v>
      </c>
    </row>
    <row r="1734" spans="1:21" x14ac:dyDescent="0.25">
      <c r="A1734" t="s">
        <v>1270</v>
      </c>
      <c r="B1734" s="1">
        <v>46022</v>
      </c>
      <c r="C1734" s="1">
        <v>46023</v>
      </c>
      <c r="D1734" t="s">
        <v>1271</v>
      </c>
      <c r="E1734" t="s">
        <v>185</v>
      </c>
      <c r="F1734" t="s">
        <v>31</v>
      </c>
      <c r="G1734" t="s">
        <v>375</v>
      </c>
      <c r="H1734" t="s">
        <v>107</v>
      </c>
      <c r="I1734" s="2">
        <v>2</v>
      </c>
      <c r="J1734" s="3">
        <v>99</v>
      </c>
      <c r="K1734" s="4">
        <v>0.1</v>
      </c>
      <c r="L1734" s="3">
        <v>178.2</v>
      </c>
      <c r="M1734" t="b">
        <v>1</v>
      </c>
      <c r="N1734" s="2">
        <f>YEAR(B1734)</f>
        <v>2025</v>
      </c>
      <c r="O1734" t="str">
        <f>INDEX(Agences!$C:$C,MATCH(F1734,Agences!$A:$A,0))</f>
        <v>Ouest</v>
      </c>
      <c r="P1734" t="str">
        <f>INDEX(Produits!$C:$C,MATCH(H1734,Produits!$A:$A,0))</f>
        <v>Informatique</v>
      </c>
      <c r="Q1734" s="3">
        <f>I1734*INDEX(Produits!$E:$E,MATCH(H1734,Produits!$A:$A,0))</f>
        <v>150.48</v>
      </c>
      <c r="R1734" s="3">
        <f>L1734-Q1734</f>
        <v>27.72</v>
      </c>
      <c r="S1734" s="2">
        <f>NETWORKDAYS(B1734,C1734)-1</f>
        <v>1</v>
      </c>
      <c r="T1734" s="1">
        <f>WORKDAY(B1734,5)</f>
        <v>46029</v>
      </c>
      <c r="U1734" t="b">
        <f>C1734&gt;T1734</f>
        <v>0</v>
      </c>
    </row>
    <row r="1735" spans="1:21" x14ac:dyDescent="0.25">
      <c r="A1735" t="s">
        <v>1270</v>
      </c>
      <c r="B1735" s="1">
        <v>46022</v>
      </c>
      <c r="C1735" s="1">
        <v>46023</v>
      </c>
      <c r="D1735" t="s">
        <v>1271</v>
      </c>
      <c r="E1735" t="s">
        <v>185</v>
      </c>
      <c r="F1735" t="s">
        <v>31</v>
      </c>
      <c r="G1735" t="s">
        <v>375</v>
      </c>
      <c r="H1735" t="s">
        <v>42</v>
      </c>
      <c r="I1735" s="2">
        <v>1</v>
      </c>
      <c r="J1735" s="3">
        <v>55</v>
      </c>
      <c r="K1735" s="4">
        <v>0.05</v>
      </c>
      <c r="L1735" s="3">
        <v>52.25</v>
      </c>
      <c r="M1735" t="b">
        <v>1</v>
      </c>
      <c r="N1735" s="2">
        <f>YEAR(B1735)</f>
        <v>2025</v>
      </c>
      <c r="O1735" t="str">
        <f>INDEX(Agences!$C:$C,MATCH(F1735,Agences!$A:$A,0))</f>
        <v>Ouest</v>
      </c>
      <c r="P1735" t="str">
        <f>INDEX(Produits!$C:$C,MATCH(H1735,Produits!$A:$A,0))</f>
        <v>Maintenance</v>
      </c>
      <c r="Q1735" s="3">
        <f>I1735*INDEX(Produits!$E:$E,MATCH(H1735,Produits!$A:$A,0))</f>
        <v>24.75</v>
      </c>
      <c r="R1735" s="3">
        <f>L1735-Q1735</f>
        <v>27.5</v>
      </c>
      <c r="S1735" s="2">
        <f>NETWORKDAYS(B1735,C1735)-1</f>
        <v>1</v>
      </c>
      <c r="T1735" s="1">
        <f>WORKDAY(B1735,5)</f>
        <v>46029</v>
      </c>
      <c r="U1735" t="b">
        <f>C1735&gt;T1735</f>
        <v>0</v>
      </c>
    </row>
    <row r="1736" spans="1:21" x14ac:dyDescent="0.25">
      <c r="A1736" t="s">
        <v>1272</v>
      </c>
      <c r="B1736" s="1">
        <v>46022</v>
      </c>
      <c r="C1736" s="1">
        <v>46023</v>
      </c>
      <c r="D1736" t="s">
        <v>326</v>
      </c>
      <c r="E1736" t="s">
        <v>61</v>
      </c>
      <c r="F1736" t="s">
        <v>62</v>
      </c>
      <c r="G1736" t="s">
        <v>68</v>
      </c>
      <c r="H1736" t="s">
        <v>127</v>
      </c>
      <c r="I1736" s="2">
        <v>3</v>
      </c>
      <c r="J1736" s="3">
        <v>649</v>
      </c>
      <c r="K1736" s="4">
        <v>0.08</v>
      </c>
      <c r="L1736" s="3">
        <v>1791.24</v>
      </c>
      <c r="M1736" t="b">
        <v>1</v>
      </c>
      <c r="N1736" s="2">
        <f>YEAR(B1736)</f>
        <v>2025</v>
      </c>
      <c r="O1736" t="str">
        <f>INDEX(Agences!$C:$C,MATCH(F1736,Agences!$A:$A,0))</f>
        <v>Méditerranée</v>
      </c>
      <c r="P1736" t="str">
        <f>INDEX(Produits!$C:$C,MATCH(H1736,Produits!$A:$A,0))</f>
        <v>Informatique</v>
      </c>
      <c r="Q1736" s="3">
        <f>I1736*INDEX(Produits!$E:$E,MATCH(H1736,Produits!$A:$A,0))</f>
        <v>1440.78</v>
      </c>
      <c r="R1736" s="3">
        <f>L1736-Q1736</f>
        <v>350.46000000000004</v>
      </c>
      <c r="S1736" s="2">
        <f>NETWORKDAYS(B1736,C1736)-1</f>
        <v>1</v>
      </c>
      <c r="T1736" s="1">
        <f>WORKDAY(B1736,5)</f>
        <v>46029</v>
      </c>
      <c r="U1736" t="b">
        <f>C1736&gt;T1736</f>
        <v>0</v>
      </c>
    </row>
    <row r="1737" spans="1:21" x14ac:dyDescent="0.25">
      <c r="A1737" t="s">
        <v>1272</v>
      </c>
      <c r="B1737" s="1">
        <v>46022</v>
      </c>
      <c r="C1737" s="1">
        <v>46023</v>
      </c>
      <c r="D1737" t="s">
        <v>326</v>
      </c>
      <c r="E1737" t="s">
        <v>61</v>
      </c>
      <c r="F1737" t="s">
        <v>62</v>
      </c>
      <c r="G1737" t="s">
        <v>68</v>
      </c>
      <c r="H1737" t="s">
        <v>42</v>
      </c>
      <c r="I1737" s="2">
        <v>1</v>
      </c>
      <c r="J1737" s="3">
        <v>55</v>
      </c>
      <c r="K1737" s="4">
        <v>0.08</v>
      </c>
      <c r="L1737" s="3">
        <v>50.6</v>
      </c>
      <c r="M1737" t="b">
        <v>1</v>
      </c>
      <c r="N1737" s="2">
        <f>YEAR(B1737)</f>
        <v>2025</v>
      </c>
      <c r="O1737" t="str">
        <f>INDEX(Agences!$C:$C,MATCH(F1737,Agences!$A:$A,0))</f>
        <v>Méditerranée</v>
      </c>
      <c r="P1737" t="str">
        <f>INDEX(Produits!$C:$C,MATCH(H1737,Produits!$A:$A,0))</f>
        <v>Maintenance</v>
      </c>
      <c r="Q1737" s="3">
        <f>I1737*INDEX(Produits!$E:$E,MATCH(H1737,Produits!$A:$A,0))</f>
        <v>24.75</v>
      </c>
      <c r="R1737" s="3">
        <f>L1737-Q1737</f>
        <v>25.85</v>
      </c>
      <c r="S1737" s="2">
        <f>NETWORKDAYS(B1737,C1737)-1</f>
        <v>1</v>
      </c>
      <c r="T1737" s="1">
        <f>WORKDAY(B1737,5)</f>
        <v>46029</v>
      </c>
      <c r="U1737" t="b">
        <f>C1737&gt;T1737</f>
        <v>0</v>
      </c>
    </row>
    <row r="1738" spans="1:21" x14ac:dyDescent="0.25">
      <c r="A1738" t="s">
        <v>1272</v>
      </c>
      <c r="B1738" s="1">
        <v>46022</v>
      </c>
      <c r="C1738" s="1">
        <v>46023</v>
      </c>
      <c r="D1738" t="s">
        <v>326</v>
      </c>
      <c r="E1738" t="s">
        <v>61</v>
      </c>
      <c r="F1738" t="s">
        <v>62</v>
      </c>
      <c r="G1738" t="s">
        <v>68</v>
      </c>
      <c r="H1738" t="s">
        <v>107</v>
      </c>
      <c r="I1738" s="2">
        <v>2</v>
      </c>
      <c r="J1738" s="3">
        <v>99</v>
      </c>
      <c r="K1738" s="4">
        <v>0.08</v>
      </c>
      <c r="L1738" s="3">
        <v>182.16</v>
      </c>
      <c r="M1738" t="b">
        <v>1</v>
      </c>
      <c r="N1738" s="2">
        <f>YEAR(B1738)</f>
        <v>2025</v>
      </c>
      <c r="O1738" t="str">
        <f>INDEX(Agences!$C:$C,MATCH(F1738,Agences!$A:$A,0))</f>
        <v>Méditerranée</v>
      </c>
      <c r="P1738" t="str">
        <f>INDEX(Produits!$C:$C,MATCH(H1738,Produits!$A:$A,0))</f>
        <v>Informatique</v>
      </c>
      <c r="Q1738" s="3">
        <f>I1738*INDEX(Produits!$E:$E,MATCH(H1738,Produits!$A:$A,0))</f>
        <v>150.48</v>
      </c>
      <c r="R1738" s="3">
        <f>L1738-Q1738</f>
        <v>31.680000000000007</v>
      </c>
      <c r="S1738" s="2">
        <f>NETWORKDAYS(B1738,C1738)-1</f>
        <v>1</v>
      </c>
      <c r="T1738" s="1">
        <f>WORKDAY(B1738,5)</f>
        <v>46029</v>
      </c>
      <c r="U1738" t="b">
        <f>C1738&gt;T1738</f>
        <v>0</v>
      </c>
    </row>
    <row r="1739" spans="1:21" x14ac:dyDescent="0.25">
      <c r="A1739" t="s">
        <v>1272</v>
      </c>
      <c r="B1739" s="1">
        <v>46022</v>
      </c>
      <c r="C1739" s="1">
        <v>46023</v>
      </c>
      <c r="D1739" t="s">
        <v>326</v>
      </c>
      <c r="E1739" t="s">
        <v>61</v>
      </c>
      <c r="F1739" t="s">
        <v>62</v>
      </c>
      <c r="G1739" t="s">
        <v>68</v>
      </c>
      <c r="H1739" t="s">
        <v>50</v>
      </c>
      <c r="I1739" s="2">
        <v>1</v>
      </c>
      <c r="J1739" s="3">
        <v>69</v>
      </c>
      <c r="K1739" s="4">
        <v>0</v>
      </c>
      <c r="L1739" s="3">
        <v>69</v>
      </c>
      <c r="M1739" t="b">
        <v>1</v>
      </c>
      <c r="N1739" s="2">
        <f>YEAR(B1739)</f>
        <v>2025</v>
      </c>
      <c r="O1739" t="str">
        <f>INDEX(Agences!$C:$C,MATCH(F1739,Agences!$A:$A,0))</f>
        <v>Méditerranée</v>
      </c>
      <c r="P1739" t="str">
        <f>INDEX(Produits!$C:$C,MATCH(H1739,Produits!$A:$A,0))</f>
        <v>Informatique</v>
      </c>
      <c r="Q1739" s="3">
        <f>I1739*INDEX(Produits!$E:$E,MATCH(H1739,Produits!$A:$A,0))</f>
        <v>54.51</v>
      </c>
      <c r="R1739" s="3">
        <f>L1739-Q1739</f>
        <v>14.490000000000002</v>
      </c>
      <c r="S1739" s="2">
        <f>NETWORKDAYS(B1739,C1739)-1</f>
        <v>1</v>
      </c>
      <c r="T1739" s="1">
        <f>WORKDAY(B1739,5)</f>
        <v>46029</v>
      </c>
      <c r="U1739" t="b">
        <f>C1739&gt;T1739</f>
        <v>0</v>
      </c>
    </row>
    <row r="1740" spans="1:21" x14ac:dyDescent="0.25">
      <c r="A1740" t="s">
        <v>1273</v>
      </c>
      <c r="B1740" s="1">
        <v>46022</v>
      </c>
      <c r="C1740" s="1">
        <v>46023</v>
      </c>
      <c r="D1740" t="s">
        <v>381</v>
      </c>
      <c r="E1740" t="s">
        <v>157</v>
      </c>
      <c r="F1740" t="s">
        <v>46</v>
      </c>
      <c r="G1740" t="s">
        <v>158</v>
      </c>
      <c r="H1740" t="s">
        <v>27</v>
      </c>
      <c r="I1740" s="2">
        <v>1</v>
      </c>
      <c r="J1740" s="3">
        <v>310</v>
      </c>
      <c r="K1740" s="4">
        <v>0.08</v>
      </c>
      <c r="L1740" s="3">
        <v>285.2</v>
      </c>
      <c r="M1740" t="b">
        <v>1</v>
      </c>
      <c r="N1740" s="2">
        <f>YEAR(B1740)</f>
        <v>2025</v>
      </c>
      <c r="O1740" t="str">
        <f>INDEX(Agences!$C:$C,MATCH(F1740,Agences!$A:$A,0))</f>
        <v>Est</v>
      </c>
      <c r="P1740" t="str">
        <f>INDEX(Produits!$C:$C,MATCH(H1740,Produits!$A:$A,0))</f>
        <v>Mobilier</v>
      </c>
      <c r="Q1740" s="3">
        <f>I1740*INDEX(Produits!$E:$E,MATCH(H1740,Produits!$A:$A,0))</f>
        <v>186</v>
      </c>
      <c r="R1740" s="3">
        <f>L1740-Q1740</f>
        <v>99.19999999999999</v>
      </c>
      <c r="S1740" s="2">
        <f>NETWORKDAYS(B1740,C1740)-1</f>
        <v>1</v>
      </c>
      <c r="T1740" s="1">
        <f>WORKDAY(B1740,5)</f>
        <v>46029</v>
      </c>
      <c r="U1740" t="b">
        <f>C1740&gt;T1740</f>
        <v>0</v>
      </c>
    </row>
    <row r="1741" spans="1:21" x14ac:dyDescent="0.25">
      <c r="A1741" t="s">
        <v>1274</v>
      </c>
      <c r="B1741" s="1">
        <v>46021</v>
      </c>
      <c r="C1741" s="1">
        <v>46022</v>
      </c>
      <c r="D1741" t="s">
        <v>1271</v>
      </c>
      <c r="E1741" t="s">
        <v>185</v>
      </c>
      <c r="F1741" t="s">
        <v>31</v>
      </c>
      <c r="G1741" t="s">
        <v>32</v>
      </c>
      <c r="H1741" t="s">
        <v>50</v>
      </c>
      <c r="I1741" s="2">
        <v>6</v>
      </c>
      <c r="J1741" s="3">
        <v>69</v>
      </c>
      <c r="K1741" s="4">
        <v>0.05</v>
      </c>
      <c r="L1741" s="3">
        <v>393.3</v>
      </c>
      <c r="M1741" t="b">
        <v>1</v>
      </c>
      <c r="N1741" s="2">
        <f>YEAR(B1741)</f>
        <v>2025</v>
      </c>
      <c r="O1741" t="str">
        <f>INDEX(Agences!$C:$C,MATCH(F1741,Agences!$A:$A,0))</f>
        <v>Ouest</v>
      </c>
      <c r="P1741" t="str">
        <f>INDEX(Produits!$C:$C,MATCH(H1741,Produits!$A:$A,0))</f>
        <v>Informatique</v>
      </c>
      <c r="Q1741" s="3">
        <f>I1741*INDEX(Produits!$E:$E,MATCH(H1741,Produits!$A:$A,0))</f>
        <v>327.06</v>
      </c>
      <c r="R1741" s="3">
        <f>L1741-Q1741</f>
        <v>66.24000000000001</v>
      </c>
      <c r="S1741" s="2">
        <f>NETWORKDAYS(B1741,C1741)-1</f>
        <v>1</v>
      </c>
      <c r="T1741" s="1">
        <f>WORKDAY(B1741,5)</f>
        <v>46028</v>
      </c>
      <c r="U1741" t="b">
        <f>C1741&gt;T1741</f>
        <v>0</v>
      </c>
    </row>
    <row r="1742" spans="1:21" x14ac:dyDescent="0.25">
      <c r="A1742" t="s">
        <v>1275</v>
      </c>
      <c r="B1742" s="1">
        <v>46021</v>
      </c>
      <c r="C1742" s="1">
        <v>46022</v>
      </c>
      <c r="D1742" t="s">
        <v>1107</v>
      </c>
      <c r="E1742" t="s">
        <v>45</v>
      </c>
      <c r="F1742" t="s">
        <v>46</v>
      </c>
      <c r="G1742" t="s">
        <v>111</v>
      </c>
      <c r="H1742" t="s">
        <v>233</v>
      </c>
      <c r="I1742" s="2">
        <v>10</v>
      </c>
      <c r="J1742" s="3">
        <v>27.5</v>
      </c>
      <c r="K1742" s="4">
        <v>0</v>
      </c>
      <c r="L1742" s="3">
        <v>275</v>
      </c>
      <c r="M1742" t="b">
        <v>1</v>
      </c>
      <c r="N1742" s="2">
        <f>YEAR(B1742)</f>
        <v>2025</v>
      </c>
      <c r="O1742" t="str">
        <f>INDEX(Agences!$C:$C,MATCH(F1742,Agences!$A:$A,0))</f>
        <v>Est</v>
      </c>
      <c r="P1742" t="str">
        <f>INDEX(Produits!$C:$C,MATCH(H1742,Produits!$A:$A,0))</f>
        <v>Fournitures</v>
      </c>
      <c r="Q1742" s="3">
        <f>I1742*INDEX(Produits!$E:$E,MATCH(H1742,Produits!$A:$A,0))</f>
        <v>154</v>
      </c>
      <c r="R1742" s="3">
        <f>L1742-Q1742</f>
        <v>121</v>
      </c>
      <c r="S1742" s="2">
        <f>NETWORKDAYS(B1742,C1742)-1</f>
        <v>1</v>
      </c>
      <c r="T1742" s="1">
        <f>WORKDAY(B1742,5)</f>
        <v>46028</v>
      </c>
      <c r="U1742" t="b">
        <f>C1742&gt;T1742</f>
        <v>0</v>
      </c>
    </row>
    <row r="1743" spans="1:21" x14ac:dyDescent="0.25">
      <c r="A1743" t="s">
        <v>1275</v>
      </c>
      <c r="B1743" s="1">
        <v>46021</v>
      </c>
      <c r="C1743" s="1">
        <v>46022</v>
      </c>
      <c r="D1743" t="s">
        <v>1107</v>
      </c>
      <c r="E1743" t="s">
        <v>45</v>
      </c>
      <c r="F1743" t="s">
        <v>46</v>
      </c>
      <c r="G1743" t="s">
        <v>111</v>
      </c>
      <c r="H1743" t="s">
        <v>26</v>
      </c>
      <c r="I1743" s="2">
        <v>1</v>
      </c>
      <c r="J1743" s="3">
        <v>290</v>
      </c>
      <c r="K1743" s="4">
        <v>0</v>
      </c>
      <c r="L1743" s="3">
        <v>290</v>
      </c>
      <c r="M1743" t="b">
        <v>1</v>
      </c>
      <c r="N1743" s="2">
        <f>YEAR(B1743)</f>
        <v>2025</v>
      </c>
      <c r="O1743" t="str">
        <f>INDEX(Agences!$C:$C,MATCH(F1743,Agences!$A:$A,0))</f>
        <v>Est</v>
      </c>
      <c r="P1743" t="str">
        <f>INDEX(Produits!$C:$C,MATCH(H1743,Produits!$A:$A,0))</f>
        <v>Maintenance</v>
      </c>
      <c r="Q1743" s="3">
        <f>I1743*INDEX(Produits!$E:$E,MATCH(H1743,Produits!$A:$A,0))</f>
        <v>139.2</v>
      </c>
      <c r="R1743" s="3">
        <f>L1743-Q1743</f>
        <v>150.8</v>
      </c>
      <c r="S1743" s="2">
        <f>NETWORKDAYS(B1743,C1743)-1</f>
        <v>1</v>
      </c>
      <c r="T1743" s="1">
        <f>WORKDAY(B1743,5)</f>
        <v>46028</v>
      </c>
      <c r="U1743" t="b">
        <f>C1743&gt;T1743</f>
        <v>0</v>
      </c>
    </row>
    <row r="1744" spans="1:21" x14ac:dyDescent="0.25">
      <c r="A1744" t="s">
        <v>1275</v>
      </c>
      <c r="B1744" s="1">
        <v>46021</v>
      </c>
      <c r="C1744" s="1">
        <v>46022</v>
      </c>
      <c r="D1744" t="s">
        <v>1107</v>
      </c>
      <c r="E1744" t="s">
        <v>45</v>
      </c>
      <c r="F1744" t="s">
        <v>46</v>
      </c>
      <c r="G1744" t="s">
        <v>111</v>
      </c>
      <c r="H1744" t="s">
        <v>49</v>
      </c>
      <c r="I1744" s="2">
        <v>1</v>
      </c>
      <c r="J1744" s="3">
        <v>120</v>
      </c>
      <c r="K1744" s="4">
        <v>0</v>
      </c>
      <c r="L1744" s="3">
        <v>120</v>
      </c>
      <c r="M1744" t="b">
        <v>1</v>
      </c>
      <c r="N1744" s="2">
        <f>YEAR(B1744)</f>
        <v>2025</v>
      </c>
      <c r="O1744" t="str">
        <f>INDEX(Agences!$C:$C,MATCH(F1744,Agences!$A:$A,0))</f>
        <v>Est</v>
      </c>
      <c r="P1744" t="str">
        <f>INDEX(Produits!$C:$C,MATCH(H1744,Produits!$A:$A,0))</f>
        <v>Maintenance</v>
      </c>
      <c r="Q1744" s="3">
        <f>I1744*INDEX(Produits!$E:$E,MATCH(H1744,Produits!$A:$A,0))</f>
        <v>55.2</v>
      </c>
      <c r="R1744" s="3">
        <f>L1744-Q1744</f>
        <v>64.8</v>
      </c>
      <c r="S1744" s="2">
        <f>NETWORKDAYS(B1744,C1744)-1</f>
        <v>1</v>
      </c>
      <c r="T1744" s="1">
        <f>WORKDAY(B1744,5)</f>
        <v>46028</v>
      </c>
      <c r="U1744" t="b">
        <f>C1744&gt;T1744</f>
        <v>0</v>
      </c>
    </row>
    <row r="1745" spans="1:21" x14ac:dyDescent="0.25">
      <c r="A1745" t="s">
        <v>1275</v>
      </c>
      <c r="B1745" s="1">
        <v>46021</v>
      </c>
      <c r="C1745" s="1">
        <v>46022</v>
      </c>
      <c r="D1745" t="s">
        <v>1107</v>
      </c>
      <c r="E1745" t="s">
        <v>45</v>
      </c>
      <c r="F1745" t="s">
        <v>46</v>
      </c>
      <c r="G1745" t="s">
        <v>111</v>
      </c>
      <c r="H1745" t="s">
        <v>150</v>
      </c>
      <c r="I1745" s="2">
        <v>3</v>
      </c>
      <c r="J1745" s="3">
        <v>790</v>
      </c>
      <c r="K1745" s="4">
        <v>0.08</v>
      </c>
      <c r="L1745" s="3">
        <v>2180.4</v>
      </c>
      <c r="M1745" t="b">
        <v>1</v>
      </c>
      <c r="N1745" s="2">
        <f>YEAR(B1745)</f>
        <v>2025</v>
      </c>
      <c r="O1745" t="str">
        <f>INDEX(Agences!$C:$C,MATCH(F1745,Agences!$A:$A,0))</f>
        <v>Est</v>
      </c>
      <c r="P1745" t="str">
        <f>INDEX(Produits!$C:$C,MATCH(H1745,Produits!$A:$A,0))</f>
        <v>Informatique</v>
      </c>
      <c r="Q1745" s="3">
        <f>I1745*INDEX(Produits!$E:$E,MATCH(H1745,Produits!$A:$A,0))</f>
        <v>1753.8000000000002</v>
      </c>
      <c r="R1745" s="3">
        <f>L1745-Q1745</f>
        <v>426.5999999999999</v>
      </c>
      <c r="S1745" s="2">
        <f>NETWORKDAYS(B1745,C1745)-1</f>
        <v>1</v>
      </c>
      <c r="T1745" s="1">
        <f>WORKDAY(B1745,5)</f>
        <v>46028</v>
      </c>
      <c r="U1745" t="b">
        <f>C1745&gt;T1745</f>
        <v>0</v>
      </c>
    </row>
    <row r="1746" spans="1:21" x14ac:dyDescent="0.25">
      <c r="A1746" t="s">
        <v>1276</v>
      </c>
      <c r="B1746" s="1">
        <v>46021</v>
      </c>
      <c r="C1746" s="1">
        <v>46023</v>
      </c>
      <c r="D1746" t="s">
        <v>548</v>
      </c>
      <c r="E1746" t="s">
        <v>45</v>
      </c>
      <c r="F1746" t="s">
        <v>46</v>
      </c>
      <c r="G1746" t="s">
        <v>47</v>
      </c>
      <c r="H1746" t="s">
        <v>103</v>
      </c>
      <c r="I1746" s="2">
        <v>4</v>
      </c>
      <c r="J1746" s="3">
        <v>245</v>
      </c>
      <c r="K1746" s="4">
        <v>0.08</v>
      </c>
      <c r="L1746" s="3">
        <v>901.6</v>
      </c>
      <c r="M1746" t="b">
        <v>1</v>
      </c>
      <c r="N1746" s="2">
        <f>YEAR(B1746)</f>
        <v>2025</v>
      </c>
      <c r="O1746" t="str">
        <f>INDEX(Agences!$C:$C,MATCH(F1746,Agences!$A:$A,0))</f>
        <v>Est</v>
      </c>
      <c r="P1746" t="str">
        <f>INDEX(Produits!$C:$C,MATCH(H1746,Produits!$A:$A,0))</f>
        <v>Mobilier</v>
      </c>
      <c r="Q1746" s="3">
        <f>I1746*INDEX(Produits!$E:$E,MATCH(H1746,Produits!$A:$A,0))</f>
        <v>656.6</v>
      </c>
      <c r="R1746" s="3">
        <f>L1746-Q1746</f>
        <v>245</v>
      </c>
      <c r="S1746" s="2">
        <f>NETWORKDAYS(B1746,C1746)-1</f>
        <v>2</v>
      </c>
      <c r="T1746" s="1">
        <f>WORKDAY(B1746,5)</f>
        <v>46028</v>
      </c>
      <c r="U1746" t="b">
        <f>C1746&gt;T1746</f>
        <v>0</v>
      </c>
    </row>
    <row r="1747" spans="1:21" x14ac:dyDescent="0.25">
      <c r="A1747" t="s">
        <v>1277</v>
      </c>
      <c r="B1747" s="1">
        <v>46020</v>
      </c>
      <c r="C1747" s="1">
        <v>46022</v>
      </c>
      <c r="D1747" t="s">
        <v>1278</v>
      </c>
      <c r="E1747" t="s">
        <v>172</v>
      </c>
      <c r="F1747" t="s">
        <v>99</v>
      </c>
      <c r="G1747" t="s">
        <v>100</v>
      </c>
      <c r="H1747" t="s">
        <v>42</v>
      </c>
      <c r="I1747" s="2">
        <v>1</v>
      </c>
      <c r="J1747" s="3">
        <v>55</v>
      </c>
      <c r="K1747" s="4">
        <v>0</v>
      </c>
      <c r="L1747" s="3">
        <v>55</v>
      </c>
      <c r="M1747" t="b">
        <v>1</v>
      </c>
      <c r="N1747" s="2">
        <f>YEAR(B1747)</f>
        <v>2025</v>
      </c>
      <c r="O1747" t="str">
        <f>INDEX(Agences!$C:$C,MATCH(F1747,Agences!$A:$A,0))</f>
        <v>Nord</v>
      </c>
      <c r="P1747" t="str">
        <f>INDEX(Produits!$C:$C,MATCH(H1747,Produits!$A:$A,0))</f>
        <v>Maintenance</v>
      </c>
      <c r="Q1747" s="3">
        <f>I1747*INDEX(Produits!$E:$E,MATCH(H1747,Produits!$A:$A,0))</f>
        <v>24.75</v>
      </c>
      <c r="R1747" s="3">
        <f>L1747-Q1747</f>
        <v>30.25</v>
      </c>
      <c r="S1747" s="2">
        <f>NETWORKDAYS(B1747,C1747)-1</f>
        <v>2</v>
      </c>
      <c r="T1747" s="1">
        <f>WORKDAY(B1747,5)</f>
        <v>46027</v>
      </c>
      <c r="U1747" t="b">
        <f>C1747&gt;T1747</f>
        <v>0</v>
      </c>
    </row>
    <row r="1748" spans="1:21" x14ac:dyDescent="0.25">
      <c r="A1748" t="s">
        <v>1277</v>
      </c>
      <c r="B1748" s="1">
        <v>46020</v>
      </c>
      <c r="C1748" s="1">
        <v>46022</v>
      </c>
      <c r="D1748" t="s">
        <v>1278</v>
      </c>
      <c r="E1748" t="s">
        <v>172</v>
      </c>
      <c r="F1748" t="s">
        <v>99</v>
      </c>
      <c r="G1748" t="s">
        <v>100</v>
      </c>
      <c r="H1748" t="s">
        <v>161</v>
      </c>
      <c r="I1748" s="2">
        <v>5</v>
      </c>
      <c r="J1748" s="3">
        <v>32</v>
      </c>
      <c r="K1748" s="4">
        <v>0</v>
      </c>
      <c r="L1748" s="3">
        <v>160</v>
      </c>
      <c r="M1748" t="b">
        <v>1</v>
      </c>
      <c r="N1748" s="2">
        <f>YEAR(B1748)</f>
        <v>2025</v>
      </c>
      <c r="O1748" t="str">
        <f>INDEX(Agences!$C:$C,MATCH(F1748,Agences!$A:$A,0))</f>
        <v>Nord</v>
      </c>
      <c r="P1748" t="str">
        <f>INDEX(Produits!$C:$C,MATCH(H1748,Produits!$A:$A,0))</f>
        <v>Fournitures</v>
      </c>
      <c r="Q1748" s="3">
        <f>I1748*INDEX(Produits!$E:$E,MATCH(H1748,Produits!$A:$A,0))</f>
        <v>88</v>
      </c>
      <c r="R1748" s="3">
        <f>L1748-Q1748</f>
        <v>72</v>
      </c>
      <c r="S1748" s="2">
        <f>NETWORKDAYS(B1748,C1748)-1</f>
        <v>2</v>
      </c>
      <c r="T1748" s="1">
        <f>WORKDAY(B1748,5)</f>
        <v>46027</v>
      </c>
      <c r="U1748" t="b">
        <f>C1748&gt;T1748</f>
        <v>0</v>
      </c>
    </row>
    <row r="1749" spans="1:21" x14ac:dyDescent="0.25">
      <c r="A1749" t="s">
        <v>1277</v>
      </c>
      <c r="B1749" s="1">
        <v>46020</v>
      </c>
      <c r="C1749" s="1">
        <v>46022</v>
      </c>
      <c r="D1749" t="s">
        <v>1278</v>
      </c>
      <c r="E1749" t="s">
        <v>172</v>
      </c>
      <c r="F1749" t="s">
        <v>99</v>
      </c>
      <c r="G1749" t="s">
        <v>100</v>
      </c>
      <c r="H1749" t="s">
        <v>51</v>
      </c>
      <c r="I1749" s="2">
        <v>1</v>
      </c>
      <c r="J1749" s="3">
        <v>180</v>
      </c>
      <c r="K1749" s="4">
        <v>0.08</v>
      </c>
      <c r="L1749" s="3">
        <v>165.6</v>
      </c>
      <c r="M1749" t="b">
        <v>1</v>
      </c>
      <c r="N1749" s="2">
        <f>YEAR(B1749)</f>
        <v>2025</v>
      </c>
      <c r="O1749" t="str">
        <f>INDEX(Agences!$C:$C,MATCH(F1749,Agences!$A:$A,0))</f>
        <v>Nord</v>
      </c>
      <c r="P1749" t="str">
        <f>INDEX(Produits!$C:$C,MATCH(H1749,Produits!$A:$A,0))</f>
        <v>Maintenance</v>
      </c>
      <c r="Q1749" s="3">
        <f>I1749*INDEX(Produits!$E:$E,MATCH(H1749,Produits!$A:$A,0))</f>
        <v>82.8</v>
      </c>
      <c r="R1749" s="3">
        <f>L1749-Q1749</f>
        <v>82.8</v>
      </c>
      <c r="S1749" s="2">
        <f>NETWORKDAYS(B1749,C1749)-1</f>
        <v>2</v>
      </c>
      <c r="T1749" s="1">
        <f>WORKDAY(B1749,5)</f>
        <v>46027</v>
      </c>
      <c r="U1749" t="b">
        <f>C1749&gt;T1749</f>
        <v>0</v>
      </c>
    </row>
    <row r="1750" spans="1:21" x14ac:dyDescent="0.25">
      <c r="A1750" t="s">
        <v>1277</v>
      </c>
      <c r="B1750" s="1">
        <v>46020</v>
      </c>
      <c r="C1750" s="1">
        <v>46022</v>
      </c>
      <c r="D1750" t="s">
        <v>1278</v>
      </c>
      <c r="E1750" t="s">
        <v>172</v>
      </c>
      <c r="F1750" t="s">
        <v>99</v>
      </c>
      <c r="G1750" t="s">
        <v>100</v>
      </c>
      <c r="H1750" t="s">
        <v>27</v>
      </c>
      <c r="I1750" s="2">
        <v>1</v>
      </c>
      <c r="J1750" s="3">
        <v>310</v>
      </c>
      <c r="K1750" s="4">
        <v>0.02</v>
      </c>
      <c r="L1750" s="3">
        <v>303.8</v>
      </c>
      <c r="M1750" t="b">
        <v>1</v>
      </c>
      <c r="N1750" s="2">
        <f>YEAR(B1750)</f>
        <v>2025</v>
      </c>
      <c r="O1750" t="str">
        <f>INDEX(Agences!$C:$C,MATCH(F1750,Agences!$A:$A,0))</f>
        <v>Nord</v>
      </c>
      <c r="P1750" t="str">
        <f>INDEX(Produits!$C:$C,MATCH(H1750,Produits!$A:$A,0))</f>
        <v>Mobilier</v>
      </c>
      <c r="Q1750" s="3">
        <f>I1750*INDEX(Produits!$E:$E,MATCH(H1750,Produits!$A:$A,0))</f>
        <v>186</v>
      </c>
      <c r="R1750" s="3">
        <f>L1750-Q1750</f>
        <v>117.80000000000001</v>
      </c>
      <c r="S1750" s="2">
        <f>NETWORKDAYS(B1750,C1750)-1</f>
        <v>2</v>
      </c>
      <c r="T1750" s="1">
        <f>WORKDAY(B1750,5)</f>
        <v>46027</v>
      </c>
      <c r="U1750" t="b">
        <f>C1750&gt;T1750</f>
        <v>0</v>
      </c>
    </row>
    <row r="1751" spans="1:21" x14ac:dyDescent="0.25">
      <c r="A1751" t="s">
        <v>1279</v>
      </c>
      <c r="B1751" s="1">
        <v>46020</v>
      </c>
      <c r="C1751" s="1">
        <v>46022</v>
      </c>
      <c r="D1751" t="s">
        <v>438</v>
      </c>
      <c r="E1751" t="s">
        <v>175</v>
      </c>
      <c r="F1751" t="s">
        <v>76</v>
      </c>
      <c r="G1751" t="s">
        <v>232</v>
      </c>
      <c r="H1751" t="s">
        <v>205</v>
      </c>
      <c r="I1751" s="2">
        <v>2</v>
      </c>
      <c r="J1751" s="3">
        <v>359</v>
      </c>
      <c r="K1751" s="4">
        <v>0</v>
      </c>
      <c r="L1751" s="3">
        <v>718</v>
      </c>
      <c r="M1751" t="b">
        <v>1</v>
      </c>
      <c r="N1751" s="2">
        <f>YEAR(B1751)</f>
        <v>2025</v>
      </c>
      <c r="O1751" t="str">
        <f>INDEX(Agences!$C:$C,MATCH(F1751,Agences!$A:$A,0))</f>
        <v>Île-de-France</v>
      </c>
      <c r="P1751" t="str">
        <f>INDEX(Produits!$C:$C,MATCH(H1751,Produits!$A:$A,0))</f>
        <v>Mobilier</v>
      </c>
      <c r="Q1751" s="3">
        <f>I1751*INDEX(Produits!$E:$E,MATCH(H1751,Produits!$A:$A,0))</f>
        <v>409.26</v>
      </c>
      <c r="R1751" s="3">
        <f>L1751-Q1751</f>
        <v>308.74</v>
      </c>
      <c r="S1751" s="2">
        <f>NETWORKDAYS(B1751,C1751)-1</f>
        <v>2</v>
      </c>
      <c r="T1751" s="1">
        <f>WORKDAY(B1751,5)</f>
        <v>46027</v>
      </c>
      <c r="U1751" t="b">
        <f>C1751&gt;T1751</f>
        <v>0</v>
      </c>
    </row>
    <row r="1752" spans="1:21" x14ac:dyDescent="0.25">
      <c r="A1752" t="s">
        <v>1279</v>
      </c>
      <c r="B1752" s="1">
        <v>46020</v>
      </c>
      <c r="C1752" s="1">
        <v>46022</v>
      </c>
      <c r="D1752" t="s">
        <v>438</v>
      </c>
      <c r="E1752" t="s">
        <v>175</v>
      </c>
      <c r="F1752" t="s">
        <v>76</v>
      </c>
      <c r="G1752" t="s">
        <v>232</v>
      </c>
      <c r="H1752" t="s">
        <v>112</v>
      </c>
      <c r="I1752" s="2">
        <v>1</v>
      </c>
      <c r="J1752" s="3">
        <v>129</v>
      </c>
      <c r="K1752" s="4">
        <v>0.08</v>
      </c>
      <c r="L1752" s="3">
        <v>118.68</v>
      </c>
      <c r="M1752" t="b">
        <v>1</v>
      </c>
      <c r="N1752" s="2">
        <f>YEAR(B1752)</f>
        <v>2025</v>
      </c>
      <c r="O1752" t="str">
        <f>INDEX(Agences!$C:$C,MATCH(F1752,Agences!$A:$A,0))</f>
        <v>Île-de-France</v>
      </c>
      <c r="P1752" t="str">
        <f>INDEX(Produits!$C:$C,MATCH(H1752,Produits!$A:$A,0))</f>
        <v>Mobilier</v>
      </c>
      <c r="Q1752" s="3">
        <f>I1752*INDEX(Produits!$E:$E,MATCH(H1752,Produits!$A:$A,0))</f>
        <v>86.43</v>
      </c>
      <c r="R1752" s="3">
        <f>L1752-Q1752</f>
        <v>32.25</v>
      </c>
      <c r="S1752" s="2">
        <f>NETWORKDAYS(B1752,C1752)-1</f>
        <v>2</v>
      </c>
      <c r="T1752" s="1">
        <f>WORKDAY(B1752,5)</f>
        <v>46027</v>
      </c>
      <c r="U1752" t="b">
        <f>C1752&gt;T1752</f>
        <v>0</v>
      </c>
    </row>
    <row r="1753" spans="1:21" x14ac:dyDescent="0.25">
      <c r="A1753" t="s">
        <v>1280</v>
      </c>
      <c r="B1753" s="1">
        <v>46020</v>
      </c>
      <c r="C1753" s="1">
        <v>46021</v>
      </c>
      <c r="D1753" t="s">
        <v>1166</v>
      </c>
      <c r="E1753" t="s">
        <v>165</v>
      </c>
      <c r="F1753" t="s">
        <v>166</v>
      </c>
      <c r="G1753" t="s">
        <v>179</v>
      </c>
      <c r="H1753" t="s">
        <v>48</v>
      </c>
      <c r="I1753" s="2">
        <v>2</v>
      </c>
      <c r="J1753" s="3">
        <v>165</v>
      </c>
      <c r="K1753" s="4">
        <v>0.02</v>
      </c>
      <c r="L1753" s="3">
        <v>323.4</v>
      </c>
      <c r="M1753" t="b">
        <v>1</v>
      </c>
      <c r="N1753" s="2">
        <f>YEAR(B1753)</f>
        <v>2025</v>
      </c>
      <c r="O1753" t="str">
        <f>INDEX(Agences!$C:$C,MATCH(F1753,Agences!$A:$A,0))</f>
        <v>Ouest</v>
      </c>
      <c r="P1753" t="str">
        <f>INDEX(Produits!$C:$C,MATCH(H1753,Produits!$A:$A,0))</f>
        <v>Mobilier</v>
      </c>
      <c r="Q1753" s="3">
        <f>I1753*INDEX(Produits!$E:$E,MATCH(H1753,Produits!$A:$A,0))</f>
        <v>214.5</v>
      </c>
      <c r="R1753" s="3">
        <f>L1753-Q1753</f>
        <v>108.89999999999998</v>
      </c>
      <c r="S1753" s="2">
        <f>NETWORKDAYS(B1753,C1753)-1</f>
        <v>1</v>
      </c>
      <c r="T1753" s="1">
        <f>WORKDAY(B1753,5)</f>
        <v>46027</v>
      </c>
      <c r="U1753" t="b">
        <f>C1753&gt;T1753</f>
        <v>0</v>
      </c>
    </row>
    <row r="1754" spans="1:21" x14ac:dyDescent="0.25">
      <c r="A1754" t="s">
        <v>1281</v>
      </c>
      <c r="B1754" s="1">
        <v>46020</v>
      </c>
      <c r="C1754" s="1">
        <v>46024</v>
      </c>
      <c r="D1754" t="s">
        <v>777</v>
      </c>
      <c r="E1754" t="s">
        <v>256</v>
      </c>
      <c r="F1754" t="s">
        <v>88</v>
      </c>
      <c r="G1754" t="s">
        <v>89</v>
      </c>
      <c r="H1754" t="s">
        <v>42</v>
      </c>
      <c r="I1754" s="2">
        <v>2</v>
      </c>
      <c r="J1754" s="3">
        <v>55</v>
      </c>
      <c r="K1754" s="4">
        <v>0.08</v>
      </c>
      <c r="L1754" s="3">
        <v>101.2</v>
      </c>
      <c r="M1754" t="b">
        <v>1</v>
      </c>
      <c r="N1754" s="2">
        <f>YEAR(B1754)</f>
        <v>2025</v>
      </c>
      <c r="O1754" t="str">
        <f>INDEX(Agences!$C:$C,MATCH(F1754,Agences!$A:$A,0))</f>
        <v>Sud-Ouest</v>
      </c>
      <c r="P1754" t="str">
        <f>INDEX(Produits!$C:$C,MATCH(H1754,Produits!$A:$A,0))</f>
        <v>Maintenance</v>
      </c>
      <c r="Q1754" s="3">
        <f>I1754*INDEX(Produits!$E:$E,MATCH(H1754,Produits!$A:$A,0))</f>
        <v>49.5</v>
      </c>
      <c r="R1754" s="3">
        <f>L1754-Q1754</f>
        <v>51.7</v>
      </c>
      <c r="S1754" s="2">
        <f>NETWORKDAYS(B1754,C1754)-1</f>
        <v>4</v>
      </c>
      <c r="T1754" s="1">
        <f>WORKDAY(B1754,5)</f>
        <v>46027</v>
      </c>
      <c r="U1754" t="b">
        <f>C1754&gt;T1754</f>
        <v>0</v>
      </c>
    </row>
    <row r="1755" spans="1:21" x14ac:dyDescent="0.25">
      <c r="A1755" t="s">
        <v>1281</v>
      </c>
      <c r="B1755" s="1">
        <v>46020</v>
      </c>
      <c r="C1755" s="1">
        <v>46024</v>
      </c>
      <c r="D1755" t="s">
        <v>777</v>
      </c>
      <c r="E1755" t="s">
        <v>256</v>
      </c>
      <c r="F1755" t="s">
        <v>88</v>
      </c>
      <c r="G1755" t="s">
        <v>89</v>
      </c>
      <c r="H1755" t="s">
        <v>83</v>
      </c>
      <c r="I1755" s="2">
        <v>2</v>
      </c>
      <c r="J1755" s="3">
        <v>49</v>
      </c>
      <c r="K1755" s="4">
        <v>0</v>
      </c>
      <c r="L1755" s="3">
        <v>98</v>
      </c>
      <c r="M1755" t="b">
        <v>1</v>
      </c>
      <c r="N1755" s="2">
        <f>YEAR(B1755)</f>
        <v>2025</v>
      </c>
      <c r="O1755" t="str">
        <f>INDEX(Agences!$C:$C,MATCH(F1755,Agences!$A:$A,0))</f>
        <v>Sud-Ouest</v>
      </c>
      <c r="P1755" t="str">
        <f>INDEX(Produits!$C:$C,MATCH(H1755,Produits!$A:$A,0))</f>
        <v>Mobilier</v>
      </c>
      <c r="Q1755" s="3">
        <f>I1755*INDEX(Produits!$E:$E,MATCH(H1755,Produits!$A:$A,0))</f>
        <v>56.84</v>
      </c>
      <c r="R1755" s="3">
        <f>L1755-Q1755</f>
        <v>41.16</v>
      </c>
      <c r="S1755" s="2">
        <f>NETWORKDAYS(B1755,C1755)-1</f>
        <v>4</v>
      </c>
      <c r="T1755" s="1">
        <f>WORKDAY(B1755,5)</f>
        <v>46027</v>
      </c>
      <c r="U1755" t="b">
        <f>C1755&gt;T1755</f>
        <v>0</v>
      </c>
    </row>
    <row r="1756" spans="1:21" x14ac:dyDescent="0.25">
      <c r="A1756" t="s">
        <v>1282</v>
      </c>
      <c r="B1756" s="1">
        <v>46020</v>
      </c>
      <c r="C1756" s="1">
        <v>46024</v>
      </c>
      <c r="D1756" t="s">
        <v>181</v>
      </c>
      <c r="E1756" t="s">
        <v>153</v>
      </c>
      <c r="F1756" t="s">
        <v>94</v>
      </c>
      <c r="G1756" t="s">
        <v>154</v>
      </c>
      <c r="H1756" t="s">
        <v>35</v>
      </c>
      <c r="I1756" s="2">
        <v>4</v>
      </c>
      <c r="J1756" s="3">
        <v>79</v>
      </c>
      <c r="K1756" s="4">
        <v>0.05</v>
      </c>
      <c r="L1756" s="3">
        <v>300.2</v>
      </c>
      <c r="M1756" t="b">
        <v>1</v>
      </c>
      <c r="N1756" s="2">
        <f>YEAR(B1756)</f>
        <v>2025</v>
      </c>
      <c r="O1756" t="str">
        <f>INDEX(Agences!$C:$C,MATCH(F1756,Agences!$A:$A,0))</f>
        <v>Méditerranée</v>
      </c>
      <c r="P1756" t="str">
        <f>INDEX(Produits!$C:$C,MATCH(H1756,Produits!$A:$A,0))</f>
        <v>Mobilier</v>
      </c>
      <c r="Q1756" s="3">
        <f>I1756*INDEX(Produits!$E:$E,MATCH(H1756,Produits!$A:$A,0))</f>
        <v>186.44</v>
      </c>
      <c r="R1756" s="3">
        <f>L1756-Q1756</f>
        <v>113.75999999999999</v>
      </c>
      <c r="S1756" s="2">
        <f>NETWORKDAYS(B1756,C1756)-1</f>
        <v>4</v>
      </c>
      <c r="T1756" s="1">
        <f>WORKDAY(B1756,5)</f>
        <v>46027</v>
      </c>
      <c r="U1756" t="b">
        <f>C1756&gt;T1756</f>
        <v>0</v>
      </c>
    </row>
    <row r="1757" spans="1:21" x14ac:dyDescent="0.25">
      <c r="A1757" t="s">
        <v>1282</v>
      </c>
      <c r="B1757" s="1">
        <v>46020</v>
      </c>
      <c r="C1757" s="1">
        <v>46024</v>
      </c>
      <c r="D1757" t="s">
        <v>181</v>
      </c>
      <c r="E1757" t="s">
        <v>153</v>
      </c>
      <c r="F1757" t="s">
        <v>94</v>
      </c>
      <c r="G1757" t="s">
        <v>154</v>
      </c>
      <c r="H1757" t="s">
        <v>57</v>
      </c>
      <c r="I1757" s="2">
        <v>1</v>
      </c>
      <c r="J1757" s="3">
        <v>149</v>
      </c>
      <c r="K1757" s="4">
        <v>0.02</v>
      </c>
      <c r="L1757" s="3">
        <v>146.02</v>
      </c>
      <c r="M1757" t="b">
        <v>1</v>
      </c>
      <c r="N1757" s="2">
        <f>YEAR(B1757)</f>
        <v>2025</v>
      </c>
      <c r="O1757" t="str">
        <f>INDEX(Agences!$C:$C,MATCH(F1757,Agences!$A:$A,0))</f>
        <v>Méditerranée</v>
      </c>
      <c r="P1757" t="str">
        <f>INDEX(Produits!$C:$C,MATCH(H1757,Produits!$A:$A,0))</f>
        <v>Informatique</v>
      </c>
      <c r="Q1757" s="3">
        <f>I1757*INDEX(Produits!$E:$E,MATCH(H1757,Produits!$A:$A,0))</f>
        <v>114.73</v>
      </c>
      <c r="R1757" s="3">
        <f>L1757-Q1757</f>
        <v>31.290000000000006</v>
      </c>
      <c r="S1757" s="2">
        <f>NETWORKDAYS(B1757,C1757)-1</f>
        <v>4</v>
      </c>
      <c r="T1757" s="1">
        <f>WORKDAY(B1757,5)</f>
        <v>46027</v>
      </c>
      <c r="U1757" t="b">
        <f>C1757&gt;T1757</f>
        <v>0</v>
      </c>
    </row>
    <row r="1758" spans="1:21" x14ac:dyDescent="0.25">
      <c r="A1758" t="s">
        <v>1282</v>
      </c>
      <c r="B1758" s="1">
        <v>46020</v>
      </c>
      <c r="C1758" s="1">
        <v>46024</v>
      </c>
      <c r="D1758" t="s">
        <v>181</v>
      </c>
      <c r="E1758" t="s">
        <v>153</v>
      </c>
      <c r="F1758" t="s">
        <v>94</v>
      </c>
      <c r="G1758" t="s">
        <v>154</v>
      </c>
      <c r="H1758" t="s">
        <v>49</v>
      </c>
      <c r="I1758" s="2">
        <v>1</v>
      </c>
      <c r="J1758" s="3">
        <v>120</v>
      </c>
      <c r="K1758" s="4">
        <v>0.05</v>
      </c>
      <c r="L1758" s="3">
        <v>114</v>
      </c>
      <c r="M1758" t="b">
        <v>1</v>
      </c>
      <c r="N1758" s="2">
        <f>YEAR(B1758)</f>
        <v>2025</v>
      </c>
      <c r="O1758" t="str">
        <f>INDEX(Agences!$C:$C,MATCH(F1758,Agences!$A:$A,0))</f>
        <v>Méditerranée</v>
      </c>
      <c r="P1758" t="str">
        <f>INDEX(Produits!$C:$C,MATCH(H1758,Produits!$A:$A,0))</f>
        <v>Maintenance</v>
      </c>
      <c r="Q1758" s="3">
        <f>I1758*INDEX(Produits!$E:$E,MATCH(H1758,Produits!$A:$A,0))</f>
        <v>55.2</v>
      </c>
      <c r="R1758" s="3">
        <f>L1758-Q1758</f>
        <v>58.8</v>
      </c>
      <c r="S1758" s="2">
        <f>NETWORKDAYS(B1758,C1758)-1</f>
        <v>4</v>
      </c>
      <c r="T1758" s="1">
        <f>WORKDAY(B1758,5)</f>
        <v>46027</v>
      </c>
      <c r="U1758" t="b">
        <f>C1758&gt;T1758</f>
        <v>0</v>
      </c>
    </row>
    <row r="1759" spans="1:21" x14ac:dyDescent="0.25">
      <c r="A1759" t="s">
        <v>1282</v>
      </c>
      <c r="B1759" s="1">
        <v>46020</v>
      </c>
      <c r="C1759" s="1">
        <v>46024</v>
      </c>
      <c r="D1759" t="s">
        <v>181</v>
      </c>
      <c r="E1759" t="s">
        <v>153</v>
      </c>
      <c r="F1759" t="s">
        <v>94</v>
      </c>
      <c r="G1759" t="s">
        <v>154</v>
      </c>
      <c r="H1759" t="s">
        <v>162</v>
      </c>
      <c r="I1759" s="2">
        <v>1</v>
      </c>
      <c r="J1759" s="3">
        <v>289</v>
      </c>
      <c r="K1759" s="4">
        <v>0.05</v>
      </c>
      <c r="L1759" s="3">
        <v>274.55</v>
      </c>
      <c r="M1759" t="b">
        <v>1</v>
      </c>
      <c r="N1759" s="2">
        <f>YEAR(B1759)</f>
        <v>2025</v>
      </c>
      <c r="O1759" t="str">
        <f>INDEX(Agences!$C:$C,MATCH(F1759,Agences!$A:$A,0))</f>
        <v>Méditerranée</v>
      </c>
      <c r="P1759" t="str">
        <f>INDEX(Produits!$C:$C,MATCH(H1759,Produits!$A:$A,0))</f>
        <v>Mobilier</v>
      </c>
      <c r="Q1759" s="3">
        <f>I1759*INDEX(Produits!$E:$E,MATCH(H1759,Produits!$A:$A,0))</f>
        <v>193.63</v>
      </c>
      <c r="R1759" s="3">
        <f>L1759-Q1759</f>
        <v>80.92000000000002</v>
      </c>
      <c r="S1759" s="2">
        <f>NETWORKDAYS(B1759,C1759)-1</f>
        <v>4</v>
      </c>
      <c r="T1759" s="1">
        <f>WORKDAY(B1759,5)</f>
        <v>46027</v>
      </c>
      <c r="U1759" t="b">
        <f>C1759&gt;T1759</f>
        <v>0</v>
      </c>
    </row>
    <row r="1760" spans="1:21" x14ac:dyDescent="0.25">
      <c r="A1760" t="s">
        <v>1283</v>
      </c>
      <c r="B1760" s="1">
        <v>46017</v>
      </c>
      <c r="C1760" s="1">
        <v>46021</v>
      </c>
      <c r="D1760" t="s">
        <v>1284</v>
      </c>
      <c r="E1760" t="s">
        <v>119</v>
      </c>
      <c r="F1760" t="s">
        <v>24</v>
      </c>
      <c r="G1760" t="s">
        <v>116</v>
      </c>
      <c r="H1760" t="s">
        <v>79</v>
      </c>
      <c r="I1760" s="2">
        <v>5</v>
      </c>
      <c r="J1760" s="3">
        <v>14.9</v>
      </c>
      <c r="K1760" s="4">
        <v>0.08</v>
      </c>
      <c r="L1760" s="3">
        <v>68.54</v>
      </c>
      <c r="M1760" t="b">
        <v>1</v>
      </c>
      <c r="N1760" s="2">
        <f>YEAR(B1760)</f>
        <v>2025</v>
      </c>
      <c r="O1760" t="str">
        <f>INDEX(Agences!$C:$C,MATCH(F1760,Agences!$A:$A,0))</f>
        <v>Nord</v>
      </c>
      <c r="P1760" t="str">
        <f>INDEX(Produits!$C:$C,MATCH(H1760,Produits!$A:$A,0))</f>
        <v>Fournitures</v>
      </c>
      <c r="Q1760" s="3">
        <f>I1760*INDEX(Produits!$E:$E,MATCH(H1760,Produits!$A:$A,0))</f>
        <v>40.25</v>
      </c>
      <c r="R1760" s="3">
        <f>L1760-Q1760</f>
        <v>28.290000000000006</v>
      </c>
      <c r="S1760" s="2">
        <f>NETWORKDAYS(B1760,C1760)-1</f>
        <v>2</v>
      </c>
      <c r="T1760" s="1">
        <f>WORKDAY(B1760,5)</f>
        <v>46024</v>
      </c>
      <c r="U1760" t="b">
        <f>C1760&gt;T1760</f>
        <v>0</v>
      </c>
    </row>
    <row r="1761" spans="1:21" x14ac:dyDescent="0.25">
      <c r="A1761" t="s">
        <v>1285</v>
      </c>
      <c r="B1761" s="1">
        <v>46017</v>
      </c>
      <c r="C1761" s="1">
        <v>46022</v>
      </c>
      <c r="D1761" t="s">
        <v>1101</v>
      </c>
      <c r="E1761" t="s">
        <v>75</v>
      </c>
      <c r="F1761" t="s">
        <v>76</v>
      </c>
      <c r="G1761" t="s">
        <v>232</v>
      </c>
      <c r="H1761" t="s">
        <v>319</v>
      </c>
      <c r="I1761" s="2">
        <v>2</v>
      </c>
      <c r="J1761" s="3">
        <v>289</v>
      </c>
      <c r="K1761" s="4">
        <v>0</v>
      </c>
      <c r="L1761" s="3">
        <v>578</v>
      </c>
      <c r="M1761" t="b">
        <v>1</v>
      </c>
      <c r="N1761" s="2">
        <f>YEAR(B1761)</f>
        <v>2025</v>
      </c>
      <c r="O1761" t="str">
        <f>INDEX(Agences!$C:$C,MATCH(F1761,Agences!$A:$A,0))</f>
        <v>Île-de-France</v>
      </c>
      <c r="P1761" t="str">
        <f>INDEX(Produits!$C:$C,MATCH(H1761,Produits!$A:$A,0))</f>
        <v>Informatique</v>
      </c>
      <c r="Q1761" s="3">
        <f>I1761*INDEX(Produits!$E:$E,MATCH(H1761,Produits!$A:$A,0))</f>
        <v>427.72</v>
      </c>
      <c r="R1761" s="3">
        <f>L1761-Q1761</f>
        <v>150.27999999999997</v>
      </c>
      <c r="S1761" s="2">
        <f>NETWORKDAYS(B1761,C1761)-1</f>
        <v>3</v>
      </c>
      <c r="T1761" s="1">
        <f>WORKDAY(B1761,5)</f>
        <v>46024</v>
      </c>
      <c r="U1761" t="b">
        <f>C1761&gt;T1761</f>
        <v>0</v>
      </c>
    </row>
    <row r="1762" spans="1:21" x14ac:dyDescent="0.25">
      <c r="A1762" t="s">
        <v>1285</v>
      </c>
      <c r="B1762" s="1">
        <v>46017</v>
      </c>
      <c r="C1762" s="1">
        <v>46022</v>
      </c>
      <c r="D1762" t="s">
        <v>1101</v>
      </c>
      <c r="E1762" t="s">
        <v>75</v>
      </c>
      <c r="F1762" t="s">
        <v>76</v>
      </c>
      <c r="G1762" t="s">
        <v>232</v>
      </c>
      <c r="H1762" t="s">
        <v>42</v>
      </c>
      <c r="I1762" s="2">
        <v>1</v>
      </c>
      <c r="J1762" s="3">
        <v>55</v>
      </c>
      <c r="K1762" s="4">
        <v>0</v>
      </c>
      <c r="L1762" s="3">
        <v>55</v>
      </c>
      <c r="M1762" t="b">
        <v>1</v>
      </c>
      <c r="N1762" s="2">
        <f>YEAR(B1762)</f>
        <v>2025</v>
      </c>
      <c r="O1762" t="str">
        <f>INDEX(Agences!$C:$C,MATCH(F1762,Agences!$A:$A,0))</f>
        <v>Île-de-France</v>
      </c>
      <c r="P1762" t="str">
        <f>INDEX(Produits!$C:$C,MATCH(H1762,Produits!$A:$A,0))</f>
        <v>Maintenance</v>
      </c>
      <c r="Q1762" s="3">
        <f>I1762*INDEX(Produits!$E:$E,MATCH(H1762,Produits!$A:$A,0))</f>
        <v>24.75</v>
      </c>
      <c r="R1762" s="3">
        <f>L1762-Q1762</f>
        <v>30.25</v>
      </c>
      <c r="S1762" s="2">
        <f>NETWORKDAYS(B1762,C1762)-1</f>
        <v>3</v>
      </c>
      <c r="T1762" s="1">
        <f>WORKDAY(B1762,5)</f>
        <v>46024</v>
      </c>
      <c r="U1762" t="b">
        <f>C1762&gt;T1762</f>
        <v>0</v>
      </c>
    </row>
    <row r="1763" spans="1:21" x14ac:dyDescent="0.25">
      <c r="A1763" t="s">
        <v>1285</v>
      </c>
      <c r="B1763" s="1">
        <v>46017</v>
      </c>
      <c r="C1763" s="1">
        <v>46022</v>
      </c>
      <c r="D1763" t="s">
        <v>1101</v>
      </c>
      <c r="E1763" t="s">
        <v>75</v>
      </c>
      <c r="F1763" t="s">
        <v>76</v>
      </c>
      <c r="G1763" t="s">
        <v>232</v>
      </c>
      <c r="H1763" t="s">
        <v>84</v>
      </c>
      <c r="I1763" s="2">
        <v>1</v>
      </c>
      <c r="J1763" s="3">
        <v>420</v>
      </c>
      <c r="K1763" s="4">
        <v>0.05</v>
      </c>
      <c r="L1763" s="3">
        <v>399</v>
      </c>
      <c r="M1763" t="b">
        <v>1</v>
      </c>
      <c r="N1763" s="2">
        <f>YEAR(B1763)</f>
        <v>2025</v>
      </c>
      <c r="O1763" t="str">
        <f>INDEX(Agences!$C:$C,MATCH(F1763,Agences!$A:$A,0))</f>
        <v>Île-de-France</v>
      </c>
      <c r="P1763" t="str">
        <f>INDEX(Produits!$C:$C,MATCH(H1763,Produits!$A:$A,0))</f>
        <v>Mobilier</v>
      </c>
      <c r="Q1763" s="3">
        <f>I1763*INDEX(Produits!$E:$E,MATCH(H1763,Produits!$A:$A,0))</f>
        <v>243.6</v>
      </c>
      <c r="R1763" s="3">
        <f>L1763-Q1763</f>
        <v>155.4</v>
      </c>
      <c r="S1763" s="2">
        <f>NETWORKDAYS(B1763,C1763)-1</f>
        <v>3</v>
      </c>
      <c r="T1763" s="1">
        <f>WORKDAY(B1763,5)</f>
        <v>46024</v>
      </c>
      <c r="U1763" t="b">
        <f>C1763&gt;T1763</f>
        <v>0</v>
      </c>
    </row>
    <row r="1764" spans="1:21" x14ac:dyDescent="0.25">
      <c r="A1764" t="s">
        <v>1285</v>
      </c>
      <c r="B1764" s="1">
        <v>46017</v>
      </c>
      <c r="C1764" s="1">
        <v>46022</v>
      </c>
      <c r="D1764" t="s">
        <v>1101</v>
      </c>
      <c r="E1764" t="s">
        <v>75</v>
      </c>
      <c r="F1764" t="s">
        <v>76</v>
      </c>
      <c r="G1764" t="s">
        <v>232</v>
      </c>
      <c r="H1764" t="s">
        <v>51</v>
      </c>
      <c r="I1764" s="2">
        <v>3</v>
      </c>
      <c r="J1764" s="3">
        <v>180</v>
      </c>
      <c r="K1764" s="4">
        <v>0.02</v>
      </c>
      <c r="L1764" s="3">
        <v>529.2</v>
      </c>
      <c r="M1764" t="b">
        <v>1</v>
      </c>
      <c r="N1764" s="2">
        <f>YEAR(B1764)</f>
        <v>2025</v>
      </c>
      <c r="O1764" t="str">
        <f>INDEX(Agences!$C:$C,MATCH(F1764,Agences!$A:$A,0))</f>
        <v>Île-de-France</v>
      </c>
      <c r="P1764" t="str">
        <f>INDEX(Produits!$C:$C,MATCH(H1764,Produits!$A:$A,0))</f>
        <v>Maintenance</v>
      </c>
      <c r="Q1764" s="3">
        <f>I1764*INDEX(Produits!$E:$E,MATCH(H1764,Produits!$A:$A,0))</f>
        <v>248.39999999999998</v>
      </c>
      <c r="R1764" s="3">
        <f>L1764-Q1764</f>
        <v>280.80000000000007</v>
      </c>
      <c r="S1764" s="2">
        <f>NETWORKDAYS(B1764,C1764)-1</f>
        <v>3</v>
      </c>
      <c r="T1764" s="1">
        <f>WORKDAY(B1764,5)</f>
        <v>46024</v>
      </c>
      <c r="U1764" t="b">
        <f>C1764&gt;T1764</f>
        <v>0</v>
      </c>
    </row>
    <row r="1765" spans="1:21" x14ac:dyDescent="0.25">
      <c r="A1765" t="s">
        <v>1285</v>
      </c>
      <c r="B1765" s="1">
        <v>46017</v>
      </c>
      <c r="C1765" s="1">
        <v>46022</v>
      </c>
      <c r="D1765" t="s">
        <v>1101</v>
      </c>
      <c r="E1765" t="s">
        <v>75</v>
      </c>
      <c r="F1765" t="s">
        <v>76</v>
      </c>
      <c r="G1765" t="s">
        <v>232</v>
      </c>
      <c r="H1765" t="s">
        <v>233</v>
      </c>
      <c r="I1765" s="2">
        <v>20</v>
      </c>
      <c r="J1765" s="3">
        <v>27.5</v>
      </c>
      <c r="K1765" s="4">
        <v>0</v>
      </c>
      <c r="L1765" s="3">
        <v>550</v>
      </c>
      <c r="M1765" t="b">
        <v>1</v>
      </c>
      <c r="N1765" s="2">
        <f>YEAR(B1765)</f>
        <v>2025</v>
      </c>
      <c r="O1765" t="str">
        <f>INDEX(Agences!$C:$C,MATCH(F1765,Agences!$A:$A,0))</f>
        <v>Île-de-France</v>
      </c>
      <c r="P1765" t="str">
        <f>INDEX(Produits!$C:$C,MATCH(H1765,Produits!$A:$A,0))</f>
        <v>Fournitures</v>
      </c>
      <c r="Q1765" s="3">
        <f>I1765*INDEX(Produits!$E:$E,MATCH(H1765,Produits!$A:$A,0))</f>
        <v>308</v>
      </c>
      <c r="R1765" s="3">
        <f>L1765-Q1765</f>
        <v>242</v>
      </c>
      <c r="S1765" s="2">
        <f>NETWORKDAYS(B1765,C1765)-1</f>
        <v>3</v>
      </c>
      <c r="T1765" s="1">
        <f>WORKDAY(B1765,5)</f>
        <v>46024</v>
      </c>
      <c r="U1765" t="b">
        <f>C1765&gt;T1765</f>
        <v>0</v>
      </c>
    </row>
    <row r="1766" spans="1:21" x14ac:dyDescent="0.25">
      <c r="A1766" t="s">
        <v>1286</v>
      </c>
      <c r="B1766" s="1">
        <v>46017</v>
      </c>
      <c r="C1766" s="1">
        <v>46024</v>
      </c>
      <c r="D1766" t="s">
        <v>1287</v>
      </c>
      <c r="E1766" t="s">
        <v>236</v>
      </c>
      <c r="F1766" t="s">
        <v>39</v>
      </c>
      <c r="G1766" t="s">
        <v>322</v>
      </c>
      <c r="H1766" t="s">
        <v>33</v>
      </c>
      <c r="I1766" s="2">
        <v>1</v>
      </c>
      <c r="J1766" s="3">
        <v>219</v>
      </c>
      <c r="K1766" s="4">
        <v>0.05</v>
      </c>
      <c r="L1766" s="3">
        <v>208.05</v>
      </c>
      <c r="M1766" t="b">
        <v>1</v>
      </c>
      <c r="N1766" s="2">
        <f>YEAR(B1766)</f>
        <v>2025</v>
      </c>
      <c r="O1766" t="str">
        <f>INDEX(Agences!$C:$C,MATCH(F1766,Agences!$A:$A,0))</f>
        <v>Sud-Ouest</v>
      </c>
      <c r="P1766" t="str">
        <f>INDEX(Produits!$C:$C,MATCH(H1766,Produits!$A:$A,0))</f>
        <v>Informatique</v>
      </c>
      <c r="Q1766" s="3">
        <f>I1766*INDEX(Produits!$E:$E,MATCH(H1766,Produits!$A:$A,0))</f>
        <v>179.58</v>
      </c>
      <c r="R1766" s="3">
        <f>L1766-Q1766</f>
        <v>28.47</v>
      </c>
      <c r="S1766" s="2">
        <f>NETWORKDAYS(B1766,C1766)-1</f>
        <v>5</v>
      </c>
      <c r="T1766" s="1">
        <f>WORKDAY(B1766,5)</f>
        <v>46024</v>
      </c>
      <c r="U1766" t="b">
        <f>C1766&gt;T1766</f>
        <v>0</v>
      </c>
    </row>
    <row r="1767" spans="1:21" x14ac:dyDescent="0.25">
      <c r="A1767" t="s">
        <v>1286</v>
      </c>
      <c r="B1767" s="1">
        <v>46017</v>
      </c>
      <c r="C1767" s="1">
        <v>46024</v>
      </c>
      <c r="D1767" t="s">
        <v>1287</v>
      </c>
      <c r="E1767" t="s">
        <v>236</v>
      </c>
      <c r="F1767" t="s">
        <v>39</v>
      </c>
      <c r="G1767" t="s">
        <v>322</v>
      </c>
      <c r="H1767" t="s">
        <v>42</v>
      </c>
      <c r="I1767" s="2">
        <v>1</v>
      </c>
      <c r="J1767" s="3">
        <v>55</v>
      </c>
      <c r="K1767" s="4">
        <v>0.08</v>
      </c>
      <c r="L1767" s="3">
        <v>50.6</v>
      </c>
      <c r="M1767" t="b">
        <v>1</v>
      </c>
      <c r="N1767" s="2">
        <f>YEAR(B1767)</f>
        <v>2025</v>
      </c>
      <c r="O1767" t="str">
        <f>INDEX(Agences!$C:$C,MATCH(F1767,Agences!$A:$A,0))</f>
        <v>Sud-Ouest</v>
      </c>
      <c r="P1767" t="str">
        <f>INDEX(Produits!$C:$C,MATCH(H1767,Produits!$A:$A,0))</f>
        <v>Maintenance</v>
      </c>
      <c r="Q1767" s="3">
        <f>I1767*INDEX(Produits!$E:$E,MATCH(H1767,Produits!$A:$A,0))</f>
        <v>24.75</v>
      </c>
      <c r="R1767" s="3">
        <f>L1767-Q1767</f>
        <v>25.85</v>
      </c>
      <c r="S1767" s="2">
        <f>NETWORKDAYS(B1767,C1767)-1</f>
        <v>5</v>
      </c>
      <c r="T1767" s="1">
        <f>WORKDAY(B1767,5)</f>
        <v>46024</v>
      </c>
      <c r="U1767" t="b">
        <f>C1767&gt;T1767</f>
        <v>0</v>
      </c>
    </row>
    <row r="1768" spans="1:21" x14ac:dyDescent="0.25">
      <c r="A1768" t="s">
        <v>1286</v>
      </c>
      <c r="B1768" s="1">
        <v>46017</v>
      </c>
      <c r="C1768" s="1">
        <v>46024</v>
      </c>
      <c r="D1768" t="s">
        <v>1287</v>
      </c>
      <c r="E1768" t="s">
        <v>236</v>
      </c>
      <c r="F1768" t="s">
        <v>39</v>
      </c>
      <c r="G1768" t="s">
        <v>322</v>
      </c>
      <c r="H1768" t="s">
        <v>49</v>
      </c>
      <c r="I1768" s="2">
        <v>1</v>
      </c>
      <c r="J1768" s="3">
        <v>120</v>
      </c>
      <c r="K1768" s="4">
        <v>0</v>
      </c>
      <c r="L1768" s="3">
        <v>120</v>
      </c>
      <c r="M1768" t="b">
        <v>1</v>
      </c>
      <c r="N1768" s="2">
        <f>YEAR(B1768)</f>
        <v>2025</v>
      </c>
      <c r="O1768" t="str">
        <f>INDEX(Agences!$C:$C,MATCH(F1768,Agences!$A:$A,0))</f>
        <v>Sud-Ouest</v>
      </c>
      <c r="P1768" t="str">
        <f>INDEX(Produits!$C:$C,MATCH(H1768,Produits!$A:$A,0))</f>
        <v>Maintenance</v>
      </c>
      <c r="Q1768" s="3">
        <f>I1768*INDEX(Produits!$E:$E,MATCH(H1768,Produits!$A:$A,0))</f>
        <v>55.2</v>
      </c>
      <c r="R1768" s="3">
        <f>L1768-Q1768</f>
        <v>64.8</v>
      </c>
      <c r="S1768" s="2">
        <f>NETWORKDAYS(B1768,C1768)-1</f>
        <v>5</v>
      </c>
      <c r="T1768" s="1">
        <f>WORKDAY(B1768,5)</f>
        <v>46024</v>
      </c>
      <c r="U1768" t="b">
        <f>C1768&gt;T1768</f>
        <v>0</v>
      </c>
    </row>
    <row r="1769" spans="1:21" x14ac:dyDescent="0.25">
      <c r="A1769" t="s">
        <v>1288</v>
      </c>
      <c r="B1769" s="1">
        <v>46017</v>
      </c>
      <c r="C1769" s="1">
        <v>46020</v>
      </c>
      <c r="D1769" t="s">
        <v>948</v>
      </c>
      <c r="E1769" t="s">
        <v>54</v>
      </c>
      <c r="F1769" t="s">
        <v>55</v>
      </c>
      <c r="G1769" t="s">
        <v>71</v>
      </c>
      <c r="H1769" t="s">
        <v>107</v>
      </c>
      <c r="I1769" s="2">
        <v>1</v>
      </c>
      <c r="J1769" s="3">
        <v>99</v>
      </c>
      <c r="K1769" s="4">
        <v>0.08</v>
      </c>
      <c r="L1769" s="3">
        <v>91.08</v>
      </c>
      <c r="M1769" t="b">
        <v>1</v>
      </c>
      <c r="N1769" s="2">
        <f>YEAR(B1769)</f>
        <v>2025</v>
      </c>
      <c r="O1769" t="str">
        <f>INDEX(Agences!$C:$C,MATCH(F1769,Agences!$A:$A,0))</f>
        <v>Est</v>
      </c>
      <c r="P1769" t="str">
        <f>INDEX(Produits!$C:$C,MATCH(H1769,Produits!$A:$A,0))</f>
        <v>Informatique</v>
      </c>
      <c r="Q1769" s="3">
        <f>I1769*INDEX(Produits!$E:$E,MATCH(H1769,Produits!$A:$A,0))</f>
        <v>75.24</v>
      </c>
      <c r="R1769" s="3">
        <f>L1769-Q1769</f>
        <v>15.840000000000003</v>
      </c>
      <c r="S1769" s="2">
        <f>NETWORKDAYS(B1769,C1769)-1</f>
        <v>1</v>
      </c>
      <c r="T1769" s="1">
        <f>WORKDAY(B1769,5)</f>
        <v>46024</v>
      </c>
      <c r="U1769" t="b">
        <f>C1769&gt;T1769</f>
        <v>0</v>
      </c>
    </row>
    <row r="1770" spans="1:21" x14ac:dyDescent="0.25">
      <c r="A1770" t="s">
        <v>1288</v>
      </c>
      <c r="B1770" s="1">
        <v>46017</v>
      </c>
      <c r="C1770" s="1">
        <v>46020</v>
      </c>
      <c r="D1770" t="s">
        <v>948</v>
      </c>
      <c r="E1770" t="s">
        <v>54</v>
      </c>
      <c r="F1770" t="s">
        <v>55</v>
      </c>
      <c r="G1770" t="s">
        <v>71</v>
      </c>
      <c r="H1770" t="s">
        <v>42</v>
      </c>
      <c r="I1770" s="2">
        <v>1</v>
      </c>
      <c r="J1770" s="3">
        <v>55</v>
      </c>
      <c r="K1770" s="4">
        <v>0</v>
      </c>
      <c r="L1770" s="3">
        <v>55</v>
      </c>
      <c r="M1770" t="b">
        <v>1</v>
      </c>
      <c r="N1770" s="2">
        <f>YEAR(B1770)</f>
        <v>2025</v>
      </c>
      <c r="O1770" t="str">
        <f>INDEX(Agences!$C:$C,MATCH(F1770,Agences!$A:$A,0))</f>
        <v>Est</v>
      </c>
      <c r="P1770" t="str">
        <f>INDEX(Produits!$C:$C,MATCH(H1770,Produits!$A:$A,0))</f>
        <v>Maintenance</v>
      </c>
      <c r="Q1770" s="3">
        <f>I1770*INDEX(Produits!$E:$E,MATCH(H1770,Produits!$A:$A,0))</f>
        <v>24.75</v>
      </c>
      <c r="R1770" s="3">
        <f>L1770-Q1770</f>
        <v>30.25</v>
      </c>
      <c r="S1770" s="2">
        <f>NETWORKDAYS(B1770,C1770)-1</f>
        <v>1</v>
      </c>
      <c r="T1770" s="1">
        <f>WORKDAY(B1770,5)</f>
        <v>46024</v>
      </c>
      <c r="U1770" t="b">
        <f>C1770&gt;T1770</f>
        <v>0</v>
      </c>
    </row>
    <row r="1771" spans="1:21" x14ac:dyDescent="0.25">
      <c r="A1771" t="s">
        <v>1289</v>
      </c>
      <c r="B1771" s="1">
        <v>46016</v>
      </c>
      <c r="C1771" s="1">
        <v>46022</v>
      </c>
      <c r="D1771" t="s">
        <v>1290</v>
      </c>
      <c r="E1771" t="s">
        <v>122</v>
      </c>
      <c r="F1771" t="s">
        <v>24</v>
      </c>
      <c r="G1771" t="s">
        <v>116</v>
      </c>
      <c r="H1771" t="s">
        <v>83</v>
      </c>
      <c r="I1771" s="2">
        <v>1</v>
      </c>
      <c r="J1771" s="3">
        <v>49</v>
      </c>
      <c r="K1771" s="4">
        <v>0</v>
      </c>
      <c r="L1771" s="3">
        <v>49</v>
      </c>
      <c r="M1771" t="b">
        <v>1</v>
      </c>
      <c r="N1771" s="2">
        <f>YEAR(B1771)</f>
        <v>2025</v>
      </c>
      <c r="O1771" t="str">
        <f>INDEX(Agences!$C:$C,MATCH(F1771,Agences!$A:$A,0))</f>
        <v>Nord</v>
      </c>
      <c r="P1771" t="str">
        <f>INDEX(Produits!$C:$C,MATCH(H1771,Produits!$A:$A,0))</f>
        <v>Mobilier</v>
      </c>
      <c r="Q1771" s="3">
        <f>I1771*INDEX(Produits!$E:$E,MATCH(H1771,Produits!$A:$A,0))</f>
        <v>28.42</v>
      </c>
      <c r="R1771" s="3">
        <f>L1771-Q1771</f>
        <v>20.58</v>
      </c>
      <c r="S1771" s="2">
        <f>NETWORKDAYS(B1771,C1771)-1</f>
        <v>4</v>
      </c>
      <c r="T1771" s="1">
        <f>WORKDAY(B1771,5)</f>
        <v>46023</v>
      </c>
      <c r="U1771" t="b">
        <f>C1771&gt;T1771</f>
        <v>0</v>
      </c>
    </row>
    <row r="1772" spans="1:21" x14ac:dyDescent="0.25">
      <c r="A1772" t="s">
        <v>1289</v>
      </c>
      <c r="B1772" s="1">
        <v>46016</v>
      </c>
      <c r="C1772" s="1">
        <v>46022</v>
      </c>
      <c r="D1772" t="s">
        <v>1290</v>
      </c>
      <c r="E1772" t="s">
        <v>122</v>
      </c>
      <c r="F1772" t="s">
        <v>24</v>
      </c>
      <c r="G1772" t="s">
        <v>116</v>
      </c>
      <c r="H1772" t="s">
        <v>35</v>
      </c>
      <c r="I1772" s="2">
        <v>2</v>
      </c>
      <c r="J1772" s="3">
        <v>79</v>
      </c>
      <c r="K1772" s="4">
        <v>0.05</v>
      </c>
      <c r="L1772" s="3">
        <v>150.1</v>
      </c>
      <c r="M1772" t="b">
        <v>1</v>
      </c>
      <c r="N1772" s="2">
        <f>YEAR(B1772)</f>
        <v>2025</v>
      </c>
      <c r="O1772" t="str">
        <f>INDEX(Agences!$C:$C,MATCH(F1772,Agences!$A:$A,0))</f>
        <v>Nord</v>
      </c>
      <c r="P1772" t="str">
        <f>INDEX(Produits!$C:$C,MATCH(H1772,Produits!$A:$A,0))</f>
        <v>Mobilier</v>
      </c>
      <c r="Q1772" s="3">
        <f>I1772*INDEX(Produits!$E:$E,MATCH(H1772,Produits!$A:$A,0))</f>
        <v>93.22</v>
      </c>
      <c r="R1772" s="3">
        <f>L1772-Q1772</f>
        <v>56.879999999999995</v>
      </c>
      <c r="S1772" s="2">
        <f>NETWORKDAYS(B1772,C1772)-1</f>
        <v>4</v>
      </c>
      <c r="T1772" s="1">
        <f>WORKDAY(B1772,5)</f>
        <v>46023</v>
      </c>
      <c r="U1772" t="b">
        <f>C1772&gt;T1772</f>
        <v>0</v>
      </c>
    </row>
    <row r="1773" spans="1:21" x14ac:dyDescent="0.25">
      <c r="A1773" t="s">
        <v>1289</v>
      </c>
      <c r="B1773" s="1">
        <v>46016</v>
      </c>
      <c r="C1773" s="1">
        <v>46022</v>
      </c>
      <c r="D1773" t="s">
        <v>1290</v>
      </c>
      <c r="E1773" t="s">
        <v>122</v>
      </c>
      <c r="F1773" t="s">
        <v>24</v>
      </c>
      <c r="G1773" t="s">
        <v>116</v>
      </c>
      <c r="H1773" t="s">
        <v>41</v>
      </c>
      <c r="I1773" s="2">
        <v>2</v>
      </c>
      <c r="J1773" s="3">
        <v>790</v>
      </c>
      <c r="K1773" s="4">
        <v>0</v>
      </c>
      <c r="L1773" s="3">
        <v>1580</v>
      </c>
      <c r="M1773" t="b">
        <v>1</v>
      </c>
      <c r="N1773" s="2">
        <f>YEAR(B1773)</f>
        <v>2025</v>
      </c>
      <c r="O1773" t="str">
        <f>INDEX(Agences!$C:$C,MATCH(F1773,Agences!$A:$A,0))</f>
        <v>Nord</v>
      </c>
      <c r="P1773" t="str">
        <f>INDEX(Produits!$C:$C,MATCH(H1773,Produits!$A:$A,0))</f>
        <v>Informatique</v>
      </c>
      <c r="Q1773" s="3">
        <f>I1773*INDEX(Produits!$E:$E,MATCH(H1773,Produits!$A:$A,0))</f>
        <v>1153.4</v>
      </c>
      <c r="R1773" s="3">
        <f>L1773-Q1773</f>
        <v>426.5999999999999</v>
      </c>
      <c r="S1773" s="2">
        <f>NETWORKDAYS(B1773,C1773)-1</f>
        <v>4</v>
      </c>
      <c r="T1773" s="1">
        <f>WORKDAY(B1773,5)</f>
        <v>46023</v>
      </c>
      <c r="U1773" t="b">
        <f>C1773&gt;T1773</f>
        <v>0</v>
      </c>
    </row>
    <row r="1774" spans="1:21" x14ac:dyDescent="0.25">
      <c r="A1774" t="s">
        <v>1289</v>
      </c>
      <c r="B1774" s="1">
        <v>46016</v>
      </c>
      <c r="C1774" s="1">
        <v>46022</v>
      </c>
      <c r="D1774" t="s">
        <v>1290</v>
      </c>
      <c r="E1774" t="s">
        <v>122</v>
      </c>
      <c r="F1774" t="s">
        <v>24</v>
      </c>
      <c r="G1774" t="s">
        <v>116</v>
      </c>
      <c r="H1774" t="s">
        <v>107</v>
      </c>
      <c r="I1774" s="2">
        <v>1</v>
      </c>
      <c r="J1774" s="3">
        <v>99</v>
      </c>
      <c r="K1774" s="4">
        <v>0</v>
      </c>
      <c r="L1774" s="3">
        <v>99</v>
      </c>
      <c r="M1774" t="b">
        <v>1</v>
      </c>
      <c r="N1774" s="2">
        <f>YEAR(B1774)</f>
        <v>2025</v>
      </c>
      <c r="O1774" t="str">
        <f>INDEX(Agences!$C:$C,MATCH(F1774,Agences!$A:$A,0))</f>
        <v>Nord</v>
      </c>
      <c r="P1774" t="str">
        <f>INDEX(Produits!$C:$C,MATCH(H1774,Produits!$A:$A,0))</f>
        <v>Informatique</v>
      </c>
      <c r="Q1774" s="3">
        <f>I1774*INDEX(Produits!$E:$E,MATCH(H1774,Produits!$A:$A,0))</f>
        <v>75.24</v>
      </c>
      <c r="R1774" s="3">
        <f>L1774-Q1774</f>
        <v>23.760000000000005</v>
      </c>
      <c r="S1774" s="2">
        <f>NETWORKDAYS(B1774,C1774)-1</f>
        <v>4</v>
      </c>
      <c r="T1774" s="1">
        <f>WORKDAY(B1774,5)</f>
        <v>46023</v>
      </c>
      <c r="U1774" t="b">
        <f>C1774&gt;T1774</f>
        <v>0</v>
      </c>
    </row>
    <row r="1775" spans="1:21" x14ac:dyDescent="0.25">
      <c r="A1775" t="s">
        <v>1291</v>
      </c>
      <c r="B1775" s="1">
        <v>46016</v>
      </c>
      <c r="C1775" s="1">
        <v>46017</v>
      </c>
      <c r="D1775" t="s">
        <v>258</v>
      </c>
      <c r="E1775" t="s">
        <v>61</v>
      </c>
      <c r="F1775" t="s">
        <v>62</v>
      </c>
      <c r="G1775" t="s">
        <v>68</v>
      </c>
      <c r="H1775" t="s">
        <v>103</v>
      </c>
      <c r="I1775" s="2">
        <v>3</v>
      </c>
      <c r="J1775" s="3">
        <v>245</v>
      </c>
      <c r="K1775" s="4">
        <v>0</v>
      </c>
      <c r="L1775" s="3">
        <v>735</v>
      </c>
      <c r="M1775" t="b">
        <v>1</v>
      </c>
      <c r="N1775" s="2">
        <f>YEAR(B1775)</f>
        <v>2025</v>
      </c>
      <c r="O1775" t="str">
        <f>INDEX(Agences!$C:$C,MATCH(F1775,Agences!$A:$A,0))</f>
        <v>Méditerranée</v>
      </c>
      <c r="P1775" t="str">
        <f>INDEX(Produits!$C:$C,MATCH(H1775,Produits!$A:$A,0))</f>
        <v>Mobilier</v>
      </c>
      <c r="Q1775" s="3">
        <f>I1775*INDEX(Produits!$E:$E,MATCH(H1775,Produits!$A:$A,0))</f>
        <v>492.45000000000005</v>
      </c>
      <c r="R1775" s="3">
        <f>L1775-Q1775</f>
        <v>242.54999999999995</v>
      </c>
      <c r="S1775" s="2">
        <f>NETWORKDAYS(B1775,C1775)-1</f>
        <v>1</v>
      </c>
      <c r="T1775" s="1">
        <f>WORKDAY(B1775,5)</f>
        <v>46023</v>
      </c>
      <c r="U1775" t="b">
        <f>C1775&gt;T1775</f>
        <v>0</v>
      </c>
    </row>
    <row r="1776" spans="1:21" x14ac:dyDescent="0.25">
      <c r="A1776" t="s">
        <v>1291</v>
      </c>
      <c r="B1776" s="1">
        <v>46016</v>
      </c>
      <c r="C1776" s="1">
        <v>46017</v>
      </c>
      <c r="D1776" t="s">
        <v>258</v>
      </c>
      <c r="E1776" t="s">
        <v>61</v>
      </c>
      <c r="F1776" t="s">
        <v>62</v>
      </c>
      <c r="G1776" t="s">
        <v>68</v>
      </c>
      <c r="H1776" t="s">
        <v>33</v>
      </c>
      <c r="I1776" s="2">
        <v>1</v>
      </c>
      <c r="J1776" s="3">
        <v>219</v>
      </c>
      <c r="K1776" s="4">
        <v>0</v>
      </c>
      <c r="L1776" s="3">
        <v>219</v>
      </c>
      <c r="M1776" t="b">
        <v>1</v>
      </c>
      <c r="N1776" s="2">
        <f>YEAR(B1776)</f>
        <v>2025</v>
      </c>
      <c r="O1776" t="str">
        <f>INDEX(Agences!$C:$C,MATCH(F1776,Agences!$A:$A,0))</f>
        <v>Méditerranée</v>
      </c>
      <c r="P1776" t="str">
        <f>INDEX(Produits!$C:$C,MATCH(H1776,Produits!$A:$A,0))</f>
        <v>Informatique</v>
      </c>
      <c r="Q1776" s="3">
        <f>I1776*INDEX(Produits!$E:$E,MATCH(H1776,Produits!$A:$A,0))</f>
        <v>179.58</v>
      </c>
      <c r="R1776" s="3">
        <f>L1776-Q1776</f>
        <v>39.41999999999999</v>
      </c>
      <c r="S1776" s="2">
        <f>NETWORKDAYS(B1776,C1776)-1</f>
        <v>1</v>
      </c>
      <c r="T1776" s="1">
        <f>WORKDAY(B1776,5)</f>
        <v>46023</v>
      </c>
      <c r="U1776" t="b">
        <f>C1776&gt;T1776</f>
        <v>0</v>
      </c>
    </row>
    <row r="1777" spans="1:21" x14ac:dyDescent="0.25">
      <c r="A1777" t="s">
        <v>1291</v>
      </c>
      <c r="B1777" s="1">
        <v>46016</v>
      </c>
      <c r="C1777" s="1">
        <v>46017</v>
      </c>
      <c r="D1777" t="s">
        <v>258</v>
      </c>
      <c r="E1777" t="s">
        <v>61</v>
      </c>
      <c r="F1777" t="s">
        <v>62</v>
      </c>
      <c r="G1777" t="s">
        <v>68</v>
      </c>
      <c r="H1777" t="s">
        <v>26</v>
      </c>
      <c r="I1777" s="2">
        <v>2</v>
      </c>
      <c r="J1777" s="3">
        <v>290</v>
      </c>
      <c r="K1777" s="4">
        <v>0.05</v>
      </c>
      <c r="L1777" s="3">
        <v>551</v>
      </c>
      <c r="M1777" t="b">
        <v>1</v>
      </c>
      <c r="N1777" s="2">
        <f>YEAR(B1777)</f>
        <v>2025</v>
      </c>
      <c r="O1777" t="str">
        <f>INDEX(Agences!$C:$C,MATCH(F1777,Agences!$A:$A,0))</f>
        <v>Méditerranée</v>
      </c>
      <c r="P1777" t="str">
        <f>INDEX(Produits!$C:$C,MATCH(H1777,Produits!$A:$A,0))</f>
        <v>Maintenance</v>
      </c>
      <c r="Q1777" s="3">
        <f>I1777*INDEX(Produits!$E:$E,MATCH(H1777,Produits!$A:$A,0))</f>
        <v>278.4</v>
      </c>
      <c r="R1777" s="3">
        <f>L1777-Q1777</f>
        <v>272.6</v>
      </c>
      <c r="S1777" s="2">
        <f>NETWORKDAYS(B1777,C1777)-1</f>
        <v>1</v>
      </c>
      <c r="T1777" s="1">
        <f>WORKDAY(B1777,5)</f>
        <v>46023</v>
      </c>
      <c r="U1777" t="b">
        <f>C1777&gt;T1777</f>
        <v>0</v>
      </c>
    </row>
    <row r="1778" spans="1:21" x14ac:dyDescent="0.25">
      <c r="A1778" t="s">
        <v>1292</v>
      </c>
      <c r="B1778" s="1">
        <v>46015</v>
      </c>
      <c r="C1778" s="1">
        <v>46020</v>
      </c>
      <c r="D1778" t="s">
        <v>991</v>
      </c>
      <c r="E1778" t="s">
        <v>115</v>
      </c>
      <c r="F1778" t="s">
        <v>24</v>
      </c>
      <c r="G1778" t="s">
        <v>199</v>
      </c>
      <c r="H1778" t="s">
        <v>83</v>
      </c>
      <c r="I1778" s="2">
        <v>4</v>
      </c>
      <c r="J1778" s="3">
        <v>49</v>
      </c>
      <c r="K1778" s="4">
        <v>0</v>
      </c>
      <c r="L1778" s="3">
        <v>196</v>
      </c>
      <c r="M1778" t="b">
        <v>1</v>
      </c>
      <c r="N1778" s="2">
        <f>YEAR(B1778)</f>
        <v>2025</v>
      </c>
      <c r="O1778" t="str">
        <f>INDEX(Agences!$C:$C,MATCH(F1778,Agences!$A:$A,0))</f>
        <v>Nord</v>
      </c>
      <c r="P1778" t="str">
        <f>INDEX(Produits!$C:$C,MATCH(H1778,Produits!$A:$A,0))</f>
        <v>Mobilier</v>
      </c>
      <c r="Q1778" s="3">
        <f>I1778*INDEX(Produits!$E:$E,MATCH(H1778,Produits!$A:$A,0))</f>
        <v>113.68</v>
      </c>
      <c r="R1778" s="3">
        <f>L1778-Q1778</f>
        <v>82.32</v>
      </c>
      <c r="S1778" s="2">
        <f>NETWORKDAYS(B1778,C1778)-1</f>
        <v>3</v>
      </c>
      <c r="T1778" s="1">
        <f>WORKDAY(B1778,5)</f>
        <v>46022</v>
      </c>
      <c r="U1778" t="b">
        <f>C1778&gt;T1778</f>
        <v>0</v>
      </c>
    </row>
    <row r="1779" spans="1:21" x14ac:dyDescent="0.25">
      <c r="A1779" t="s">
        <v>1292</v>
      </c>
      <c r="B1779" s="1">
        <v>46015</v>
      </c>
      <c r="C1779" s="1">
        <v>46020</v>
      </c>
      <c r="D1779" t="s">
        <v>991</v>
      </c>
      <c r="E1779" t="s">
        <v>115</v>
      </c>
      <c r="F1779" t="s">
        <v>24</v>
      </c>
      <c r="G1779" t="s">
        <v>199</v>
      </c>
      <c r="H1779" t="s">
        <v>33</v>
      </c>
      <c r="I1779" s="2">
        <v>1</v>
      </c>
      <c r="J1779" s="3">
        <v>219</v>
      </c>
      <c r="K1779" s="4">
        <v>0.1</v>
      </c>
      <c r="L1779" s="3">
        <v>197.1</v>
      </c>
      <c r="M1779" t="b">
        <v>1</v>
      </c>
      <c r="N1779" s="2">
        <f>YEAR(B1779)</f>
        <v>2025</v>
      </c>
      <c r="O1779" t="str">
        <f>INDEX(Agences!$C:$C,MATCH(F1779,Agences!$A:$A,0))</f>
        <v>Nord</v>
      </c>
      <c r="P1779" t="str">
        <f>INDEX(Produits!$C:$C,MATCH(H1779,Produits!$A:$A,0))</f>
        <v>Informatique</v>
      </c>
      <c r="Q1779" s="3">
        <f>I1779*INDEX(Produits!$E:$E,MATCH(H1779,Produits!$A:$A,0))</f>
        <v>179.58</v>
      </c>
      <c r="R1779" s="3">
        <f>L1779-Q1779</f>
        <v>17.519999999999982</v>
      </c>
      <c r="S1779" s="2">
        <f>NETWORKDAYS(B1779,C1779)-1</f>
        <v>3</v>
      </c>
      <c r="T1779" s="1">
        <f>WORKDAY(B1779,5)</f>
        <v>46022</v>
      </c>
      <c r="U1779" t="b">
        <f>C1779&gt;T1779</f>
        <v>0</v>
      </c>
    </row>
    <row r="1780" spans="1:21" x14ac:dyDescent="0.25">
      <c r="A1780" t="s">
        <v>1293</v>
      </c>
      <c r="B1780" s="1">
        <v>46015</v>
      </c>
      <c r="C1780" s="1">
        <v>46020</v>
      </c>
      <c r="D1780" t="s">
        <v>1294</v>
      </c>
      <c r="E1780" t="s">
        <v>236</v>
      </c>
      <c r="F1780" t="s">
        <v>39</v>
      </c>
      <c r="G1780" t="s">
        <v>322</v>
      </c>
      <c r="H1780" t="s">
        <v>90</v>
      </c>
      <c r="I1780" s="2">
        <v>5</v>
      </c>
      <c r="J1780" s="3">
        <v>22.9</v>
      </c>
      <c r="K1780" s="4">
        <v>0.05</v>
      </c>
      <c r="L1780" s="3">
        <v>108.78</v>
      </c>
      <c r="M1780" t="b">
        <v>1</v>
      </c>
      <c r="N1780" s="2">
        <f>YEAR(B1780)</f>
        <v>2025</v>
      </c>
      <c r="O1780" t="str">
        <f>INDEX(Agences!$C:$C,MATCH(F1780,Agences!$A:$A,0))</f>
        <v>Sud-Ouest</v>
      </c>
      <c r="P1780" t="str">
        <f>INDEX(Produits!$C:$C,MATCH(H1780,Produits!$A:$A,0))</f>
        <v>Fournitures</v>
      </c>
      <c r="Q1780" s="3">
        <f>I1780*INDEX(Produits!$E:$E,MATCH(H1780,Produits!$A:$A,0))</f>
        <v>64.1</v>
      </c>
      <c r="R1780" s="3">
        <f>L1780-Q1780</f>
        <v>44.68000000000001</v>
      </c>
      <c r="S1780" s="2">
        <f>NETWORKDAYS(B1780,C1780)-1</f>
        <v>3</v>
      </c>
      <c r="T1780" s="1">
        <f>WORKDAY(B1780,5)</f>
        <v>46022</v>
      </c>
      <c r="U1780" t="b">
        <f>C1780&gt;T1780</f>
        <v>0</v>
      </c>
    </row>
    <row r="1781" spans="1:21" x14ac:dyDescent="0.25">
      <c r="A1781" t="s">
        <v>1293</v>
      </c>
      <c r="B1781" s="1">
        <v>46015</v>
      </c>
      <c r="C1781" s="1">
        <v>46020</v>
      </c>
      <c r="D1781" t="s">
        <v>1294</v>
      </c>
      <c r="E1781" t="s">
        <v>236</v>
      </c>
      <c r="F1781" t="s">
        <v>39</v>
      </c>
      <c r="G1781" t="s">
        <v>322</v>
      </c>
      <c r="H1781" t="s">
        <v>50</v>
      </c>
      <c r="I1781" s="2">
        <v>2</v>
      </c>
      <c r="J1781" s="3">
        <v>69</v>
      </c>
      <c r="K1781" s="4">
        <v>0</v>
      </c>
      <c r="L1781" s="3">
        <v>138</v>
      </c>
      <c r="M1781" t="b">
        <v>1</v>
      </c>
      <c r="N1781" s="2">
        <f>YEAR(B1781)</f>
        <v>2025</v>
      </c>
      <c r="O1781" t="str">
        <f>INDEX(Agences!$C:$C,MATCH(F1781,Agences!$A:$A,0))</f>
        <v>Sud-Ouest</v>
      </c>
      <c r="P1781" t="str">
        <f>INDEX(Produits!$C:$C,MATCH(H1781,Produits!$A:$A,0))</f>
        <v>Informatique</v>
      </c>
      <c r="Q1781" s="3">
        <f>I1781*INDEX(Produits!$E:$E,MATCH(H1781,Produits!$A:$A,0))</f>
        <v>109.02</v>
      </c>
      <c r="R1781" s="3">
        <f>L1781-Q1781</f>
        <v>28.980000000000004</v>
      </c>
      <c r="S1781" s="2">
        <f>NETWORKDAYS(B1781,C1781)-1</f>
        <v>3</v>
      </c>
      <c r="T1781" s="1">
        <f>WORKDAY(B1781,5)</f>
        <v>46022</v>
      </c>
      <c r="U1781" t="b">
        <f>C1781&gt;T1781</f>
        <v>0</v>
      </c>
    </row>
    <row r="1782" spans="1:21" x14ac:dyDescent="0.25">
      <c r="A1782" t="s">
        <v>1293</v>
      </c>
      <c r="B1782" s="1">
        <v>46015</v>
      </c>
      <c r="C1782" s="1">
        <v>46020</v>
      </c>
      <c r="D1782" t="s">
        <v>1294</v>
      </c>
      <c r="E1782" t="s">
        <v>236</v>
      </c>
      <c r="F1782" t="s">
        <v>39</v>
      </c>
      <c r="G1782" t="s">
        <v>322</v>
      </c>
      <c r="H1782" t="s">
        <v>150</v>
      </c>
      <c r="I1782" s="2">
        <v>1</v>
      </c>
      <c r="J1782" s="3">
        <v>790</v>
      </c>
      <c r="K1782" s="4">
        <v>0</v>
      </c>
      <c r="L1782" s="3">
        <v>790</v>
      </c>
      <c r="M1782" t="b">
        <v>1</v>
      </c>
      <c r="N1782" s="2">
        <f>YEAR(B1782)</f>
        <v>2025</v>
      </c>
      <c r="O1782" t="str">
        <f>INDEX(Agences!$C:$C,MATCH(F1782,Agences!$A:$A,0))</f>
        <v>Sud-Ouest</v>
      </c>
      <c r="P1782" t="str">
        <f>INDEX(Produits!$C:$C,MATCH(H1782,Produits!$A:$A,0))</f>
        <v>Informatique</v>
      </c>
      <c r="Q1782" s="3">
        <f>I1782*INDEX(Produits!$E:$E,MATCH(H1782,Produits!$A:$A,0))</f>
        <v>584.6</v>
      </c>
      <c r="R1782" s="3">
        <f>L1782-Q1782</f>
        <v>205.39999999999998</v>
      </c>
      <c r="S1782" s="2">
        <f>NETWORKDAYS(B1782,C1782)-1</f>
        <v>3</v>
      </c>
      <c r="T1782" s="1">
        <f>WORKDAY(B1782,5)</f>
        <v>46022</v>
      </c>
      <c r="U1782" t="b">
        <f>C1782&gt;T1782</f>
        <v>0</v>
      </c>
    </row>
    <row r="1783" spans="1:21" x14ac:dyDescent="0.25">
      <c r="A1783" t="s">
        <v>1295</v>
      </c>
      <c r="B1783" s="1">
        <v>46015</v>
      </c>
      <c r="C1783" s="1">
        <v>46017</v>
      </c>
      <c r="D1783" t="s">
        <v>267</v>
      </c>
      <c r="E1783" t="s">
        <v>157</v>
      </c>
      <c r="F1783" t="s">
        <v>46</v>
      </c>
      <c r="G1783" t="s">
        <v>47</v>
      </c>
      <c r="H1783" t="s">
        <v>84</v>
      </c>
      <c r="I1783" s="2">
        <v>1</v>
      </c>
      <c r="J1783" s="3">
        <v>420</v>
      </c>
      <c r="K1783" s="4">
        <v>0</v>
      </c>
      <c r="L1783" s="3">
        <v>420</v>
      </c>
      <c r="M1783" t="b">
        <v>1</v>
      </c>
      <c r="N1783" s="2">
        <f>YEAR(B1783)</f>
        <v>2025</v>
      </c>
      <c r="O1783" t="str">
        <f>INDEX(Agences!$C:$C,MATCH(F1783,Agences!$A:$A,0))</f>
        <v>Est</v>
      </c>
      <c r="P1783" t="str">
        <f>INDEX(Produits!$C:$C,MATCH(H1783,Produits!$A:$A,0))</f>
        <v>Mobilier</v>
      </c>
      <c r="Q1783" s="3">
        <f>I1783*INDEX(Produits!$E:$E,MATCH(H1783,Produits!$A:$A,0))</f>
        <v>243.6</v>
      </c>
      <c r="R1783" s="3">
        <f>L1783-Q1783</f>
        <v>176.4</v>
      </c>
      <c r="S1783" s="2">
        <f>NETWORKDAYS(B1783,C1783)-1</f>
        <v>2</v>
      </c>
      <c r="T1783" s="1">
        <f>WORKDAY(B1783,5)</f>
        <v>46022</v>
      </c>
      <c r="U1783" t="b">
        <f>C1783&gt;T1783</f>
        <v>0</v>
      </c>
    </row>
    <row r="1784" spans="1:21" x14ac:dyDescent="0.25">
      <c r="A1784" t="s">
        <v>1295</v>
      </c>
      <c r="B1784" s="1">
        <v>46015</v>
      </c>
      <c r="C1784" s="1">
        <v>46017</v>
      </c>
      <c r="D1784" t="s">
        <v>267</v>
      </c>
      <c r="E1784" t="s">
        <v>157</v>
      </c>
      <c r="F1784" t="s">
        <v>46</v>
      </c>
      <c r="G1784" t="s">
        <v>47</v>
      </c>
      <c r="H1784" t="s">
        <v>112</v>
      </c>
      <c r="I1784" s="2">
        <v>3</v>
      </c>
      <c r="J1784" s="3">
        <v>129</v>
      </c>
      <c r="K1784" s="4">
        <v>0</v>
      </c>
      <c r="L1784" s="3">
        <v>387</v>
      </c>
      <c r="M1784" t="b">
        <v>1</v>
      </c>
      <c r="N1784" s="2">
        <f>YEAR(B1784)</f>
        <v>2025</v>
      </c>
      <c r="O1784" t="str">
        <f>INDEX(Agences!$C:$C,MATCH(F1784,Agences!$A:$A,0))</f>
        <v>Est</v>
      </c>
      <c r="P1784" t="str">
        <f>INDEX(Produits!$C:$C,MATCH(H1784,Produits!$A:$A,0))</f>
        <v>Mobilier</v>
      </c>
      <c r="Q1784" s="3">
        <f>I1784*INDEX(Produits!$E:$E,MATCH(H1784,Produits!$A:$A,0))</f>
        <v>259.29</v>
      </c>
      <c r="R1784" s="3">
        <f>L1784-Q1784</f>
        <v>127.70999999999998</v>
      </c>
      <c r="S1784" s="2">
        <f>NETWORKDAYS(B1784,C1784)-1</f>
        <v>2</v>
      </c>
      <c r="T1784" s="1">
        <f>WORKDAY(B1784,5)</f>
        <v>46022</v>
      </c>
      <c r="U1784" t="b">
        <f>C1784&gt;T1784</f>
        <v>0</v>
      </c>
    </row>
    <row r="1785" spans="1:21" x14ac:dyDescent="0.25">
      <c r="A1785" t="s">
        <v>1296</v>
      </c>
      <c r="B1785" s="1">
        <v>46014</v>
      </c>
      <c r="C1785" s="1">
        <v>46021</v>
      </c>
      <c r="D1785" t="s">
        <v>865</v>
      </c>
      <c r="E1785" t="s">
        <v>23</v>
      </c>
      <c r="F1785" t="s">
        <v>24</v>
      </c>
      <c r="G1785" t="s">
        <v>199</v>
      </c>
      <c r="H1785" t="s">
        <v>123</v>
      </c>
      <c r="I1785" s="2">
        <v>10</v>
      </c>
      <c r="J1785" s="3">
        <v>39.9</v>
      </c>
      <c r="K1785" s="4">
        <v>0</v>
      </c>
      <c r="L1785" s="3">
        <v>399</v>
      </c>
      <c r="M1785" t="b">
        <v>1</v>
      </c>
      <c r="N1785" s="2">
        <f>YEAR(B1785)</f>
        <v>2025</v>
      </c>
      <c r="O1785" t="str">
        <f>INDEX(Agences!$C:$C,MATCH(F1785,Agences!$A:$A,0))</f>
        <v>Nord</v>
      </c>
      <c r="P1785" t="str">
        <f>INDEX(Produits!$C:$C,MATCH(H1785,Produits!$A:$A,0))</f>
        <v>Fournitures</v>
      </c>
      <c r="Q1785" s="3">
        <f>I1785*INDEX(Produits!$E:$E,MATCH(H1785,Produits!$A:$A,0))</f>
        <v>223.4</v>
      </c>
      <c r="R1785" s="3">
        <f>L1785-Q1785</f>
        <v>175.6</v>
      </c>
      <c r="S1785" s="2">
        <f>NETWORKDAYS(B1785,C1785)-1</f>
        <v>5</v>
      </c>
      <c r="T1785" s="1">
        <f>WORKDAY(B1785,5)</f>
        <v>46021</v>
      </c>
      <c r="U1785" t="b">
        <f>C1785&gt;T1785</f>
        <v>0</v>
      </c>
    </row>
    <row r="1786" spans="1:21" x14ac:dyDescent="0.25">
      <c r="A1786" t="s">
        <v>1297</v>
      </c>
      <c r="B1786" s="1">
        <v>46014</v>
      </c>
      <c r="C1786" s="1">
        <v>46021</v>
      </c>
      <c r="D1786" t="s">
        <v>1125</v>
      </c>
      <c r="E1786" t="s">
        <v>75</v>
      </c>
      <c r="F1786" t="s">
        <v>76</v>
      </c>
      <c r="G1786" t="s">
        <v>232</v>
      </c>
      <c r="H1786" t="s">
        <v>48</v>
      </c>
      <c r="I1786" s="2">
        <v>2</v>
      </c>
      <c r="J1786" s="3">
        <v>165</v>
      </c>
      <c r="K1786" s="4">
        <v>0.05</v>
      </c>
      <c r="L1786" s="3">
        <v>313.5</v>
      </c>
      <c r="M1786" t="b">
        <v>1</v>
      </c>
      <c r="N1786" s="2">
        <f>YEAR(B1786)</f>
        <v>2025</v>
      </c>
      <c r="O1786" t="str">
        <f>INDEX(Agences!$C:$C,MATCH(F1786,Agences!$A:$A,0))</f>
        <v>Île-de-France</v>
      </c>
      <c r="P1786" t="str">
        <f>INDEX(Produits!$C:$C,MATCH(H1786,Produits!$A:$A,0))</f>
        <v>Mobilier</v>
      </c>
      <c r="Q1786" s="3">
        <f>I1786*INDEX(Produits!$E:$E,MATCH(H1786,Produits!$A:$A,0))</f>
        <v>214.5</v>
      </c>
      <c r="R1786" s="3">
        <f>L1786-Q1786</f>
        <v>99</v>
      </c>
      <c r="S1786" s="2">
        <f>NETWORKDAYS(B1786,C1786)-1</f>
        <v>5</v>
      </c>
      <c r="T1786" s="1">
        <f>WORKDAY(B1786,5)</f>
        <v>46021</v>
      </c>
      <c r="U1786" t="b">
        <f>C1786&gt;T1786</f>
        <v>0</v>
      </c>
    </row>
    <row r="1787" spans="1:21" x14ac:dyDescent="0.25">
      <c r="A1787" t="s">
        <v>1297</v>
      </c>
      <c r="B1787" s="1">
        <v>46014</v>
      </c>
      <c r="C1787" s="1">
        <v>46021</v>
      </c>
      <c r="D1787" t="s">
        <v>1125</v>
      </c>
      <c r="E1787" t="s">
        <v>75</v>
      </c>
      <c r="F1787" t="s">
        <v>76</v>
      </c>
      <c r="G1787" t="s">
        <v>232</v>
      </c>
      <c r="H1787" t="s">
        <v>50</v>
      </c>
      <c r="I1787" s="2">
        <v>2</v>
      </c>
      <c r="J1787" s="3">
        <v>69</v>
      </c>
      <c r="K1787" s="4">
        <v>0.02</v>
      </c>
      <c r="L1787" s="3">
        <v>135.24</v>
      </c>
      <c r="M1787" t="b">
        <v>1</v>
      </c>
      <c r="N1787" s="2">
        <f>YEAR(B1787)</f>
        <v>2025</v>
      </c>
      <c r="O1787" t="str">
        <f>INDEX(Agences!$C:$C,MATCH(F1787,Agences!$A:$A,0))</f>
        <v>Île-de-France</v>
      </c>
      <c r="P1787" t="str">
        <f>INDEX(Produits!$C:$C,MATCH(H1787,Produits!$A:$A,0))</f>
        <v>Informatique</v>
      </c>
      <c r="Q1787" s="3">
        <f>I1787*INDEX(Produits!$E:$E,MATCH(H1787,Produits!$A:$A,0))</f>
        <v>109.02</v>
      </c>
      <c r="R1787" s="3">
        <f>L1787-Q1787</f>
        <v>26.220000000000013</v>
      </c>
      <c r="S1787" s="2">
        <f>NETWORKDAYS(B1787,C1787)-1</f>
        <v>5</v>
      </c>
      <c r="T1787" s="1">
        <f>WORKDAY(B1787,5)</f>
        <v>46021</v>
      </c>
      <c r="U1787" t="b">
        <f>C1787&gt;T1787</f>
        <v>0</v>
      </c>
    </row>
    <row r="1788" spans="1:21" x14ac:dyDescent="0.25">
      <c r="A1788" t="s">
        <v>1297</v>
      </c>
      <c r="B1788" s="1">
        <v>46014</v>
      </c>
      <c r="C1788" s="1">
        <v>46021</v>
      </c>
      <c r="D1788" t="s">
        <v>1125</v>
      </c>
      <c r="E1788" t="s">
        <v>75</v>
      </c>
      <c r="F1788" t="s">
        <v>76</v>
      </c>
      <c r="G1788" t="s">
        <v>232</v>
      </c>
      <c r="H1788" t="s">
        <v>42</v>
      </c>
      <c r="I1788" s="2">
        <v>1</v>
      </c>
      <c r="J1788" s="3">
        <v>55</v>
      </c>
      <c r="K1788" s="4">
        <v>0</v>
      </c>
      <c r="L1788" s="3">
        <v>55</v>
      </c>
      <c r="M1788" t="b">
        <v>1</v>
      </c>
      <c r="N1788" s="2">
        <f>YEAR(B1788)</f>
        <v>2025</v>
      </c>
      <c r="O1788" t="str">
        <f>INDEX(Agences!$C:$C,MATCH(F1788,Agences!$A:$A,0))</f>
        <v>Île-de-France</v>
      </c>
      <c r="P1788" t="str">
        <f>INDEX(Produits!$C:$C,MATCH(H1788,Produits!$A:$A,0))</f>
        <v>Maintenance</v>
      </c>
      <c r="Q1788" s="3">
        <f>I1788*INDEX(Produits!$E:$E,MATCH(H1788,Produits!$A:$A,0))</f>
        <v>24.75</v>
      </c>
      <c r="R1788" s="3">
        <f>L1788-Q1788</f>
        <v>30.25</v>
      </c>
      <c r="S1788" s="2">
        <f>NETWORKDAYS(B1788,C1788)-1</f>
        <v>5</v>
      </c>
      <c r="T1788" s="1">
        <f>WORKDAY(B1788,5)</f>
        <v>46021</v>
      </c>
      <c r="U1788" t="b">
        <f>C1788&gt;T1788</f>
        <v>0</v>
      </c>
    </row>
    <row r="1789" spans="1:21" x14ac:dyDescent="0.25">
      <c r="A1789" t="s">
        <v>1297</v>
      </c>
      <c r="B1789" s="1">
        <v>46014</v>
      </c>
      <c r="C1789" s="1">
        <v>46021</v>
      </c>
      <c r="D1789" t="s">
        <v>1125</v>
      </c>
      <c r="E1789" t="s">
        <v>75</v>
      </c>
      <c r="F1789" t="s">
        <v>76</v>
      </c>
      <c r="G1789" t="s">
        <v>232</v>
      </c>
      <c r="H1789" t="s">
        <v>83</v>
      </c>
      <c r="I1789" s="2">
        <v>1</v>
      </c>
      <c r="J1789" s="3">
        <v>49</v>
      </c>
      <c r="K1789" s="4">
        <v>0.08</v>
      </c>
      <c r="L1789" s="3">
        <v>45.08</v>
      </c>
      <c r="M1789" t="b">
        <v>1</v>
      </c>
      <c r="N1789" s="2">
        <f>YEAR(B1789)</f>
        <v>2025</v>
      </c>
      <c r="O1789" t="str">
        <f>INDEX(Agences!$C:$C,MATCH(F1789,Agences!$A:$A,0))</f>
        <v>Île-de-France</v>
      </c>
      <c r="P1789" t="str">
        <f>INDEX(Produits!$C:$C,MATCH(H1789,Produits!$A:$A,0))</f>
        <v>Mobilier</v>
      </c>
      <c r="Q1789" s="3">
        <f>I1789*INDEX(Produits!$E:$E,MATCH(H1789,Produits!$A:$A,0))</f>
        <v>28.42</v>
      </c>
      <c r="R1789" s="3">
        <f>L1789-Q1789</f>
        <v>16.659999999999997</v>
      </c>
      <c r="S1789" s="2">
        <f>NETWORKDAYS(B1789,C1789)-1</f>
        <v>5</v>
      </c>
      <c r="T1789" s="1">
        <f>WORKDAY(B1789,5)</f>
        <v>46021</v>
      </c>
      <c r="U1789" t="b">
        <f>C1789&gt;T1789</f>
        <v>0</v>
      </c>
    </row>
    <row r="1790" spans="1:21" x14ac:dyDescent="0.25">
      <c r="A1790" t="s">
        <v>1297</v>
      </c>
      <c r="B1790" s="1">
        <v>46014</v>
      </c>
      <c r="C1790" s="1">
        <v>46021</v>
      </c>
      <c r="D1790" t="s">
        <v>1125</v>
      </c>
      <c r="E1790" t="s">
        <v>75</v>
      </c>
      <c r="F1790" t="s">
        <v>76</v>
      </c>
      <c r="G1790" t="s">
        <v>232</v>
      </c>
      <c r="H1790" t="s">
        <v>33</v>
      </c>
      <c r="I1790" s="2">
        <v>3</v>
      </c>
      <c r="J1790" s="3">
        <v>219</v>
      </c>
      <c r="K1790" s="4">
        <v>0.02</v>
      </c>
      <c r="L1790" s="3">
        <v>643.86</v>
      </c>
      <c r="M1790" t="b">
        <v>1</v>
      </c>
      <c r="N1790" s="2">
        <f>YEAR(B1790)</f>
        <v>2025</v>
      </c>
      <c r="O1790" t="str">
        <f>INDEX(Agences!$C:$C,MATCH(F1790,Agences!$A:$A,0))</f>
        <v>Île-de-France</v>
      </c>
      <c r="P1790" t="str">
        <f>INDEX(Produits!$C:$C,MATCH(H1790,Produits!$A:$A,0))</f>
        <v>Informatique</v>
      </c>
      <c r="Q1790" s="3">
        <f>I1790*INDEX(Produits!$E:$E,MATCH(H1790,Produits!$A:$A,0))</f>
        <v>538.74</v>
      </c>
      <c r="R1790" s="3">
        <f>L1790-Q1790</f>
        <v>105.12</v>
      </c>
      <c r="S1790" s="2">
        <f>NETWORKDAYS(B1790,C1790)-1</f>
        <v>5</v>
      </c>
      <c r="T1790" s="1">
        <f>WORKDAY(B1790,5)</f>
        <v>46021</v>
      </c>
      <c r="U1790" t="b">
        <f>C1790&gt;T1790</f>
        <v>0</v>
      </c>
    </row>
    <row r="1791" spans="1:21" x14ac:dyDescent="0.25">
      <c r="A1791" t="s">
        <v>1298</v>
      </c>
      <c r="B1791" s="1">
        <v>46014</v>
      </c>
      <c r="C1791" s="1">
        <v>46016</v>
      </c>
      <c r="D1791" t="s">
        <v>733</v>
      </c>
      <c r="E1791" t="s">
        <v>307</v>
      </c>
      <c r="F1791" t="s">
        <v>76</v>
      </c>
      <c r="G1791" t="s">
        <v>77</v>
      </c>
      <c r="H1791" t="s">
        <v>51</v>
      </c>
      <c r="I1791" s="2">
        <v>1</v>
      </c>
      <c r="J1791" s="3">
        <v>180</v>
      </c>
      <c r="K1791" s="4">
        <v>0.1</v>
      </c>
      <c r="L1791" s="3">
        <v>162</v>
      </c>
      <c r="M1791" t="b">
        <v>1</v>
      </c>
      <c r="N1791" s="2">
        <f>YEAR(B1791)</f>
        <v>2025</v>
      </c>
      <c r="O1791" t="str">
        <f>INDEX(Agences!$C:$C,MATCH(F1791,Agences!$A:$A,0))</f>
        <v>Île-de-France</v>
      </c>
      <c r="P1791" t="str">
        <f>INDEX(Produits!$C:$C,MATCH(H1791,Produits!$A:$A,0))</f>
        <v>Maintenance</v>
      </c>
      <c r="Q1791" s="3">
        <f>I1791*INDEX(Produits!$E:$E,MATCH(H1791,Produits!$A:$A,0))</f>
        <v>82.8</v>
      </c>
      <c r="R1791" s="3">
        <f>L1791-Q1791</f>
        <v>79.2</v>
      </c>
      <c r="S1791" s="2">
        <f>NETWORKDAYS(B1791,C1791)-1</f>
        <v>2</v>
      </c>
      <c r="T1791" s="1">
        <f>WORKDAY(B1791,5)</f>
        <v>46021</v>
      </c>
      <c r="U1791" t="b">
        <f>C1791&gt;T1791</f>
        <v>0</v>
      </c>
    </row>
    <row r="1792" spans="1:21" x14ac:dyDescent="0.25">
      <c r="A1792" t="s">
        <v>1298</v>
      </c>
      <c r="B1792" s="1">
        <v>46014</v>
      </c>
      <c r="C1792" s="1">
        <v>46016</v>
      </c>
      <c r="D1792" t="s">
        <v>733</v>
      </c>
      <c r="E1792" t="s">
        <v>307</v>
      </c>
      <c r="F1792" t="s">
        <v>76</v>
      </c>
      <c r="G1792" t="s">
        <v>77</v>
      </c>
      <c r="H1792" t="s">
        <v>42</v>
      </c>
      <c r="I1792" s="2">
        <v>1</v>
      </c>
      <c r="J1792" s="3">
        <v>55</v>
      </c>
      <c r="K1792" s="4">
        <v>0</v>
      </c>
      <c r="L1792" s="3">
        <v>55</v>
      </c>
      <c r="M1792" t="b">
        <v>1</v>
      </c>
      <c r="N1792" s="2">
        <f>YEAR(B1792)</f>
        <v>2025</v>
      </c>
      <c r="O1792" t="str">
        <f>INDEX(Agences!$C:$C,MATCH(F1792,Agences!$A:$A,0))</f>
        <v>Île-de-France</v>
      </c>
      <c r="P1792" t="str">
        <f>INDEX(Produits!$C:$C,MATCH(H1792,Produits!$A:$A,0))</f>
        <v>Maintenance</v>
      </c>
      <c r="Q1792" s="3">
        <f>I1792*INDEX(Produits!$E:$E,MATCH(H1792,Produits!$A:$A,0))</f>
        <v>24.75</v>
      </c>
      <c r="R1792" s="3">
        <f>L1792-Q1792</f>
        <v>30.25</v>
      </c>
      <c r="S1792" s="2">
        <f>NETWORKDAYS(B1792,C1792)-1</f>
        <v>2</v>
      </c>
      <c r="T1792" s="1">
        <f>WORKDAY(B1792,5)</f>
        <v>46021</v>
      </c>
      <c r="U1792" t="b">
        <f>C1792&gt;T1792</f>
        <v>0</v>
      </c>
    </row>
    <row r="1793" spans="1:21" x14ac:dyDescent="0.25">
      <c r="A1793" t="s">
        <v>1299</v>
      </c>
      <c r="B1793" s="1">
        <v>46014</v>
      </c>
      <c r="C1793" s="1">
        <v>46017</v>
      </c>
      <c r="D1793" t="s">
        <v>1300</v>
      </c>
      <c r="E1793" t="s">
        <v>236</v>
      </c>
      <c r="F1793" t="s">
        <v>39</v>
      </c>
      <c r="G1793" t="s">
        <v>322</v>
      </c>
      <c r="H1793" t="s">
        <v>51</v>
      </c>
      <c r="I1793" s="2">
        <v>1</v>
      </c>
      <c r="J1793" s="3">
        <v>180</v>
      </c>
      <c r="K1793" s="4">
        <v>0.1</v>
      </c>
      <c r="L1793" s="3">
        <v>162</v>
      </c>
      <c r="M1793" t="b">
        <v>1</v>
      </c>
      <c r="N1793" s="2">
        <f>YEAR(B1793)</f>
        <v>2025</v>
      </c>
      <c r="O1793" t="str">
        <f>INDEX(Agences!$C:$C,MATCH(F1793,Agences!$A:$A,0))</f>
        <v>Sud-Ouest</v>
      </c>
      <c r="P1793" t="str">
        <f>INDEX(Produits!$C:$C,MATCH(H1793,Produits!$A:$A,0))</f>
        <v>Maintenance</v>
      </c>
      <c r="Q1793" s="3">
        <f>I1793*INDEX(Produits!$E:$E,MATCH(H1793,Produits!$A:$A,0))</f>
        <v>82.8</v>
      </c>
      <c r="R1793" s="3">
        <f>L1793-Q1793</f>
        <v>79.2</v>
      </c>
      <c r="S1793" s="2">
        <f>NETWORKDAYS(B1793,C1793)-1</f>
        <v>3</v>
      </c>
      <c r="T1793" s="1">
        <f>WORKDAY(B1793,5)</f>
        <v>46021</v>
      </c>
      <c r="U1793" t="b">
        <f>C1793&gt;T1793</f>
        <v>0</v>
      </c>
    </row>
    <row r="1794" spans="1:21" x14ac:dyDescent="0.25">
      <c r="A1794" t="s">
        <v>1301</v>
      </c>
      <c r="B1794" s="1">
        <v>46014</v>
      </c>
      <c r="C1794" s="1">
        <v>46016</v>
      </c>
      <c r="D1794" t="s">
        <v>290</v>
      </c>
      <c r="E1794" t="s">
        <v>191</v>
      </c>
      <c r="F1794" t="s">
        <v>62</v>
      </c>
      <c r="G1794" t="s">
        <v>63</v>
      </c>
      <c r="H1794" t="s">
        <v>107</v>
      </c>
      <c r="I1794" s="2">
        <v>1</v>
      </c>
      <c r="J1794" s="3">
        <v>99</v>
      </c>
      <c r="K1794" s="4">
        <v>0</v>
      </c>
      <c r="L1794" s="3">
        <v>99</v>
      </c>
      <c r="M1794" t="b">
        <v>1</v>
      </c>
      <c r="N1794" s="2">
        <f>YEAR(B1794)</f>
        <v>2025</v>
      </c>
      <c r="O1794" t="str">
        <f>INDEX(Agences!$C:$C,MATCH(F1794,Agences!$A:$A,0))</f>
        <v>Méditerranée</v>
      </c>
      <c r="P1794" t="str">
        <f>INDEX(Produits!$C:$C,MATCH(H1794,Produits!$A:$A,0))</f>
        <v>Informatique</v>
      </c>
      <c r="Q1794" s="3">
        <f>I1794*INDEX(Produits!$E:$E,MATCH(H1794,Produits!$A:$A,0))</f>
        <v>75.24</v>
      </c>
      <c r="R1794" s="3">
        <f>L1794-Q1794</f>
        <v>23.760000000000005</v>
      </c>
      <c r="S1794" s="2">
        <f>NETWORKDAYS(B1794,C1794)-1</f>
        <v>2</v>
      </c>
      <c r="T1794" s="1">
        <f>WORKDAY(B1794,5)</f>
        <v>46021</v>
      </c>
      <c r="U1794" t="b">
        <f>C1794&gt;T1794</f>
        <v>0</v>
      </c>
    </row>
    <row r="1795" spans="1:21" x14ac:dyDescent="0.25">
      <c r="A1795" t="s">
        <v>1302</v>
      </c>
      <c r="B1795" s="1">
        <v>46013</v>
      </c>
      <c r="C1795" s="1">
        <v>46017</v>
      </c>
      <c r="D1795" t="s">
        <v>1209</v>
      </c>
      <c r="E1795" t="s">
        <v>119</v>
      </c>
      <c r="F1795" t="s">
        <v>24</v>
      </c>
      <c r="G1795" t="s">
        <v>25</v>
      </c>
      <c r="H1795" t="s">
        <v>50</v>
      </c>
      <c r="I1795" s="2">
        <v>1</v>
      </c>
      <c r="J1795" s="3">
        <v>69</v>
      </c>
      <c r="K1795" s="4">
        <v>0</v>
      </c>
      <c r="L1795" s="3">
        <v>69</v>
      </c>
      <c r="M1795" t="b">
        <v>1</v>
      </c>
      <c r="N1795" s="2">
        <f>YEAR(B1795)</f>
        <v>2025</v>
      </c>
      <c r="O1795" t="str">
        <f>INDEX(Agences!$C:$C,MATCH(F1795,Agences!$A:$A,0))</f>
        <v>Nord</v>
      </c>
      <c r="P1795" t="str">
        <f>INDEX(Produits!$C:$C,MATCH(H1795,Produits!$A:$A,0))</f>
        <v>Informatique</v>
      </c>
      <c r="Q1795" s="3">
        <f>I1795*INDEX(Produits!$E:$E,MATCH(H1795,Produits!$A:$A,0))</f>
        <v>54.51</v>
      </c>
      <c r="R1795" s="3">
        <f>L1795-Q1795</f>
        <v>14.490000000000002</v>
      </c>
      <c r="S1795" s="2">
        <f>NETWORKDAYS(B1795,C1795)-1</f>
        <v>4</v>
      </c>
      <c r="T1795" s="1">
        <f>WORKDAY(B1795,5)</f>
        <v>46020</v>
      </c>
      <c r="U1795" t="b">
        <f>C1795&gt;T1795</f>
        <v>0</v>
      </c>
    </row>
    <row r="1796" spans="1:21" x14ac:dyDescent="0.25">
      <c r="A1796" t="s">
        <v>1302</v>
      </c>
      <c r="B1796" s="1">
        <v>46013</v>
      </c>
      <c r="C1796" s="1">
        <v>46017</v>
      </c>
      <c r="D1796" t="s">
        <v>1209</v>
      </c>
      <c r="E1796" t="s">
        <v>119</v>
      </c>
      <c r="F1796" t="s">
        <v>24</v>
      </c>
      <c r="G1796" t="s">
        <v>25</v>
      </c>
      <c r="H1796" t="s">
        <v>84</v>
      </c>
      <c r="I1796" s="2">
        <v>1</v>
      </c>
      <c r="J1796" s="3">
        <v>420</v>
      </c>
      <c r="K1796" s="4">
        <v>0.05</v>
      </c>
      <c r="L1796" s="3">
        <v>399</v>
      </c>
      <c r="M1796" t="b">
        <v>1</v>
      </c>
      <c r="N1796" s="2">
        <f>YEAR(B1796)</f>
        <v>2025</v>
      </c>
      <c r="O1796" t="str">
        <f>INDEX(Agences!$C:$C,MATCH(F1796,Agences!$A:$A,0))</f>
        <v>Nord</v>
      </c>
      <c r="P1796" t="str">
        <f>INDEX(Produits!$C:$C,MATCH(H1796,Produits!$A:$A,0))</f>
        <v>Mobilier</v>
      </c>
      <c r="Q1796" s="3">
        <f>I1796*INDEX(Produits!$E:$E,MATCH(H1796,Produits!$A:$A,0))</f>
        <v>243.6</v>
      </c>
      <c r="R1796" s="3">
        <f>L1796-Q1796</f>
        <v>155.4</v>
      </c>
      <c r="S1796" s="2">
        <f>NETWORKDAYS(B1796,C1796)-1</f>
        <v>4</v>
      </c>
      <c r="T1796" s="1">
        <f>WORKDAY(B1796,5)</f>
        <v>46020</v>
      </c>
      <c r="U1796" t="b">
        <f>C1796&gt;T1796</f>
        <v>0</v>
      </c>
    </row>
    <row r="1797" spans="1:21" x14ac:dyDescent="0.25">
      <c r="A1797" t="s">
        <v>1302</v>
      </c>
      <c r="B1797" s="1">
        <v>46013</v>
      </c>
      <c r="C1797" s="1">
        <v>46017</v>
      </c>
      <c r="D1797" t="s">
        <v>1209</v>
      </c>
      <c r="E1797" t="s">
        <v>119</v>
      </c>
      <c r="F1797" t="s">
        <v>24</v>
      </c>
      <c r="G1797" t="s">
        <v>25</v>
      </c>
      <c r="H1797" t="s">
        <v>112</v>
      </c>
      <c r="I1797" s="2">
        <v>3</v>
      </c>
      <c r="J1797" s="3">
        <v>129</v>
      </c>
      <c r="K1797" s="4">
        <v>0</v>
      </c>
      <c r="L1797" s="3">
        <v>387</v>
      </c>
      <c r="M1797" t="b">
        <v>1</v>
      </c>
      <c r="N1797" s="2">
        <f>YEAR(B1797)</f>
        <v>2025</v>
      </c>
      <c r="O1797" t="str">
        <f>INDEX(Agences!$C:$C,MATCH(F1797,Agences!$A:$A,0))</f>
        <v>Nord</v>
      </c>
      <c r="P1797" t="str">
        <f>INDEX(Produits!$C:$C,MATCH(H1797,Produits!$A:$A,0))</f>
        <v>Mobilier</v>
      </c>
      <c r="Q1797" s="3">
        <f>I1797*INDEX(Produits!$E:$E,MATCH(H1797,Produits!$A:$A,0))</f>
        <v>259.29</v>
      </c>
      <c r="R1797" s="3">
        <f>L1797-Q1797</f>
        <v>127.70999999999998</v>
      </c>
      <c r="S1797" s="2">
        <f>NETWORKDAYS(B1797,C1797)-1</f>
        <v>4</v>
      </c>
      <c r="T1797" s="1">
        <f>WORKDAY(B1797,5)</f>
        <v>46020</v>
      </c>
      <c r="U1797" t="b">
        <f>C1797&gt;T1797</f>
        <v>0</v>
      </c>
    </row>
    <row r="1798" spans="1:21" x14ac:dyDescent="0.25">
      <c r="A1798" t="s">
        <v>1303</v>
      </c>
      <c r="B1798" s="1">
        <v>46013</v>
      </c>
      <c r="C1798" s="1">
        <v>46014</v>
      </c>
      <c r="D1798" t="s">
        <v>913</v>
      </c>
      <c r="E1798" t="s">
        <v>339</v>
      </c>
      <c r="F1798" t="s">
        <v>31</v>
      </c>
      <c r="G1798" t="s">
        <v>375</v>
      </c>
      <c r="H1798" t="s">
        <v>57</v>
      </c>
      <c r="I1798" s="2">
        <v>1</v>
      </c>
      <c r="J1798" s="3">
        <v>149</v>
      </c>
      <c r="K1798" s="4">
        <v>0</v>
      </c>
      <c r="L1798" s="3">
        <v>149</v>
      </c>
      <c r="M1798" t="b">
        <v>1</v>
      </c>
      <c r="N1798" s="2">
        <f>YEAR(B1798)</f>
        <v>2025</v>
      </c>
      <c r="O1798" t="str">
        <f>INDEX(Agences!$C:$C,MATCH(F1798,Agences!$A:$A,0))</f>
        <v>Ouest</v>
      </c>
      <c r="P1798" t="str">
        <f>INDEX(Produits!$C:$C,MATCH(H1798,Produits!$A:$A,0))</f>
        <v>Informatique</v>
      </c>
      <c r="Q1798" s="3">
        <f>I1798*INDEX(Produits!$E:$E,MATCH(H1798,Produits!$A:$A,0))</f>
        <v>114.73</v>
      </c>
      <c r="R1798" s="3">
        <f>L1798-Q1798</f>
        <v>34.269999999999996</v>
      </c>
      <c r="S1798" s="2">
        <f>NETWORKDAYS(B1798,C1798)-1</f>
        <v>1</v>
      </c>
      <c r="T1798" s="1">
        <f>WORKDAY(B1798,5)</f>
        <v>46020</v>
      </c>
      <c r="U1798" t="b">
        <f>C1798&gt;T1798</f>
        <v>0</v>
      </c>
    </row>
    <row r="1799" spans="1:21" x14ac:dyDescent="0.25">
      <c r="A1799" t="s">
        <v>1303</v>
      </c>
      <c r="B1799" s="1">
        <v>46013</v>
      </c>
      <c r="C1799" s="1">
        <v>46014</v>
      </c>
      <c r="D1799" t="s">
        <v>913</v>
      </c>
      <c r="E1799" t="s">
        <v>339</v>
      </c>
      <c r="F1799" t="s">
        <v>31</v>
      </c>
      <c r="G1799" t="s">
        <v>375</v>
      </c>
      <c r="H1799" t="s">
        <v>90</v>
      </c>
      <c r="I1799" s="2">
        <v>5</v>
      </c>
      <c r="J1799" s="3">
        <v>22.9</v>
      </c>
      <c r="K1799" s="4">
        <v>0</v>
      </c>
      <c r="L1799" s="3">
        <v>114.5</v>
      </c>
      <c r="M1799" t="b">
        <v>1</v>
      </c>
      <c r="N1799" s="2">
        <f>YEAR(B1799)</f>
        <v>2025</v>
      </c>
      <c r="O1799" t="str">
        <f>INDEX(Agences!$C:$C,MATCH(F1799,Agences!$A:$A,0))</f>
        <v>Ouest</v>
      </c>
      <c r="P1799" t="str">
        <f>INDEX(Produits!$C:$C,MATCH(H1799,Produits!$A:$A,0))</f>
        <v>Fournitures</v>
      </c>
      <c r="Q1799" s="3">
        <f>I1799*INDEX(Produits!$E:$E,MATCH(H1799,Produits!$A:$A,0))</f>
        <v>64.1</v>
      </c>
      <c r="R1799" s="3">
        <f>L1799-Q1799</f>
        <v>50.400000000000006</v>
      </c>
      <c r="S1799" s="2">
        <f>NETWORKDAYS(B1799,C1799)-1</f>
        <v>1</v>
      </c>
      <c r="T1799" s="1">
        <f>WORKDAY(B1799,5)</f>
        <v>46020</v>
      </c>
      <c r="U1799" t="b">
        <f>C1799&gt;T1799</f>
        <v>0</v>
      </c>
    </row>
    <row r="1800" spans="1:21" x14ac:dyDescent="0.25">
      <c r="A1800" t="s">
        <v>1304</v>
      </c>
      <c r="B1800" s="1">
        <v>46013</v>
      </c>
      <c r="C1800" s="1">
        <v>46014</v>
      </c>
      <c r="D1800" t="s">
        <v>1305</v>
      </c>
      <c r="E1800" t="s">
        <v>236</v>
      </c>
      <c r="F1800" t="s">
        <v>39</v>
      </c>
      <c r="G1800" t="s">
        <v>322</v>
      </c>
      <c r="H1800" t="s">
        <v>35</v>
      </c>
      <c r="I1800" s="2">
        <v>4</v>
      </c>
      <c r="J1800" s="3">
        <v>79</v>
      </c>
      <c r="K1800" s="4">
        <v>0</v>
      </c>
      <c r="L1800" s="3">
        <v>316</v>
      </c>
      <c r="M1800" t="b">
        <v>1</v>
      </c>
      <c r="N1800" s="2">
        <f>YEAR(B1800)</f>
        <v>2025</v>
      </c>
      <c r="O1800" t="str">
        <f>INDEX(Agences!$C:$C,MATCH(F1800,Agences!$A:$A,0))</f>
        <v>Sud-Ouest</v>
      </c>
      <c r="P1800" t="str">
        <f>INDEX(Produits!$C:$C,MATCH(H1800,Produits!$A:$A,0))</f>
        <v>Mobilier</v>
      </c>
      <c r="Q1800" s="3">
        <f>I1800*INDEX(Produits!$E:$E,MATCH(H1800,Produits!$A:$A,0))</f>
        <v>186.44</v>
      </c>
      <c r="R1800" s="3">
        <f>L1800-Q1800</f>
        <v>129.56</v>
      </c>
      <c r="S1800" s="2">
        <f>NETWORKDAYS(B1800,C1800)-1</f>
        <v>1</v>
      </c>
      <c r="T1800" s="1">
        <f>WORKDAY(B1800,5)</f>
        <v>46020</v>
      </c>
      <c r="U1800" t="b">
        <f>C1800&gt;T1800</f>
        <v>0</v>
      </c>
    </row>
    <row r="1801" spans="1:21" x14ac:dyDescent="0.25">
      <c r="A1801" t="s">
        <v>1304</v>
      </c>
      <c r="B1801" s="1">
        <v>46013</v>
      </c>
      <c r="C1801" s="1">
        <v>46014</v>
      </c>
      <c r="D1801" t="s">
        <v>1305</v>
      </c>
      <c r="E1801" t="s">
        <v>236</v>
      </c>
      <c r="F1801" t="s">
        <v>39</v>
      </c>
      <c r="G1801" t="s">
        <v>322</v>
      </c>
      <c r="H1801" t="s">
        <v>161</v>
      </c>
      <c r="I1801" s="2">
        <v>10</v>
      </c>
      <c r="J1801" s="3">
        <v>32</v>
      </c>
      <c r="K1801" s="4">
        <v>0.02</v>
      </c>
      <c r="L1801" s="3">
        <v>313.6</v>
      </c>
      <c r="M1801" t="b">
        <v>1</v>
      </c>
      <c r="N1801" s="2">
        <f>YEAR(B1801)</f>
        <v>2025</v>
      </c>
      <c r="O1801" t="str">
        <f>INDEX(Agences!$C:$C,MATCH(F1801,Agences!$A:$A,0))</f>
        <v>Sud-Ouest</v>
      </c>
      <c r="P1801" t="str">
        <f>INDEX(Produits!$C:$C,MATCH(H1801,Produits!$A:$A,0))</f>
        <v>Fournitures</v>
      </c>
      <c r="Q1801" s="3">
        <f>I1801*INDEX(Produits!$E:$E,MATCH(H1801,Produits!$A:$A,0))</f>
        <v>176</v>
      </c>
      <c r="R1801" s="3">
        <f>L1801-Q1801</f>
        <v>137.60000000000002</v>
      </c>
      <c r="S1801" s="2">
        <f>NETWORKDAYS(B1801,C1801)-1</f>
        <v>1</v>
      </c>
      <c r="T1801" s="1">
        <f>WORKDAY(B1801,5)</f>
        <v>46020</v>
      </c>
      <c r="U1801" t="b">
        <f>C1801&gt;T1801</f>
        <v>0</v>
      </c>
    </row>
    <row r="1802" spans="1:21" x14ac:dyDescent="0.25">
      <c r="A1802" t="s">
        <v>1304</v>
      </c>
      <c r="B1802" s="1">
        <v>46013</v>
      </c>
      <c r="C1802" s="1">
        <v>46014</v>
      </c>
      <c r="D1802" t="s">
        <v>1305</v>
      </c>
      <c r="E1802" t="s">
        <v>236</v>
      </c>
      <c r="F1802" t="s">
        <v>39</v>
      </c>
      <c r="G1802" t="s">
        <v>322</v>
      </c>
      <c r="H1802" t="s">
        <v>50</v>
      </c>
      <c r="I1802" s="2">
        <v>1</v>
      </c>
      <c r="J1802" s="3">
        <v>69</v>
      </c>
      <c r="K1802" s="4">
        <v>0.08</v>
      </c>
      <c r="L1802" s="3">
        <v>63.48</v>
      </c>
      <c r="M1802" t="b">
        <v>1</v>
      </c>
      <c r="N1802" s="2">
        <f>YEAR(B1802)</f>
        <v>2025</v>
      </c>
      <c r="O1802" t="str">
        <f>INDEX(Agences!$C:$C,MATCH(F1802,Agences!$A:$A,0))</f>
        <v>Sud-Ouest</v>
      </c>
      <c r="P1802" t="str">
        <f>INDEX(Produits!$C:$C,MATCH(H1802,Produits!$A:$A,0))</f>
        <v>Informatique</v>
      </c>
      <c r="Q1802" s="3">
        <f>I1802*INDEX(Produits!$E:$E,MATCH(H1802,Produits!$A:$A,0))</f>
        <v>54.51</v>
      </c>
      <c r="R1802" s="3">
        <f>L1802-Q1802</f>
        <v>8.969999999999999</v>
      </c>
      <c r="S1802" s="2">
        <f>NETWORKDAYS(B1802,C1802)-1</f>
        <v>1</v>
      </c>
      <c r="T1802" s="1">
        <f>WORKDAY(B1802,5)</f>
        <v>46020</v>
      </c>
      <c r="U1802" t="b">
        <f>C1802&gt;T1802</f>
        <v>0</v>
      </c>
    </row>
    <row r="1803" spans="1:21" x14ac:dyDescent="0.25">
      <c r="A1803" t="s">
        <v>1306</v>
      </c>
      <c r="B1803" s="1">
        <v>46013</v>
      </c>
      <c r="C1803" s="1">
        <v>46014</v>
      </c>
      <c r="D1803" t="s">
        <v>513</v>
      </c>
      <c r="E1803" t="s">
        <v>54</v>
      </c>
      <c r="F1803" t="s">
        <v>55</v>
      </c>
      <c r="G1803" t="s">
        <v>56</v>
      </c>
      <c r="H1803" t="s">
        <v>127</v>
      </c>
      <c r="I1803" s="2">
        <v>1</v>
      </c>
      <c r="J1803" s="3">
        <v>649</v>
      </c>
      <c r="K1803" s="4">
        <v>0</v>
      </c>
      <c r="L1803" s="3">
        <v>649</v>
      </c>
      <c r="M1803" t="b">
        <v>1</v>
      </c>
      <c r="N1803" s="2">
        <f>YEAR(B1803)</f>
        <v>2025</v>
      </c>
      <c r="O1803" t="str">
        <f>INDEX(Agences!$C:$C,MATCH(F1803,Agences!$A:$A,0))</f>
        <v>Est</v>
      </c>
      <c r="P1803" t="str">
        <f>INDEX(Produits!$C:$C,MATCH(H1803,Produits!$A:$A,0))</f>
        <v>Informatique</v>
      </c>
      <c r="Q1803" s="3">
        <f>I1803*INDEX(Produits!$E:$E,MATCH(H1803,Produits!$A:$A,0))</f>
        <v>480.26</v>
      </c>
      <c r="R1803" s="3">
        <f>L1803-Q1803</f>
        <v>168.74</v>
      </c>
      <c r="S1803" s="2">
        <f>NETWORKDAYS(B1803,C1803)-1</f>
        <v>1</v>
      </c>
      <c r="T1803" s="1">
        <f>WORKDAY(B1803,5)</f>
        <v>46020</v>
      </c>
      <c r="U1803" t="b">
        <f>C1803&gt;T1803</f>
        <v>0</v>
      </c>
    </row>
    <row r="1804" spans="1:21" x14ac:dyDescent="0.25">
      <c r="A1804" t="s">
        <v>1306</v>
      </c>
      <c r="B1804" s="1">
        <v>46013</v>
      </c>
      <c r="C1804" s="1">
        <v>46014</v>
      </c>
      <c r="D1804" t="s">
        <v>513</v>
      </c>
      <c r="E1804" t="s">
        <v>54</v>
      </c>
      <c r="F1804" t="s">
        <v>55</v>
      </c>
      <c r="G1804" t="s">
        <v>56</v>
      </c>
      <c r="H1804" t="s">
        <v>107</v>
      </c>
      <c r="I1804" s="2">
        <v>2</v>
      </c>
      <c r="J1804" s="3">
        <v>99</v>
      </c>
      <c r="K1804" s="4">
        <v>0.02</v>
      </c>
      <c r="L1804" s="3">
        <v>194.04</v>
      </c>
      <c r="M1804" t="b">
        <v>1</v>
      </c>
      <c r="N1804" s="2">
        <f>YEAR(B1804)</f>
        <v>2025</v>
      </c>
      <c r="O1804" t="str">
        <f>INDEX(Agences!$C:$C,MATCH(F1804,Agences!$A:$A,0))</f>
        <v>Est</v>
      </c>
      <c r="P1804" t="str">
        <f>INDEX(Produits!$C:$C,MATCH(H1804,Produits!$A:$A,0))</f>
        <v>Informatique</v>
      </c>
      <c r="Q1804" s="3">
        <f>I1804*INDEX(Produits!$E:$E,MATCH(H1804,Produits!$A:$A,0))</f>
        <v>150.48</v>
      </c>
      <c r="R1804" s="3">
        <f>L1804-Q1804</f>
        <v>43.56</v>
      </c>
      <c r="S1804" s="2">
        <f>NETWORKDAYS(B1804,C1804)-1</f>
        <v>1</v>
      </c>
      <c r="T1804" s="1">
        <f>WORKDAY(B1804,5)</f>
        <v>46020</v>
      </c>
      <c r="U1804" t="b">
        <f>C1804&gt;T1804</f>
        <v>0</v>
      </c>
    </row>
    <row r="1805" spans="1:21" x14ac:dyDescent="0.25">
      <c r="A1805" t="s">
        <v>1307</v>
      </c>
      <c r="B1805" s="1">
        <v>46010</v>
      </c>
      <c r="C1805" s="1">
        <v>46015</v>
      </c>
      <c r="D1805" t="s">
        <v>1308</v>
      </c>
      <c r="E1805" t="s">
        <v>209</v>
      </c>
      <c r="F1805" t="s">
        <v>99</v>
      </c>
      <c r="G1805" t="s">
        <v>100</v>
      </c>
      <c r="H1805" t="s">
        <v>112</v>
      </c>
      <c r="I1805" s="2">
        <v>6</v>
      </c>
      <c r="J1805" s="3">
        <v>129</v>
      </c>
      <c r="K1805" s="4">
        <v>0.05</v>
      </c>
      <c r="L1805" s="3">
        <v>735.3</v>
      </c>
      <c r="M1805" t="b">
        <v>1</v>
      </c>
      <c r="N1805" s="2">
        <f>YEAR(B1805)</f>
        <v>2025</v>
      </c>
      <c r="O1805" t="str">
        <f>INDEX(Agences!$C:$C,MATCH(F1805,Agences!$A:$A,0))</f>
        <v>Nord</v>
      </c>
      <c r="P1805" t="str">
        <f>INDEX(Produits!$C:$C,MATCH(H1805,Produits!$A:$A,0))</f>
        <v>Mobilier</v>
      </c>
      <c r="Q1805" s="3">
        <f>I1805*INDEX(Produits!$E:$E,MATCH(H1805,Produits!$A:$A,0))</f>
        <v>518.58</v>
      </c>
      <c r="R1805" s="3">
        <f>L1805-Q1805</f>
        <v>216.7199999999999</v>
      </c>
      <c r="S1805" s="2">
        <f>NETWORKDAYS(B1805,C1805)-1</f>
        <v>3</v>
      </c>
      <c r="T1805" s="1">
        <f>WORKDAY(B1805,5)</f>
        <v>46017</v>
      </c>
      <c r="U1805" t="b">
        <f>C1805&gt;T1805</f>
        <v>0</v>
      </c>
    </row>
    <row r="1806" spans="1:21" x14ac:dyDescent="0.25">
      <c r="A1806" t="s">
        <v>1307</v>
      </c>
      <c r="B1806" s="1">
        <v>46010</v>
      </c>
      <c r="C1806" s="1">
        <v>46015</v>
      </c>
      <c r="D1806" t="s">
        <v>1308</v>
      </c>
      <c r="E1806" t="s">
        <v>209</v>
      </c>
      <c r="F1806" t="s">
        <v>99</v>
      </c>
      <c r="G1806" t="s">
        <v>100</v>
      </c>
      <c r="H1806" t="s">
        <v>27</v>
      </c>
      <c r="I1806" s="2">
        <v>1</v>
      </c>
      <c r="J1806" s="3">
        <v>310</v>
      </c>
      <c r="K1806" s="4">
        <v>0</v>
      </c>
      <c r="L1806" s="3">
        <v>310</v>
      </c>
      <c r="M1806" t="b">
        <v>1</v>
      </c>
      <c r="N1806" s="2">
        <f>YEAR(B1806)</f>
        <v>2025</v>
      </c>
      <c r="O1806" t="str">
        <f>INDEX(Agences!$C:$C,MATCH(F1806,Agences!$A:$A,0))</f>
        <v>Nord</v>
      </c>
      <c r="P1806" t="str">
        <f>INDEX(Produits!$C:$C,MATCH(H1806,Produits!$A:$A,0))</f>
        <v>Mobilier</v>
      </c>
      <c r="Q1806" s="3">
        <f>I1806*INDEX(Produits!$E:$E,MATCH(H1806,Produits!$A:$A,0))</f>
        <v>186</v>
      </c>
      <c r="R1806" s="3">
        <f>L1806-Q1806</f>
        <v>124</v>
      </c>
      <c r="S1806" s="2">
        <f>NETWORKDAYS(B1806,C1806)-1</f>
        <v>3</v>
      </c>
      <c r="T1806" s="1">
        <f>WORKDAY(B1806,5)</f>
        <v>46017</v>
      </c>
      <c r="U1806" t="b">
        <f>C1806&gt;T1806</f>
        <v>0</v>
      </c>
    </row>
    <row r="1807" spans="1:21" x14ac:dyDescent="0.25">
      <c r="A1807" t="s">
        <v>1307</v>
      </c>
      <c r="B1807" s="1">
        <v>46010</v>
      </c>
      <c r="C1807" s="1">
        <v>46015</v>
      </c>
      <c r="D1807" t="s">
        <v>1308</v>
      </c>
      <c r="E1807" t="s">
        <v>209</v>
      </c>
      <c r="F1807" t="s">
        <v>99</v>
      </c>
      <c r="G1807" t="s">
        <v>100</v>
      </c>
      <c r="H1807" t="s">
        <v>150</v>
      </c>
      <c r="I1807" s="2">
        <v>1</v>
      </c>
      <c r="J1807" s="3">
        <v>790</v>
      </c>
      <c r="K1807" s="4">
        <v>0</v>
      </c>
      <c r="L1807" s="3">
        <v>790</v>
      </c>
      <c r="M1807" t="b">
        <v>1</v>
      </c>
      <c r="N1807" s="2">
        <f>YEAR(B1807)</f>
        <v>2025</v>
      </c>
      <c r="O1807" t="str">
        <f>INDEX(Agences!$C:$C,MATCH(F1807,Agences!$A:$A,0))</f>
        <v>Nord</v>
      </c>
      <c r="P1807" t="str">
        <f>INDEX(Produits!$C:$C,MATCH(H1807,Produits!$A:$A,0))</f>
        <v>Informatique</v>
      </c>
      <c r="Q1807" s="3">
        <f>I1807*INDEX(Produits!$E:$E,MATCH(H1807,Produits!$A:$A,0))</f>
        <v>584.6</v>
      </c>
      <c r="R1807" s="3">
        <f>L1807-Q1807</f>
        <v>205.39999999999998</v>
      </c>
      <c r="S1807" s="2">
        <f>NETWORKDAYS(B1807,C1807)-1</f>
        <v>3</v>
      </c>
      <c r="T1807" s="1">
        <f>WORKDAY(B1807,5)</f>
        <v>46017</v>
      </c>
      <c r="U1807" t="b">
        <f>C1807&gt;T1807</f>
        <v>0</v>
      </c>
    </row>
    <row r="1808" spans="1:21" x14ac:dyDescent="0.25">
      <c r="A1808" t="s">
        <v>1309</v>
      </c>
      <c r="B1808" s="1">
        <v>46010</v>
      </c>
      <c r="C1808" s="1">
        <v>46013</v>
      </c>
      <c r="D1808" t="s">
        <v>377</v>
      </c>
      <c r="E1808" t="s">
        <v>45</v>
      </c>
      <c r="F1808" t="s">
        <v>46</v>
      </c>
      <c r="G1808" t="s">
        <v>158</v>
      </c>
      <c r="H1808" t="s">
        <v>42</v>
      </c>
      <c r="I1808" s="2">
        <v>1</v>
      </c>
      <c r="J1808" s="3">
        <v>55</v>
      </c>
      <c r="K1808" s="4">
        <v>0.02</v>
      </c>
      <c r="L1808" s="3">
        <v>53.9</v>
      </c>
      <c r="M1808" t="b">
        <v>1</v>
      </c>
      <c r="N1808" s="2">
        <f>YEAR(B1808)</f>
        <v>2025</v>
      </c>
      <c r="O1808" t="str">
        <f>INDEX(Agences!$C:$C,MATCH(F1808,Agences!$A:$A,0))</f>
        <v>Est</v>
      </c>
      <c r="P1808" t="str">
        <f>INDEX(Produits!$C:$C,MATCH(H1808,Produits!$A:$A,0))</f>
        <v>Maintenance</v>
      </c>
      <c r="Q1808" s="3">
        <f>I1808*INDEX(Produits!$E:$E,MATCH(H1808,Produits!$A:$A,0))</f>
        <v>24.75</v>
      </c>
      <c r="R1808" s="3">
        <f>L1808-Q1808</f>
        <v>29.15</v>
      </c>
      <c r="S1808" s="2">
        <f>NETWORKDAYS(B1808,C1808)-1</f>
        <v>1</v>
      </c>
      <c r="T1808" s="1">
        <f>WORKDAY(B1808,5)</f>
        <v>46017</v>
      </c>
      <c r="U1808" t="b">
        <f>C1808&gt;T1808</f>
        <v>0</v>
      </c>
    </row>
    <row r="1809" spans="1:21" x14ac:dyDescent="0.25">
      <c r="A1809" t="s">
        <v>1310</v>
      </c>
      <c r="B1809" s="1">
        <v>46010</v>
      </c>
      <c r="C1809" s="1">
        <v>46013</v>
      </c>
      <c r="D1809" t="s">
        <v>1311</v>
      </c>
      <c r="E1809" t="s">
        <v>54</v>
      </c>
      <c r="F1809" t="s">
        <v>55</v>
      </c>
      <c r="G1809" t="s">
        <v>195</v>
      </c>
      <c r="H1809" t="s">
        <v>79</v>
      </c>
      <c r="I1809" s="2">
        <v>5</v>
      </c>
      <c r="J1809" s="3">
        <v>14.9</v>
      </c>
      <c r="K1809" s="4">
        <v>0.05</v>
      </c>
      <c r="L1809" s="3">
        <v>70.78</v>
      </c>
      <c r="M1809" t="b">
        <v>1</v>
      </c>
      <c r="N1809" s="2">
        <f>YEAR(B1809)</f>
        <v>2025</v>
      </c>
      <c r="O1809" t="str">
        <f>INDEX(Agences!$C:$C,MATCH(F1809,Agences!$A:$A,0))</f>
        <v>Est</v>
      </c>
      <c r="P1809" t="str">
        <f>INDEX(Produits!$C:$C,MATCH(H1809,Produits!$A:$A,0))</f>
        <v>Fournitures</v>
      </c>
      <c r="Q1809" s="3">
        <f>I1809*INDEX(Produits!$E:$E,MATCH(H1809,Produits!$A:$A,0))</f>
        <v>40.25</v>
      </c>
      <c r="R1809" s="3">
        <f>L1809-Q1809</f>
        <v>30.53</v>
      </c>
      <c r="S1809" s="2">
        <f>NETWORKDAYS(B1809,C1809)-1</f>
        <v>1</v>
      </c>
      <c r="T1809" s="1">
        <f>WORKDAY(B1809,5)</f>
        <v>46017</v>
      </c>
      <c r="U1809" t="b">
        <f>C1809&gt;T1809</f>
        <v>0</v>
      </c>
    </row>
    <row r="1810" spans="1:21" x14ac:dyDescent="0.25">
      <c r="A1810" t="s">
        <v>1312</v>
      </c>
      <c r="B1810" s="1">
        <v>46010</v>
      </c>
      <c r="C1810" s="1">
        <v>46014</v>
      </c>
      <c r="D1810" t="s">
        <v>1313</v>
      </c>
      <c r="E1810" t="s">
        <v>229</v>
      </c>
      <c r="F1810" t="s">
        <v>55</v>
      </c>
      <c r="G1810" t="s">
        <v>56</v>
      </c>
      <c r="H1810" t="s">
        <v>83</v>
      </c>
      <c r="I1810" s="2">
        <v>5</v>
      </c>
      <c r="J1810" s="3">
        <v>49</v>
      </c>
      <c r="K1810" s="4">
        <v>0</v>
      </c>
      <c r="L1810" s="3">
        <v>245</v>
      </c>
      <c r="M1810" t="b">
        <v>1</v>
      </c>
      <c r="N1810" s="2">
        <f>YEAR(B1810)</f>
        <v>2025</v>
      </c>
      <c r="O1810" t="str">
        <f>INDEX(Agences!$C:$C,MATCH(F1810,Agences!$A:$A,0))</f>
        <v>Est</v>
      </c>
      <c r="P1810" t="str">
        <f>INDEX(Produits!$C:$C,MATCH(H1810,Produits!$A:$A,0))</f>
        <v>Mobilier</v>
      </c>
      <c r="Q1810" s="3">
        <f>I1810*INDEX(Produits!$E:$E,MATCH(H1810,Produits!$A:$A,0))</f>
        <v>142.10000000000002</v>
      </c>
      <c r="R1810" s="3">
        <f>L1810-Q1810</f>
        <v>102.89999999999998</v>
      </c>
      <c r="S1810" s="2">
        <f>NETWORKDAYS(B1810,C1810)-1</f>
        <v>2</v>
      </c>
      <c r="T1810" s="1">
        <f>WORKDAY(B1810,5)</f>
        <v>46017</v>
      </c>
      <c r="U1810" t="b">
        <f>C1810&gt;T1810</f>
        <v>0</v>
      </c>
    </row>
    <row r="1811" spans="1:21" x14ac:dyDescent="0.25">
      <c r="A1811" t="s">
        <v>1312</v>
      </c>
      <c r="B1811" s="1">
        <v>46010</v>
      </c>
      <c r="C1811" s="1">
        <v>46014</v>
      </c>
      <c r="D1811" t="s">
        <v>1313</v>
      </c>
      <c r="E1811" t="s">
        <v>229</v>
      </c>
      <c r="F1811" t="s">
        <v>55</v>
      </c>
      <c r="G1811" t="s">
        <v>56</v>
      </c>
      <c r="H1811" t="s">
        <v>27</v>
      </c>
      <c r="I1811" s="2">
        <v>1</v>
      </c>
      <c r="J1811" s="3">
        <v>310</v>
      </c>
      <c r="K1811" s="4">
        <v>0.02</v>
      </c>
      <c r="L1811" s="3">
        <v>303.8</v>
      </c>
      <c r="M1811" t="b">
        <v>1</v>
      </c>
      <c r="N1811" s="2">
        <f>YEAR(B1811)</f>
        <v>2025</v>
      </c>
      <c r="O1811" t="str">
        <f>INDEX(Agences!$C:$C,MATCH(F1811,Agences!$A:$A,0))</f>
        <v>Est</v>
      </c>
      <c r="P1811" t="str">
        <f>INDEX(Produits!$C:$C,MATCH(H1811,Produits!$A:$A,0))</f>
        <v>Mobilier</v>
      </c>
      <c r="Q1811" s="3">
        <f>I1811*INDEX(Produits!$E:$E,MATCH(H1811,Produits!$A:$A,0))</f>
        <v>186</v>
      </c>
      <c r="R1811" s="3">
        <f>L1811-Q1811</f>
        <v>117.80000000000001</v>
      </c>
      <c r="S1811" s="2">
        <f>NETWORKDAYS(B1811,C1811)-1</f>
        <v>2</v>
      </c>
      <c r="T1811" s="1">
        <f>WORKDAY(B1811,5)</f>
        <v>46017</v>
      </c>
      <c r="U1811" t="b">
        <f>C1811&gt;T1811</f>
        <v>0</v>
      </c>
    </row>
    <row r="1812" spans="1:21" x14ac:dyDescent="0.25">
      <c r="A1812" t="s">
        <v>1314</v>
      </c>
      <c r="B1812" s="1">
        <v>46009</v>
      </c>
      <c r="C1812" s="1">
        <v>46014</v>
      </c>
      <c r="D1812" t="s">
        <v>893</v>
      </c>
      <c r="E1812" t="s">
        <v>153</v>
      </c>
      <c r="F1812" t="s">
        <v>94</v>
      </c>
      <c r="G1812" t="s">
        <v>154</v>
      </c>
      <c r="H1812" t="s">
        <v>42</v>
      </c>
      <c r="I1812" s="2">
        <v>1</v>
      </c>
      <c r="J1812" s="3">
        <v>55</v>
      </c>
      <c r="K1812" s="4">
        <v>0</v>
      </c>
      <c r="L1812" s="3">
        <v>55</v>
      </c>
      <c r="M1812" t="b">
        <v>1</v>
      </c>
      <c r="N1812" s="2">
        <f>YEAR(B1812)</f>
        <v>2025</v>
      </c>
      <c r="O1812" t="str">
        <f>INDEX(Agences!$C:$C,MATCH(F1812,Agences!$A:$A,0))</f>
        <v>Méditerranée</v>
      </c>
      <c r="P1812" t="str">
        <f>INDEX(Produits!$C:$C,MATCH(H1812,Produits!$A:$A,0))</f>
        <v>Maintenance</v>
      </c>
      <c r="Q1812" s="3">
        <f>I1812*INDEX(Produits!$E:$E,MATCH(H1812,Produits!$A:$A,0))</f>
        <v>24.75</v>
      </c>
      <c r="R1812" s="3">
        <f>L1812-Q1812</f>
        <v>30.25</v>
      </c>
      <c r="S1812" s="2">
        <f>NETWORKDAYS(B1812,C1812)-1</f>
        <v>3</v>
      </c>
      <c r="T1812" s="1">
        <f>WORKDAY(B1812,5)</f>
        <v>46016</v>
      </c>
      <c r="U1812" t="b">
        <f>C1812&gt;T1812</f>
        <v>0</v>
      </c>
    </row>
    <row r="1813" spans="1:21" x14ac:dyDescent="0.25">
      <c r="A1813" t="s">
        <v>1314</v>
      </c>
      <c r="B1813" s="1">
        <v>46009</v>
      </c>
      <c r="C1813" s="1">
        <v>46014</v>
      </c>
      <c r="D1813" t="s">
        <v>893</v>
      </c>
      <c r="E1813" t="s">
        <v>153</v>
      </c>
      <c r="F1813" t="s">
        <v>94</v>
      </c>
      <c r="G1813" t="s">
        <v>154</v>
      </c>
      <c r="H1813" t="s">
        <v>34</v>
      </c>
      <c r="I1813" s="2">
        <v>2</v>
      </c>
      <c r="J1813" s="3">
        <v>340</v>
      </c>
      <c r="K1813" s="4">
        <v>0</v>
      </c>
      <c r="L1813" s="3">
        <v>680</v>
      </c>
      <c r="M1813" t="b">
        <v>1</v>
      </c>
      <c r="N1813" s="2">
        <f>YEAR(B1813)</f>
        <v>2025</v>
      </c>
      <c r="O1813" t="str">
        <f>INDEX(Agences!$C:$C,MATCH(F1813,Agences!$A:$A,0))</f>
        <v>Méditerranée</v>
      </c>
      <c r="P1813" t="str">
        <f>INDEX(Produits!$C:$C,MATCH(H1813,Produits!$A:$A,0))</f>
        <v>Informatique</v>
      </c>
      <c r="Q1813" s="3">
        <f>I1813*INDEX(Produits!$E:$E,MATCH(H1813,Produits!$A:$A,0))</f>
        <v>550.8</v>
      </c>
      <c r="R1813" s="3">
        <f>L1813-Q1813</f>
        <v>129.20000000000005</v>
      </c>
      <c r="S1813" s="2">
        <f>NETWORKDAYS(B1813,C1813)-1</f>
        <v>3</v>
      </c>
      <c r="T1813" s="1">
        <f>WORKDAY(B1813,5)</f>
        <v>46016</v>
      </c>
      <c r="U1813" t="b">
        <f>C1813&gt;T1813</f>
        <v>0</v>
      </c>
    </row>
    <row r="1814" spans="1:21" x14ac:dyDescent="0.25">
      <c r="A1814" t="s">
        <v>1314</v>
      </c>
      <c r="B1814" s="1">
        <v>46009</v>
      </c>
      <c r="C1814" s="1">
        <v>46014</v>
      </c>
      <c r="D1814" t="s">
        <v>893</v>
      </c>
      <c r="E1814" t="s">
        <v>153</v>
      </c>
      <c r="F1814" t="s">
        <v>94</v>
      </c>
      <c r="G1814" t="s">
        <v>154</v>
      </c>
      <c r="H1814" t="s">
        <v>35</v>
      </c>
      <c r="I1814" s="2">
        <v>3</v>
      </c>
      <c r="J1814" s="3">
        <v>79</v>
      </c>
      <c r="K1814" s="4">
        <v>0</v>
      </c>
      <c r="L1814" s="3">
        <v>237</v>
      </c>
      <c r="M1814" t="b">
        <v>1</v>
      </c>
      <c r="N1814" s="2">
        <f>YEAR(B1814)</f>
        <v>2025</v>
      </c>
      <c r="O1814" t="str">
        <f>INDEX(Agences!$C:$C,MATCH(F1814,Agences!$A:$A,0))</f>
        <v>Méditerranée</v>
      </c>
      <c r="P1814" t="str">
        <f>INDEX(Produits!$C:$C,MATCH(H1814,Produits!$A:$A,0))</f>
        <v>Mobilier</v>
      </c>
      <c r="Q1814" s="3">
        <f>I1814*INDEX(Produits!$E:$E,MATCH(H1814,Produits!$A:$A,0))</f>
        <v>139.82999999999998</v>
      </c>
      <c r="R1814" s="3">
        <f>L1814-Q1814</f>
        <v>97.17000000000002</v>
      </c>
      <c r="S1814" s="2">
        <f>NETWORKDAYS(B1814,C1814)-1</f>
        <v>3</v>
      </c>
      <c r="T1814" s="1">
        <f>WORKDAY(B1814,5)</f>
        <v>46016</v>
      </c>
      <c r="U1814" t="b">
        <f>C1814&gt;T1814</f>
        <v>0</v>
      </c>
    </row>
    <row r="1815" spans="1:21" x14ac:dyDescent="0.25">
      <c r="A1815" t="s">
        <v>1315</v>
      </c>
      <c r="B1815" s="1">
        <v>46009</v>
      </c>
      <c r="C1815" s="1">
        <v>46013</v>
      </c>
      <c r="D1815" t="s">
        <v>1316</v>
      </c>
      <c r="E1815" t="s">
        <v>316</v>
      </c>
      <c r="F1815" t="s">
        <v>46</v>
      </c>
      <c r="G1815" t="s">
        <v>111</v>
      </c>
      <c r="H1815" t="s">
        <v>35</v>
      </c>
      <c r="I1815" s="2">
        <v>1</v>
      </c>
      <c r="J1815" s="3">
        <v>79</v>
      </c>
      <c r="K1815" s="4">
        <v>0</v>
      </c>
      <c r="L1815" s="3">
        <v>79</v>
      </c>
      <c r="M1815" t="b">
        <v>1</v>
      </c>
      <c r="N1815" s="2">
        <f>YEAR(B1815)</f>
        <v>2025</v>
      </c>
      <c r="O1815" t="str">
        <f>INDEX(Agences!$C:$C,MATCH(F1815,Agences!$A:$A,0))</f>
        <v>Est</v>
      </c>
      <c r="P1815" t="str">
        <f>INDEX(Produits!$C:$C,MATCH(H1815,Produits!$A:$A,0))</f>
        <v>Mobilier</v>
      </c>
      <c r="Q1815" s="3">
        <f>I1815*INDEX(Produits!$E:$E,MATCH(H1815,Produits!$A:$A,0))</f>
        <v>46.61</v>
      </c>
      <c r="R1815" s="3">
        <f>L1815-Q1815</f>
        <v>32.39</v>
      </c>
      <c r="S1815" s="2">
        <f>NETWORKDAYS(B1815,C1815)-1</f>
        <v>2</v>
      </c>
      <c r="T1815" s="1">
        <f>WORKDAY(B1815,5)</f>
        <v>46016</v>
      </c>
      <c r="U1815" t="b">
        <f>C1815&gt;T1815</f>
        <v>0</v>
      </c>
    </row>
    <row r="1816" spans="1:21" x14ac:dyDescent="0.25">
      <c r="A1816" t="s">
        <v>1315</v>
      </c>
      <c r="B1816" s="1">
        <v>46009</v>
      </c>
      <c r="C1816" s="1">
        <v>46013</v>
      </c>
      <c r="D1816" t="s">
        <v>1316</v>
      </c>
      <c r="E1816" t="s">
        <v>316</v>
      </c>
      <c r="F1816" t="s">
        <v>46</v>
      </c>
      <c r="G1816" t="s">
        <v>111</v>
      </c>
      <c r="H1816" t="s">
        <v>34</v>
      </c>
      <c r="I1816" s="2">
        <v>1</v>
      </c>
      <c r="J1816" s="3">
        <v>340</v>
      </c>
      <c r="K1816" s="4">
        <v>0</v>
      </c>
      <c r="L1816" s="3">
        <v>340</v>
      </c>
      <c r="M1816" t="b">
        <v>1</v>
      </c>
      <c r="N1816" s="2">
        <f>YEAR(B1816)</f>
        <v>2025</v>
      </c>
      <c r="O1816" t="str">
        <f>INDEX(Agences!$C:$C,MATCH(F1816,Agences!$A:$A,0))</f>
        <v>Est</v>
      </c>
      <c r="P1816" t="str">
        <f>INDEX(Produits!$C:$C,MATCH(H1816,Produits!$A:$A,0))</f>
        <v>Informatique</v>
      </c>
      <c r="Q1816" s="3">
        <f>I1816*INDEX(Produits!$E:$E,MATCH(H1816,Produits!$A:$A,0))</f>
        <v>275.4</v>
      </c>
      <c r="R1816" s="3">
        <f>L1816-Q1816</f>
        <v>64.60000000000002</v>
      </c>
      <c r="S1816" s="2">
        <f>NETWORKDAYS(B1816,C1816)-1</f>
        <v>2</v>
      </c>
      <c r="T1816" s="1">
        <f>WORKDAY(B1816,5)</f>
        <v>46016</v>
      </c>
      <c r="U1816" t="b">
        <f>C1816&gt;T1816</f>
        <v>0</v>
      </c>
    </row>
    <row r="1817" spans="1:21" x14ac:dyDescent="0.25">
      <c r="A1817" t="s">
        <v>1315</v>
      </c>
      <c r="B1817" s="1">
        <v>46009</v>
      </c>
      <c r="C1817" s="1">
        <v>46013</v>
      </c>
      <c r="D1817" t="s">
        <v>1316</v>
      </c>
      <c r="E1817" t="s">
        <v>316</v>
      </c>
      <c r="F1817" t="s">
        <v>46</v>
      </c>
      <c r="G1817" t="s">
        <v>111</v>
      </c>
      <c r="H1817" t="s">
        <v>83</v>
      </c>
      <c r="I1817" s="2">
        <v>3</v>
      </c>
      <c r="J1817" s="3">
        <v>49</v>
      </c>
      <c r="K1817" s="4">
        <v>0</v>
      </c>
      <c r="L1817" s="3">
        <v>147</v>
      </c>
      <c r="M1817" t="b">
        <v>1</v>
      </c>
      <c r="N1817" s="2">
        <f>YEAR(B1817)</f>
        <v>2025</v>
      </c>
      <c r="O1817" t="str">
        <f>INDEX(Agences!$C:$C,MATCH(F1817,Agences!$A:$A,0))</f>
        <v>Est</v>
      </c>
      <c r="P1817" t="str">
        <f>INDEX(Produits!$C:$C,MATCH(H1817,Produits!$A:$A,0))</f>
        <v>Mobilier</v>
      </c>
      <c r="Q1817" s="3">
        <f>I1817*INDEX(Produits!$E:$E,MATCH(H1817,Produits!$A:$A,0))</f>
        <v>85.26</v>
      </c>
      <c r="R1817" s="3">
        <f>L1817-Q1817</f>
        <v>61.739999999999995</v>
      </c>
      <c r="S1817" s="2">
        <f>NETWORKDAYS(B1817,C1817)-1</f>
        <v>2</v>
      </c>
      <c r="T1817" s="1">
        <f>WORKDAY(B1817,5)</f>
        <v>46016</v>
      </c>
      <c r="U1817" t="b">
        <f>C1817&gt;T1817</f>
        <v>0</v>
      </c>
    </row>
    <row r="1818" spans="1:21" x14ac:dyDescent="0.25">
      <c r="A1818" t="s">
        <v>1315</v>
      </c>
      <c r="B1818" s="1">
        <v>46009</v>
      </c>
      <c r="C1818" s="1">
        <v>46013</v>
      </c>
      <c r="D1818" t="s">
        <v>1316</v>
      </c>
      <c r="E1818" t="s">
        <v>316</v>
      </c>
      <c r="F1818" t="s">
        <v>46</v>
      </c>
      <c r="G1818" t="s">
        <v>111</v>
      </c>
      <c r="H1818" t="s">
        <v>108</v>
      </c>
      <c r="I1818" s="2">
        <v>20</v>
      </c>
      <c r="J1818" s="3">
        <v>24.5</v>
      </c>
      <c r="K1818" s="4">
        <v>0.05</v>
      </c>
      <c r="L1818" s="3">
        <v>465.5</v>
      </c>
      <c r="M1818" t="b">
        <v>1</v>
      </c>
      <c r="N1818" s="2">
        <f>YEAR(B1818)</f>
        <v>2025</v>
      </c>
      <c r="O1818" t="str">
        <f>INDEX(Agences!$C:$C,MATCH(F1818,Agences!$A:$A,0))</f>
        <v>Est</v>
      </c>
      <c r="P1818" t="str">
        <f>INDEX(Produits!$C:$C,MATCH(H1818,Produits!$A:$A,0))</f>
        <v>Fournitures</v>
      </c>
      <c r="Q1818" s="3">
        <f>I1818*INDEX(Produits!$E:$E,MATCH(H1818,Produits!$A:$A,0))</f>
        <v>294</v>
      </c>
      <c r="R1818" s="3">
        <f>L1818-Q1818</f>
        <v>171.5</v>
      </c>
      <c r="S1818" s="2">
        <f>NETWORKDAYS(B1818,C1818)-1</f>
        <v>2</v>
      </c>
      <c r="T1818" s="1">
        <f>WORKDAY(B1818,5)</f>
        <v>46016</v>
      </c>
      <c r="U1818" t="b">
        <f>C1818&gt;T1818</f>
        <v>0</v>
      </c>
    </row>
    <row r="1819" spans="1:21" x14ac:dyDescent="0.25">
      <c r="A1819" t="s">
        <v>1317</v>
      </c>
      <c r="B1819" s="1">
        <v>46008</v>
      </c>
      <c r="C1819" s="1">
        <v>46015</v>
      </c>
      <c r="D1819" t="s">
        <v>1318</v>
      </c>
      <c r="E1819" t="s">
        <v>209</v>
      </c>
      <c r="F1819" t="s">
        <v>99</v>
      </c>
      <c r="G1819" t="s">
        <v>265</v>
      </c>
      <c r="H1819" t="s">
        <v>42</v>
      </c>
      <c r="I1819" s="2">
        <v>2</v>
      </c>
      <c r="J1819" s="3">
        <v>55</v>
      </c>
      <c r="K1819" s="4">
        <v>0.02</v>
      </c>
      <c r="L1819" s="3">
        <v>107.8</v>
      </c>
      <c r="M1819" t="b">
        <v>1</v>
      </c>
      <c r="N1819" s="2">
        <f>YEAR(B1819)</f>
        <v>2025</v>
      </c>
      <c r="O1819" t="str">
        <f>INDEX(Agences!$C:$C,MATCH(F1819,Agences!$A:$A,0))</f>
        <v>Nord</v>
      </c>
      <c r="P1819" t="str">
        <f>INDEX(Produits!$C:$C,MATCH(H1819,Produits!$A:$A,0))</f>
        <v>Maintenance</v>
      </c>
      <c r="Q1819" s="3">
        <f>I1819*INDEX(Produits!$E:$E,MATCH(H1819,Produits!$A:$A,0))</f>
        <v>49.5</v>
      </c>
      <c r="R1819" s="3">
        <f>L1819-Q1819</f>
        <v>58.3</v>
      </c>
      <c r="S1819" s="2">
        <f>NETWORKDAYS(B1819,C1819)-1</f>
        <v>5</v>
      </c>
      <c r="T1819" s="1">
        <f>WORKDAY(B1819,5)</f>
        <v>46015</v>
      </c>
      <c r="U1819" t="b">
        <f>C1819&gt;T1819</f>
        <v>0</v>
      </c>
    </row>
    <row r="1820" spans="1:21" x14ac:dyDescent="0.25">
      <c r="A1820" t="s">
        <v>1317</v>
      </c>
      <c r="B1820" s="1">
        <v>46008</v>
      </c>
      <c r="C1820" s="1">
        <v>46015</v>
      </c>
      <c r="D1820" t="s">
        <v>1318</v>
      </c>
      <c r="E1820" t="s">
        <v>209</v>
      </c>
      <c r="F1820" t="s">
        <v>99</v>
      </c>
      <c r="G1820" t="s">
        <v>265</v>
      </c>
      <c r="H1820" t="s">
        <v>57</v>
      </c>
      <c r="I1820" s="2">
        <v>1</v>
      </c>
      <c r="J1820" s="3">
        <v>149</v>
      </c>
      <c r="K1820" s="4">
        <v>0.05</v>
      </c>
      <c r="L1820" s="3">
        <v>141.55</v>
      </c>
      <c r="M1820" t="b">
        <v>1</v>
      </c>
      <c r="N1820" s="2">
        <f>YEAR(B1820)</f>
        <v>2025</v>
      </c>
      <c r="O1820" t="str">
        <f>INDEX(Agences!$C:$C,MATCH(F1820,Agences!$A:$A,0))</f>
        <v>Nord</v>
      </c>
      <c r="P1820" t="str">
        <f>INDEX(Produits!$C:$C,MATCH(H1820,Produits!$A:$A,0))</f>
        <v>Informatique</v>
      </c>
      <c r="Q1820" s="3">
        <f>I1820*INDEX(Produits!$E:$E,MATCH(H1820,Produits!$A:$A,0))</f>
        <v>114.73</v>
      </c>
      <c r="R1820" s="3">
        <f>L1820-Q1820</f>
        <v>26.820000000000007</v>
      </c>
      <c r="S1820" s="2">
        <f>NETWORKDAYS(B1820,C1820)-1</f>
        <v>5</v>
      </c>
      <c r="T1820" s="1">
        <f>WORKDAY(B1820,5)</f>
        <v>46015</v>
      </c>
      <c r="U1820" t="b">
        <f>C1820&gt;T1820</f>
        <v>0</v>
      </c>
    </row>
    <row r="1821" spans="1:21" x14ac:dyDescent="0.25">
      <c r="A1821" t="s">
        <v>1317</v>
      </c>
      <c r="B1821" s="1">
        <v>46008</v>
      </c>
      <c r="C1821" s="1">
        <v>46015</v>
      </c>
      <c r="D1821" t="s">
        <v>1318</v>
      </c>
      <c r="E1821" t="s">
        <v>209</v>
      </c>
      <c r="F1821" t="s">
        <v>99</v>
      </c>
      <c r="G1821" t="s">
        <v>265</v>
      </c>
      <c r="H1821" t="s">
        <v>83</v>
      </c>
      <c r="I1821" s="2">
        <v>2</v>
      </c>
      <c r="J1821" s="3">
        <v>49</v>
      </c>
      <c r="K1821" s="4">
        <v>0.05</v>
      </c>
      <c r="L1821" s="3">
        <v>93.1</v>
      </c>
      <c r="M1821" t="b">
        <v>1</v>
      </c>
      <c r="N1821" s="2">
        <f>YEAR(B1821)</f>
        <v>2025</v>
      </c>
      <c r="O1821" t="str">
        <f>INDEX(Agences!$C:$C,MATCH(F1821,Agences!$A:$A,0))</f>
        <v>Nord</v>
      </c>
      <c r="P1821" t="str">
        <f>INDEX(Produits!$C:$C,MATCH(H1821,Produits!$A:$A,0))</f>
        <v>Mobilier</v>
      </c>
      <c r="Q1821" s="3">
        <f>I1821*INDEX(Produits!$E:$E,MATCH(H1821,Produits!$A:$A,0))</f>
        <v>56.84</v>
      </c>
      <c r="R1821" s="3">
        <f>L1821-Q1821</f>
        <v>36.25999999999999</v>
      </c>
      <c r="S1821" s="2">
        <f>NETWORKDAYS(B1821,C1821)-1</f>
        <v>5</v>
      </c>
      <c r="T1821" s="1">
        <f>WORKDAY(B1821,5)</f>
        <v>46015</v>
      </c>
      <c r="U1821" t="b">
        <f>C1821&gt;T1821</f>
        <v>0</v>
      </c>
    </row>
    <row r="1822" spans="1:21" x14ac:dyDescent="0.25">
      <c r="A1822" t="s">
        <v>1319</v>
      </c>
      <c r="B1822" s="1">
        <v>46008</v>
      </c>
      <c r="C1822" s="1">
        <v>46015</v>
      </c>
      <c r="D1822" t="s">
        <v>1320</v>
      </c>
      <c r="E1822" t="s">
        <v>172</v>
      </c>
      <c r="F1822" t="s">
        <v>99</v>
      </c>
      <c r="G1822" t="s">
        <v>265</v>
      </c>
      <c r="H1822" t="s">
        <v>35</v>
      </c>
      <c r="I1822" s="2">
        <v>6</v>
      </c>
      <c r="J1822" s="3">
        <v>79</v>
      </c>
      <c r="K1822" s="4">
        <v>0</v>
      </c>
      <c r="L1822" s="3">
        <v>474</v>
      </c>
      <c r="M1822" t="b">
        <v>1</v>
      </c>
      <c r="N1822" s="2">
        <f>YEAR(B1822)</f>
        <v>2025</v>
      </c>
      <c r="O1822" t="str">
        <f>INDEX(Agences!$C:$C,MATCH(F1822,Agences!$A:$A,0))</f>
        <v>Nord</v>
      </c>
      <c r="P1822" t="str">
        <f>INDEX(Produits!$C:$C,MATCH(H1822,Produits!$A:$A,0))</f>
        <v>Mobilier</v>
      </c>
      <c r="Q1822" s="3">
        <f>I1822*INDEX(Produits!$E:$E,MATCH(H1822,Produits!$A:$A,0))</f>
        <v>279.65999999999997</v>
      </c>
      <c r="R1822" s="3">
        <f>L1822-Q1822</f>
        <v>194.34000000000003</v>
      </c>
      <c r="S1822" s="2">
        <f>NETWORKDAYS(B1822,C1822)-1</f>
        <v>5</v>
      </c>
      <c r="T1822" s="1">
        <f>WORKDAY(B1822,5)</f>
        <v>46015</v>
      </c>
      <c r="U1822" t="b">
        <f>C1822&gt;T1822</f>
        <v>0</v>
      </c>
    </row>
    <row r="1823" spans="1:21" x14ac:dyDescent="0.25">
      <c r="A1823" t="s">
        <v>1319</v>
      </c>
      <c r="B1823" s="1">
        <v>46008</v>
      </c>
      <c r="C1823" s="1">
        <v>46015</v>
      </c>
      <c r="D1823" t="s">
        <v>1320</v>
      </c>
      <c r="E1823" t="s">
        <v>172</v>
      </c>
      <c r="F1823" t="s">
        <v>99</v>
      </c>
      <c r="G1823" t="s">
        <v>265</v>
      </c>
      <c r="H1823" t="s">
        <v>196</v>
      </c>
      <c r="I1823" s="2">
        <v>20</v>
      </c>
      <c r="J1823" s="3">
        <v>18.5</v>
      </c>
      <c r="K1823" s="4">
        <v>0.02</v>
      </c>
      <c r="L1823" s="3">
        <v>362.6</v>
      </c>
      <c r="M1823" t="b">
        <v>1</v>
      </c>
      <c r="N1823" s="2">
        <f>YEAR(B1823)</f>
        <v>2025</v>
      </c>
      <c r="O1823" t="str">
        <f>INDEX(Agences!$C:$C,MATCH(F1823,Agences!$A:$A,0))</f>
        <v>Nord</v>
      </c>
      <c r="P1823" t="str">
        <f>INDEX(Produits!$C:$C,MATCH(H1823,Produits!$A:$A,0))</f>
        <v>Fournitures</v>
      </c>
      <c r="Q1823" s="3">
        <f>I1823*INDEX(Produits!$E:$E,MATCH(H1823,Produits!$A:$A,0))</f>
        <v>188.79999999999998</v>
      </c>
      <c r="R1823" s="3">
        <f>L1823-Q1823</f>
        <v>173.80000000000004</v>
      </c>
      <c r="S1823" s="2">
        <f>NETWORKDAYS(B1823,C1823)-1</f>
        <v>5</v>
      </c>
      <c r="T1823" s="1">
        <f>WORKDAY(B1823,5)</f>
        <v>46015</v>
      </c>
      <c r="U1823" t="b">
        <f>C1823&gt;T1823</f>
        <v>0</v>
      </c>
    </row>
    <row r="1824" spans="1:21" x14ac:dyDescent="0.25">
      <c r="A1824" t="s">
        <v>1321</v>
      </c>
      <c r="B1824" s="1">
        <v>46008</v>
      </c>
      <c r="C1824" s="1">
        <v>46010</v>
      </c>
      <c r="D1824" t="s">
        <v>856</v>
      </c>
      <c r="E1824" t="s">
        <v>175</v>
      </c>
      <c r="F1824" t="s">
        <v>76</v>
      </c>
      <c r="G1824" t="s">
        <v>232</v>
      </c>
      <c r="H1824" t="s">
        <v>206</v>
      </c>
      <c r="I1824" s="2">
        <v>10</v>
      </c>
      <c r="J1824" s="3">
        <v>34</v>
      </c>
      <c r="K1824" s="4">
        <v>0.02</v>
      </c>
      <c r="L1824" s="3">
        <v>333.2</v>
      </c>
      <c r="M1824" t="b">
        <v>1</v>
      </c>
      <c r="N1824" s="2">
        <f>YEAR(B1824)</f>
        <v>2025</v>
      </c>
      <c r="O1824" t="str">
        <f>INDEX(Agences!$C:$C,MATCH(F1824,Agences!$A:$A,0))</f>
        <v>Île-de-France</v>
      </c>
      <c r="P1824" t="str">
        <f>INDEX(Produits!$C:$C,MATCH(H1824,Produits!$A:$A,0))</f>
        <v>Fournitures</v>
      </c>
      <c r="Q1824" s="3">
        <f>I1824*INDEX(Produits!$E:$E,MATCH(H1824,Produits!$A:$A,0))</f>
        <v>193.79999999999998</v>
      </c>
      <c r="R1824" s="3">
        <f>L1824-Q1824</f>
        <v>139.4</v>
      </c>
      <c r="S1824" s="2">
        <f>NETWORKDAYS(B1824,C1824)-1</f>
        <v>2</v>
      </c>
      <c r="T1824" s="1">
        <f>WORKDAY(B1824,5)</f>
        <v>46015</v>
      </c>
      <c r="U1824" t="b">
        <f>C1824&gt;T1824</f>
        <v>0</v>
      </c>
    </row>
    <row r="1825" spans="1:21" x14ac:dyDescent="0.25">
      <c r="A1825" t="s">
        <v>1321</v>
      </c>
      <c r="B1825" s="1">
        <v>46008</v>
      </c>
      <c r="C1825" s="1">
        <v>46010</v>
      </c>
      <c r="D1825" t="s">
        <v>856</v>
      </c>
      <c r="E1825" t="s">
        <v>175</v>
      </c>
      <c r="F1825" t="s">
        <v>76</v>
      </c>
      <c r="G1825" t="s">
        <v>232</v>
      </c>
      <c r="H1825" t="s">
        <v>162</v>
      </c>
      <c r="I1825" s="2">
        <v>1</v>
      </c>
      <c r="J1825" s="3">
        <v>289</v>
      </c>
      <c r="K1825" s="4">
        <v>0.05</v>
      </c>
      <c r="L1825" s="3">
        <v>274.55</v>
      </c>
      <c r="M1825" t="b">
        <v>1</v>
      </c>
      <c r="N1825" s="2">
        <f>YEAR(B1825)</f>
        <v>2025</v>
      </c>
      <c r="O1825" t="str">
        <f>INDEX(Agences!$C:$C,MATCH(F1825,Agences!$A:$A,0))</f>
        <v>Île-de-France</v>
      </c>
      <c r="P1825" t="str">
        <f>INDEX(Produits!$C:$C,MATCH(H1825,Produits!$A:$A,0))</f>
        <v>Mobilier</v>
      </c>
      <c r="Q1825" s="3">
        <f>I1825*INDEX(Produits!$E:$E,MATCH(H1825,Produits!$A:$A,0))</f>
        <v>193.63</v>
      </c>
      <c r="R1825" s="3">
        <f>L1825-Q1825</f>
        <v>80.92000000000002</v>
      </c>
      <c r="S1825" s="2">
        <f>NETWORKDAYS(B1825,C1825)-1</f>
        <v>2</v>
      </c>
      <c r="T1825" s="1">
        <f>WORKDAY(B1825,5)</f>
        <v>46015</v>
      </c>
      <c r="U1825" t="b">
        <f>C1825&gt;T1825</f>
        <v>0</v>
      </c>
    </row>
    <row r="1826" spans="1:21" x14ac:dyDescent="0.25">
      <c r="A1826" t="s">
        <v>1321</v>
      </c>
      <c r="B1826" s="1">
        <v>46008</v>
      </c>
      <c r="C1826" s="1">
        <v>46010</v>
      </c>
      <c r="D1826" t="s">
        <v>856</v>
      </c>
      <c r="E1826" t="s">
        <v>175</v>
      </c>
      <c r="F1826" t="s">
        <v>76</v>
      </c>
      <c r="G1826" t="s">
        <v>232</v>
      </c>
      <c r="H1826" t="s">
        <v>48</v>
      </c>
      <c r="I1826" s="2">
        <v>1</v>
      </c>
      <c r="J1826" s="3">
        <v>165</v>
      </c>
      <c r="K1826" s="4">
        <v>0</v>
      </c>
      <c r="L1826" s="3">
        <v>165</v>
      </c>
      <c r="M1826" t="b">
        <v>1</v>
      </c>
      <c r="N1826" s="2">
        <f>YEAR(B1826)</f>
        <v>2025</v>
      </c>
      <c r="O1826" t="str">
        <f>INDEX(Agences!$C:$C,MATCH(F1826,Agences!$A:$A,0))</f>
        <v>Île-de-France</v>
      </c>
      <c r="P1826" t="str">
        <f>INDEX(Produits!$C:$C,MATCH(H1826,Produits!$A:$A,0))</f>
        <v>Mobilier</v>
      </c>
      <c r="Q1826" s="3">
        <f>I1826*INDEX(Produits!$E:$E,MATCH(H1826,Produits!$A:$A,0))</f>
        <v>107.25</v>
      </c>
      <c r="R1826" s="3">
        <f>L1826-Q1826</f>
        <v>57.75</v>
      </c>
      <c r="S1826" s="2">
        <f>NETWORKDAYS(B1826,C1826)-1</f>
        <v>2</v>
      </c>
      <c r="T1826" s="1">
        <f>WORKDAY(B1826,5)</f>
        <v>46015</v>
      </c>
      <c r="U1826" t="b">
        <f>C1826&gt;T1826</f>
        <v>0</v>
      </c>
    </row>
    <row r="1827" spans="1:21" x14ac:dyDescent="0.25">
      <c r="A1827" t="s">
        <v>1322</v>
      </c>
      <c r="B1827" s="1">
        <v>46008</v>
      </c>
      <c r="C1827" s="1">
        <v>46009</v>
      </c>
      <c r="D1827" t="s">
        <v>1323</v>
      </c>
      <c r="E1827" t="s">
        <v>336</v>
      </c>
      <c r="F1827" t="s">
        <v>166</v>
      </c>
      <c r="G1827" t="s">
        <v>167</v>
      </c>
      <c r="H1827" t="s">
        <v>84</v>
      </c>
      <c r="I1827" s="2">
        <v>3</v>
      </c>
      <c r="J1827" s="3">
        <v>420</v>
      </c>
      <c r="K1827" s="4">
        <v>0</v>
      </c>
      <c r="L1827" s="3">
        <v>1260</v>
      </c>
      <c r="M1827" t="b">
        <v>1</v>
      </c>
      <c r="N1827" s="2">
        <f>YEAR(B1827)</f>
        <v>2025</v>
      </c>
      <c r="O1827" t="str">
        <f>INDEX(Agences!$C:$C,MATCH(F1827,Agences!$A:$A,0))</f>
        <v>Ouest</v>
      </c>
      <c r="P1827" t="str">
        <f>INDEX(Produits!$C:$C,MATCH(H1827,Produits!$A:$A,0))</f>
        <v>Mobilier</v>
      </c>
      <c r="Q1827" s="3">
        <f>I1827*INDEX(Produits!$E:$E,MATCH(H1827,Produits!$A:$A,0))</f>
        <v>730.8</v>
      </c>
      <c r="R1827" s="3">
        <f>L1827-Q1827</f>
        <v>529.2</v>
      </c>
      <c r="S1827" s="2">
        <f>NETWORKDAYS(B1827,C1827)-1</f>
        <v>1</v>
      </c>
      <c r="T1827" s="1">
        <f>WORKDAY(B1827,5)</f>
        <v>46015</v>
      </c>
      <c r="U1827" t="b">
        <f>C1827&gt;T1827</f>
        <v>0</v>
      </c>
    </row>
    <row r="1828" spans="1:21" x14ac:dyDescent="0.25">
      <c r="A1828" t="s">
        <v>1322</v>
      </c>
      <c r="B1828" s="1">
        <v>46008</v>
      </c>
      <c r="C1828" s="1">
        <v>46009</v>
      </c>
      <c r="D1828" t="s">
        <v>1323</v>
      </c>
      <c r="E1828" t="s">
        <v>336</v>
      </c>
      <c r="F1828" t="s">
        <v>166</v>
      </c>
      <c r="G1828" t="s">
        <v>167</v>
      </c>
      <c r="H1828" t="s">
        <v>57</v>
      </c>
      <c r="I1828" s="2">
        <v>1</v>
      </c>
      <c r="J1828" s="3">
        <v>149</v>
      </c>
      <c r="K1828" s="4">
        <v>0.05</v>
      </c>
      <c r="L1828" s="3">
        <v>141.55</v>
      </c>
      <c r="M1828" t="b">
        <v>1</v>
      </c>
      <c r="N1828" s="2">
        <f>YEAR(B1828)</f>
        <v>2025</v>
      </c>
      <c r="O1828" t="str">
        <f>INDEX(Agences!$C:$C,MATCH(F1828,Agences!$A:$A,0))</f>
        <v>Ouest</v>
      </c>
      <c r="P1828" t="str">
        <f>INDEX(Produits!$C:$C,MATCH(H1828,Produits!$A:$A,0))</f>
        <v>Informatique</v>
      </c>
      <c r="Q1828" s="3">
        <f>I1828*INDEX(Produits!$E:$E,MATCH(H1828,Produits!$A:$A,0))</f>
        <v>114.73</v>
      </c>
      <c r="R1828" s="3">
        <f>L1828-Q1828</f>
        <v>26.820000000000007</v>
      </c>
      <c r="S1828" s="2">
        <f>NETWORKDAYS(B1828,C1828)-1</f>
        <v>1</v>
      </c>
      <c r="T1828" s="1">
        <f>WORKDAY(B1828,5)</f>
        <v>46015</v>
      </c>
      <c r="U1828" t="b">
        <f>C1828&gt;T1828</f>
        <v>0</v>
      </c>
    </row>
    <row r="1829" spans="1:21" x14ac:dyDescent="0.25">
      <c r="A1829" t="s">
        <v>1322</v>
      </c>
      <c r="B1829" s="1">
        <v>46008</v>
      </c>
      <c r="C1829" s="1">
        <v>46009</v>
      </c>
      <c r="D1829" t="s">
        <v>1323</v>
      </c>
      <c r="E1829" t="s">
        <v>336</v>
      </c>
      <c r="F1829" t="s">
        <v>166</v>
      </c>
      <c r="G1829" t="s">
        <v>167</v>
      </c>
      <c r="H1829" t="s">
        <v>233</v>
      </c>
      <c r="I1829" s="2">
        <v>10</v>
      </c>
      <c r="J1829" s="3">
        <v>27.5</v>
      </c>
      <c r="K1829" s="4">
        <v>0.05</v>
      </c>
      <c r="L1829" s="3">
        <v>261.25</v>
      </c>
      <c r="M1829" t="b">
        <v>1</v>
      </c>
      <c r="N1829" s="2">
        <f>YEAR(B1829)</f>
        <v>2025</v>
      </c>
      <c r="O1829" t="str">
        <f>INDEX(Agences!$C:$C,MATCH(F1829,Agences!$A:$A,0))</f>
        <v>Ouest</v>
      </c>
      <c r="P1829" t="str">
        <f>INDEX(Produits!$C:$C,MATCH(H1829,Produits!$A:$A,0))</f>
        <v>Fournitures</v>
      </c>
      <c r="Q1829" s="3">
        <f>I1829*INDEX(Produits!$E:$E,MATCH(H1829,Produits!$A:$A,0))</f>
        <v>154</v>
      </c>
      <c r="R1829" s="3">
        <f>L1829-Q1829</f>
        <v>107.25</v>
      </c>
      <c r="S1829" s="2">
        <f>NETWORKDAYS(B1829,C1829)-1</f>
        <v>1</v>
      </c>
      <c r="T1829" s="1">
        <f>WORKDAY(B1829,5)</f>
        <v>46015</v>
      </c>
      <c r="U1829" t="b">
        <f>C1829&gt;T1829</f>
        <v>0</v>
      </c>
    </row>
    <row r="1830" spans="1:21" x14ac:dyDescent="0.25">
      <c r="A1830" t="s">
        <v>1322</v>
      </c>
      <c r="B1830" s="1">
        <v>46008</v>
      </c>
      <c r="C1830" s="1">
        <v>46009</v>
      </c>
      <c r="D1830" t="s">
        <v>1323</v>
      </c>
      <c r="E1830" t="s">
        <v>336</v>
      </c>
      <c r="F1830" t="s">
        <v>166</v>
      </c>
      <c r="G1830" t="s">
        <v>167</v>
      </c>
      <c r="H1830" t="s">
        <v>26</v>
      </c>
      <c r="I1830" s="2">
        <v>2</v>
      </c>
      <c r="J1830" s="3">
        <v>290</v>
      </c>
      <c r="K1830" s="4">
        <v>0</v>
      </c>
      <c r="L1830" s="3">
        <v>580</v>
      </c>
      <c r="M1830" t="b">
        <v>1</v>
      </c>
      <c r="N1830" s="2">
        <f>YEAR(B1830)</f>
        <v>2025</v>
      </c>
      <c r="O1830" t="str">
        <f>INDEX(Agences!$C:$C,MATCH(F1830,Agences!$A:$A,0))</f>
        <v>Ouest</v>
      </c>
      <c r="P1830" t="str">
        <f>INDEX(Produits!$C:$C,MATCH(H1830,Produits!$A:$A,0))</f>
        <v>Maintenance</v>
      </c>
      <c r="Q1830" s="3">
        <f>I1830*INDEX(Produits!$E:$E,MATCH(H1830,Produits!$A:$A,0))</f>
        <v>278.4</v>
      </c>
      <c r="R1830" s="3">
        <f>L1830-Q1830</f>
        <v>301.6</v>
      </c>
      <c r="S1830" s="2">
        <f>NETWORKDAYS(B1830,C1830)-1</f>
        <v>1</v>
      </c>
      <c r="T1830" s="1">
        <f>WORKDAY(B1830,5)</f>
        <v>46015</v>
      </c>
      <c r="U1830" t="b">
        <f>C1830&gt;T1830</f>
        <v>0</v>
      </c>
    </row>
    <row r="1831" spans="1:21" x14ac:dyDescent="0.25">
      <c r="A1831" t="s">
        <v>1324</v>
      </c>
      <c r="B1831" s="1">
        <v>46008</v>
      </c>
      <c r="C1831" s="1">
        <v>46009</v>
      </c>
      <c r="D1831" t="s">
        <v>1325</v>
      </c>
      <c r="E1831" t="s">
        <v>185</v>
      </c>
      <c r="F1831" t="s">
        <v>31</v>
      </c>
      <c r="G1831" t="s">
        <v>186</v>
      </c>
      <c r="H1831" t="s">
        <v>42</v>
      </c>
      <c r="I1831" s="2">
        <v>1</v>
      </c>
      <c r="J1831" s="3">
        <v>55</v>
      </c>
      <c r="K1831" s="4">
        <v>0.05</v>
      </c>
      <c r="L1831" s="3">
        <v>52.25</v>
      </c>
      <c r="M1831" t="b">
        <v>1</v>
      </c>
      <c r="N1831" s="2">
        <f>YEAR(B1831)</f>
        <v>2025</v>
      </c>
      <c r="O1831" t="str">
        <f>INDEX(Agences!$C:$C,MATCH(F1831,Agences!$A:$A,0))</f>
        <v>Ouest</v>
      </c>
      <c r="P1831" t="str">
        <f>INDEX(Produits!$C:$C,MATCH(H1831,Produits!$A:$A,0))</f>
        <v>Maintenance</v>
      </c>
      <c r="Q1831" s="3">
        <f>I1831*INDEX(Produits!$E:$E,MATCH(H1831,Produits!$A:$A,0))</f>
        <v>24.75</v>
      </c>
      <c r="R1831" s="3">
        <f>L1831-Q1831</f>
        <v>27.5</v>
      </c>
      <c r="S1831" s="2">
        <f>NETWORKDAYS(B1831,C1831)-1</f>
        <v>1</v>
      </c>
      <c r="T1831" s="1">
        <f>WORKDAY(B1831,5)</f>
        <v>46015</v>
      </c>
      <c r="U1831" t="b">
        <f>C1831&gt;T1831</f>
        <v>0</v>
      </c>
    </row>
    <row r="1832" spans="1:21" x14ac:dyDescent="0.25">
      <c r="A1832" t="s">
        <v>1324</v>
      </c>
      <c r="B1832" s="1">
        <v>46008</v>
      </c>
      <c r="C1832" s="1">
        <v>46009</v>
      </c>
      <c r="D1832" t="s">
        <v>1325</v>
      </c>
      <c r="E1832" t="s">
        <v>185</v>
      </c>
      <c r="F1832" t="s">
        <v>31</v>
      </c>
      <c r="G1832" t="s">
        <v>186</v>
      </c>
      <c r="H1832" t="s">
        <v>50</v>
      </c>
      <c r="I1832" s="2">
        <v>1</v>
      </c>
      <c r="J1832" s="3">
        <v>69</v>
      </c>
      <c r="K1832" s="4">
        <v>0.08</v>
      </c>
      <c r="L1832" s="3">
        <v>63.48</v>
      </c>
      <c r="M1832" t="b">
        <v>1</v>
      </c>
      <c r="N1832" s="2">
        <f>YEAR(B1832)</f>
        <v>2025</v>
      </c>
      <c r="O1832" t="str">
        <f>INDEX(Agences!$C:$C,MATCH(F1832,Agences!$A:$A,0))</f>
        <v>Ouest</v>
      </c>
      <c r="P1832" t="str">
        <f>INDEX(Produits!$C:$C,MATCH(H1832,Produits!$A:$A,0))</f>
        <v>Informatique</v>
      </c>
      <c r="Q1832" s="3">
        <f>I1832*INDEX(Produits!$E:$E,MATCH(H1832,Produits!$A:$A,0))</f>
        <v>54.51</v>
      </c>
      <c r="R1832" s="3">
        <f>L1832-Q1832</f>
        <v>8.969999999999999</v>
      </c>
      <c r="S1832" s="2">
        <f>NETWORKDAYS(B1832,C1832)-1</f>
        <v>1</v>
      </c>
      <c r="T1832" s="1">
        <f>WORKDAY(B1832,5)</f>
        <v>46015</v>
      </c>
      <c r="U1832" t="b">
        <f>C1832&gt;T1832</f>
        <v>0</v>
      </c>
    </row>
    <row r="1833" spans="1:21" x14ac:dyDescent="0.25">
      <c r="A1833" t="s">
        <v>1324</v>
      </c>
      <c r="B1833" s="1">
        <v>46008</v>
      </c>
      <c r="C1833" s="1">
        <v>46009</v>
      </c>
      <c r="D1833" t="s">
        <v>1325</v>
      </c>
      <c r="E1833" t="s">
        <v>185</v>
      </c>
      <c r="F1833" t="s">
        <v>31</v>
      </c>
      <c r="G1833" t="s">
        <v>186</v>
      </c>
      <c r="H1833" t="s">
        <v>26</v>
      </c>
      <c r="I1833" s="2">
        <v>1</v>
      </c>
      <c r="J1833" s="3">
        <v>290</v>
      </c>
      <c r="K1833" s="4">
        <v>0</v>
      </c>
      <c r="L1833" s="3">
        <v>290</v>
      </c>
      <c r="M1833" t="b">
        <v>1</v>
      </c>
      <c r="N1833" s="2">
        <f>YEAR(B1833)</f>
        <v>2025</v>
      </c>
      <c r="O1833" t="str">
        <f>INDEX(Agences!$C:$C,MATCH(F1833,Agences!$A:$A,0))</f>
        <v>Ouest</v>
      </c>
      <c r="P1833" t="str">
        <f>INDEX(Produits!$C:$C,MATCH(H1833,Produits!$A:$A,0))</f>
        <v>Maintenance</v>
      </c>
      <c r="Q1833" s="3">
        <f>I1833*INDEX(Produits!$E:$E,MATCH(H1833,Produits!$A:$A,0))</f>
        <v>139.2</v>
      </c>
      <c r="R1833" s="3">
        <f>L1833-Q1833</f>
        <v>150.8</v>
      </c>
      <c r="S1833" s="2">
        <f>NETWORKDAYS(B1833,C1833)-1</f>
        <v>1</v>
      </c>
      <c r="T1833" s="1">
        <f>WORKDAY(B1833,5)</f>
        <v>46015</v>
      </c>
      <c r="U1833" t="b">
        <f>C1833&gt;T1833</f>
        <v>0</v>
      </c>
    </row>
    <row r="1834" spans="1:21" x14ac:dyDescent="0.25">
      <c r="A1834" t="s">
        <v>1326</v>
      </c>
      <c r="B1834" s="1">
        <v>46008</v>
      </c>
      <c r="C1834" s="1">
        <v>46010</v>
      </c>
      <c r="D1834" t="s">
        <v>169</v>
      </c>
      <c r="E1834" t="s">
        <v>67</v>
      </c>
      <c r="F1834" t="s">
        <v>62</v>
      </c>
      <c r="G1834" t="s">
        <v>63</v>
      </c>
      <c r="H1834" t="s">
        <v>42</v>
      </c>
      <c r="I1834" s="2">
        <v>1</v>
      </c>
      <c r="J1834" s="3">
        <v>55</v>
      </c>
      <c r="K1834" s="4">
        <v>0.08</v>
      </c>
      <c r="L1834" s="3">
        <v>50.6</v>
      </c>
      <c r="M1834" t="b">
        <v>1</v>
      </c>
      <c r="N1834" s="2">
        <f>YEAR(B1834)</f>
        <v>2025</v>
      </c>
      <c r="O1834" t="str">
        <f>INDEX(Agences!$C:$C,MATCH(F1834,Agences!$A:$A,0))</f>
        <v>Méditerranée</v>
      </c>
      <c r="P1834" t="str">
        <f>INDEX(Produits!$C:$C,MATCH(H1834,Produits!$A:$A,0))</f>
        <v>Maintenance</v>
      </c>
      <c r="Q1834" s="3">
        <f>I1834*INDEX(Produits!$E:$E,MATCH(H1834,Produits!$A:$A,0))</f>
        <v>24.75</v>
      </c>
      <c r="R1834" s="3">
        <f>L1834-Q1834</f>
        <v>25.85</v>
      </c>
      <c r="S1834" s="2">
        <f>NETWORKDAYS(B1834,C1834)-1</f>
        <v>2</v>
      </c>
      <c r="T1834" s="1">
        <f>WORKDAY(B1834,5)</f>
        <v>46015</v>
      </c>
      <c r="U1834" t="b">
        <f>C1834&gt;T1834</f>
        <v>0</v>
      </c>
    </row>
    <row r="1835" spans="1:21" x14ac:dyDescent="0.25">
      <c r="A1835" t="s">
        <v>1326</v>
      </c>
      <c r="B1835" s="1">
        <v>46008</v>
      </c>
      <c r="C1835" s="1">
        <v>46010</v>
      </c>
      <c r="D1835" t="s">
        <v>169</v>
      </c>
      <c r="E1835" t="s">
        <v>67</v>
      </c>
      <c r="F1835" t="s">
        <v>62</v>
      </c>
      <c r="G1835" t="s">
        <v>63</v>
      </c>
      <c r="H1835" t="s">
        <v>90</v>
      </c>
      <c r="I1835" s="2">
        <v>25</v>
      </c>
      <c r="J1835" s="3">
        <v>22.9</v>
      </c>
      <c r="K1835" s="4">
        <v>0.05</v>
      </c>
      <c r="L1835" s="3">
        <v>543.88</v>
      </c>
      <c r="M1835" t="b">
        <v>1</v>
      </c>
      <c r="N1835" s="2">
        <f>YEAR(B1835)</f>
        <v>2025</v>
      </c>
      <c r="O1835" t="str">
        <f>INDEX(Agences!$C:$C,MATCH(F1835,Agences!$A:$A,0))</f>
        <v>Méditerranée</v>
      </c>
      <c r="P1835" t="str">
        <f>INDEX(Produits!$C:$C,MATCH(H1835,Produits!$A:$A,0))</f>
        <v>Fournitures</v>
      </c>
      <c r="Q1835" s="3">
        <f>I1835*INDEX(Produits!$E:$E,MATCH(H1835,Produits!$A:$A,0))</f>
        <v>320.5</v>
      </c>
      <c r="R1835" s="3">
        <f>L1835-Q1835</f>
        <v>223.38</v>
      </c>
      <c r="S1835" s="2">
        <f>NETWORKDAYS(B1835,C1835)-1</f>
        <v>2</v>
      </c>
      <c r="T1835" s="1">
        <f>WORKDAY(B1835,5)</f>
        <v>46015</v>
      </c>
      <c r="U1835" t="b">
        <f>C1835&gt;T1835</f>
        <v>0</v>
      </c>
    </row>
    <row r="1836" spans="1:21" x14ac:dyDescent="0.25">
      <c r="A1836" t="s">
        <v>1327</v>
      </c>
      <c r="B1836" s="1">
        <v>46008</v>
      </c>
      <c r="C1836" s="1">
        <v>46013</v>
      </c>
      <c r="D1836" t="s">
        <v>1328</v>
      </c>
      <c r="E1836" t="s">
        <v>449</v>
      </c>
      <c r="F1836" t="s">
        <v>94</v>
      </c>
      <c r="G1836" t="s">
        <v>182</v>
      </c>
      <c r="H1836" t="s">
        <v>205</v>
      </c>
      <c r="I1836" s="2">
        <v>2</v>
      </c>
      <c r="J1836" s="3">
        <v>359</v>
      </c>
      <c r="K1836" s="4">
        <v>0</v>
      </c>
      <c r="L1836" s="3">
        <v>718</v>
      </c>
      <c r="M1836" t="b">
        <v>1</v>
      </c>
      <c r="N1836" s="2">
        <f>YEAR(B1836)</f>
        <v>2025</v>
      </c>
      <c r="O1836" t="str">
        <f>INDEX(Agences!$C:$C,MATCH(F1836,Agences!$A:$A,0))</f>
        <v>Méditerranée</v>
      </c>
      <c r="P1836" t="str">
        <f>INDEX(Produits!$C:$C,MATCH(H1836,Produits!$A:$A,0))</f>
        <v>Mobilier</v>
      </c>
      <c r="Q1836" s="3">
        <f>I1836*INDEX(Produits!$E:$E,MATCH(H1836,Produits!$A:$A,0))</f>
        <v>409.26</v>
      </c>
      <c r="R1836" s="3">
        <f>L1836-Q1836</f>
        <v>308.74</v>
      </c>
      <c r="S1836" s="2">
        <f>NETWORKDAYS(B1836,C1836)-1</f>
        <v>3</v>
      </c>
      <c r="T1836" s="1">
        <f>WORKDAY(B1836,5)</f>
        <v>46015</v>
      </c>
      <c r="U1836" t="b">
        <f>C1836&gt;T1836</f>
        <v>0</v>
      </c>
    </row>
    <row r="1837" spans="1:21" x14ac:dyDescent="0.25">
      <c r="A1837" t="s">
        <v>1327</v>
      </c>
      <c r="B1837" s="1">
        <v>46008</v>
      </c>
      <c r="C1837" s="1">
        <v>46013</v>
      </c>
      <c r="D1837" t="s">
        <v>1328</v>
      </c>
      <c r="E1837" t="s">
        <v>449</v>
      </c>
      <c r="F1837" t="s">
        <v>94</v>
      </c>
      <c r="G1837" t="s">
        <v>182</v>
      </c>
      <c r="H1837" t="s">
        <v>42</v>
      </c>
      <c r="I1837" s="2">
        <v>2</v>
      </c>
      <c r="J1837" s="3">
        <v>55</v>
      </c>
      <c r="K1837" s="4">
        <v>0</v>
      </c>
      <c r="L1837" s="3">
        <v>110</v>
      </c>
      <c r="M1837" t="b">
        <v>1</v>
      </c>
      <c r="N1837" s="2">
        <f>YEAR(B1837)</f>
        <v>2025</v>
      </c>
      <c r="O1837" t="str">
        <f>INDEX(Agences!$C:$C,MATCH(F1837,Agences!$A:$A,0))</f>
        <v>Méditerranée</v>
      </c>
      <c r="P1837" t="str">
        <f>INDEX(Produits!$C:$C,MATCH(H1837,Produits!$A:$A,0))</f>
        <v>Maintenance</v>
      </c>
      <c r="Q1837" s="3">
        <f>I1837*INDEX(Produits!$E:$E,MATCH(H1837,Produits!$A:$A,0))</f>
        <v>49.5</v>
      </c>
      <c r="R1837" s="3">
        <f>L1837-Q1837</f>
        <v>60.5</v>
      </c>
      <c r="S1837" s="2">
        <f>NETWORKDAYS(B1837,C1837)-1</f>
        <v>3</v>
      </c>
      <c r="T1837" s="1">
        <f>WORKDAY(B1837,5)</f>
        <v>46015</v>
      </c>
      <c r="U1837" t="b">
        <f>C1837&gt;T1837</f>
        <v>0</v>
      </c>
    </row>
    <row r="1838" spans="1:21" x14ac:dyDescent="0.25">
      <c r="A1838" t="s">
        <v>1327</v>
      </c>
      <c r="B1838" s="1">
        <v>46008</v>
      </c>
      <c r="C1838" s="1">
        <v>46013</v>
      </c>
      <c r="D1838" t="s">
        <v>1328</v>
      </c>
      <c r="E1838" t="s">
        <v>449</v>
      </c>
      <c r="F1838" t="s">
        <v>94</v>
      </c>
      <c r="G1838" t="s">
        <v>182</v>
      </c>
      <c r="H1838" t="s">
        <v>64</v>
      </c>
      <c r="I1838" s="2">
        <v>5</v>
      </c>
      <c r="J1838" s="3">
        <v>16.8</v>
      </c>
      <c r="K1838" s="4">
        <v>0</v>
      </c>
      <c r="L1838" s="3">
        <v>84</v>
      </c>
      <c r="M1838" t="b">
        <v>1</v>
      </c>
      <c r="N1838" s="2">
        <f>YEAR(B1838)</f>
        <v>2025</v>
      </c>
      <c r="O1838" t="str">
        <f>INDEX(Agences!$C:$C,MATCH(F1838,Agences!$A:$A,0))</f>
        <v>Méditerranée</v>
      </c>
      <c r="P1838" t="str">
        <f>INDEX(Produits!$C:$C,MATCH(H1838,Produits!$A:$A,0))</f>
        <v>Fournitures</v>
      </c>
      <c r="Q1838" s="3">
        <f>I1838*INDEX(Produits!$E:$E,MATCH(H1838,Produits!$A:$A,0))</f>
        <v>43.7</v>
      </c>
      <c r="R1838" s="3">
        <f>L1838-Q1838</f>
        <v>40.3</v>
      </c>
      <c r="S1838" s="2">
        <f>NETWORKDAYS(B1838,C1838)-1</f>
        <v>3</v>
      </c>
      <c r="T1838" s="1">
        <f>WORKDAY(B1838,5)</f>
        <v>46015</v>
      </c>
      <c r="U1838" t="b">
        <f>C1838&gt;T1838</f>
        <v>0</v>
      </c>
    </row>
    <row r="1839" spans="1:21" x14ac:dyDescent="0.25">
      <c r="A1839" t="s">
        <v>1327</v>
      </c>
      <c r="B1839" s="1">
        <v>46008</v>
      </c>
      <c r="C1839" s="1">
        <v>46013</v>
      </c>
      <c r="D1839" t="s">
        <v>1328</v>
      </c>
      <c r="E1839" t="s">
        <v>449</v>
      </c>
      <c r="F1839" t="s">
        <v>94</v>
      </c>
      <c r="G1839" t="s">
        <v>182</v>
      </c>
      <c r="H1839" t="s">
        <v>51</v>
      </c>
      <c r="I1839" s="2">
        <v>1</v>
      </c>
      <c r="J1839" s="3">
        <v>180</v>
      </c>
      <c r="K1839" s="4">
        <v>0.02</v>
      </c>
      <c r="L1839" s="3">
        <v>176.4</v>
      </c>
      <c r="M1839" t="b">
        <v>1</v>
      </c>
      <c r="N1839" s="2">
        <f>YEAR(B1839)</f>
        <v>2025</v>
      </c>
      <c r="O1839" t="str">
        <f>INDEX(Agences!$C:$C,MATCH(F1839,Agences!$A:$A,0))</f>
        <v>Méditerranée</v>
      </c>
      <c r="P1839" t="str">
        <f>INDEX(Produits!$C:$C,MATCH(H1839,Produits!$A:$A,0))</f>
        <v>Maintenance</v>
      </c>
      <c r="Q1839" s="3">
        <f>I1839*INDEX(Produits!$E:$E,MATCH(H1839,Produits!$A:$A,0))</f>
        <v>82.8</v>
      </c>
      <c r="R1839" s="3">
        <f>L1839-Q1839</f>
        <v>93.60000000000001</v>
      </c>
      <c r="S1839" s="2">
        <f>NETWORKDAYS(B1839,C1839)-1</f>
        <v>3</v>
      </c>
      <c r="T1839" s="1">
        <f>WORKDAY(B1839,5)</f>
        <v>46015</v>
      </c>
      <c r="U1839" t="b">
        <f>C1839&gt;T1839</f>
        <v>0</v>
      </c>
    </row>
    <row r="1840" spans="1:21" x14ac:dyDescent="0.25">
      <c r="A1840" t="s">
        <v>1329</v>
      </c>
      <c r="B1840" s="1">
        <v>46007</v>
      </c>
      <c r="C1840" s="1">
        <v>46008</v>
      </c>
      <c r="D1840" t="s">
        <v>686</v>
      </c>
      <c r="E1840" t="s">
        <v>256</v>
      </c>
      <c r="F1840" t="s">
        <v>88</v>
      </c>
      <c r="G1840" t="s">
        <v>89</v>
      </c>
      <c r="H1840" t="s">
        <v>233</v>
      </c>
      <c r="I1840" s="2">
        <v>10</v>
      </c>
      <c r="J1840" s="3">
        <v>27.5</v>
      </c>
      <c r="K1840" s="4">
        <v>0.08</v>
      </c>
      <c r="L1840" s="3">
        <v>253</v>
      </c>
      <c r="M1840" t="b">
        <v>1</v>
      </c>
      <c r="N1840" s="2">
        <f>YEAR(B1840)</f>
        <v>2025</v>
      </c>
      <c r="O1840" t="str">
        <f>INDEX(Agences!$C:$C,MATCH(F1840,Agences!$A:$A,0))</f>
        <v>Sud-Ouest</v>
      </c>
      <c r="P1840" t="str">
        <f>INDEX(Produits!$C:$C,MATCH(H1840,Produits!$A:$A,0))</f>
        <v>Fournitures</v>
      </c>
      <c r="Q1840" s="3">
        <f>I1840*INDEX(Produits!$E:$E,MATCH(H1840,Produits!$A:$A,0))</f>
        <v>154</v>
      </c>
      <c r="R1840" s="3">
        <f>L1840-Q1840</f>
        <v>99</v>
      </c>
      <c r="S1840" s="2">
        <f>NETWORKDAYS(B1840,C1840)-1</f>
        <v>1</v>
      </c>
      <c r="T1840" s="1">
        <f>WORKDAY(B1840,5)</f>
        <v>46014</v>
      </c>
      <c r="U1840" t="b">
        <f>C1840&gt;T1840</f>
        <v>0</v>
      </c>
    </row>
    <row r="1841" spans="1:21" x14ac:dyDescent="0.25">
      <c r="A1841" t="s">
        <v>1329</v>
      </c>
      <c r="B1841" s="1">
        <v>46007</v>
      </c>
      <c r="C1841" s="1">
        <v>46008</v>
      </c>
      <c r="D1841" t="s">
        <v>686</v>
      </c>
      <c r="E1841" t="s">
        <v>256</v>
      </c>
      <c r="F1841" t="s">
        <v>88</v>
      </c>
      <c r="G1841" t="s">
        <v>89</v>
      </c>
      <c r="H1841" t="s">
        <v>34</v>
      </c>
      <c r="I1841" s="2">
        <v>1</v>
      </c>
      <c r="J1841" s="3">
        <v>340</v>
      </c>
      <c r="K1841" s="4">
        <v>0.05</v>
      </c>
      <c r="L1841" s="3">
        <v>323</v>
      </c>
      <c r="M1841" t="b">
        <v>1</v>
      </c>
      <c r="N1841" s="2">
        <f>YEAR(B1841)</f>
        <v>2025</v>
      </c>
      <c r="O1841" t="str">
        <f>INDEX(Agences!$C:$C,MATCH(F1841,Agences!$A:$A,0))</f>
        <v>Sud-Ouest</v>
      </c>
      <c r="P1841" t="str">
        <f>INDEX(Produits!$C:$C,MATCH(H1841,Produits!$A:$A,0))</f>
        <v>Informatique</v>
      </c>
      <c r="Q1841" s="3">
        <f>I1841*INDEX(Produits!$E:$E,MATCH(H1841,Produits!$A:$A,0))</f>
        <v>275.4</v>
      </c>
      <c r="R1841" s="3">
        <f>L1841-Q1841</f>
        <v>47.60000000000002</v>
      </c>
      <c r="S1841" s="2">
        <f>NETWORKDAYS(B1841,C1841)-1</f>
        <v>1</v>
      </c>
      <c r="T1841" s="1">
        <f>WORKDAY(B1841,5)</f>
        <v>46014</v>
      </c>
      <c r="U1841" t="b">
        <f>C1841&gt;T1841</f>
        <v>0</v>
      </c>
    </row>
    <row r="1842" spans="1:21" x14ac:dyDescent="0.25">
      <c r="A1842" t="s">
        <v>1330</v>
      </c>
      <c r="B1842" s="1">
        <v>46007</v>
      </c>
      <c r="C1842" s="1">
        <v>46013</v>
      </c>
      <c r="D1842" t="s">
        <v>1331</v>
      </c>
      <c r="E1842" t="s">
        <v>449</v>
      </c>
      <c r="F1842" t="s">
        <v>94</v>
      </c>
      <c r="G1842" t="s">
        <v>182</v>
      </c>
      <c r="H1842" t="s">
        <v>50</v>
      </c>
      <c r="I1842" s="2">
        <v>1</v>
      </c>
      <c r="J1842" s="3">
        <v>69</v>
      </c>
      <c r="K1842" s="4">
        <v>0</v>
      </c>
      <c r="L1842" s="3">
        <v>69</v>
      </c>
      <c r="M1842" t="b">
        <v>1</v>
      </c>
      <c r="N1842" s="2">
        <f>YEAR(B1842)</f>
        <v>2025</v>
      </c>
      <c r="O1842" t="str">
        <f>INDEX(Agences!$C:$C,MATCH(F1842,Agences!$A:$A,0))</f>
        <v>Méditerranée</v>
      </c>
      <c r="P1842" t="str">
        <f>INDEX(Produits!$C:$C,MATCH(H1842,Produits!$A:$A,0))</f>
        <v>Informatique</v>
      </c>
      <c r="Q1842" s="3">
        <f>I1842*INDEX(Produits!$E:$E,MATCH(H1842,Produits!$A:$A,0))</f>
        <v>54.51</v>
      </c>
      <c r="R1842" s="3">
        <f>L1842-Q1842</f>
        <v>14.490000000000002</v>
      </c>
      <c r="S1842" s="2">
        <f>NETWORKDAYS(B1842,C1842)-1</f>
        <v>4</v>
      </c>
      <c r="T1842" s="1">
        <f>WORKDAY(B1842,5)</f>
        <v>46014</v>
      </c>
      <c r="U1842" t="b">
        <f>C1842&gt;T1842</f>
        <v>0</v>
      </c>
    </row>
    <row r="1843" spans="1:21" x14ac:dyDescent="0.25">
      <c r="A1843" t="s">
        <v>1332</v>
      </c>
      <c r="B1843" s="1">
        <v>46006</v>
      </c>
      <c r="C1843" s="1">
        <v>46008</v>
      </c>
      <c r="D1843" t="s">
        <v>463</v>
      </c>
      <c r="E1843" t="s">
        <v>115</v>
      </c>
      <c r="F1843" t="s">
        <v>24</v>
      </c>
      <c r="G1843" t="s">
        <v>199</v>
      </c>
      <c r="H1843" t="s">
        <v>26</v>
      </c>
      <c r="I1843" s="2">
        <v>2</v>
      </c>
      <c r="J1843" s="3">
        <v>290</v>
      </c>
      <c r="K1843" s="4">
        <v>0.05</v>
      </c>
      <c r="L1843" s="3">
        <v>551</v>
      </c>
      <c r="M1843" t="b">
        <v>1</v>
      </c>
      <c r="N1843" s="2">
        <f>YEAR(B1843)</f>
        <v>2025</v>
      </c>
      <c r="O1843" t="str">
        <f>INDEX(Agences!$C:$C,MATCH(F1843,Agences!$A:$A,0))</f>
        <v>Nord</v>
      </c>
      <c r="P1843" t="str">
        <f>INDEX(Produits!$C:$C,MATCH(H1843,Produits!$A:$A,0))</f>
        <v>Maintenance</v>
      </c>
      <c r="Q1843" s="3">
        <f>I1843*INDEX(Produits!$E:$E,MATCH(H1843,Produits!$A:$A,0))</f>
        <v>278.4</v>
      </c>
      <c r="R1843" s="3">
        <f>L1843-Q1843</f>
        <v>272.6</v>
      </c>
      <c r="S1843" s="2">
        <f>NETWORKDAYS(B1843,C1843)-1</f>
        <v>2</v>
      </c>
      <c r="T1843" s="1">
        <f>WORKDAY(B1843,5)</f>
        <v>46013</v>
      </c>
      <c r="U1843" t="b">
        <f>C1843&gt;T1843</f>
        <v>0</v>
      </c>
    </row>
    <row r="1844" spans="1:21" x14ac:dyDescent="0.25">
      <c r="A1844" t="s">
        <v>1333</v>
      </c>
      <c r="B1844" s="1">
        <v>46006</v>
      </c>
      <c r="C1844" s="1">
        <v>46009</v>
      </c>
      <c r="D1844" t="s">
        <v>882</v>
      </c>
      <c r="E1844" t="s">
        <v>333</v>
      </c>
      <c r="F1844" t="s">
        <v>138</v>
      </c>
      <c r="G1844" t="s">
        <v>139</v>
      </c>
      <c r="H1844" t="s">
        <v>51</v>
      </c>
      <c r="I1844" s="2">
        <v>1</v>
      </c>
      <c r="J1844" s="3">
        <v>180</v>
      </c>
      <c r="K1844" s="4">
        <v>0.08</v>
      </c>
      <c r="L1844" s="3">
        <v>165.6</v>
      </c>
      <c r="M1844" t="b">
        <v>1</v>
      </c>
      <c r="N1844" s="2">
        <f>YEAR(B1844)</f>
        <v>2025</v>
      </c>
      <c r="O1844" t="str">
        <f>INDEX(Agences!$C:$C,MATCH(F1844,Agences!$A:$A,0))</f>
        <v>Île-de-France</v>
      </c>
      <c r="P1844" t="str">
        <f>INDEX(Produits!$C:$C,MATCH(H1844,Produits!$A:$A,0))</f>
        <v>Maintenance</v>
      </c>
      <c r="Q1844" s="3">
        <f>I1844*INDEX(Produits!$E:$E,MATCH(H1844,Produits!$A:$A,0))</f>
        <v>82.8</v>
      </c>
      <c r="R1844" s="3">
        <f>L1844-Q1844</f>
        <v>82.8</v>
      </c>
      <c r="S1844" s="2">
        <f>NETWORKDAYS(B1844,C1844)-1</f>
        <v>3</v>
      </c>
      <c r="T1844" s="1">
        <f>WORKDAY(B1844,5)</f>
        <v>46013</v>
      </c>
      <c r="U1844" t="b">
        <f>C1844&gt;T1844</f>
        <v>0</v>
      </c>
    </row>
    <row r="1845" spans="1:21" x14ac:dyDescent="0.25">
      <c r="A1845" t="s">
        <v>1333</v>
      </c>
      <c r="B1845" s="1">
        <v>46006</v>
      </c>
      <c r="C1845" s="1">
        <v>46009</v>
      </c>
      <c r="D1845" t="s">
        <v>882</v>
      </c>
      <c r="E1845" t="s">
        <v>333</v>
      </c>
      <c r="F1845" t="s">
        <v>138</v>
      </c>
      <c r="G1845" t="s">
        <v>139</v>
      </c>
      <c r="H1845" t="s">
        <v>42</v>
      </c>
      <c r="I1845" s="2">
        <v>1</v>
      </c>
      <c r="J1845" s="3">
        <v>55</v>
      </c>
      <c r="K1845" s="4">
        <v>0.02</v>
      </c>
      <c r="L1845" s="3">
        <v>53.9</v>
      </c>
      <c r="M1845" t="b">
        <v>1</v>
      </c>
      <c r="N1845" s="2">
        <f>YEAR(B1845)</f>
        <v>2025</v>
      </c>
      <c r="O1845" t="str">
        <f>INDEX(Agences!$C:$C,MATCH(F1845,Agences!$A:$A,0))</f>
        <v>Île-de-France</v>
      </c>
      <c r="P1845" t="str">
        <f>INDEX(Produits!$C:$C,MATCH(H1845,Produits!$A:$A,0))</f>
        <v>Maintenance</v>
      </c>
      <c r="Q1845" s="3">
        <f>I1845*INDEX(Produits!$E:$E,MATCH(H1845,Produits!$A:$A,0))</f>
        <v>24.75</v>
      </c>
      <c r="R1845" s="3">
        <f>L1845-Q1845</f>
        <v>29.15</v>
      </c>
      <c r="S1845" s="2">
        <f>NETWORKDAYS(B1845,C1845)-1</f>
        <v>3</v>
      </c>
      <c r="T1845" s="1">
        <f>WORKDAY(B1845,5)</f>
        <v>46013</v>
      </c>
      <c r="U1845" t="b">
        <f>C1845&gt;T1845</f>
        <v>0</v>
      </c>
    </row>
    <row r="1846" spans="1:21" x14ac:dyDescent="0.25">
      <c r="A1846" t="s">
        <v>1333</v>
      </c>
      <c r="B1846" s="1">
        <v>46006</v>
      </c>
      <c r="C1846" s="1">
        <v>46009</v>
      </c>
      <c r="D1846" t="s">
        <v>882</v>
      </c>
      <c r="E1846" t="s">
        <v>333</v>
      </c>
      <c r="F1846" t="s">
        <v>138</v>
      </c>
      <c r="G1846" t="s">
        <v>139</v>
      </c>
      <c r="H1846" t="s">
        <v>83</v>
      </c>
      <c r="I1846" s="2">
        <v>2</v>
      </c>
      <c r="J1846" s="3">
        <v>49</v>
      </c>
      <c r="K1846" s="4">
        <v>0</v>
      </c>
      <c r="L1846" s="3">
        <v>98</v>
      </c>
      <c r="M1846" t="b">
        <v>1</v>
      </c>
      <c r="N1846" s="2">
        <f>YEAR(B1846)</f>
        <v>2025</v>
      </c>
      <c r="O1846" t="str">
        <f>INDEX(Agences!$C:$C,MATCH(F1846,Agences!$A:$A,0))</f>
        <v>Île-de-France</v>
      </c>
      <c r="P1846" t="str">
        <f>INDEX(Produits!$C:$C,MATCH(H1846,Produits!$A:$A,0))</f>
        <v>Mobilier</v>
      </c>
      <c r="Q1846" s="3">
        <f>I1846*INDEX(Produits!$E:$E,MATCH(H1846,Produits!$A:$A,0))</f>
        <v>56.84</v>
      </c>
      <c r="R1846" s="3">
        <f>L1846-Q1846</f>
        <v>41.16</v>
      </c>
      <c r="S1846" s="2">
        <f>NETWORKDAYS(B1846,C1846)-1</f>
        <v>3</v>
      </c>
      <c r="T1846" s="1">
        <f>WORKDAY(B1846,5)</f>
        <v>46013</v>
      </c>
      <c r="U1846" t="b">
        <f>C1846&gt;T1846</f>
        <v>0</v>
      </c>
    </row>
    <row r="1847" spans="1:21" x14ac:dyDescent="0.25">
      <c r="A1847" t="s">
        <v>1334</v>
      </c>
      <c r="B1847" s="1">
        <v>46006</v>
      </c>
      <c r="C1847" s="1">
        <v>46008</v>
      </c>
      <c r="D1847" t="s">
        <v>389</v>
      </c>
      <c r="E1847" t="s">
        <v>149</v>
      </c>
      <c r="F1847" t="s">
        <v>88</v>
      </c>
      <c r="G1847" t="s">
        <v>89</v>
      </c>
      <c r="H1847" t="s">
        <v>34</v>
      </c>
      <c r="I1847" s="2">
        <v>1</v>
      </c>
      <c r="J1847" s="3">
        <v>340</v>
      </c>
      <c r="K1847" s="4">
        <v>0</v>
      </c>
      <c r="L1847" s="3">
        <v>340</v>
      </c>
      <c r="M1847" t="b">
        <v>1</v>
      </c>
      <c r="N1847" s="2">
        <f>YEAR(B1847)</f>
        <v>2025</v>
      </c>
      <c r="O1847" t="str">
        <f>INDEX(Agences!$C:$C,MATCH(F1847,Agences!$A:$A,0))</f>
        <v>Sud-Ouest</v>
      </c>
      <c r="P1847" t="str">
        <f>INDEX(Produits!$C:$C,MATCH(H1847,Produits!$A:$A,0))</f>
        <v>Informatique</v>
      </c>
      <c r="Q1847" s="3">
        <f>I1847*INDEX(Produits!$E:$E,MATCH(H1847,Produits!$A:$A,0))</f>
        <v>275.4</v>
      </c>
      <c r="R1847" s="3">
        <f>L1847-Q1847</f>
        <v>64.60000000000002</v>
      </c>
      <c r="S1847" s="2">
        <f>NETWORKDAYS(B1847,C1847)-1</f>
        <v>2</v>
      </c>
      <c r="T1847" s="1">
        <f>WORKDAY(B1847,5)</f>
        <v>46013</v>
      </c>
      <c r="U1847" t="b">
        <f>C1847&gt;T1847</f>
        <v>0</v>
      </c>
    </row>
    <row r="1848" spans="1:21" x14ac:dyDescent="0.25">
      <c r="A1848" t="s">
        <v>1334</v>
      </c>
      <c r="B1848" s="1">
        <v>46006</v>
      </c>
      <c r="C1848" s="1">
        <v>46008</v>
      </c>
      <c r="D1848" t="s">
        <v>389</v>
      </c>
      <c r="E1848" t="s">
        <v>149</v>
      </c>
      <c r="F1848" t="s">
        <v>88</v>
      </c>
      <c r="G1848" t="s">
        <v>89</v>
      </c>
      <c r="H1848" t="s">
        <v>42</v>
      </c>
      <c r="I1848" s="2">
        <v>1</v>
      </c>
      <c r="J1848" s="3">
        <v>55</v>
      </c>
      <c r="K1848" s="4">
        <v>0.05</v>
      </c>
      <c r="L1848" s="3">
        <v>52.25</v>
      </c>
      <c r="M1848" t="b">
        <v>1</v>
      </c>
      <c r="N1848" s="2">
        <f>YEAR(B1848)</f>
        <v>2025</v>
      </c>
      <c r="O1848" t="str">
        <f>INDEX(Agences!$C:$C,MATCH(F1848,Agences!$A:$A,0))</f>
        <v>Sud-Ouest</v>
      </c>
      <c r="P1848" t="str">
        <f>INDEX(Produits!$C:$C,MATCH(H1848,Produits!$A:$A,0))</f>
        <v>Maintenance</v>
      </c>
      <c r="Q1848" s="3">
        <f>I1848*INDEX(Produits!$E:$E,MATCH(H1848,Produits!$A:$A,0))</f>
        <v>24.75</v>
      </c>
      <c r="R1848" s="3">
        <f>L1848-Q1848</f>
        <v>27.5</v>
      </c>
      <c r="S1848" s="2">
        <f>NETWORKDAYS(B1848,C1848)-1</f>
        <v>2</v>
      </c>
      <c r="T1848" s="1">
        <f>WORKDAY(B1848,5)</f>
        <v>46013</v>
      </c>
      <c r="U1848" t="b">
        <f>C1848&gt;T1848</f>
        <v>0</v>
      </c>
    </row>
    <row r="1849" spans="1:21" x14ac:dyDescent="0.25">
      <c r="A1849" t="s">
        <v>1334</v>
      </c>
      <c r="B1849" s="1">
        <v>46006</v>
      </c>
      <c r="C1849" s="1">
        <v>46008</v>
      </c>
      <c r="D1849" t="s">
        <v>389</v>
      </c>
      <c r="E1849" t="s">
        <v>149</v>
      </c>
      <c r="F1849" t="s">
        <v>88</v>
      </c>
      <c r="G1849" t="s">
        <v>89</v>
      </c>
      <c r="H1849" t="s">
        <v>33</v>
      </c>
      <c r="I1849" s="2">
        <v>3</v>
      </c>
      <c r="J1849" s="3">
        <v>219</v>
      </c>
      <c r="K1849" s="4">
        <v>0.02</v>
      </c>
      <c r="L1849" s="3">
        <v>643.86</v>
      </c>
      <c r="M1849" t="b">
        <v>1</v>
      </c>
      <c r="N1849" s="2">
        <f>YEAR(B1849)</f>
        <v>2025</v>
      </c>
      <c r="O1849" t="str">
        <f>INDEX(Agences!$C:$C,MATCH(F1849,Agences!$A:$A,0))</f>
        <v>Sud-Ouest</v>
      </c>
      <c r="P1849" t="str">
        <f>INDEX(Produits!$C:$C,MATCH(H1849,Produits!$A:$A,0))</f>
        <v>Informatique</v>
      </c>
      <c r="Q1849" s="3">
        <f>I1849*INDEX(Produits!$E:$E,MATCH(H1849,Produits!$A:$A,0))</f>
        <v>538.74</v>
      </c>
      <c r="R1849" s="3">
        <f>L1849-Q1849</f>
        <v>105.12</v>
      </c>
      <c r="S1849" s="2">
        <f>NETWORKDAYS(B1849,C1849)-1</f>
        <v>2</v>
      </c>
      <c r="T1849" s="1">
        <f>WORKDAY(B1849,5)</f>
        <v>46013</v>
      </c>
      <c r="U1849" t="b">
        <f>C1849&gt;T1849</f>
        <v>0</v>
      </c>
    </row>
    <row r="1850" spans="1:21" x14ac:dyDescent="0.25">
      <c r="A1850" t="s">
        <v>1334</v>
      </c>
      <c r="B1850" s="1">
        <v>46006</v>
      </c>
      <c r="C1850" s="1">
        <v>46008</v>
      </c>
      <c r="D1850" t="s">
        <v>389</v>
      </c>
      <c r="E1850" t="s">
        <v>149</v>
      </c>
      <c r="F1850" t="s">
        <v>88</v>
      </c>
      <c r="G1850" t="s">
        <v>89</v>
      </c>
      <c r="H1850" t="s">
        <v>107</v>
      </c>
      <c r="I1850" s="2">
        <v>1</v>
      </c>
      <c r="J1850" s="3">
        <v>99</v>
      </c>
      <c r="K1850" s="4">
        <v>0</v>
      </c>
      <c r="L1850" s="3">
        <v>99</v>
      </c>
      <c r="M1850" t="b">
        <v>1</v>
      </c>
      <c r="N1850" s="2">
        <f>YEAR(B1850)</f>
        <v>2025</v>
      </c>
      <c r="O1850" t="str">
        <f>INDEX(Agences!$C:$C,MATCH(F1850,Agences!$A:$A,0))</f>
        <v>Sud-Ouest</v>
      </c>
      <c r="P1850" t="str">
        <f>INDEX(Produits!$C:$C,MATCH(H1850,Produits!$A:$A,0))</f>
        <v>Informatique</v>
      </c>
      <c r="Q1850" s="3">
        <f>I1850*INDEX(Produits!$E:$E,MATCH(H1850,Produits!$A:$A,0))</f>
        <v>75.24</v>
      </c>
      <c r="R1850" s="3">
        <f>L1850-Q1850</f>
        <v>23.760000000000005</v>
      </c>
      <c r="S1850" s="2">
        <f>NETWORKDAYS(B1850,C1850)-1</f>
        <v>2</v>
      </c>
      <c r="T1850" s="1">
        <f>WORKDAY(B1850,5)</f>
        <v>46013</v>
      </c>
      <c r="U1850" t="b">
        <f>C1850&gt;T1850</f>
        <v>0</v>
      </c>
    </row>
    <row r="1851" spans="1:21" x14ac:dyDescent="0.25">
      <c r="A1851" t="s">
        <v>1335</v>
      </c>
      <c r="B1851" s="1">
        <v>46003</v>
      </c>
      <c r="C1851" s="1">
        <v>46009</v>
      </c>
      <c r="D1851" t="s">
        <v>789</v>
      </c>
      <c r="E1851" t="s">
        <v>115</v>
      </c>
      <c r="F1851" t="s">
        <v>24</v>
      </c>
      <c r="G1851" t="s">
        <v>25</v>
      </c>
      <c r="H1851" t="s">
        <v>107</v>
      </c>
      <c r="I1851" s="2">
        <v>1</v>
      </c>
      <c r="J1851" s="3">
        <v>99</v>
      </c>
      <c r="K1851" s="4">
        <v>0</v>
      </c>
      <c r="L1851" s="3">
        <v>99</v>
      </c>
      <c r="M1851" t="b">
        <v>1</v>
      </c>
      <c r="N1851" s="2">
        <f>YEAR(B1851)</f>
        <v>2025</v>
      </c>
      <c r="O1851" t="str">
        <f>INDEX(Agences!$C:$C,MATCH(F1851,Agences!$A:$A,0))</f>
        <v>Nord</v>
      </c>
      <c r="P1851" t="str">
        <f>INDEX(Produits!$C:$C,MATCH(H1851,Produits!$A:$A,0))</f>
        <v>Informatique</v>
      </c>
      <c r="Q1851" s="3">
        <f>I1851*INDEX(Produits!$E:$E,MATCH(H1851,Produits!$A:$A,0))</f>
        <v>75.24</v>
      </c>
      <c r="R1851" s="3">
        <f>L1851-Q1851</f>
        <v>23.760000000000005</v>
      </c>
      <c r="S1851" s="2">
        <f>NETWORKDAYS(B1851,C1851)-1</f>
        <v>4</v>
      </c>
      <c r="T1851" s="1">
        <f>WORKDAY(B1851,5)</f>
        <v>46010</v>
      </c>
      <c r="U1851" t="b">
        <f>C1851&gt;T1851</f>
        <v>0</v>
      </c>
    </row>
    <row r="1852" spans="1:21" x14ac:dyDescent="0.25">
      <c r="A1852" t="s">
        <v>1335</v>
      </c>
      <c r="B1852" s="1">
        <v>46003</v>
      </c>
      <c r="C1852" s="1">
        <v>46009</v>
      </c>
      <c r="D1852" t="s">
        <v>789</v>
      </c>
      <c r="E1852" t="s">
        <v>115</v>
      </c>
      <c r="F1852" t="s">
        <v>24</v>
      </c>
      <c r="G1852" t="s">
        <v>25</v>
      </c>
      <c r="H1852" t="s">
        <v>83</v>
      </c>
      <c r="I1852" s="2">
        <v>2</v>
      </c>
      <c r="J1852" s="3">
        <v>49</v>
      </c>
      <c r="K1852" s="4">
        <v>0.02</v>
      </c>
      <c r="L1852" s="3">
        <v>96.04</v>
      </c>
      <c r="M1852" t="b">
        <v>1</v>
      </c>
      <c r="N1852" s="2">
        <f>YEAR(B1852)</f>
        <v>2025</v>
      </c>
      <c r="O1852" t="str">
        <f>INDEX(Agences!$C:$C,MATCH(F1852,Agences!$A:$A,0))</f>
        <v>Nord</v>
      </c>
      <c r="P1852" t="str">
        <f>INDEX(Produits!$C:$C,MATCH(H1852,Produits!$A:$A,0))</f>
        <v>Mobilier</v>
      </c>
      <c r="Q1852" s="3">
        <f>I1852*INDEX(Produits!$E:$E,MATCH(H1852,Produits!$A:$A,0))</f>
        <v>56.84</v>
      </c>
      <c r="R1852" s="3">
        <f>L1852-Q1852</f>
        <v>39.2</v>
      </c>
      <c r="S1852" s="2">
        <f>NETWORKDAYS(B1852,C1852)-1</f>
        <v>4</v>
      </c>
      <c r="T1852" s="1">
        <f>WORKDAY(B1852,5)</f>
        <v>46010</v>
      </c>
      <c r="U1852" t="b">
        <f>C1852&gt;T1852</f>
        <v>0</v>
      </c>
    </row>
    <row r="1853" spans="1:21" x14ac:dyDescent="0.25">
      <c r="A1853" t="s">
        <v>1335</v>
      </c>
      <c r="B1853" s="1">
        <v>46003</v>
      </c>
      <c r="C1853" s="1">
        <v>46009</v>
      </c>
      <c r="D1853" t="s">
        <v>789</v>
      </c>
      <c r="E1853" t="s">
        <v>115</v>
      </c>
      <c r="F1853" t="s">
        <v>24</v>
      </c>
      <c r="G1853" t="s">
        <v>25</v>
      </c>
      <c r="H1853" t="s">
        <v>233</v>
      </c>
      <c r="I1853" s="2">
        <v>10</v>
      </c>
      <c r="J1853" s="3">
        <v>27.5</v>
      </c>
      <c r="K1853" s="4">
        <v>0</v>
      </c>
      <c r="L1853" s="3">
        <v>275</v>
      </c>
      <c r="M1853" t="b">
        <v>1</v>
      </c>
      <c r="N1853" s="2">
        <f>YEAR(B1853)</f>
        <v>2025</v>
      </c>
      <c r="O1853" t="str">
        <f>INDEX(Agences!$C:$C,MATCH(F1853,Agences!$A:$A,0))</f>
        <v>Nord</v>
      </c>
      <c r="P1853" t="str">
        <f>INDEX(Produits!$C:$C,MATCH(H1853,Produits!$A:$A,0))</f>
        <v>Fournitures</v>
      </c>
      <c r="Q1853" s="3">
        <f>I1853*INDEX(Produits!$E:$E,MATCH(H1853,Produits!$A:$A,0))</f>
        <v>154</v>
      </c>
      <c r="R1853" s="3">
        <f>L1853-Q1853</f>
        <v>121</v>
      </c>
      <c r="S1853" s="2">
        <f>NETWORKDAYS(B1853,C1853)-1</f>
        <v>4</v>
      </c>
      <c r="T1853" s="1">
        <f>WORKDAY(B1853,5)</f>
        <v>46010</v>
      </c>
      <c r="U1853" t="b">
        <f>C1853&gt;T1853</f>
        <v>0</v>
      </c>
    </row>
    <row r="1854" spans="1:21" x14ac:dyDescent="0.25">
      <c r="A1854" t="s">
        <v>1335</v>
      </c>
      <c r="B1854" s="1">
        <v>46003</v>
      </c>
      <c r="C1854" s="1">
        <v>46009</v>
      </c>
      <c r="D1854" t="s">
        <v>789</v>
      </c>
      <c r="E1854" t="s">
        <v>115</v>
      </c>
      <c r="F1854" t="s">
        <v>24</v>
      </c>
      <c r="G1854" t="s">
        <v>25</v>
      </c>
      <c r="H1854" t="s">
        <v>49</v>
      </c>
      <c r="I1854" s="2">
        <v>1</v>
      </c>
      <c r="J1854" s="3">
        <v>120</v>
      </c>
      <c r="K1854" s="4">
        <v>0</v>
      </c>
      <c r="L1854" s="3">
        <v>120</v>
      </c>
      <c r="M1854" t="b">
        <v>1</v>
      </c>
      <c r="N1854" s="2">
        <f>YEAR(B1854)</f>
        <v>2025</v>
      </c>
      <c r="O1854" t="str">
        <f>INDEX(Agences!$C:$C,MATCH(F1854,Agences!$A:$A,0))</f>
        <v>Nord</v>
      </c>
      <c r="P1854" t="str">
        <f>INDEX(Produits!$C:$C,MATCH(H1854,Produits!$A:$A,0))</f>
        <v>Maintenance</v>
      </c>
      <c r="Q1854" s="3">
        <f>I1854*INDEX(Produits!$E:$E,MATCH(H1854,Produits!$A:$A,0))</f>
        <v>55.2</v>
      </c>
      <c r="R1854" s="3">
        <f>L1854-Q1854</f>
        <v>64.8</v>
      </c>
      <c r="S1854" s="2">
        <f>NETWORKDAYS(B1854,C1854)-1</f>
        <v>4</v>
      </c>
      <c r="T1854" s="1">
        <f>WORKDAY(B1854,5)</f>
        <v>46010</v>
      </c>
      <c r="U1854" t="b">
        <f>C1854&gt;T1854</f>
        <v>0</v>
      </c>
    </row>
    <row r="1855" spans="1:21" x14ac:dyDescent="0.25">
      <c r="A1855" t="s">
        <v>1335</v>
      </c>
      <c r="B1855" s="1">
        <v>46003</v>
      </c>
      <c r="C1855" s="1">
        <v>46009</v>
      </c>
      <c r="D1855" t="s">
        <v>789</v>
      </c>
      <c r="E1855" t="s">
        <v>115</v>
      </c>
      <c r="F1855" t="s">
        <v>24</v>
      </c>
      <c r="G1855" t="s">
        <v>25</v>
      </c>
      <c r="H1855" t="s">
        <v>27</v>
      </c>
      <c r="I1855" s="2">
        <v>3</v>
      </c>
      <c r="J1855" s="3">
        <v>310</v>
      </c>
      <c r="K1855" s="4">
        <v>0</v>
      </c>
      <c r="L1855" s="3">
        <v>930</v>
      </c>
      <c r="M1855" t="b">
        <v>1</v>
      </c>
      <c r="N1855" s="2">
        <f>YEAR(B1855)</f>
        <v>2025</v>
      </c>
      <c r="O1855" t="str">
        <f>INDEX(Agences!$C:$C,MATCH(F1855,Agences!$A:$A,0))</f>
        <v>Nord</v>
      </c>
      <c r="P1855" t="str">
        <f>INDEX(Produits!$C:$C,MATCH(H1855,Produits!$A:$A,0))</f>
        <v>Mobilier</v>
      </c>
      <c r="Q1855" s="3">
        <f>I1855*INDEX(Produits!$E:$E,MATCH(H1855,Produits!$A:$A,0))</f>
        <v>558</v>
      </c>
      <c r="R1855" s="3">
        <f>L1855-Q1855</f>
        <v>372</v>
      </c>
      <c r="S1855" s="2">
        <f>NETWORKDAYS(B1855,C1855)-1</f>
        <v>4</v>
      </c>
      <c r="T1855" s="1">
        <f>WORKDAY(B1855,5)</f>
        <v>46010</v>
      </c>
      <c r="U1855" t="b">
        <f>C1855&gt;T1855</f>
        <v>0</v>
      </c>
    </row>
    <row r="1856" spans="1:21" x14ac:dyDescent="0.25">
      <c r="A1856" t="s">
        <v>1336</v>
      </c>
      <c r="B1856" s="1">
        <v>46003</v>
      </c>
      <c r="C1856" s="1">
        <v>46006</v>
      </c>
      <c r="D1856" t="s">
        <v>1337</v>
      </c>
      <c r="E1856" t="s">
        <v>98</v>
      </c>
      <c r="F1856" t="s">
        <v>99</v>
      </c>
      <c r="G1856" t="s">
        <v>210</v>
      </c>
      <c r="H1856" t="s">
        <v>51</v>
      </c>
      <c r="I1856" s="2">
        <v>1</v>
      </c>
      <c r="J1856" s="3">
        <v>180</v>
      </c>
      <c r="K1856" s="4">
        <v>0</v>
      </c>
      <c r="L1856" s="3">
        <v>180</v>
      </c>
      <c r="M1856" t="b">
        <v>1</v>
      </c>
      <c r="N1856" s="2">
        <f>YEAR(B1856)</f>
        <v>2025</v>
      </c>
      <c r="O1856" t="str">
        <f>INDEX(Agences!$C:$C,MATCH(F1856,Agences!$A:$A,0))</f>
        <v>Nord</v>
      </c>
      <c r="P1856" t="str">
        <f>INDEX(Produits!$C:$C,MATCH(H1856,Produits!$A:$A,0))</f>
        <v>Maintenance</v>
      </c>
      <c r="Q1856" s="3">
        <f>I1856*INDEX(Produits!$E:$E,MATCH(H1856,Produits!$A:$A,0))</f>
        <v>82.8</v>
      </c>
      <c r="R1856" s="3">
        <f>L1856-Q1856</f>
        <v>97.2</v>
      </c>
      <c r="S1856" s="2">
        <f>NETWORKDAYS(B1856,C1856)-1</f>
        <v>1</v>
      </c>
      <c r="T1856" s="1">
        <f>WORKDAY(B1856,5)</f>
        <v>46010</v>
      </c>
      <c r="U1856" t="b">
        <f>C1856&gt;T1856</f>
        <v>0</v>
      </c>
    </row>
    <row r="1857" spans="1:21" x14ac:dyDescent="0.25">
      <c r="A1857" t="s">
        <v>1336</v>
      </c>
      <c r="B1857" s="1">
        <v>46003</v>
      </c>
      <c r="C1857" s="1">
        <v>46006</v>
      </c>
      <c r="D1857" t="s">
        <v>1337</v>
      </c>
      <c r="E1857" t="s">
        <v>98</v>
      </c>
      <c r="F1857" t="s">
        <v>99</v>
      </c>
      <c r="G1857" t="s">
        <v>210</v>
      </c>
      <c r="H1857" t="s">
        <v>57</v>
      </c>
      <c r="I1857" s="2">
        <v>1</v>
      </c>
      <c r="J1857" s="3">
        <v>149</v>
      </c>
      <c r="K1857" s="4">
        <v>0</v>
      </c>
      <c r="L1857" s="3">
        <v>149</v>
      </c>
      <c r="M1857" t="b">
        <v>1</v>
      </c>
      <c r="N1857" s="2">
        <f>YEAR(B1857)</f>
        <v>2025</v>
      </c>
      <c r="O1857" t="str">
        <f>INDEX(Agences!$C:$C,MATCH(F1857,Agences!$A:$A,0))</f>
        <v>Nord</v>
      </c>
      <c r="P1857" t="str">
        <f>INDEX(Produits!$C:$C,MATCH(H1857,Produits!$A:$A,0))</f>
        <v>Informatique</v>
      </c>
      <c r="Q1857" s="3">
        <f>I1857*INDEX(Produits!$E:$E,MATCH(H1857,Produits!$A:$A,0))</f>
        <v>114.73</v>
      </c>
      <c r="R1857" s="3">
        <f>L1857-Q1857</f>
        <v>34.269999999999996</v>
      </c>
      <c r="S1857" s="2">
        <f>NETWORKDAYS(B1857,C1857)-1</f>
        <v>1</v>
      </c>
      <c r="T1857" s="1">
        <f>WORKDAY(B1857,5)</f>
        <v>46010</v>
      </c>
      <c r="U1857" t="b">
        <f>C1857&gt;T1857</f>
        <v>0</v>
      </c>
    </row>
    <row r="1858" spans="1:21" x14ac:dyDescent="0.25">
      <c r="A1858" t="s">
        <v>1336</v>
      </c>
      <c r="B1858" s="1">
        <v>46003</v>
      </c>
      <c r="C1858" s="1">
        <v>46006</v>
      </c>
      <c r="D1858" t="s">
        <v>1337</v>
      </c>
      <c r="E1858" t="s">
        <v>98</v>
      </c>
      <c r="F1858" t="s">
        <v>99</v>
      </c>
      <c r="G1858" t="s">
        <v>210</v>
      </c>
      <c r="H1858" t="s">
        <v>83</v>
      </c>
      <c r="I1858" s="2">
        <v>3</v>
      </c>
      <c r="J1858" s="3">
        <v>49</v>
      </c>
      <c r="K1858" s="4">
        <v>0</v>
      </c>
      <c r="L1858" s="3">
        <v>147</v>
      </c>
      <c r="M1858" t="b">
        <v>1</v>
      </c>
      <c r="N1858" s="2">
        <f>YEAR(B1858)</f>
        <v>2025</v>
      </c>
      <c r="O1858" t="str">
        <f>INDEX(Agences!$C:$C,MATCH(F1858,Agences!$A:$A,0))</f>
        <v>Nord</v>
      </c>
      <c r="P1858" t="str">
        <f>INDEX(Produits!$C:$C,MATCH(H1858,Produits!$A:$A,0))</f>
        <v>Mobilier</v>
      </c>
      <c r="Q1858" s="3">
        <f>I1858*INDEX(Produits!$E:$E,MATCH(H1858,Produits!$A:$A,0))</f>
        <v>85.26</v>
      </c>
      <c r="R1858" s="3">
        <f>L1858-Q1858</f>
        <v>61.739999999999995</v>
      </c>
      <c r="S1858" s="2">
        <f>NETWORKDAYS(B1858,C1858)-1</f>
        <v>1</v>
      </c>
      <c r="T1858" s="1">
        <f>WORKDAY(B1858,5)</f>
        <v>46010</v>
      </c>
      <c r="U1858" t="b">
        <f>C1858&gt;T1858</f>
        <v>0</v>
      </c>
    </row>
    <row r="1859" spans="1:21" x14ac:dyDescent="0.25">
      <c r="A1859" t="s">
        <v>1336</v>
      </c>
      <c r="B1859" s="1">
        <v>46003</v>
      </c>
      <c r="C1859" s="1">
        <v>46006</v>
      </c>
      <c r="D1859" t="s">
        <v>1337</v>
      </c>
      <c r="E1859" t="s">
        <v>98</v>
      </c>
      <c r="F1859" t="s">
        <v>99</v>
      </c>
      <c r="G1859" t="s">
        <v>210</v>
      </c>
      <c r="H1859" t="s">
        <v>150</v>
      </c>
      <c r="I1859" s="2">
        <v>1</v>
      </c>
      <c r="J1859" s="3">
        <v>790</v>
      </c>
      <c r="K1859" s="4">
        <v>0.02</v>
      </c>
      <c r="L1859" s="3">
        <v>774.2</v>
      </c>
      <c r="M1859" t="b">
        <v>1</v>
      </c>
      <c r="N1859" s="2">
        <f>YEAR(B1859)</f>
        <v>2025</v>
      </c>
      <c r="O1859" t="str">
        <f>INDEX(Agences!$C:$C,MATCH(F1859,Agences!$A:$A,0))</f>
        <v>Nord</v>
      </c>
      <c r="P1859" t="str">
        <f>INDEX(Produits!$C:$C,MATCH(H1859,Produits!$A:$A,0))</f>
        <v>Informatique</v>
      </c>
      <c r="Q1859" s="3">
        <f>I1859*INDEX(Produits!$E:$E,MATCH(H1859,Produits!$A:$A,0))</f>
        <v>584.6</v>
      </c>
      <c r="R1859" s="3">
        <f>L1859-Q1859</f>
        <v>189.60000000000002</v>
      </c>
      <c r="S1859" s="2">
        <f>NETWORKDAYS(B1859,C1859)-1</f>
        <v>1</v>
      </c>
      <c r="T1859" s="1">
        <f>WORKDAY(B1859,5)</f>
        <v>46010</v>
      </c>
      <c r="U1859" t="b">
        <f>C1859&gt;T1859</f>
        <v>0</v>
      </c>
    </row>
    <row r="1860" spans="1:21" x14ac:dyDescent="0.25">
      <c r="A1860" t="s">
        <v>1338</v>
      </c>
      <c r="B1860" s="1">
        <v>46003</v>
      </c>
      <c r="C1860" s="1">
        <v>46008</v>
      </c>
      <c r="D1860" t="s">
        <v>1051</v>
      </c>
      <c r="E1860" t="s">
        <v>333</v>
      </c>
      <c r="F1860" t="s">
        <v>138</v>
      </c>
      <c r="G1860" t="s">
        <v>214</v>
      </c>
      <c r="H1860" t="s">
        <v>50</v>
      </c>
      <c r="I1860" s="2">
        <v>2</v>
      </c>
      <c r="J1860" s="3">
        <v>69</v>
      </c>
      <c r="K1860" s="4">
        <v>0</v>
      </c>
      <c r="L1860" s="3">
        <v>138</v>
      </c>
      <c r="M1860" t="b">
        <v>1</v>
      </c>
      <c r="N1860" s="2">
        <f>YEAR(B1860)</f>
        <v>2025</v>
      </c>
      <c r="O1860" t="str">
        <f>INDEX(Agences!$C:$C,MATCH(F1860,Agences!$A:$A,0))</f>
        <v>Île-de-France</v>
      </c>
      <c r="P1860" t="str">
        <f>INDEX(Produits!$C:$C,MATCH(H1860,Produits!$A:$A,0))</f>
        <v>Informatique</v>
      </c>
      <c r="Q1860" s="3">
        <f>I1860*INDEX(Produits!$E:$E,MATCH(H1860,Produits!$A:$A,0))</f>
        <v>109.02</v>
      </c>
      <c r="R1860" s="3">
        <f>L1860-Q1860</f>
        <v>28.980000000000004</v>
      </c>
      <c r="S1860" s="2">
        <f>NETWORKDAYS(B1860,C1860)-1</f>
        <v>3</v>
      </c>
      <c r="T1860" s="1">
        <f>WORKDAY(B1860,5)</f>
        <v>46010</v>
      </c>
      <c r="U1860" t="b">
        <f>C1860&gt;T1860</f>
        <v>0</v>
      </c>
    </row>
    <row r="1861" spans="1:21" x14ac:dyDescent="0.25">
      <c r="A1861" t="s">
        <v>1338</v>
      </c>
      <c r="B1861" s="1">
        <v>46003</v>
      </c>
      <c r="C1861" s="1">
        <v>46008</v>
      </c>
      <c r="D1861" t="s">
        <v>1051</v>
      </c>
      <c r="E1861" t="s">
        <v>333</v>
      </c>
      <c r="F1861" t="s">
        <v>138</v>
      </c>
      <c r="G1861" t="s">
        <v>214</v>
      </c>
      <c r="H1861" t="s">
        <v>49</v>
      </c>
      <c r="I1861" s="2">
        <v>1</v>
      </c>
      <c r="J1861" s="3">
        <v>120</v>
      </c>
      <c r="K1861" s="4">
        <v>0</v>
      </c>
      <c r="L1861" s="3">
        <v>120</v>
      </c>
      <c r="M1861" t="b">
        <v>1</v>
      </c>
      <c r="N1861" s="2">
        <f>YEAR(B1861)</f>
        <v>2025</v>
      </c>
      <c r="O1861" t="str">
        <f>INDEX(Agences!$C:$C,MATCH(F1861,Agences!$A:$A,0))</f>
        <v>Île-de-France</v>
      </c>
      <c r="P1861" t="str">
        <f>INDEX(Produits!$C:$C,MATCH(H1861,Produits!$A:$A,0))</f>
        <v>Maintenance</v>
      </c>
      <c r="Q1861" s="3">
        <f>I1861*INDEX(Produits!$E:$E,MATCH(H1861,Produits!$A:$A,0))</f>
        <v>55.2</v>
      </c>
      <c r="R1861" s="3">
        <f>L1861-Q1861</f>
        <v>64.8</v>
      </c>
      <c r="S1861" s="2">
        <f>NETWORKDAYS(B1861,C1861)-1</f>
        <v>3</v>
      </c>
      <c r="T1861" s="1">
        <f>WORKDAY(B1861,5)</f>
        <v>46010</v>
      </c>
      <c r="U1861" t="b">
        <f>C1861&gt;T1861</f>
        <v>0</v>
      </c>
    </row>
    <row r="1862" spans="1:21" x14ac:dyDescent="0.25">
      <c r="A1862" t="s">
        <v>1338</v>
      </c>
      <c r="B1862" s="1">
        <v>46003</v>
      </c>
      <c r="C1862" s="1">
        <v>46008</v>
      </c>
      <c r="D1862" t="s">
        <v>1051</v>
      </c>
      <c r="E1862" t="s">
        <v>333</v>
      </c>
      <c r="F1862" t="s">
        <v>138</v>
      </c>
      <c r="G1862" t="s">
        <v>214</v>
      </c>
      <c r="H1862" t="s">
        <v>72</v>
      </c>
      <c r="I1862" s="2">
        <v>4</v>
      </c>
      <c r="J1862" s="3">
        <v>179</v>
      </c>
      <c r="K1862" s="4">
        <v>0</v>
      </c>
      <c r="L1862" s="3">
        <v>716</v>
      </c>
      <c r="M1862" t="b">
        <v>1</v>
      </c>
      <c r="N1862" s="2">
        <f>YEAR(B1862)</f>
        <v>2025</v>
      </c>
      <c r="O1862" t="str">
        <f>INDEX(Agences!$C:$C,MATCH(F1862,Agences!$A:$A,0))</f>
        <v>Île-de-France</v>
      </c>
      <c r="P1862" t="str">
        <f>INDEX(Produits!$C:$C,MATCH(H1862,Produits!$A:$A,0))</f>
        <v>Informatique</v>
      </c>
      <c r="Q1862" s="3">
        <f>I1862*INDEX(Produits!$E:$E,MATCH(H1862,Produits!$A:$A,0))</f>
        <v>587.12</v>
      </c>
      <c r="R1862" s="3">
        <f>L1862-Q1862</f>
        <v>128.88</v>
      </c>
      <c r="S1862" s="2">
        <f>NETWORKDAYS(B1862,C1862)-1</f>
        <v>3</v>
      </c>
      <c r="T1862" s="1">
        <f>WORKDAY(B1862,5)</f>
        <v>46010</v>
      </c>
      <c r="U1862" t="b">
        <f>C1862&gt;T1862</f>
        <v>0</v>
      </c>
    </row>
    <row r="1863" spans="1:21" x14ac:dyDescent="0.25">
      <c r="A1863" t="s">
        <v>1338</v>
      </c>
      <c r="B1863" s="1">
        <v>46003</v>
      </c>
      <c r="C1863" s="1">
        <v>46008</v>
      </c>
      <c r="D1863" t="s">
        <v>1051</v>
      </c>
      <c r="E1863" t="s">
        <v>333</v>
      </c>
      <c r="F1863" t="s">
        <v>138</v>
      </c>
      <c r="G1863" t="s">
        <v>214</v>
      </c>
      <c r="H1863" t="s">
        <v>42</v>
      </c>
      <c r="I1863" s="2">
        <v>1</v>
      </c>
      <c r="J1863" s="3">
        <v>55</v>
      </c>
      <c r="K1863" s="4">
        <v>0.08</v>
      </c>
      <c r="L1863" s="3">
        <v>50.6</v>
      </c>
      <c r="M1863" t="b">
        <v>1</v>
      </c>
      <c r="N1863" s="2">
        <f>YEAR(B1863)</f>
        <v>2025</v>
      </c>
      <c r="O1863" t="str">
        <f>INDEX(Agences!$C:$C,MATCH(F1863,Agences!$A:$A,0))</f>
        <v>Île-de-France</v>
      </c>
      <c r="P1863" t="str">
        <f>INDEX(Produits!$C:$C,MATCH(H1863,Produits!$A:$A,0))</f>
        <v>Maintenance</v>
      </c>
      <c r="Q1863" s="3">
        <f>I1863*INDEX(Produits!$E:$E,MATCH(H1863,Produits!$A:$A,0))</f>
        <v>24.75</v>
      </c>
      <c r="R1863" s="3">
        <f>L1863-Q1863</f>
        <v>25.85</v>
      </c>
      <c r="S1863" s="2">
        <f>NETWORKDAYS(B1863,C1863)-1</f>
        <v>3</v>
      </c>
      <c r="T1863" s="1">
        <f>WORKDAY(B1863,5)</f>
        <v>46010</v>
      </c>
      <c r="U1863" t="b">
        <f>C1863&gt;T1863</f>
        <v>0</v>
      </c>
    </row>
    <row r="1864" spans="1:21" x14ac:dyDescent="0.25">
      <c r="A1864" t="s">
        <v>1338</v>
      </c>
      <c r="B1864" s="1">
        <v>46003</v>
      </c>
      <c r="C1864" s="1">
        <v>46008</v>
      </c>
      <c r="D1864" t="s">
        <v>1051</v>
      </c>
      <c r="E1864" t="s">
        <v>333</v>
      </c>
      <c r="F1864" t="s">
        <v>138</v>
      </c>
      <c r="G1864" t="s">
        <v>214</v>
      </c>
      <c r="H1864" t="s">
        <v>26</v>
      </c>
      <c r="I1864" s="2">
        <v>1</v>
      </c>
      <c r="J1864" s="3">
        <v>290</v>
      </c>
      <c r="K1864" s="4">
        <v>0</v>
      </c>
      <c r="L1864" s="3">
        <v>290</v>
      </c>
      <c r="M1864" t="b">
        <v>1</v>
      </c>
      <c r="N1864" s="2">
        <f>YEAR(B1864)</f>
        <v>2025</v>
      </c>
      <c r="O1864" t="str">
        <f>INDEX(Agences!$C:$C,MATCH(F1864,Agences!$A:$A,0))</f>
        <v>Île-de-France</v>
      </c>
      <c r="P1864" t="str">
        <f>INDEX(Produits!$C:$C,MATCH(H1864,Produits!$A:$A,0))</f>
        <v>Maintenance</v>
      </c>
      <c r="Q1864" s="3">
        <f>I1864*INDEX(Produits!$E:$E,MATCH(H1864,Produits!$A:$A,0))</f>
        <v>139.2</v>
      </c>
      <c r="R1864" s="3">
        <f>L1864-Q1864</f>
        <v>150.8</v>
      </c>
      <c r="S1864" s="2">
        <f>NETWORKDAYS(B1864,C1864)-1</f>
        <v>3</v>
      </c>
      <c r="T1864" s="1">
        <f>WORKDAY(B1864,5)</f>
        <v>46010</v>
      </c>
      <c r="U1864" t="b">
        <f>C1864&gt;T1864</f>
        <v>0</v>
      </c>
    </row>
    <row r="1865" spans="1:21" x14ac:dyDescent="0.25">
      <c r="A1865" t="s">
        <v>1339</v>
      </c>
      <c r="B1865" s="1">
        <v>46003</v>
      </c>
      <c r="C1865" s="1">
        <v>46010</v>
      </c>
      <c r="D1865" t="s">
        <v>1116</v>
      </c>
      <c r="E1865" t="s">
        <v>137</v>
      </c>
      <c r="F1865" t="s">
        <v>138</v>
      </c>
      <c r="G1865" t="s">
        <v>220</v>
      </c>
      <c r="H1865" t="s">
        <v>49</v>
      </c>
      <c r="I1865" s="2">
        <v>2</v>
      </c>
      <c r="J1865" s="3">
        <v>120</v>
      </c>
      <c r="K1865" s="4">
        <v>0</v>
      </c>
      <c r="L1865" s="3">
        <v>240</v>
      </c>
      <c r="M1865" t="b">
        <v>1</v>
      </c>
      <c r="N1865" s="2">
        <f>YEAR(B1865)</f>
        <v>2025</v>
      </c>
      <c r="O1865" t="str">
        <f>INDEX(Agences!$C:$C,MATCH(F1865,Agences!$A:$A,0))</f>
        <v>Île-de-France</v>
      </c>
      <c r="P1865" t="str">
        <f>INDEX(Produits!$C:$C,MATCH(H1865,Produits!$A:$A,0))</f>
        <v>Maintenance</v>
      </c>
      <c r="Q1865" s="3">
        <f>I1865*INDEX(Produits!$E:$E,MATCH(H1865,Produits!$A:$A,0))</f>
        <v>110.4</v>
      </c>
      <c r="R1865" s="3">
        <f>L1865-Q1865</f>
        <v>129.6</v>
      </c>
      <c r="S1865" s="2">
        <f>NETWORKDAYS(B1865,C1865)-1</f>
        <v>5</v>
      </c>
      <c r="T1865" s="1">
        <f>WORKDAY(B1865,5)</f>
        <v>46010</v>
      </c>
      <c r="U1865" t="b">
        <f>C1865&gt;T1865</f>
        <v>0</v>
      </c>
    </row>
    <row r="1866" spans="1:21" x14ac:dyDescent="0.25">
      <c r="A1866" t="s">
        <v>1339</v>
      </c>
      <c r="B1866" s="1">
        <v>46003</v>
      </c>
      <c r="C1866" s="1">
        <v>46010</v>
      </c>
      <c r="D1866" t="s">
        <v>1116</v>
      </c>
      <c r="E1866" t="s">
        <v>137</v>
      </c>
      <c r="F1866" t="s">
        <v>138</v>
      </c>
      <c r="G1866" t="s">
        <v>220</v>
      </c>
      <c r="H1866" t="s">
        <v>50</v>
      </c>
      <c r="I1866" s="2">
        <v>5</v>
      </c>
      <c r="J1866" s="3">
        <v>69</v>
      </c>
      <c r="K1866" s="4">
        <v>0.02</v>
      </c>
      <c r="L1866" s="3">
        <v>338.1</v>
      </c>
      <c r="M1866" t="b">
        <v>1</v>
      </c>
      <c r="N1866" s="2">
        <f>YEAR(B1866)</f>
        <v>2025</v>
      </c>
      <c r="O1866" t="str">
        <f>INDEX(Agences!$C:$C,MATCH(F1866,Agences!$A:$A,0))</f>
        <v>Île-de-France</v>
      </c>
      <c r="P1866" t="str">
        <f>INDEX(Produits!$C:$C,MATCH(H1866,Produits!$A:$A,0))</f>
        <v>Informatique</v>
      </c>
      <c r="Q1866" s="3">
        <f>I1866*INDEX(Produits!$E:$E,MATCH(H1866,Produits!$A:$A,0))</f>
        <v>272.55</v>
      </c>
      <c r="R1866" s="3">
        <f>L1866-Q1866</f>
        <v>65.55000000000001</v>
      </c>
      <c r="S1866" s="2">
        <f>NETWORKDAYS(B1866,C1866)-1</f>
        <v>5</v>
      </c>
      <c r="T1866" s="1">
        <f>WORKDAY(B1866,5)</f>
        <v>46010</v>
      </c>
      <c r="U1866" t="b">
        <f>C1866&gt;T1866</f>
        <v>0</v>
      </c>
    </row>
    <row r="1867" spans="1:21" x14ac:dyDescent="0.25">
      <c r="A1867" t="s">
        <v>1339</v>
      </c>
      <c r="B1867" s="1">
        <v>46003</v>
      </c>
      <c r="C1867" s="1">
        <v>46010</v>
      </c>
      <c r="D1867" t="s">
        <v>1116</v>
      </c>
      <c r="E1867" t="s">
        <v>137</v>
      </c>
      <c r="F1867" t="s">
        <v>138</v>
      </c>
      <c r="G1867" t="s">
        <v>220</v>
      </c>
      <c r="H1867" t="s">
        <v>79</v>
      </c>
      <c r="I1867" s="2">
        <v>10</v>
      </c>
      <c r="J1867" s="3">
        <v>14.9</v>
      </c>
      <c r="K1867" s="4">
        <v>0</v>
      </c>
      <c r="L1867" s="3">
        <v>149</v>
      </c>
      <c r="M1867" t="b">
        <v>1</v>
      </c>
      <c r="N1867" s="2">
        <f>YEAR(B1867)</f>
        <v>2025</v>
      </c>
      <c r="O1867" t="str">
        <f>INDEX(Agences!$C:$C,MATCH(F1867,Agences!$A:$A,0))</f>
        <v>Île-de-France</v>
      </c>
      <c r="P1867" t="str">
        <f>INDEX(Produits!$C:$C,MATCH(H1867,Produits!$A:$A,0))</f>
        <v>Fournitures</v>
      </c>
      <c r="Q1867" s="3">
        <f>I1867*INDEX(Produits!$E:$E,MATCH(H1867,Produits!$A:$A,0))</f>
        <v>80.5</v>
      </c>
      <c r="R1867" s="3">
        <f>L1867-Q1867</f>
        <v>68.5</v>
      </c>
      <c r="S1867" s="2">
        <f>NETWORKDAYS(B1867,C1867)-1</f>
        <v>5</v>
      </c>
      <c r="T1867" s="1">
        <f>WORKDAY(B1867,5)</f>
        <v>46010</v>
      </c>
      <c r="U1867" t="b">
        <f>C1867&gt;T1867</f>
        <v>0</v>
      </c>
    </row>
    <row r="1868" spans="1:21" x14ac:dyDescent="0.25">
      <c r="A1868" t="s">
        <v>1340</v>
      </c>
      <c r="B1868" s="1">
        <v>46003</v>
      </c>
      <c r="C1868" s="1">
        <v>46007</v>
      </c>
      <c r="D1868" t="s">
        <v>212</v>
      </c>
      <c r="E1868" t="s">
        <v>213</v>
      </c>
      <c r="F1868" t="s">
        <v>138</v>
      </c>
      <c r="G1868" t="s">
        <v>214</v>
      </c>
      <c r="H1868" t="s">
        <v>34</v>
      </c>
      <c r="I1868" s="2">
        <v>2</v>
      </c>
      <c r="J1868" s="3">
        <v>340</v>
      </c>
      <c r="K1868" s="4">
        <v>0</v>
      </c>
      <c r="L1868" s="3">
        <v>680</v>
      </c>
      <c r="M1868" t="b">
        <v>1</v>
      </c>
      <c r="N1868" s="2">
        <f>YEAR(B1868)</f>
        <v>2025</v>
      </c>
      <c r="O1868" t="str">
        <f>INDEX(Agences!$C:$C,MATCH(F1868,Agences!$A:$A,0))</f>
        <v>Île-de-France</v>
      </c>
      <c r="P1868" t="str">
        <f>INDEX(Produits!$C:$C,MATCH(H1868,Produits!$A:$A,0))</f>
        <v>Informatique</v>
      </c>
      <c r="Q1868" s="3">
        <f>I1868*INDEX(Produits!$E:$E,MATCH(H1868,Produits!$A:$A,0))</f>
        <v>550.8</v>
      </c>
      <c r="R1868" s="3">
        <f>L1868-Q1868</f>
        <v>129.20000000000005</v>
      </c>
      <c r="S1868" s="2">
        <f>NETWORKDAYS(B1868,C1868)-1</f>
        <v>2</v>
      </c>
      <c r="T1868" s="1">
        <f>WORKDAY(B1868,5)</f>
        <v>46010</v>
      </c>
      <c r="U1868" t="b">
        <f>C1868&gt;T1868</f>
        <v>0</v>
      </c>
    </row>
    <row r="1869" spans="1:21" x14ac:dyDescent="0.25">
      <c r="A1869" t="s">
        <v>1341</v>
      </c>
      <c r="B1869" s="1">
        <v>46002</v>
      </c>
      <c r="C1869" s="1">
        <v>46009</v>
      </c>
      <c r="D1869" t="s">
        <v>371</v>
      </c>
      <c r="E1869" t="s">
        <v>126</v>
      </c>
      <c r="F1869" t="s">
        <v>99</v>
      </c>
      <c r="G1869" t="s">
        <v>210</v>
      </c>
      <c r="H1869" t="s">
        <v>107</v>
      </c>
      <c r="I1869" s="2">
        <v>1</v>
      </c>
      <c r="J1869" s="3">
        <v>99</v>
      </c>
      <c r="K1869" s="4">
        <v>0.08</v>
      </c>
      <c r="L1869" s="3">
        <v>91.08</v>
      </c>
      <c r="M1869" t="b">
        <v>1</v>
      </c>
      <c r="N1869" s="2">
        <f>YEAR(B1869)</f>
        <v>2025</v>
      </c>
      <c r="O1869" t="str">
        <f>INDEX(Agences!$C:$C,MATCH(F1869,Agences!$A:$A,0))</f>
        <v>Nord</v>
      </c>
      <c r="P1869" t="str">
        <f>INDEX(Produits!$C:$C,MATCH(H1869,Produits!$A:$A,0))</f>
        <v>Informatique</v>
      </c>
      <c r="Q1869" s="3">
        <f>I1869*INDEX(Produits!$E:$E,MATCH(H1869,Produits!$A:$A,0))</f>
        <v>75.24</v>
      </c>
      <c r="R1869" s="3">
        <f>L1869-Q1869</f>
        <v>15.840000000000003</v>
      </c>
      <c r="S1869" s="2">
        <f>NETWORKDAYS(B1869,C1869)-1</f>
        <v>5</v>
      </c>
      <c r="T1869" s="1">
        <f>WORKDAY(B1869,5)</f>
        <v>46009</v>
      </c>
      <c r="U1869" t="b">
        <f>C1869&gt;T1869</f>
        <v>0</v>
      </c>
    </row>
    <row r="1870" spans="1:21" x14ac:dyDescent="0.25">
      <c r="A1870" t="s">
        <v>1341</v>
      </c>
      <c r="B1870" s="1">
        <v>46002</v>
      </c>
      <c r="C1870" s="1">
        <v>46009</v>
      </c>
      <c r="D1870" t="s">
        <v>371</v>
      </c>
      <c r="E1870" t="s">
        <v>126</v>
      </c>
      <c r="F1870" t="s">
        <v>99</v>
      </c>
      <c r="G1870" t="s">
        <v>210</v>
      </c>
      <c r="H1870" t="s">
        <v>42</v>
      </c>
      <c r="I1870" s="2">
        <v>1</v>
      </c>
      <c r="J1870" s="3">
        <v>55</v>
      </c>
      <c r="K1870" s="4">
        <v>0</v>
      </c>
      <c r="L1870" s="3">
        <v>55</v>
      </c>
      <c r="M1870" t="b">
        <v>1</v>
      </c>
      <c r="N1870" s="2">
        <f>YEAR(B1870)</f>
        <v>2025</v>
      </c>
      <c r="O1870" t="str">
        <f>INDEX(Agences!$C:$C,MATCH(F1870,Agences!$A:$A,0))</f>
        <v>Nord</v>
      </c>
      <c r="P1870" t="str">
        <f>INDEX(Produits!$C:$C,MATCH(H1870,Produits!$A:$A,0))</f>
        <v>Maintenance</v>
      </c>
      <c r="Q1870" s="3">
        <f>I1870*INDEX(Produits!$E:$E,MATCH(H1870,Produits!$A:$A,0))</f>
        <v>24.75</v>
      </c>
      <c r="R1870" s="3">
        <f>L1870-Q1870</f>
        <v>30.25</v>
      </c>
      <c r="S1870" s="2">
        <f>NETWORKDAYS(B1870,C1870)-1</f>
        <v>5</v>
      </c>
      <c r="T1870" s="1">
        <f>WORKDAY(B1870,5)</f>
        <v>46009</v>
      </c>
      <c r="U1870" t="b">
        <f>C1870&gt;T1870</f>
        <v>0</v>
      </c>
    </row>
    <row r="1871" spans="1:21" x14ac:dyDescent="0.25">
      <c r="A1871" t="s">
        <v>1342</v>
      </c>
      <c r="B1871" s="1">
        <v>46002</v>
      </c>
      <c r="C1871" s="1">
        <v>46003</v>
      </c>
      <c r="D1871" t="s">
        <v>1343</v>
      </c>
      <c r="E1871" t="s">
        <v>374</v>
      </c>
      <c r="F1871" t="s">
        <v>31</v>
      </c>
      <c r="G1871" t="s">
        <v>375</v>
      </c>
      <c r="H1871" t="s">
        <v>83</v>
      </c>
      <c r="I1871" s="2">
        <v>1</v>
      </c>
      <c r="J1871" s="3">
        <v>49</v>
      </c>
      <c r="K1871" s="4">
        <v>0.08</v>
      </c>
      <c r="L1871" s="3">
        <v>45.08</v>
      </c>
      <c r="M1871" t="b">
        <v>1</v>
      </c>
      <c r="N1871" s="2">
        <f>YEAR(B1871)</f>
        <v>2025</v>
      </c>
      <c r="O1871" t="str">
        <f>INDEX(Agences!$C:$C,MATCH(F1871,Agences!$A:$A,0))</f>
        <v>Ouest</v>
      </c>
      <c r="P1871" t="str">
        <f>INDEX(Produits!$C:$C,MATCH(H1871,Produits!$A:$A,0))</f>
        <v>Mobilier</v>
      </c>
      <c r="Q1871" s="3">
        <f>I1871*INDEX(Produits!$E:$E,MATCH(H1871,Produits!$A:$A,0))</f>
        <v>28.42</v>
      </c>
      <c r="R1871" s="3">
        <f>L1871-Q1871</f>
        <v>16.659999999999997</v>
      </c>
      <c r="S1871" s="2">
        <f>NETWORKDAYS(B1871,C1871)-1</f>
        <v>1</v>
      </c>
      <c r="T1871" s="1">
        <f>WORKDAY(B1871,5)</f>
        <v>46009</v>
      </c>
      <c r="U1871" t="b">
        <f>C1871&gt;T1871</f>
        <v>0</v>
      </c>
    </row>
    <row r="1872" spans="1:21" x14ac:dyDescent="0.25">
      <c r="A1872" t="s">
        <v>1344</v>
      </c>
      <c r="B1872" s="1">
        <v>46002</v>
      </c>
      <c r="C1872" s="1">
        <v>46008</v>
      </c>
      <c r="D1872" t="s">
        <v>1345</v>
      </c>
      <c r="E1872" t="s">
        <v>149</v>
      </c>
      <c r="F1872" t="s">
        <v>88</v>
      </c>
      <c r="G1872" t="s">
        <v>89</v>
      </c>
      <c r="H1872" t="s">
        <v>237</v>
      </c>
      <c r="I1872" s="2">
        <v>1</v>
      </c>
      <c r="J1872" s="3">
        <v>890</v>
      </c>
      <c r="K1872" s="4">
        <v>0</v>
      </c>
      <c r="L1872" s="3">
        <v>890</v>
      </c>
      <c r="M1872" t="b">
        <v>1</v>
      </c>
      <c r="N1872" s="2">
        <f>YEAR(B1872)</f>
        <v>2025</v>
      </c>
      <c r="O1872" t="str">
        <f>INDEX(Agences!$C:$C,MATCH(F1872,Agences!$A:$A,0))</f>
        <v>Sud-Ouest</v>
      </c>
      <c r="P1872" t="str">
        <f>INDEX(Produits!$C:$C,MATCH(H1872,Produits!$A:$A,0))</f>
        <v>Mobilier</v>
      </c>
      <c r="Q1872" s="3">
        <f>I1872*INDEX(Produits!$E:$E,MATCH(H1872,Produits!$A:$A,0))</f>
        <v>596.3</v>
      </c>
      <c r="R1872" s="3">
        <f>L1872-Q1872</f>
        <v>293.70000000000005</v>
      </c>
      <c r="S1872" s="2">
        <f>NETWORKDAYS(B1872,C1872)-1</f>
        <v>4</v>
      </c>
      <c r="T1872" s="1">
        <f>WORKDAY(B1872,5)</f>
        <v>46009</v>
      </c>
      <c r="U1872" t="b">
        <f>C1872&gt;T1872</f>
        <v>0</v>
      </c>
    </row>
    <row r="1873" spans="1:21" x14ac:dyDescent="0.25">
      <c r="A1873" t="s">
        <v>1344</v>
      </c>
      <c r="B1873" s="1">
        <v>46002</v>
      </c>
      <c r="C1873" s="1">
        <v>46008</v>
      </c>
      <c r="D1873" t="s">
        <v>1345</v>
      </c>
      <c r="E1873" t="s">
        <v>149</v>
      </c>
      <c r="F1873" t="s">
        <v>88</v>
      </c>
      <c r="G1873" t="s">
        <v>89</v>
      </c>
      <c r="H1873" t="s">
        <v>27</v>
      </c>
      <c r="I1873" s="2">
        <v>3</v>
      </c>
      <c r="J1873" s="3">
        <v>310</v>
      </c>
      <c r="K1873" s="4">
        <v>0</v>
      </c>
      <c r="L1873" s="3">
        <v>930</v>
      </c>
      <c r="M1873" t="b">
        <v>1</v>
      </c>
      <c r="N1873" s="2">
        <f>YEAR(B1873)</f>
        <v>2025</v>
      </c>
      <c r="O1873" t="str">
        <f>INDEX(Agences!$C:$C,MATCH(F1873,Agences!$A:$A,0))</f>
        <v>Sud-Ouest</v>
      </c>
      <c r="P1873" t="str">
        <f>INDEX(Produits!$C:$C,MATCH(H1873,Produits!$A:$A,0))</f>
        <v>Mobilier</v>
      </c>
      <c r="Q1873" s="3">
        <f>I1873*INDEX(Produits!$E:$E,MATCH(H1873,Produits!$A:$A,0))</f>
        <v>558</v>
      </c>
      <c r="R1873" s="3">
        <f>L1873-Q1873</f>
        <v>372</v>
      </c>
      <c r="S1873" s="2">
        <f>NETWORKDAYS(B1873,C1873)-1</f>
        <v>4</v>
      </c>
      <c r="T1873" s="1">
        <f>WORKDAY(B1873,5)</f>
        <v>46009</v>
      </c>
      <c r="U1873" t="b">
        <f>C1873&gt;T1873</f>
        <v>0</v>
      </c>
    </row>
    <row r="1874" spans="1:21" x14ac:dyDescent="0.25">
      <c r="A1874" t="s">
        <v>1344</v>
      </c>
      <c r="B1874" s="1">
        <v>46002</v>
      </c>
      <c r="C1874" s="1">
        <v>46008</v>
      </c>
      <c r="D1874" t="s">
        <v>1345</v>
      </c>
      <c r="E1874" t="s">
        <v>149</v>
      </c>
      <c r="F1874" t="s">
        <v>88</v>
      </c>
      <c r="G1874" t="s">
        <v>89</v>
      </c>
      <c r="H1874" t="s">
        <v>35</v>
      </c>
      <c r="I1874" s="2">
        <v>2</v>
      </c>
      <c r="J1874" s="3">
        <v>79</v>
      </c>
      <c r="K1874" s="4">
        <v>0</v>
      </c>
      <c r="L1874" s="3">
        <v>158</v>
      </c>
      <c r="M1874" t="b">
        <v>1</v>
      </c>
      <c r="N1874" s="2">
        <f>YEAR(B1874)</f>
        <v>2025</v>
      </c>
      <c r="O1874" t="str">
        <f>INDEX(Agences!$C:$C,MATCH(F1874,Agences!$A:$A,0))</f>
        <v>Sud-Ouest</v>
      </c>
      <c r="P1874" t="str">
        <f>INDEX(Produits!$C:$C,MATCH(H1874,Produits!$A:$A,0))</f>
        <v>Mobilier</v>
      </c>
      <c r="Q1874" s="3">
        <f>I1874*INDEX(Produits!$E:$E,MATCH(H1874,Produits!$A:$A,0))</f>
        <v>93.22</v>
      </c>
      <c r="R1874" s="3">
        <f>L1874-Q1874</f>
        <v>64.78</v>
      </c>
      <c r="S1874" s="2">
        <f>NETWORKDAYS(B1874,C1874)-1</f>
        <v>4</v>
      </c>
      <c r="T1874" s="1">
        <f>WORKDAY(B1874,5)</f>
        <v>46009</v>
      </c>
      <c r="U1874" t="b">
        <f>C1874&gt;T1874</f>
        <v>0</v>
      </c>
    </row>
    <row r="1875" spans="1:21" x14ac:dyDescent="0.25">
      <c r="A1875" t="s">
        <v>1346</v>
      </c>
      <c r="B1875" s="1">
        <v>46002</v>
      </c>
      <c r="C1875" s="1">
        <v>46006</v>
      </c>
      <c r="D1875" t="s">
        <v>393</v>
      </c>
      <c r="E1875" t="s">
        <v>157</v>
      </c>
      <c r="F1875" t="s">
        <v>46</v>
      </c>
      <c r="G1875" t="s">
        <v>47</v>
      </c>
      <c r="H1875" t="s">
        <v>112</v>
      </c>
      <c r="I1875" s="2">
        <v>1</v>
      </c>
      <c r="J1875" s="3">
        <v>129</v>
      </c>
      <c r="K1875" s="4">
        <v>0</v>
      </c>
      <c r="L1875" s="3">
        <v>129</v>
      </c>
      <c r="M1875" t="b">
        <v>1</v>
      </c>
      <c r="N1875" s="2">
        <f>YEAR(B1875)</f>
        <v>2025</v>
      </c>
      <c r="O1875" t="str">
        <f>INDEX(Agences!$C:$C,MATCH(F1875,Agences!$A:$A,0))</f>
        <v>Est</v>
      </c>
      <c r="P1875" t="str">
        <f>INDEX(Produits!$C:$C,MATCH(H1875,Produits!$A:$A,0))</f>
        <v>Mobilier</v>
      </c>
      <c r="Q1875" s="3">
        <f>I1875*INDEX(Produits!$E:$E,MATCH(H1875,Produits!$A:$A,0))</f>
        <v>86.43</v>
      </c>
      <c r="R1875" s="3">
        <f>L1875-Q1875</f>
        <v>42.56999999999999</v>
      </c>
      <c r="S1875" s="2">
        <f>NETWORKDAYS(B1875,C1875)-1</f>
        <v>2</v>
      </c>
      <c r="T1875" s="1">
        <f>WORKDAY(B1875,5)</f>
        <v>46009</v>
      </c>
      <c r="U1875" t="b">
        <f>C1875&gt;T1875</f>
        <v>0</v>
      </c>
    </row>
    <row r="1876" spans="1:21" x14ac:dyDescent="0.25">
      <c r="A1876" t="s">
        <v>1346</v>
      </c>
      <c r="B1876" s="1">
        <v>46002</v>
      </c>
      <c r="C1876" s="1">
        <v>46006</v>
      </c>
      <c r="D1876" t="s">
        <v>393</v>
      </c>
      <c r="E1876" t="s">
        <v>157</v>
      </c>
      <c r="F1876" t="s">
        <v>46</v>
      </c>
      <c r="G1876" t="s">
        <v>47</v>
      </c>
      <c r="H1876" t="s">
        <v>58</v>
      </c>
      <c r="I1876" s="2">
        <v>1</v>
      </c>
      <c r="J1876" s="3">
        <v>649</v>
      </c>
      <c r="K1876" s="4">
        <v>0</v>
      </c>
      <c r="L1876" s="3">
        <v>649</v>
      </c>
      <c r="M1876" t="b">
        <v>1</v>
      </c>
      <c r="N1876" s="2">
        <f>YEAR(B1876)</f>
        <v>2025</v>
      </c>
      <c r="O1876" t="str">
        <f>INDEX(Agences!$C:$C,MATCH(F1876,Agences!$A:$A,0))</f>
        <v>Est</v>
      </c>
      <c r="P1876" t="str">
        <f>INDEX(Produits!$C:$C,MATCH(H1876,Produits!$A:$A,0))</f>
        <v>Mobilier</v>
      </c>
      <c r="Q1876" s="3">
        <f>I1876*INDEX(Produits!$E:$E,MATCH(H1876,Produits!$A:$A,0))</f>
        <v>408.87</v>
      </c>
      <c r="R1876" s="3">
        <f>L1876-Q1876</f>
        <v>240.13</v>
      </c>
      <c r="S1876" s="2">
        <f>NETWORKDAYS(B1876,C1876)-1</f>
        <v>2</v>
      </c>
      <c r="T1876" s="1">
        <f>WORKDAY(B1876,5)</f>
        <v>46009</v>
      </c>
      <c r="U1876" t="b">
        <f>C1876&gt;T1876</f>
        <v>0</v>
      </c>
    </row>
    <row r="1877" spans="1:21" x14ac:dyDescent="0.25">
      <c r="A1877" t="s">
        <v>1347</v>
      </c>
      <c r="B1877" s="1">
        <v>46002</v>
      </c>
      <c r="C1877" s="1">
        <v>46008</v>
      </c>
      <c r="D1877" t="s">
        <v>614</v>
      </c>
      <c r="E1877" t="s">
        <v>45</v>
      </c>
      <c r="F1877" t="s">
        <v>46</v>
      </c>
      <c r="G1877" t="s">
        <v>47</v>
      </c>
      <c r="H1877" t="s">
        <v>51</v>
      </c>
      <c r="I1877" s="2">
        <v>2</v>
      </c>
      <c r="J1877" s="3">
        <v>180</v>
      </c>
      <c r="K1877" s="4">
        <v>0.05</v>
      </c>
      <c r="L1877" s="3">
        <v>342</v>
      </c>
      <c r="M1877" t="b">
        <v>1</v>
      </c>
      <c r="N1877" s="2">
        <f>YEAR(B1877)</f>
        <v>2025</v>
      </c>
      <c r="O1877" t="str">
        <f>INDEX(Agences!$C:$C,MATCH(F1877,Agences!$A:$A,0))</f>
        <v>Est</v>
      </c>
      <c r="P1877" t="str">
        <f>INDEX(Produits!$C:$C,MATCH(H1877,Produits!$A:$A,0))</f>
        <v>Maintenance</v>
      </c>
      <c r="Q1877" s="3">
        <f>I1877*INDEX(Produits!$E:$E,MATCH(H1877,Produits!$A:$A,0))</f>
        <v>165.6</v>
      </c>
      <c r="R1877" s="3">
        <f>L1877-Q1877</f>
        <v>176.4</v>
      </c>
      <c r="S1877" s="2">
        <f>NETWORKDAYS(B1877,C1877)-1</f>
        <v>4</v>
      </c>
      <c r="T1877" s="1">
        <f>WORKDAY(B1877,5)</f>
        <v>46009</v>
      </c>
      <c r="U1877" t="b">
        <f>C1877&gt;T1877</f>
        <v>0</v>
      </c>
    </row>
    <row r="1878" spans="1:21" x14ac:dyDescent="0.25">
      <c r="A1878" t="s">
        <v>1348</v>
      </c>
      <c r="B1878" s="1">
        <v>46001</v>
      </c>
      <c r="C1878" s="1">
        <v>46003</v>
      </c>
      <c r="D1878" t="s">
        <v>1256</v>
      </c>
      <c r="E1878" t="s">
        <v>213</v>
      </c>
      <c r="F1878" t="s">
        <v>138</v>
      </c>
      <c r="G1878" t="s">
        <v>139</v>
      </c>
      <c r="H1878" t="s">
        <v>196</v>
      </c>
      <c r="I1878" s="2">
        <v>10</v>
      </c>
      <c r="J1878" s="3">
        <v>18.5</v>
      </c>
      <c r="K1878" s="4">
        <v>0</v>
      </c>
      <c r="L1878" s="3">
        <v>185</v>
      </c>
      <c r="M1878" t="b">
        <v>1</v>
      </c>
      <c r="N1878" s="2">
        <f>YEAR(B1878)</f>
        <v>2025</v>
      </c>
      <c r="O1878" t="str">
        <f>INDEX(Agences!$C:$C,MATCH(F1878,Agences!$A:$A,0))</f>
        <v>Île-de-France</v>
      </c>
      <c r="P1878" t="str">
        <f>INDEX(Produits!$C:$C,MATCH(H1878,Produits!$A:$A,0))</f>
        <v>Fournitures</v>
      </c>
      <c r="Q1878" s="3">
        <f>I1878*INDEX(Produits!$E:$E,MATCH(H1878,Produits!$A:$A,0))</f>
        <v>94.39999999999999</v>
      </c>
      <c r="R1878" s="3">
        <f>L1878-Q1878</f>
        <v>90.60000000000001</v>
      </c>
      <c r="S1878" s="2">
        <f>NETWORKDAYS(B1878,C1878)-1</f>
        <v>2</v>
      </c>
      <c r="T1878" s="1">
        <f>WORKDAY(B1878,5)</f>
        <v>46008</v>
      </c>
      <c r="U1878" t="b">
        <f>C1878&gt;T1878</f>
        <v>0</v>
      </c>
    </row>
    <row r="1879" spans="1:21" x14ac:dyDescent="0.25">
      <c r="A1879" t="s">
        <v>1349</v>
      </c>
      <c r="B1879" s="1">
        <v>46001</v>
      </c>
      <c r="C1879" s="1">
        <v>46003</v>
      </c>
      <c r="D1879" t="s">
        <v>678</v>
      </c>
      <c r="E1879" t="s">
        <v>137</v>
      </c>
      <c r="F1879" t="s">
        <v>138</v>
      </c>
      <c r="G1879" t="s">
        <v>139</v>
      </c>
      <c r="H1879" t="s">
        <v>90</v>
      </c>
      <c r="I1879" s="2">
        <v>5</v>
      </c>
      <c r="J1879" s="3">
        <v>22.9</v>
      </c>
      <c r="K1879" s="4">
        <v>0.05</v>
      </c>
      <c r="L1879" s="3">
        <v>108.78</v>
      </c>
      <c r="M1879" t="b">
        <v>1</v>
      </c>
      <c r="N1879" s="2">
        <f>YEAR(B1879)</f>
        <v>2025</v>
      </c>
      <c r="O1879" t="str">
        <f>INDEX(Agences!$C:$C,MATCH(F1879,Agences!$A:$A,0))</f>
        <v>Île-de-France</v>
      </c>
      <c r="P1879" t="str">
        <f>INDEX(Produits!$C:$C,MATCH(H1879,Produits!$A:$A,0))</f>
        <v>Fournitures</v>
      </c>
      <c r="Q1879" s="3">
        <f>I1879*INDEX(Produits!$E:$E,MATCH(H1879,Produits!$A:$A,0))</f>
        <v>64.1</v>
      </c>
      <c r="R1879" s="3">
        <f>L1879-Q1879</f>
        <v>44.68000000000001</v>
      </c>
      <c r="S1879" s="2">
        <f>NETWORKDAYS(B1879,C1879)-1</f>
        <v>2</v>
      </c>
      <c r="T1879" s="1">
        <f>WORKDAY(B1879,5)</f>
        <v>46008</v>
      </c>
      <c r="U1879" t="b">
        <f>C1879&gt;T1879</f>
        <v>0</v>
      </c>
    </row>
    <row r="1880" spans="1:21" x14ac:dyDescent="0.25">
      <c r="A1880" t="s">
        <v>1350</v>
      </c>
      <c r="B1880" s="1">
        <v>46001</v>
      </c>
      <c r="C1880" s="1">
        <v>46006</v>
      </c>
      <c r="D1880" t="s">
        <v>856</v>
      </c>
      <c r="E1880" t="s">
        <v>175</v>
      </c>
      <c r="F1880" t="s">
        <v>76</v>
      </c>
      <c r="G1880" t="s">
        <v>176</v>
      </c>
      <c r="H1880" t="s">
        <v>33</v>
      </c>
      <c r="I1880" s="2">
        <v>1</v>
      </c>
      <c r="J1880" s="3">
        <v>219</v>
      </c>
      <c r="K1880" s="4">
        <v>0.08</v>
      </c>
      <c r="L1880" s="3">
        <v>201.48</v>
      </c>
      <c r="M1880" t="b">
        <v>1</v>
      </c>
      <c r="N1880" s="2">
        <f>YEAR(B1880)</f>
        <v>2025</v>
      </c>
      <c r="O1880" t="str">
        <f>INDEX(Agences!$C:$C,MATCH(F1880,Agences!$A:$A,0))</f>
        <v>Île-de-France</v>
      </c>
      <c r="P1880" t="str">
        <f>INDEX(Produits!$C:$C,MATCH(H1880,Produits!$A:$A,0))</f>
        <v>Informatique</v>
      </c>
      <c r="Q1880" s="3">
        <f>I1880*INDEX(Produits!$E:$E,MATCH(H1880,Produits!$A:$A,0))</f>
        <v>179.58</v>
      </c>
      <c r="R1880" s="3">
        <f>L1880-Q1880</f>
        <v>21.899999999999977</v>
      </c>
      <c r="S1880" s="2">
        <f>NETWORKDAYS(B1880,C1880)-1</f>
        <v>3</v>
      </c>
      <c r="T1880" s="1">
        <f>WORKDAY(B1880,5)</f>
        <v>46008</v>
      </c>
      <c r="U1880" t="b">
        <f>C1880&gt;T1880</f>
        <v>0</v>
      </c>
    </row>
    <row r="1881" spans="1:21" x14ac:dyDescent="0.25">
      <c r="A1881" t="s">
        <v>1350</v>
      </c>
      <c r="B1881" s="1">
        <v>46001</v>
      </c>
      <c r="C1881" s="1">
        <v>46006</v>
      </c>
      <c r="D1881" t="s">
        <v>856</v>
      </c>
      <c r="E1881" t="s">
        <v>175</v>
      </c>
      <c r="F1881" t="s">
        <v>76</v>
      </c>
      <c r="G1881" t="s">
        <v>176</v>
      </c>
      <c r="H1881" t="s">
        <v>35</v>
      </c>
      <c r="I1881" s="2">
        <v>1</v>
      </c>
      <c r="J1881" s="3">
        <v>79</v>
      </c>
      <c r="K1881" s="4">
        <v>0.02</v>
      </c>
      <c r="L1881" s="3">
        <v>77.42</v>
      </c>
      <c r="M1881" t="b">
        <v>1</v>
      </c>
      <c r="N1881" s="2">
        <f>YEAR(B1881)</f>
        <v>2025</v>
      </c>
      <c r="O1881" t="str">
        <f>INDEX(Agences!$C:$C,MATCH(F1881,Agences!$A:$A,0))</f>
        <v>Île-de-France</v>
      </c>
      <c r="P1881" t="str">
        <f>INDEX(Produits!$C:$C,MATCH(H1881,Produits!$A:$A,0))</f>
        <v>Mobilier</v>
      </c>
      <c r="Q1881" s="3">
        <f>I1881*INDEX(Produits!$E:$E,MATCH(H1881,Produits!$A:$A,0))</f>
        <v>46.61</v>
      </c>
      <c r="R1881" s="3">
        <f>L1881-Q1881</f>
        <v>30.810000000000002</v>
      </c>
      <c r="S1881" s="2">
        <f>NETWORKDAYS(B1881,C1881)-1</f>
        <v>3</v>
      </c>
      <c r="T1881" s="1">
        <f>WORKDAY(B1881,5)</f>
        <v>46008</v>
      </c>
      <c r="U1881" t="b">
        <f>C1881&gt;T1881</f>
        <v>0</v>
      </c>
    </row>
    <row r="1882" spans="1:21" x14ac:dyDescent="0.25">
      <c r="A1882" t="s">
        <v>1350</v>
      </c>
      <c r="B1882" s="1">
        <v>46001</v>
      </c>
      <c r="C1882" s="1">
        <v>46006</v>
      </c>
      <c r="D1882" t="s">
        <v>856</v>
      </c>
      <c r="E1882" t="s">
        <v>175</v>
      </c>
      <c r="F1882" t="s">
        <v>76</v>
      </c>
      <c r="G1882" t="s">
        <v>176</v>
      </c>
      <c r="H1882" t="s">
        <v>83</v>
      </c>
      <c r="I1882" s="2">
        <v>1</v>
      </c>
      <c r="J1882" s="3">
        <v>49</v>
      </c>
      <c r="K1882" s="4">
        <v>0</v>
      </c>
      <c r="L1882" s="3">
        <v>49</v>
      </c>
      <c r="M1882" t="b">
        <v>1</v>
      </c>
      <c r="N1882" s="2">
        <f>YEAR(B1882)</f>
        <v>2025</v>
      </c>
      <c r="O1882" t="str">
        <f>INDEX(Agences!$C:$C,MATCH(F1882,Agences!$A:$A,0))</f>
        <v>Île-de-France</v>
      </c>
      <c r="P1882" t="str">
        <f>INDEX(Produits!$C:$C,MATCH(H1882,Produits!$A:$A,0))</f>
        <v>Mobilier</v>
      </c>
      <c r="Q1882" s="3">
        <f>I1882*INDEX(Produits!$E:$E,MATCH(H1882,Produits!$A:$A,0))</f>
        <v>28.42</v>
      </c>
      <c r="R1882" s="3">
        <f>L1882-Q1882</f>
        <v>20.58</v>
      </c>
      <c r="S1882" s="2">
        <f>NETWORKDAYS(B1882,C1882)-1</f>
        <v>3</v>
      </c>
      <c r="T1882" s="1">
        <f>WORKDAY(B1882,5)</f>
        <v>46008</v>
      </c>
      <c r="U1882" t="b">
        <f>C1882&gt;T1882</f>
        <v>0</v>
      </c>
    </row>
    <row r="1883" spans="1:21" x14ac:dyDescent="0.25">
      <c r="A1883" t="s">
        <v>1351</v>
      </c>
      <c r="B1883" s="1">
        <v>46001</v>
      </c>
      <c r="C1883" s="1">
        <v>46008</v>
      </c>
      <c r="D1883" t="s">
        <v>335</v>
      </c>
      <c r="E1883" t="s">
        <v>336</v>
      </c>
      <c r="F1883" t="s">
        <v>166</v>
      </c>
      <c r="G1883" t="s">
        <v>167</v>
      </c>
      <c r="H1883" t="s">
        <v>35</v>
      </c>
      <c r="I1883" s="2">
        <v>1</v>
      </c>
      <c r="J1883" s="3">
        <v>79</v>
      </c>
      <c r="K1883" s="4">
        <v>0</v>
      </c>
      <c r="L1883" s="3">
        <v>79</v>
      </c>
      <c r="M1883" t="b">
        <v>1</v>
      </c>
      <c r="N1883" s="2">
        <f>YEAR(B1883)</f>
        <v>2025</v>
      </c>
      <c r="O1883" t="str">
        <f>INDEX(Agences!$C:$C,MATCH(F1883,Agences!$A:$A,0))</f>
        <v>Ouest</v>
      </c>
      <c r="P1883" t="str">
        <f>INDEX(Produits!$C:$C,MATCH(H1883,Produits!$A:$A,0))</f>
        <v>Mobilier</v>
      </c>
      <c r="Q1883" s="3">
        <f>I1883*INDEX(Produits!$E:$E,MATCH(H1883,Produits!$A:$A,0))</f>
        <v>46.61</v>
      </c>
      <c r="R1883" s="3">
        <f>L1883-Q1883</f>
        <v>32.39</v>
      </c>
      <c r="S1883" s="2">
        <f>NETWORKDAYS(B1883,C1883)-1</f>
        <v>5</v>
      </c>
      <c r="T1883" s="1">
        <f>WORKDAY(B1883,5)</f>
        <v>46008</v>
      </c>
      <c r="U1883" t="b">
        <f>C1883&gt;T1883</f>
        <v>0</v>
      </c>
    </row>
    <row r="1884" spans="1:21" x14ac:dyDescent="0.25">
      <c r="A1884" t="s">
        <v>1351</v>
      </c>
      <c r="B1884" s="1">
        <v>46001</v>
      </c>
      <c r="C1884" s="1">
        <v>46008</v>
      </c>
      <c r="D1884" t="s">
        <v>335</v>
      </c>
      <c r="E1884" t="s">
        <v>336</v>
      </c>
      <c r="F1884" t="s">
        <v>166</v>
      </c>
      <c r="G1884" t="s">
        <v>167</v>
      </c>
      <c r="H1884" t="s">
        <v>127</v>
      </c>
      <c r="I1884" s="2">
        <v>3</v>
      </c>
      <c r="J1884" s="3">
        <v>649</v>
      </c>
      <c r="K1884" s="4">
        <v>0</v>
      </c>
      <c r="L1884" s="3">
        <v>1947</v>
      </c>
      <c r="M1884" t="b">
        <v>1</v>
      </c>
      <c r="N1884" s="2">
        <f>YEAR(B1884)</f>
        <v>2025</v>
      </c>
      <c r="O1884" t="str">
        <f>INDEX(Agences!$C:$C,MATCH(F1884,Agences!$A:$A,0))</f>
        <v>Ouest</v>
      </c>
      <c r="P1884" t="str">
        <f>INDEX(Produits!$C:$C,MATCH(H1884,Produits!$A:$A,0))</f>
        <v>Informatique</v>
      </c>
      <c r="Q1884" s="3">
        <f>I1884*INDEX(Produits!$E:$E,MATCH(H1884,Produits!$A:$A,0))</f>
        <v>1440.78</v>
      </c>
      <c r="R1884" s="3">
        <f>L1884-Q1884</f>
        <v>506.22</v>
      </c>
      <c r="S1884" s="2">
        <f>NETWORKDAYS(B1884,C1884)-1</f>
        <v>5</v>
      </c>
      <c r="T1884" s="1">
        <f>WORKDAY(B1884,5)</f>
        <v>46008</v>
      </c>
      <c r="U1884" t="b">
        <f>C1884&gt;T1884</f>
        <v>0</v>
      </c>
    </row>
    <row r="1885" spans="1:21" x14ac:dyDescent="0.25">
      <c r="A1885" t="s">
        <v>1351</v>
      </c>
      <c r="B1885" s="1">
        <v>46001</v>
      </c>
      <c r="C1885" s="1">
        <v>46008</v>
      </c>
      <c r="D1885" t="s">
        <v>335</v>
      </c>
      <c r="E1885" t="s">
        <v>336</v>
      </c>
      <c r="F1885" t="s">
        <v>166</v>
      </c>
      <c r="G1885" t="s">
        <v>167</v>
      </c>
      <c r="H1885" t="s">
        <v>50</v>
      </c>
      <c r="I1885" s="2">
        <v>3</v>
      </c>
      <c r="J1885" s="3">
        <v>69</v>
      </c>
      <c r="K1885" s="4">
        <v>0</v>
      </c>
      <c r="L1885" s="3">
        <v>207</v>
      </c>
      <c r="M1885" t="b">
        <v>1</v>
      </c>
      <c r="N1885" s="2">
        <f>YEAR(B1885)</f>
        <v>2025</v>
      </c>
      <c r="O1885" t="str">
        <f>INDEX(Agences!$C:$C,MATCH(F1885,Agences!$A:$A,0))</f>
        <v>Ouest</v>
      </c>
      <c r="P1885" t="str">
        <f>INDEX(Produits!$C:$C,MATCH(H1885,Produits!$A:$A,0))</f>
        <v>Informatique</v>
      </c>
      <c r="Q1885" s="3">
        <f>I1885*INDEX(Produits!$E:$E,MATCH(H1885,Produits!$A:$A,0))</f>
        <v>163.53</v>
      </c>
      <c r="R1885" s="3">
        <f>L1885-Q1885</f>
        <v>43.47</v>
      </c>
      <c r="S1885" s="2">
        <f>NETWORKDAYS(B1885,C1885)-1</f>
        <v>5</v>
      </c>
      <c r="T1885" s="1">
        <f>WORKDAY(B1885,5)</f>
        <v>46008</v>
      </c>
      <c r="U1885" t="b">
        <f>C1885&gt;T1885</f>
        <v>0</v>
      </c>
    </row>
    <row r="1886" spans="1:21" x14ac:dyDescent="0.25">
      <c r="A1886" t="s">
        <v>1351</v>
      </c>
      <c r="B1886" s="1">
        <v>46001</v>
      </c>
      <c r="C1886" s="1">
        <v>46008</v>
      </c>
      <c r="D1886" t="s">
        <v>335</v>
      </c>
      <c r="E1886" t="s">
        <v>336</v>
      </c>
      <c r="F1886" t="s">
        <v>166</v>
      </c>
      <c r="G1886" t="s">
        <v>167</v>
      </c>
      <c r="H1886" t="s">
        <v>237</v>
      </c>
      <c r="I1886" s="2">
        <v>1</v>
      </c>
      <c r="J1886" s="3">
        <v>890</v>
      </c>
      <c r="K1886" s="4">
        <v>0</v>
      </c>
      <c r="L1886" s="3">
        <v>890</v>
      </c>
      <c r="M1886" t="b">
        <v>1</v>
      </c>
      <c r="N1886" s="2">
        <f>YEAR(B1886)</f>
        <v>2025</v>
      </c>
      <c r="O1886" t="str">
        <f>INDEX(Agences!$C:$C,MATCH(F1886,Agences!$A:$A,0))</f>
        <v>Ouest</v>
      </c>
      <c r="P1886" t="str">
        <f>INDEX(Produits!$C:$C,MATCH(H1886,Produits!$A:$A,0))</f>
        <v>Mobilier</v>
      </c>
      <c r="Q1886" s="3">
        <f>I1886*INDEX(Produits!$E:$E,MATCH(H1886,Produits!$A:$A,0))</f>
        <v>596.3</v>
      </c>
      <c r="R1886" s="3">
        <f>L1886-Q1886</f>
        <v>293.70000000000005</v>
      </c>
      <c r="S1886" s="2">
        <f>NETWORKDAYS(B1886,C1886)-1</f>
        <v>5</v>
      </c>
      <c r="T1886" s="1">
        <f>WORKDAY(B1886,5)</f>
        <v>46008</v>
      </c>
      <c r="U1886" t="b">
        <f>C1886&gt;T1886</f>
        <v>0</v>
      </c>
    </row>
    <row r="1887" spans="1:21" x14ac:dyDescent="0.25">
      <c r="A1887" t="s">
        <v>1352</v>
      </c>
      <c r="B1887" s="1">
        <v>46001</v>
      </c>
      <c r="C1887" s="1">
        <v>46003</v>
      </c>
      <c r="D1887" t="s">
        <v>762</v>
      </c>
      <c r="E1887" t="s">
        <v>30</v>
      </c>
      <c r="F1887" t="s">
        <v>31</v>
      </c>
      <c r="G1887" t="s">
        <v>32</v>
      </c>
      <c r="H1887" t="s">
        <v>51</v>
      </c>
      <c r="I1887" s="2">
        <v>1</v>
      </c>
      <c r="J1887" s="3">
        <v>180</v>
      </c>
      <c r="K1887" s="4">
        <v>0.02</v>
      </c>
      <c r="L1887" s="3">
        <v>176.4</v>
      </c>
      <c r="M1887" t="b">
        <v>1</v>
      </c>
      <c r="N1887" s="2">
        <f>YEAR(B1887)</f>
        <v>2025</v>
      </c>
      <c r="O1887" t="str">
        <f>INDEX(Agences!$C:$C,MATCH(F1887,Agences!$A:$A,0))</f>
        <v>Ouest</v>
      </c>
      <c r="P1887" t="str">
        <f>INDEX(Produits!$C:$C,MATCH(H1887,Produits!$A:$A,0))</f>
        <v>Maintenance</v>
      </c>
      <c r="Q1887" s="3">
        <f>I1887*INDEX(Produits!$E:$E,MATCH(H1887,Produits!$A:$A,0))</f>
        <v>82.8</v>
      </c>
      <c r="R1887" s="3">
        <f>L1887-Q1887</f>
        <v>93.60000000000001</v>
      </c>
      <c r="S1887" s="2">
        <f>NETWORKDAYS(B1887,C1887)-1</f>
        <v>2</v>
      </c>
      <c r="T1887" s="1">
        <f>WORKDAY(B1887,5)</f>
        <v>46008</v>
      </c>
      <c r="U1887" t="b">
        <f>C1887&gt;T1887</f>
        <v>0</v>
      </c>
    </row>
    <row r="1888" spans="1:21" x14ac:dyDescent="0.25">
      <c r="A1888" t="s">
        <v>1352</v>
      </c>
      <c r="B1888" s="1">
        <v>46001</v>
      </c>
      <c r="C1888" s="1">
        <v>46003</v>
      </c>
      <c r="D1888" t="s">
        <v>762</v>
      </c>
      <c r="E1888" t="s">
        <v>30</v>
      </c>
      <c r="F1888" t="s">
        <v>31</v>
      </c>
      <c r="G1888" t="s">
        <v>32</v>
      </c>
      <c r="H1888" t="s">
        <v>90</v>
      </c>
      <c r="I1888" s="2">
        <v>10</v>
      </c>
      <c r="J1888" s="3">
        <v>22.9</v>
      </c>
      <c r="K1888" s="4">
        <v>0</v>
      </c>
      <c r="L1888" s="3">
        <v>229</v>
      </c>
      <c r="M1888" t="b">
        <v>1</v>
      </c>
      <c r="N1888" s="2">
        <f>YEAR(B1888)</f>
        <v>2025</v>
      </c>
      <c r="O1888" t="str">
        <f>INDEX(Agences!$C:$C,MATCH(F1888,Agences!$A:$A,0))</f>
        <v>Ouest</v>
      </c>
      <c r="P1888" t="str">
        <f>INDEX(Produits!$C:$C,MATCH(H1888,Produits!$A:$A,0))</f>
        <v>Fournitures</v>
      </c>
      <c r="Q1888" s="3">
        <f>I1888*INDEX(Produits!$E:$E,MATCH(H1888,Produits!$A:$A,0))</f>
        <v>128.2</v>
      </c>
      <c r="R1888" s="3">
        <f>L1888-Q1888</f>
        <v>100.80000000000001</v>
      </c>
      <c r="S1888" s="2">
        <f>NETWORKDAYS(B1888,C1888)-1</f>
        <v>2</v>
      </c>
      <c r="T1888" s="1">
        <f>WORKDAY(B1888,5)</f>
        <v>46008</v>
      </c>
      <c r="U1888" t="b">
        <f>C1888&gt;T1888</f>
        <v>0</v>
      </c>
    </row>
    <row r="1889" spans="1:21" x14ac:dyDescent="0.25">
      <c r="A1889" t="s">
        <v>1353</v>
      </c>
      <c r="B1889" s="1">
        <v>46001</v>
      </c>
      <c r="C1889" s="1">
        <v>46003</v>
      </c>
      <c r="D1889" t="s">
        <v>902</v>
      </c>
      <c r="E1889" t="s">
        <v>225</v>
      </c>
      <c r="F1889" t="s">
        <v>88</v>
      </c>
      <c r="G1889" t="s">
        <v>142</v>
      </c>
      <c r="H1889" t="s">
        <v>50</v>
      </c>
      <c r="I1889" s="2">
        <v>5</v>
      </c>
      <c r="J1889" s="3">
        <v>69</v>
      </c>
      <c r="K1889" s="4">
        <v>0</v>
      </c>
      <c r="L1889" s="3">
        <v>345</v>
      </c>
      <c r="M1889" t="b">
        <v>1</v>
      </c>
      <c r="N1889" s="2">
        <f>YEAR(B1889)</f>
        <v>2025</v>
      </c>
      <c r="O1889" t="str">
        <f>INDEX(Agences!$C:$C,MATCH(F1889,Agences!$A:$A,0))</f>
        <v>Sud-Ouest</v>
      </c>
      <c r="P1889" t="str">
        <f>INDEX(Produits!$C:$C,MATCH(H1889,Produits!$A:$A,0))</f>
        <v>Informatique</v>
      </c>
      <c r="Q1889" s="3">
        <f>I1889*INDEX(Produits!$E:$E,MATCH(H1889,Produits!$A:$A,0))</f>
        <v>272.55</v>
      </c>
      <c r="R1889" s="3">
        <f>L1889-Q1889</f>
        <v>72.44999999999999</v>
      </c>
      <c r="S1889" s="2">
        <f>NETWORKDAYS(B1889,C1889)-1</f>
        <v>2</v>
      </c>
      <c r="T1889" s="1">
        <f>WORKDAY(B1889,5)</f>
        <v>46008</v>
      </c>
      <c r="U1889" t="b">
        <f>C1889&gt;T1889</f>
        <v>0</v>
      </c>
    </row>
    <row r="1890" spans="1:21" x14ac:dyDescent="0.25">
      <c r="A1890" t="s">
        <v>1353</v>
      </c>
      <c r="B1890" s="1">
        <v>46001</v>
      </c>
      <c r="C1890" s="1">
        <v>46003</v>
      </c>
      <c r="D1890" t="s">
        <v>902</v>
      </c>
      <c r="E1890" t="s">
        <v>225</v>
      </c>
      <c r="F1890" t="s">
        <v>88</v>
      </c>
      <c r="G1890" t="s">
        <v>142</v>
      </c>
      <c r="H1890" t="s">
        <v>42</v>
      </c>
      <c r="I1890" s="2">
        <v>1</v>
      </c>
      <c r="J1890" s="3">
        <v>55</v>
      </c>
      <c r="K1890" s="4">
        <v>0</v>
      </c>
      <c r="L1890" s="3">
        <v>55</v>
      </c>
      <c r="M1890" t="b">
        <v>1</v>
      </c>
      <c r="N1890" s="2">
        <f>YEAR(B1890)</f>
        <v>2025</v>
      </c>
      <c r="O1890" t="str">
        <f>INDEX(Agences!$C:$C,MATCH(F1890,Agences!$A:$A,0))</f>
        <v>Sud-Ouest</v>
      </c>
      <c r="P1890" t="str">
        <f>INDEX(Produits!$C:$C,MATCH(H1890,Produits!$A:$A,0))</f>
        <v>Maintenance</v>
      </c>
      <c r="Q1890" s="3">
        <f>I1890*INDEX(Produits!$E:$E,MATCH(H1890,Produits!$A:$A,0))</f>
        <v>24.75</v>
      </c>
      <c r="R1890" s="3">
        <f>L1890-Q1890</f>
        <v>30.25</v>
      </c>
      <c r="S1890" s="2">
        <f>NETWORKDAYS(B1890,C1890)-1</f>
        <v>2</v>
      </c>
      <c r="T1890" s="1">
        <f>WORKDAY(B1890,5)</f>
        <v>46008</v>
      </c>
      <c r="U1890" t="b">
        <f>C1890&gt;T1890</f>
        <v>0</v>
      </c>
    </row>
    <row r="1891" spans="1:21" x14ac:dyDescent="0.25">
      <c r="A1891" t="s">
        <v>1353</v>
      </c>
      <c r="B1891" s="1">
        <v>46001</v>
      </c>
      <c r="C1891" s="1">
        <v>46003</v>
      </c>
      <c r="D1891" t="s">
        <v>902</v>
      </c>
      <c r="E1891" t="s">
        <v>225</v>
      </c>
      <c r="F1891" t="s">
        <v>88</v>
      </c>
      <c r="G1891" t="s">
        <v>142</v>
      </c>
      <c r="H1891" t="s">
        <v>26</v>
      </c>
      <c r="I1891" s="2">
        <v>1</v>
      </c>
      <c r="J1891" s="3">
        <v>290</v>
      </c>
      <c r="K1891" s="4">
        <v>0.05</v>
      </c>
      <c r="L1891" s="3">
        <v>275.5</v>
      </c>
      <c r="M1891" t="b">
        <v>1</v>
      </c>
      <c r="N1891" s="2">
        <f>YEAR(B1891)</f>
        <v>2025</v>
      </c>
      <c r="O1891" t="str">
        <f>INDEX(Agences!$C:$C,MATCH(F1891,Agences!$A:$A,0))</f>
        <v>Sud-Ouest</v>
      </c>
      <c r="P1891" t="str">
        <f>INDEX(Produits!$C:$C,MATCH(H1891,Produits!$A:$A,0))</f>
        <v>Maintenance</v>
      </c>
      <c r="Q1891" s="3">
        <f>I1891*INDEX(Produits!$E:$E,MATCH(H1891,Produits!$A:$A,0))</f>
        <v>139.2</v>
      </c>
      <c r="R1891" s="3">
        <f>L1891-Q1891</f>
        <v>136.3</v>
      </c>
      <c r="S1891" s="2">
        <f>NETWORKDAYS(B1891,C1891)-1</f>
        <v>2</v>
      </c>
      <c r="T1891" s="1">
        <f>WORKDAY(B1891,5)</f>
        <v>46008</v>
      </c>
      <c r="U1891" t="b">
        <f>C1891&gt;T1891</f>
        <v>0</v>
      </c>
    </row>
    <row r="1892" spans="1:21" x14ac:dyDescent="0.25">
      <c r="A1892" t="s">
        <v>1353</v>
      </c>
      <c r="B1892" s="1">
        <v>46001</v>
      </c>
      <c r="C1892" s="1">
        <v>46003</v>
      </c>
      <c r="D1892" t="s">
        <v>902</v>
      </c>
      <c r="E1892" t="s">
        <v>225</v>
      </c>
      <c r="F1892" t="s">
        <v>88</v>
      </c>
      <c r="G1892" t="s">
        <v>142</v>
      </c>
      <c r="H1892" t="s">
        <v>83</v>
      </c>
      <c r="I1892" s="2">
        <v>1</v>
      </c>
      <c r="J1892" s="3">
        <v>49</v>
      </c>
      <c r="K1892" s="4">
        <v>0.05</v>
      </c>
      <c r="L1892" s="3">
        <v>46.55</v>
      </c>
      <c r="M1892" t="b">
        <v>1</v>
      </c>
      <c r="N1892" s="2">
        <f>YEAR(B1892)</f>
        <v>2025</v>
      </c>
      <c r="O1892" t="str">
        <f>INDEX(Agences!$C:$C,MATCH(F1892,Agences!$A:$A,0))</f>
        <v>Sud-Ouest</v>
      </c>
      <c r="P1892" t="str">
        <f>INDEX(Produits!$C:$C,MATCH(H1892,Produits!$A:$A,0))</f>
        <v>Mobilier</v>
      </c>
      <c r="Q1892" s="3">
        <f>I1892*INDEX(Produits!$E:$E,MATCH(H1892,Produits!$A:$A,0))</f>
        <v>28.42</v>
      </c>
      <c r="R1892" s="3">
        <f>L1892-Q1892</f>
        <v>18.129999999999995</v>
      </c>
      <c r="S1892" s="2">
        <f>NETWORKDAYS(B1892,C1892)-1</f>
        <v>2</v>
      </c>
      <c r="T1892" s="1">
        <f>WORKDAY(B1892,5)</f>
        <v>46008</v>
      </c>
      <c r="U1892" t="b">
        <f>C1892&gt;T1892</f>
        <v>0</v>
      </c>
    </row>
    <row r="1893" spans="1:21" x14ac:dyDescent="0.25">
      <c r="A1893" t="s">
        <v>1353</v>
      </c>
      <c r="B1893" s="1">
        <v>46001</v>
      </c>
      <c r="C1893" s="1">
        <v>46003</v>
      </c>
      <c r="D1893" t="s">
        <v>902</v>
      </c>
      <c r="E1893" t="s">
        <v>225</v>
      </c>
      <c r="F1893" t="s">
        <v>88</v>
      </c>
      <c r="G1893" t="s">
        <v>142</v>
      </c>
      <c r="H1893" t="s">
        <v>233</v>
      </c>
      <c r="I1893" s="2">
        <v>15</v>
      </c>
      <c r="J1893" s="3">
        <v>27.5</v>
      </c>
      <c r="K1893" s="4">
        <v>0</v>
      </c>
      <c r="L1893" s="3">
        <v>412.5</v>
      </c>
      <c r="M1893" t="b">
        <v>1</v>
      </c>
      <c r="N1893" s="2">
        <f>YEAR(B1893)</f>
        <v>2025</v>
      </c>
      <c r="O1893" t="str">
        <f>INDEX(Agences!$C:$C,MATCH(F1893,Agences!$A:$A,0))</f>
        <v>Sud-Ouest</v>
      </c>
      <c r="P1893" t="str">
        <f>INDEX(Produits!$C:$C,MATCH(H1893,Produits!$A:$A,0))</f>
        <v>Fournitures</v>
      </c>
      <c r="Q1893" s="3">
        <f>I1893*INDEX(Produits!$E:$E,MATCH(H1893,Produits!$A:$A,0))</f>
        <v>231</v>
      </c>
      <c r="R1893" s="3">
        <f>L1893-Q1893</f>
        <v>181.5</v>
      </c>
      <c r="S1893" s="2">
        <f>NETWORKDAYS(B1893,C1893)-1</f>
        <v>2</v>
      </c>
      <c r="T1893" s="1">
        <f>WORKDAY(B1893,5)</f>
        <v>46008</v>
      </c>
      <c r="U1893" t="b">
        <f>C1893&gt;T1893</f>
        <v>0</v>
      </c>
    </row>
    <row r="1894" spans="1:21" x14ac:dyDescent="0.25">
      <c r="A1894" t="s">
        <v>1354</v>
      </c>
      <c r="B1894" s="1">
        <v>45999</v>
      </c>
      <c r="C1894" s="1">
        <v>46001</v>
      </c>
      <c r="D1894" t="s">
        <v>1120</v>
      </c>
      <c r="E1894" t="s">
        <v>165</v>
      </c>
      <c r="F1894" t="s">
        <v>166</v>
      </c>
      <c r="G1894" t="s">
        <v>179</v>
      </c>
      <c r="H1894" t="s">
        <v>90</v>
      </c>
      <c r="I1894" s="2">
        <v>10</v>
      </c>
      <c r="J1894" s="3">
        <v>22.9</v>
      </c>
      <c r="K1894" s="4">
        <v>0</v>
      </c>
      <c r="L1894" s="3">
        <v>229</v>
      </c>
      <c r="M1894" t="b">
        <v>1</v>
      </c>
      <c r="N1894" s="2">
        <f>YEAR(B1894)</f>
        <v>2025</v>
      </c>
      <c r="O1894" t="str">
        <f>INDEX(Agences!$C:$C,MATCH(F1894,Agences!$A:$A,0))</f>
        <v>Ouest</v>
      </c>
      <c r="P1894" t="str">
        <f>INDEX(Produits!$C:$C,MATCH(H1894,Produits!$A:$A,0))</f>
        <v>Fournitures</v>
      </c>
      <c r="Q1894" s="3">
        <f>I1894*INDEX(Produits!$E:$E,MATCH(H1894,Produits!$A:$A,0))</f>
        <v>128.2</v>
      </c>
      <c r="R1894" s="3">
        <f>L1894-Q1894</f>
        <v>100.80000000000001</v>
      </c>
      <c r="S1894" s="2">
        <f>NETWORKDAYS(B1894,C1894)-1</f>
        <v>2</v>
      </c>
      <c r="T1894" s="1">
        <f>WORKDAY(B1894,5)</f>
        <v>46006</v>
      </c>
      <c r="U1894" t="b">
        <f>C1894&gt;T1894</f>
        <v>0</v>
      </c>
    </row>
    <row r="1895" spans="1:21" x14ac:dyDescent="0.25">
      <c r="A1895" t="s">
        <v>1354</v>
      </c>
      <c r="B1895" s="1">
        <v>45999</v>
      </c>
      <c r="C1895" s="1">
        <v>46001</v>
      </c>
      <c r="D1895" t="s">
        <v>1120</v>
      </c>
      <c r="E1895" t="s">
        <v>165</v>
      </c>
      <c r="F1895" t="s">
        <v>166</v>
      </c>
      <c r="G1895" t="s">
        <v>179</v>
      </c>
      <c r="H1895" t="s">
        <v>196</v>
      </c>
      <c r="I1895" s="2">
        <v>5</v>
      </c>
      <c r="J1895" s="3">
        <v>18.5</v>
      </c>
      <c r="K1895" s="4">
        <v>0.05</v>
      </c>
      <c r="L1895" s="3">
        <v>87.88</v>
      </c>
      <c r="M1895" t="b">
        <v>1</v>
      </c>
      <c r="N1895" s="2">
        <f>YEAR(B1895)</f>
        <v>2025</v>
      </c>
      <c r="O1895" t="str">
        <f>INDEX(Agences!$C:$C,MATCH(F1895,Agences!$A:$A,0))</f>
        <v>Ouest</v>
      </c>
      <c r="P1895" t="str">
        <f>INDEX(Produits!$C:$C,MATCH(H1895,Produits!$A:$A,0))</f>
        <v>Fournitures</v>
      </c>
      <c r="Q1895" s="3">
        <f>I1895*INDEX(Produits!$E:$E,MATCH(H1895,Produits!$A:$A,0))</f>
        <v>47.199999999999996</v>
      </c>
      <c r="R1895" s="3">
        <f>L1895-Q1895</f>
        <v>40.68</v>
      </c>
      <c r="S1895" s="2">
        <f>NETWORKDAYS(B1895,C1895)-1</f>
        <v>2</v>
      </c>
      <c r="T1895" s="1">
        <f>WORKDAY(B1895,5)</f>
        <v>46006</v>
      </c>
      <c r="U1895" t="b">
        <f>C1895&gt;T1895</f>
        <v>0</v>
      </c>
    </row>
    <row r="1896" spans="1:21" x14ac:dyDescent="0.25">
      <c r="A1896" t="s">
        <v>1355</v>
      </c>
      <c r="B1896" s="1">
        <v>45999</v>
      </c>
      <c r="C1896" s="1">
        <v>46001</v>
      </c>
      <c r="D1896" t="s">
        <v>1356</v>
      </c>
      <c r="E1896" t="s">
        <v>67</v>
      </c>
      <c r="F1896" t="s">
        <v>62</v>
      </c>
      <c r="G1896" t="s">
        <v>68</v>
      </c>
      <c r="H1896" t="s">
        <v>35</v>
      </c>
      <c r="I1896" s="2">
        <v>3</v>
      </c>
      <c r="J1896" s="3">
        <v>79</v>
      </c>
      <c r="K1896" s="4">
        <v>0</v>
      </c>
      <c r="L1896" s="3">
        <v>237</v>
      </c>
      <c r="M1896" t="b">
        <v>1</v>
      </c>
      <c r="N1896" s="2">
        <f>YEAR(B1896)</f>
        <v>2025</v>
      </c>
      <c r="O1896" t="str">
        <f>INDEX(Agences!$C:$C,MATCH(F1896,Agences!$A:$A,0))</f>
        <v>Méditerranée</v>
      </c>
      <c r="P1896" t="str">
        <f>INDEX(Produits!$C:$C,MATCH(H1896,Produits!$A:$A,0))</f>
        <v>Mobilier</v>
      </c>
      <c r="Q1896" s="3">
        <f>I1896*INDEX(Produits!$E:$E,MATCH(H1896,Produits!$A:$A,0))</f>
        <v>139.82999999999998</v>
      </c>
      <c r="R1896" s="3">
        <f>L1896-Q1896</f>
        <v>97.17000000000002</v>
      </c>
      <c r="S1896" s="2">
        <f>NETWORKDAYS(B1896,C1896)-1</f>
        <v>2</v>
      </c>
      <c r="T1896" s="1">
        <f>WORKDAY(B1896,5)</f>
        <v>46006</v>
      </c>
      <c r="U1896" t="b">
        <f>C1896&gt;T1896</f>
        <v>0</v>
      </c>
    </row>
    <row r="1897" spans="1:21" x14ac:dyDescent="0.25">
      <c r="A1897" t="s">
        <v>1355</v>
      </c>
      <c r="B1897" s="1">
        <v>45999</v>
      </c>
      <c r="C1897" s="1">
        <v>46001</v>
      </c>
      <c r="D1897" t="s">
        <v>1356</v>
      </c>
      <c r="E1897" t="s">
        <v>67</v>
      </c>
      <c r="F1897" t="s">
        <v>62</v>
      </c>
      <c r="G1897" t="s">
        <v>68</v>
      </c>
      <c r="H1897" t="s">
        <v>112</v>
      </c>
      <c r="I1897" s="2">
        <v>2</v>
      </c>
      <c r="J1897" s="3">
        <v>129</v>
      </c>
      <c r="K1897" s="4">
        <v>0.02</v>
      </c>
      <c r="L1897" s="3">
        <v>252.84</v>
      </c>
      <c r="M1897" t="b">
        <v>1</v>
      </c>
      <c r="N1897" s="2">
        <f>YEAR(B1897)</f>
        <v>2025</v>
      </c>
      <c r="O1897" t="str">
        <f>INDEX(Agences!$C:$C,MATCH(F1897,Agences!$A:$A,0))</f>
        <v>Méditerranée</v>
      </c>
      <c r="P1897" t="str">
        <f>INDEX(Produits!$C:$C,MATCH(H1897,Produits!$A:$A,0))</f>
        <v>Mobilier</v>
      </c>
      <c r="Q1897" s="3">
        <f>I1897*INDEX(Produits!$E:$E,MATCH(H1897,Produits!$A:$A,0))</f>
        <v>172.86</v>
      </c>
      <c r="R1897" s="3">
        <f>L1897-Q1897</f>
        <v>79.97999999999999</v>
      </c>
      <c r="S1897" s="2">
        <f>NETWORKDAYS(B1897,C1897)-1</f>
        <v>2</v>
      </c>
      <c r="T1897" s="1">
        <f>WORKDAY(B1897,5)</f>
        <v>46006</v>
      </c>
      <c r="U1897" t="b">
        <f>C1897&gt;T1897</f>
        <v>0</v>
      </c>
    </row>
    <row r="1898" spans="1:21" x14ac:dyDescent="0.25">
      <c r="A1898" t="s">
        <v>1355</v>
      </c>
      <c r="B1898" s="1">
        <v>45999</v>
      </c>
      <c r="C1898" s="1">
        <v>46001</v>
      </c>
      <c r="D1898" t="s">
        <v>1356</v>
      </c>
      <c r="E1898" t="s">
        <v>67</v>
      </c>
      <c r="F1898" t="s">
        <v>62</v>
      </c>
      <c r="G1898" t="s">
        <v>68</v>
      </c>
      <c r="H1898" t="s">
        <v>48</v>
      </c>
      <c r="I1898" s="2">
        <v>3</v>
      </c>
      <c r="J1898" s="3">
        <v>165</v>
      </c>
      <c r="K1898" s="4">
        <v>0</v>
      </c>
      <c r="L1898" s="3">
        <v>495</v>
      </c>
      <c r="M1898" t="b">
        <v>1</v>
      </c>
      <c r="N1898" s="2">
        <f>YEAR(B1898)</f>
        <v>2025</v>
      </c>
      <c r="O1898" t="str">
        <f>INDEX(Agences!$C:$C,MATCH(F1898,Agences!$A:$A,0))</f>
        <v>Méditerranée</v>
      </c>
      <c r="P1898" t="str">
        <f>INDEX(Produits!$C:$C,MATCH(H1898,Produits!$A:$A,0))</f>
        <v>Mobilier</v>
      </c>
      <c r="Q1898" s="3">
        <f>I1898*INDEX(Produits!$E:$E,MATCH(H1898,Produits!$A:$A,0))</f>
        <v>321.75</v>
      </c>
      <c r="R1898" s="3">
        <f>L1898-Q1898</f>
        <v>173.25</v>
      </c>
      <c r="S1898" s="2">
        <f>NETWORKDAYS(B1898,C1898)-1</f>
        <v>2</v>
      </c>
      <c r="T1898" s="1">
        <f>WORKDAY(B1898,5)</f>
        <v>46006</v>
      </c>
      <c r="U1898" t="b">
        <f>C1898&gt;T1898</f>
        <v>0</v>
      </c>
    </row>
    <row r="1899" spans="1:21" x14ac:dyDescent="0.25">
      <c r="A1899" t="s">
        <v>1355</v>
      </c>
      <c r="B1899" s="1">
        <v>45999</v>
      </c>
      <c r="C1899" s="1">
        <v>46001</v>
      </c>
      <c r="D1899" t="s">
        <v>1356</v>
      </c>
      <c r="E1899" t="s">
        <v>67</v>
      </c>
      <c r="F1899" t="s">
        <v>62</v>
      </c>
      <c r="G1899" t="s">
        <v>68</v>
      </c>
      <c r="H1899" t="s">
        <v>84</v>
      </c>
      <c r="I1899" s="2">
        <v>2</v>
      </c>
      <c r="J1899" s="3">
        <v>420</v>
      </c>
      <c r="K1899" s="4">
        <v>0</v>
      </c>
      <c r="L1899" s="3">
        <v>840</v>
      </c>
      <c r="M1899" t="b">
        <v>1</v>
      </c>
      <c r="N1899" s="2">
        <f>YEAR(B1899)</f>
        <v>2025</v>
      </c>
      <c r="O1899" t="str">
        <f>INDEX(Agences!$C:$C,MATCH(F1899,Agences!$A:$A,0))</f>
        <v>Méditerranée</v>
      </c>
      <c r="P1899" t="str">
        <f>INDEX(Produits!$C:$C,MATCH(H1899,Produits!$A:$A,0))</f>
        <v>Mobilier</v>
      </c>
      <c r="Q1899" s="3">
        <f>I1899*INDEX(Produits!$E:$E,MATCH(H1899,Produits!$A:$A,0))</f>
        <v>487.2</v>
      </c>
      <c r="R1899" s="3">
        <f>L1899-Q1899</f>
        <v>352.8</v>
      </c>
      <c r="S1899" s="2">
        <f>NETWORKDAYS(B1899,C1899)-1</f>
        <v>2</v>
      </c>
      <c r="T1899" s="1">
        <f>WORKDAY(B1899,5)</f>
        <v>46006</v>
      </c>
      <c r="U1899" t="b">
        <f>C1899&gt;T1899</f>
        <v>0</v>
      </c>
    </row>
    <row r="1900" spans="1:21" x14ac:dyDescent="0.25">
      <c r="A1900" t="s">
        <v>1357</v>
      </c>
      <c r="B1900" s="1">
        <v>45996</v>
      </c>
      <c r="C1900" s="1">
        <v>46000</v>
      </c>
      <c r="D1900" t="s">
        <v>463</v>
      </c>
      <c r="E1900" t="s">
        <v>115</v>
      </c>
      <c r="F1900" t="s">
        <v>24</v>
      </c>
      <c r="G1900" t="s">
        <v>25</v>
      </c>
      <c r="H1900" t="s">
        <v>107</v>
      </c>
      <c r="I1900" s="2">
        <v>2</v>
      </c>
      <c r="J1900" s="3">
        <v>99</v>
      </c>
      <c r="K1900" s="4">
        <v>0</v>
      </c>
      <c r="L1900" s="3">
        <v>198</v>
      </c>
      <c r="M1900" t="b">
        <v>1</v>
      </c>
      <c r="N1900" s="2">
        <f>YEAR(B1900)</f>
        <v>2025</v>
      </c>
      <c r="O1900" t="str">
        <f>INDEX(Agences!$C:$C,MATCH(F1900,Agences!$A:$A,0))</f>
        <v>Nord</v>
      </c>
      <c r="P1900" t="str">
        <f>INDEX(Produits!$C:$C,MATCH(H1900,Produits!$A:$A,0))</f>
        <v>Informatique</v>
      </c>
      <c r="Q1900" s="3">
        <f>I1900*INDEX(Produits!$E:$E,MATCH(H1900,Produits!$A:$A,0))</f>
        <v>150.48</v>
      </c>
      <c r="R1900" s="3">
        <f>L1900-Q1900</f>
        <v>47.52000000000001</v>
      </c>
      <c r="S1900" s="2">
        <f>NETWORKDAYS(B1900,C1900)-1</f>
        <v>2</v>
      </c>
      <c r="T1900" s="1">
        <f>WORKDAY(B1900,5)</f>
        <v>46003</v>
      </c>
      <c r="U1900" t="b">
        <f>C1900&gt;T1900</f>
        <v>0</v>
      </c>
    </row>
    <row r="1901" spans="1:21" x14ac:dyDescent="0.25">
      <c r="A1901" t="s">
        <v>1357</v>
      </c>
      <c r="B1901" s="1">
        <v>45996</v>
      </c>
      <c r="C1901" s="1">
        <v>46000</v>
      </c>
      <c r="D1901" t="s">
        <v>463</v>
      </c>
      <c r="E1901" t="s">
        <v>115</v>
      </c>
      <c r="F1901" t="s">
        <v>24</v>
      </c>
      <c r="G1901" t="s">
        <v>25</v>
      </c>
      <c r="H1901" t="s">
        <v>50</v>
      </c>
      <c r="I1901" s="2">
        <v>4</v>
      </c>
      <c r="J1901" s="3">
        <v>69</v>
      </c>
      <c r="K1901" s="4">
        <v>0.02</v>
      </c>
      <c r="L1901" s="3">
        <v>270.48</v>
      </c>
      <c r="M1901" t="b">
        <v>1</v>
      </c>
      <c r="N1901" s="2">
        <f>YEAR(B1901)</f>
        <v>2025</v>
      </c>
      <c r="O1901" t="str">
        <f>INDEX(Agences!$C:$C,MATCH(F1901,Agences!$A:$A,0))</f>
        <v>Nord</v>
      </c>
      <c r="P1901" t="str">
        <f>INDEX(Produits!$C:$C,MATCH(H1901,Produits!$A:$A,0))</f>
        <v>Informatique</v>
      </c>
      <c r="Q1901" s="3">
        <f>I1901*INDEX(Produits!$E:$E,MATCH(H1901,Produits!$A:$A,0))</f>
        <v>218.04</v>
      </c>
      <c r="R1901" s="3">
        <f>L1901-Q1901</f>
        <v>52.440000000000026</v>
      </c>
      <c r="S1901" s="2">
        <f>NETWORKDAYS(B1901,C1901)-1</f>
        <v>2</v>
      </c>
      <c r="T1901" s="1">
        <f>WORKDAY(B1901,5)</f>
        <v>46003</v>
      </c>
      <c r="U1901" t="b">
        <f>C1901&gt;T1901</f>
        <v>0</v>
      </c>
    </row>
    <row r="1902" spans="1:21" x14ac:dyDescent="0.25">
      <c r="A1902" t="s">
        <v>1358</v>
      </c>
      <c r="B1902" s="1">
        <v>45996</v>
      </c>
      <c r="C1902" s="1">
        <v>45999</v>
      </c>
      <c r="D1902" t="s">
        <v>1359</v>
      </c>
      <c r="E1902" t="s">
        <v>122</v>
      </c>
      <c r="F1902" t="s">
        <v>24</v>
      </c>
      <c r="G1902" t="s">
        <v>25</v>
      </c>
      <c r="H1902" t="s">
        <v>35</v>
      </c>
      <c r="I1902" s="2">
        <v>3</v>
      </c>
      <c r="J1902" s="3">
        <v>79</v>
      </c>
      <c r="K1902" s="4">
        <v>0</v>
      </c>
      <c r="L1902" s="3">
        <v>237</v>
      </c>
      <c r="M1902" t="b">
        <v>1</v>
      </c>
      <c r="N1902" s="2">
        <f>YEAR(B1902)</f>
        <v>2025</v>
      </c>
      <c r="O1902" t="str">
        <f>INDEX(Agences!$C:$C,MATCH(F1902,Agences!$A:$A,0))</f>
        <v>Nord</v>
      </c>
      <c r="P1902" t="str">
        <f>INDEX(Produits!$C:$C,MATCH(H1902,Produits!$A:$A,0))</f>
        <v>Mobilier</v>
      </c>
      <c r="Q1902" s="3">
        <f>I1902*INDEX(Produits!$E:$E,MATCH(H1902,Produits!$A:$A,0))</f>
        <v>139.82999999999998</v>
      </c>
      <c r="R1902" s="3">
        <f>L1902-Q1902</f>
        <v>97.17000000000002</v>
      </c>
      <c r="S1902" s="2">
        <f>NETWORKDAYS(B1902,C1902)-1</f>
        <v>1</v>
      </c>
      <c r="T1902" s="1">
        <f>WORKDAY(B1902,5)</f>
        <v>46003</v>
      </c>
      <c r="U1902" t="b">
        <f>C1902&gt;T1902</f>
        <v>0</v>
      </c>
    </row>
    <row r="1903" spans="1:21" x14ac:dyDescent="0.25">
      <c r="A1903" t="s">
        <v>1360</v>
      </c>
      <c r="B1903" s="1">
        <v>45996</v>
      </c>
      <c r="C1903" s="1">
        <v>46000</v>
      </c>
      <c r="D1903" t="s">
        <v>1240</v>
      </c>
      <c r="E1903" t="s">
        <v>374</v>
      </c>
      <c r="F1903" t="s">
        <v>31</v>
      </c>
      <c r="G1903" t="s">
        <v>375</v>
      </c>
      <c r="H1903" t="s">
        <v>205</v>
      </c>
      <c r="I1903" s="2">
        <v>1</v>
      </c>
      <c r="J1903" s="3">
        <v>359</v>
      </c>
      <c r="K1903" s="4">
        <v>0</v>
      </c>
      <c r="L1903" s="3">
        <v>359</v>
      </c>
      <c r="M1903" t="b">
        <v>1</v>
      </c>
      <c r="N1903" s="2">
        <f>YEAR(B1903)</f>
        <v>2025</v>
      </c>
      <c r="O1903" t="str">
        <f>INDEX(Agences!$C:$C,MATCH(F1903,Agences!$A:$A,0))</f>
        <v>Ouest</v>
      </c>
      <c r="P1903" t="str">
        <f>INDEX(Produits!$C:$C,MATCH(H1903,Produits!$A:$A,0))</f>
        <v>Mobilier</v>
      </c>
      <c r="Q1903" s="3">
        <f>I1903*INDEX(Produits!$E:$E,MATCH(H1903,Produits!$A:$A,0))</f>
        <v>204.63</v>
      </c>
      <c r="R1903" s="3">
        <f>L1903-Q1903</f>
        <v>154.37</v>
      </c>
      <c r="S1903" s="2">
        <f>NETWORKDAYS(B1903,C1903)-1</f>
        <v>2</v>
      </c>
      <c r="T1903" s="1">
        <f>WORKDAY(B1903,5)</f>
        <v>46003</v>
      </c>
      <c r="U1903" t="b">
        <f>C1903&gt;T1903</f>
        <v>0</v>
      </c>
    </row>
    <row r="1904" spans="1:21" x14ac:dyDescent="0.25">
      <c r="A1904" t="s">
        <v>1360</v>
      </c>
      <c r="B1904" s="1">
        <v>45996</v>
      </c>
      <c r="C1904" s="1">
        <v>46000</v>
      </c>
      <c r="D1904" t="s">
        <v>1240</v>
      </c>
      <c r="E1904" t="s">
        <v>374</v>
      </c>
      <c r="F1904" t="s">
        <v>31</v>
      </c>
      <c r="G1904" t="s">
        <v>375</v>
      </c>
      <c r="H1904" t="s">
        <v>57</v>
      </c>
      <c r="I1904" s="2">
        <v>3</v>
      </c>
      <c r="J1904" s="3">
        <v>149</v>
      </c>
      <c r="K1904" s="4">
        <v>0.02</v>
      </c>
      <c r="L1904" s="3">
        <v>438.06</v>
      </c>
      <c r="M1904" t="b">
        <v>1</v>
      </c>
      <c r="N1904" s="2">
        <f>YEAR(B1904)</f>
        <v>2025</v>
      </c>
      <c r="O1904" t="str">
        <f>INDEX(Agences!$C:$C,MATCH(F1904,Agences!$A:$A,0))</f>
        <v>Ouest</v>
      </c>
      <c r="P1904" t="str">
        <f>INDEX(Produits!$C:$C,MATCH(H1904,Produits!$A:$A,0))</f>
        <v>Informatique</v>
      </c>
      <c r="Q1904" s="3">
        <f>I1904*INDEX(Produits!$E:$E,MATCH(H1904,Produits!$A:$A,0))</f>
        <v>344.19</v>
      </c>
      <c r="R1904" s="3">
        <f>L1904-Q1904</f>
        <v>93.87</v>
      </c>
      <c r="S1904" s="2">
        <f>NETWORKDAYS(B1904,C1904)-1</f>
        <v>2</v>
      </c>
      <c r="T1904" s="1">
        <f>WORKDAY(B1904,5)</f>
        <v>46003</v>
      </c>
      <c r="U1904" t="b">
        <f>C1904&gt;T1904</f>
        <v>0</v>
      </c>
    </row>
    <row r="1905" spans="1:21" x14ac:dyDescent="0.25">
      <c r="A1905" t="s">
        <v>1361</v>
      </c>
      <c r="B1905" s="1">
        <v>45996</v>
      </c>
      <c r="C1905" s="1">
        <v>46003</v>
      </c>
      <c r="D1905" t="s">
        <v>972</v>
      </c>
      <c r="E1905" t="s">
        <v>316</v>
      </c>
      <c r="F1905" t="s">
        <v>46</v>
      </c>
      <c r="G1905" t="s">
        <v>158</v>
      </c>
      <c r="H1905" t="s">
        <v>107</v>
      </c>
      <c r="I1905" s="2">
        <v>4</v>
      </c>
      <c r="J1905" s="3">
        <v>99</v>
      </c>
      <c r="K1905" s="4">
        <v>0</v>
      </c>
      <c r="L1905" s="3">
        <v>396</v>
      </c>
      <c r="M1905" t="b">
        <v>1</v>
      </c>
      <c r="N1905" s="2">
        <f>YEAR(B1905)</f>
        <v>2025</v>
      </c>
      <c r="O1905" t="str">
        <f>INDEX(Agences!$C:$C,MATCH(F1905,Agences!$A:$A,0))</f>
        <v>Est</v>
      </c>
      <c r="P1905" t="str">
        <f>INDEX(Produits!$C:$C,MATCH(H1905,Produits!$A:$A,0))</f>
        <v>Informatique</v>
      </c>
      <c r="Q1905" s="3">
        <f>I1905*INDEX(Produits!$E:$E,MATCH(H1905,Produits!$A:$A,0))</f>
        <v>300.96</v>
      </c>
      <c r="R1905" s="3">
        <f>L1905-Q1905</f>
        <v>95.04000000000002</v>
      </c>
      <c r="S1905" s="2">
        <f>NETWORKDAYS(B1905,C1905)-1</f>
        <v>5</v>
      </c>
      <c r="T1905" s="1">
        <f>WORKDAY(B1905,5)</f>
        <v>46003</v>
      </c>
      <c r="U1905" t="b">
        <f>C1905&gt;T1905</f>
        <v>0</v>
      </c>
    </row>
    <row r="1906" spans="1:21" x14ac:dyDescent="0.25">
      <c r="A1906" t="s">
        <v>1362</v>
      </c>
      <c r="B1906" s="1">
        <v>45996</v>
      </c>
      <c r="C1906" s="1">
        <v>46002</v>
      </c>
      <c r="D1906" t="s">
        <v>228</v>
      </c>
      <c r="E1906" t="s">
        <v>229</v>
      </c>
      <c r="F1906" t="s">
        <v>55</v>
      </c>
      <c r="G1906" t="s">
        <v>71</v>
      </c>
      <c r="H1906" t="s">
        <v>83</v>
      </c>
      <c r="I1906" s="2">
        <v>5</v>
      </c>
      <c r="J1906" s="3">
        <v>49</v>
      </c>
      <c r="K1906" s="4">
        <v>0.1</v>
      </c>
      <c r="L1906" s="3">
        <v>220.5</v>
      </c>
      <c r="M1906" t="b">
        <v>1</v>
      </c>
      <c r="N1906" s="2">
        <f>YEAR(B1906)</f>
        <v>2025</v>
      </c>
      <c r="O1906" t="str">
        <f>INDEX(Agences!$C:$C,MATCH(F1906,Agences!$A:$A,0))</f>
        <v>Est</v>
      </c>
      <c r="P1906" t="str">
        <f>INDEX(Produits!$C:$C,MATCH(H1906,Produits!$A:$A,0))</f>
        <v>Mobilier</v>
      </c>
      <c r="Q1906" s="3">
        <f>I1906*INDEX(Produits!$E:$E,MATCH(H1906,Produits!$A:$A,0))</f>
        <v>142.10000000000002</v>
      </c>
      <c r="R1906" s="3">
        <f>L1906-Q1906</f>
        <v>78.39999999999998</v>
      </c>
      <c r="S1906" s="2">
        <f>NETWORKDAYS(B1906,C1906)-1</f>
        <v>4</v>
      </c>
      <c r="T1906" s="1">
        <f>WORKDAY(B1906,5)</f>
        <v>46003</v>
      </c>
      <c r="U1906" t="b">
        <f>C1906&gt;T1906</f>
        <v>0</v>
      </c>
    </row>
    <row r="1907" spans="1:21" x14ac:dyDescent="0.25">
      <c r="A1907" t="s">
        <v>1362</v>
      </c>
      <c r="B1907" s="1">
        <v>45996</v>
      </c>
      <c r="C1907" s="1">
        <v>46002</v>
      </c>
      <c r="D1907" t="s">
        <v>228</v>
      </c>
      <c r="E1907" t="s">
        <v>229</v>
      </c>
      <c r="F1907" t="s">
        <v>55</v>
      </c>
      <c r="G1907" t="s">
        <v>71</v>
      </c>
      <c r="H1907" t="s">
        <v>51</v>
      </c>
      <c r="I1907" s="2">
        <v>1</v>
      </c>
      <c r="J1907" s="3">
        <v>180</v>
      </c>
      <c r="K1907" s="4">
        <v>0</v>
      </c>
      <c r="L1907" s="3">
        <v>180</v>
      </c>
      <c r="M1907" t="b">
        <v>1</v>
      </c>
      <c r="N1907" s="2">
        <f>YEAR(B1907)</f>
        <v>2025</v>
      </c>
      <c r="O1907" t="str">
        <f>INDEX(Agences!$C:$C,MATCH(F1907,Agences!$A:$A,0))</f>
        <v>Est</v>
      </c>
      <c r="P1907" t="str">
        <f>INDEX(Produits!$C:$C,MATCH(H1907,Produits!$A:$A,0))</f>
        <v>Maintenance</v>
      </c>
      <c r="Q1907" s="3">
        <f>I1907*INDEX(Produits!$E:$E,MATCH(H1907,Produits!$A:$A,0))</f>
        <v>82.8</v>
      </c>
      <c r="R1907" s="3">
        <f>L1907-Q1907</f>
        <v>97.2</v>
      </c>
      <c r="S1907" s="2">
        <f>NETWORKDAYS(B1907,C1907)-1</f>
        <v>4</v>
      </c>
      <c r="T1907" s="1">
        <f>WORKDAY(B1907,5)</f>
        <v>46003</v>
      </c>
      <c r="U1907" t="b">
        <f>C1907&gt;T1907</f>
        <v>0</v>
      </c>
    </row>
    <row r="1908" spans="1:21" x14ac:dyDescent="0.25">
      <c r="A1908" t="s">
        <v>1362</v>
      </c>
      <c r="B1908" s="1">
        <v>45996</v>
      </c>
      <c r="C1908" s="1">
        <v>46002</v>
      </c>
      <c r="D1908" t="s">
        <v>228</v>
      </c>
      <c r="E1908" t="s">
        <v>229</v>
      </c>
      <c r="F1908" t="s">
        <v>55</v>
      </c>
      <c r="G1908" t="s">
        <v>71</v>
      </c>
      <c r="H1908" t="s">
        <v>79</v>
      </c>
      <c r="I1908" s="2">
        <v>10</v>
      </c>
      <c r="J1908" s="3">
        <v>14.9</v>
      </c>
      <c r="K1908" s="4">
        <v>0</v>
      </c>
      <c r="L1908" s="3">
        <v>149</v>
      </c>
      <c r="M1908" t="b">
        <v>1</v>
      </c>
      <c r="N1908" s="2">
        <f>YEAR(B1908)</f>
        <v>2025</v>
      </c>
      <c r="O1908" t="str">
        <f>INDEX(Agences!$C:$C,MATCH(F1908,Agences!$A:$A,0))</f>
        <v>Est</v>
      </c>
      <c r="P1908" t="str">
        <f>INDEX(Produits!$C:$C,MATCH(H1908,Produits!$A:$A,0))</f>
        <v>Fournitures</v>
      </c>
      <c r="Q1908" s="3">
        <f>I1908*INDEX(Produits!$E:$E,MATCH(H1908,Produits!$A:$A,0))</f>
        <v>80.5</v>
      </c>
      <c r="R1908" s="3">
        <f>L1908-Q1908</f>
        <v>68.5</v>
      </c>
      <c r="S1908" s="2">
        <f>NETWORKDAYS(B1908,C1908)-1</f>
        <v>4</v>
      </c>
      <c r="T1908" s="1">
        <f>WORKDAY(B1908,5)</f>
        <v>46003</v>
      </c>
      <c r="U1908" t="b">
        <f>C1908&gt;T1908</f>
        <v>0</v>
      </c>
    </row>
    <row r="1909" spans="1:21" x14ac:dyDescent="0.25">
      <c r="A1909" t="s">
        <v>1362</v>
      </c>
      <c r="B1909" s="1">
        <v>45996</v>
      </c>
      <c r="C1909" s="1">
        <v>46002</v>
      </c>
      <c r="D1909" t="s">
        <v>228</v>
      </c>
      <c r="E1909" t="s">
        <v>229</v>
      </c>
      <c r="F1909" t="s">
        <v>55</v>
      </c>
      <c r="G1909" t="s">
        <v>71</v>
      </c>
      <c r="H1909" t="s">
        <v>162</v>
      </c>
      <c r="I1909" s="2">
        <v>3</v>
      </c>
      <c r="J1909" s="3">
        <v>289</v>
      </c>
      <c r="K1909" s="4">
        <v>0.05</v>
      </c>
      <c r="L1909" s="3">
        <v>823.65</v>
      </c>
      <c r="M1909" t="b">
        <v>1</v>
      </c>
      <c r="N1909" s="2">
        <f>YEAR(B1909)</f>
        <v>2025</v>
      </c>
      <c r="O1909" t="str">
        <f>INDEX(Agences!$C:$C,MATCH(F1909,Agences!$A:$A,0))</f>
        <v>Est</v>
      </c>
      <c r="P1909" t="str">
        <f>INDEX(Produits!$C:$C,MATCH(H1909,Produits!$A:$A,0))</f>
        <v>Mobilier</v>
      </c>
      <c r="Q1909" s="3">
        <f>I1909*INDEX(Produits!$E:$E,MATCH(H1909,Produits!$A:$A,0))</f>
        <v>580.89</v>
      </c>
      <c r="R1909" s="3">
        <f>L1909-Q1909</f>
        <v>242.76</v>
      </c>
      <c r="S1909" s="2">
        <f>NETWORKDAYS(B1909,C1909)-1</f>
        <v>4</v>
      </c>
      <c r="T1909" s="1">
        <f>WORKDAY(B1909,5)</f>
        <v>46003</v>
      </c>
      <c r="U1909" t="b">
        <f>C1909&gt;T1909</f>
        <v>0</v>
      </c>
    </row>
    <row r="1910" spans="1:21" x14ac:dyDescent="0.25">
      <c r="A1910" t="s">
        <v>1362</v>
      </c>
      <c r="B1910" s="1">
        <v>45996</v>
      </c>
      <c r="C1910" s="1">
        <v>46002</v>
      </c>
      <c r="D1910" t="s">
        <v>228</v>
      </c>
      <c r="E1910" t="s">
        <v>229</v>
      </c>
      <c r="F1910" t="s">
        <v>55</v>
      </c>
      <c r="G1910" t="s">
        <v>71</v>
      </c>
      <c r="H1910" t="s">
        <v>49</v>
      </c>
      <c r="I1910" s="2">
        <v>2</v>
      </c>
      <c r="J1910" s="3">
        <v>120</v>
      </c>
      <c r="K1910" s="4">
        <v>0</v>
      </c>
      <c r="L1910" s="3">
        <v>240</v>
      </c>
      <c r="M1910" t="b">
        <v>1</v>
      </c>
      <c r="N1910" s="2">
        <f>YEAR(B1910)</f>
        <v>2025</v>
      </c>
      <c r="O1910" t="str">
        <f>INDEX(Agences!$C:$C,MATCH(F1910,Agences!$A:$A,0))</f>
        <v>Est</v>
      </c>
      <c r="P1910" t="str">
        <f>INDEX(Produits!$C:$C,MATCH(H1910,Produits!$A:$A,0))</f>
        <v>Maintenance</v>
      </c>
      <c r="Q1910" s="3">
        <f>I1910*INDEX(Produits!$E:$E,MATCH(H1910,Produits!$A:$A,0))</f>
        <v>110.4</v>
      </c>
      <c r="R1910" s="3">
        <f>L1910-Q1910</f>
        <v>129.6</v>
      </c>
      <c r="S1910" s="2">
        <f>NETWORKDAYS(B1910,C1910)-1</f>
        <v>4</v>
      </c>
      <c r="T1910" s="1">
        <f>WORKDAY(B1910,5)</f>
        <v>46003</v>
      </c>
      <c r="U1910" t="b">
        <f>C1910&gt;T1910</f>
        <v>0</v>
      </c>
    </row>
    <row r="1911" spans="1:21" x14ac:dyDescent="0.25">
      <c r="A1911" t="s">
        <v>1363</v>
      </c>
      <c r="B1911" s="1">
        <v>45995</v>
      </c>
      <c r="C1911" s="1">
        <v>46001</v>
      </c>
      <c r="D1911" t="s">
        <v>1364</v>
      </c>
      <c r="E1911" t="s">
        <v>137</v>
      </c>
      <c r="F1911" t="s">
        <v>138</v>
      </c>
      <c r="G1911" t="s">
        <v>214</v>
      </c>
      <c r="H1911" t="s">
        <v>50</v>
      </c>
      <c r="I1911" s="2">
        <v>1</v>
      </c>
      <c r="J1911" s="3">
        <v>69</v>
      </c>
      <c r="K1911" s="4">
        <v>0</v>
      </c>
      <c r="L1911" s="3">
        <v>69</v>
      </c>
      <c r="M1911" t="b">
        <v>1</v>
      </c>
      <c r="N1911" s="2">
        <f>YEAR(B1911)</f>
        <v>2025</v>
      </c>
      <c r="O1911" t="str">
        <f>INDEX(Agences!$C:$C,MATCH(F1911,Agences!$A:$A,0))</f>
        <v>Île-de-France</v>
      </c>
      <c r="P1911" t="str">
        <f>INDEX(Produits!$C:$C,MATCH(H1911,Produits!$A:$A,0))</f>
        <v>Informatique</v>
      </c>
      <c r="Q1911" s="3">
        <f>I1911*INDEX(Produits!$E:$E,MATCH(H1911,Produits!$A:$A,0))</f>
        <v>54.51</v>
      </c>
      <c r="R1911" s="3">
        <f>L1911-Q1911</f>
        <v>14.490000000000002</v>
      </c>
      <c r="S1911" s="2">
        <f>NETWORKDAYS(B1911,C1911)-1</f>
        <v>4</v>
      </c>
      <c r="T1911" s="1">
        <f>WORKDAY(B1911,5)</f>
        <v>46002</v>
      </c>
      <c r="U1911" t="b">
        <f>C1911&gt;T1911</f>
        <v>0</v>
      </c>
    </row>
    <row r="1912" spans="1:21" x14ac:dyDescent="0.25">
      <c r="A1912" t="s">
        <v>1363</v>
      </c>
      <c r="B1912" s="1">
        <v>45995</v>
      </c>
      <c r="C1912" s="1">
        <v>46001</v>
      </c>
      <c r="D1912" t="s">
        <v>1364</v>
      </c>
      <c r="E1912" t="s">
        <v>137</v>
      </c>
      <c r="F1912" t="s">
        <v>138</v>
      </c>
      <c r="G1912" t="s">
        <v>214</v>
      </c>
      <c r="H1912" t="s">
        <v>107</v>
      </c>
      <c r="I1912" s="2">
        <v>4</v>
      </c>
      <c r="J1912" s="3">
        <v>99</v>
      </c>
      <c r="K1912" s="4">
        <v>0.02</v>
      </c>
      <c r="L1912" s="3">
        <v>388.08</v>
      </c>
      <c r="M1912" t="b">
        <v>1</v>
      </c>
      <c r="N1912" s="2">
        <f>YEAR(B1912)</f>
        <v>2025</v>
      </c>
      <c r="O1912" t="str">
        <f>INDEX(Agences!$C:$C,MATCH(F1912,Agences!$A:$A,0))</f>
        <v>Île-de-France</v>
      </c>
      <c r="P1912" t="str">
        <f>INDEX(Produits!$C:$C,MATCH(H1912,Produits!$A:$A,0))</f>
        <v>Informatique</v>
      </c>
      <c r="Q1912" s="3">
        <f>I1912*INDEX(Produits!$E:$E,MATCH(H1912,Produits!$A:$A,0))</f>
        <v>300.96</v>
      </c>
      <c r="R1912" s="3">
        <f>L1912-Q1912</f>
        <v>87.12</v>
      </c>
      <c r="S1912" s="2">
        <f>NETWORKDAYS(B1912,C1912)-1</f>
        <v>4</v>
      </c>
      <c r="T1912" s="1">
        <f>WORKDAY(B1912,5)</f>
        <v>46002</v>
      </c>
      <c r="U1912" t="b">
        <f>C1912&gt;T1912</f>
        <v>0</v>
      </c>
    </row>
    <row r="1913" spans="1:21" x14ac:dyDescent="0.25">
      <c r="A1913" t="s">
        <v>1365</v>
      </c>
      <c r="B1913" s="1">
        <v>45995</v>
      </c>
      <c r="C1913" s="1">
        <v>45999</v>
      </c>
      <c r="D1913" t="s">
        <v>1366</v>
      </c>
      <c r="E1913" t="s">
        <v>307</v>
      </c>
      <c r="F1913" t="s">
        <v>76</v>
      </c>
      <c r="G1913" t="s">
        <v>232</v>
      </c>
      <c r="H1913" t="s">
        <v>103</v>
      </c>
      <c r="I1913" s="2">
        <v>1</v>
      </c>
      <c r="J1913" s="3">
        <v>245</v>
      </c>
      <c r="K1913" s="4">
        <v>0</v>
      </c>
      <c r="L1913" s="3">
        <v>245</v>
      </c>
      <c r="M1913" t="b">
        <v>1</v>
      </c>
      <c r="N1913" s="2">
        <f>YEAR(B1913)</f>
        <v>2025</v>
      </c>
      <c r="O1913" t="str">
        <f>INDEX(Agences!$C:$C,MATCH(F1913,Agences!$A:$A,0))</f>
        <v>Île-de-France</v>
      </c>
      <c r="P1913" t="str">
        <f>INDEX(Produits!$C:$C,MATCH(H1913,Produits!$A:$A,0))</f>
        <v>Mobilier</v>
      </c>
      <c r="Q1913" s="3">
        <f>I1913*INDEX(Produits!$E:$E,MATCH(H1913,Produits!$A:$A,0))</f>
        <v>164.15</v>
      </c>
      <c r="R1913" s="3">
        <f>L1913-Q1913</f>
        <v>80.85</v>
      </c>
      <c r="S1913" s="2">
        <f>NETWORKDAYS(B1913,C1913)-1</f>
        <v>2</v>
      </c>
      <c r="T1913" s="1">
        <f>WORKDAY(B1913,5)</f>
        <v>46002</v>
      </c>
      <c r="U1913" t="b">
        <f>C1913&gt;T1913</f>
        <v>0</v>
      </c>
    </row>
    <row r="1914" spans="1:21" x14ac:dyDescent="0.25">
      <c r="A1914" t="s">
        <v>1365</v>
      </c>
      <c r="B1914" s="1">
        <v>45995</v>
      </c>
      <c r="C1914" s="1">
        <v>45999</v>
      </c>
      <c r="D1914" t="s">
        <v>1366</v>
      </c>
      <c r="E1914" t="s">
        <v>307</v>
      </c>
      <c r="F1914" t="s">
        <v>76</v>
      </c>
      <c r="G1914" t="s">
        <v>232</v>
      </c>
      <c r="H1914" t="s">
        <v>33</v>
      </c>
      <c r="I1914" s="2">
        <v>1</v>
      </c>
      <c r="J1914" s="3">
        <v>219</v>
      </c>
      <c r="K1914" s="4">
        <v>0</v>
      </c>
      <c r="L1914" s="3">
        <v>219</v>
      </c>
      <c r="M1914" t="b">
        <v>1</v>
      </c>
      <c r="N1914" s="2">
        <f>YEAR(B1914)</f>
        <v>2025</v>
      </c>
      <c r="O1914" t="str">
        <f>INDEX(Agences!$C:$C,MATCH(F1914,Agences!$A:$A,0))</f>
        <v>Île-de-France</v>
      </c>
      <c r="P1914" t="str">
        <f>INDEX(Produits!$C:$C,MATCH(H1914,Produits!$A:$A,0))</f>
        <v>Informatique</v>
      </c>
      <c r="Q1914" s="3">
        <f>I1914*INDEX(Produits!$E:$E,MATCH(H1914,Produits!$A:$A,0))</f>
        <v>179.58</v>
      </c>
      <c r="R1914" s="3">
        <f>L1914-Q1914</f>
        <v>39.41999999999999</v>
      </c>
      <c r="S1914" s="2">
        <f>NETWORKDAYS(B1914,C1914)-1</f>
        <v>2</v>
      </c>
      <c r="T1914" s="1">
        <f>WORKDAY(B1914,5)</f>
        <v>46002</v>
      </c>
      <c r="U1914" t="b">
        <f>C1914&gt;T1914</f>
        <v>0</v>
      </c>
    </row>
    <row r="1915" spans="1:21" x14ac:dyDescent="0.25">
      <c r="A1915" t="s">
        <v>1367</v>
      </c>
      <c r="B1915" s="1">
        <v>45995</v>
      </c>
      <c r="C1915" s="1">
        <v>46002</v>
      </c>
      <c r="D1915" t="s">
        <v>1368</v>
      </c>
      <c r="E1915" t="s">
        <v>229</v>
      </c>
      <c r="F1915" t="s">
        <v>55</v>
      </c>
      <c r="G1915" t="s">
        <v>56</v>
      </c>
      <c r="H1915" t="s">
        <v>83</v>
      </c>
      <c r="I1915" s="2">
        <v>1</v>
      </c>
      <c r="J1915" s="3">
        <v>49</v>
      </c>
      <c r="K1915" s="4">
        <v>0</v>
      </c>
      <c r="L1915" s="3">
        <v>49</v>
      </c>
      <c r="M1915" t="b">
        <v>1</v>
      </c>
      <c r="N1915" s="2">
        <f>YEAR(B1915)</f>
        <v>2025</v>
      </c>
      <c r="O1915" t="str">
        <f>INDEX(Agences!$C:$C,MATCH(F1915,Agences!$A:$A,0))</f>
        <v>Est</v>
      </c>
      <c r="P1915" t="str">
        <f>INDEX(Produits!$C:$C,MATCH(H1915,Produits!$A:$A,0))</f>
        <v>Mobilier</v>
      </c>
      <c r="Q1915" s="3">
        <f>I1915*INDEX(Produits!$E:$E,MATCH(H1915,Produits!$A:$A,0))</f>
        <v>28.42</v>
      </c>
      <c r="R1915" s="3">
        <f>L1915-Q1915</f>
        <v>20.58</v>
      </c>
      <c r="S1915" s="2">
        <f>NETWORKDAYS(B1915,C1915)-1</f>
        <v>5</v>
      </c>
      <c r="T1915" s="1">
        <f>WORKDAY(B1915,5)</f>
        <v>46002</v>
      </c>
      <c r="U1915" t="b">
        <f>C1915&gt;T1915</f>
        <v>0</v>
      </c>
    </row>
    <row r="1916" spans="1:21" x14ac:dyDescent="0.25">
      <c r="A1916" t="s">
        <v>1367</v>
      </c>
      <c r="B1916" s="1">
        <v>45995</v>
      </c>
      <c r="C1916" s="1">
        <v>46002</v>
      </c>
      <c r="D1916" t="s">
        <v>1368</v>
      </c>
      <c r="E1916" t="s">
        <v>229</v>
      </c>
      <c r="F1916" t="s">
        <v>55</v>
      </c>
      <c r="G1916" t="s">
        <v>56</v>
      </c>
      <c r="H1916" t="s">
        <v>90</v>
      </c>
      <c r="I1916" s="2">
        <v>10</v>
      </c>
      <c r="J1916" s="3">
        <v>22.9</v>
      </c>
      <c r="K1916" s="4">
        <v>0.08</v>
      </c>
      <c r="L1916" s="3">
        <v>210.68</v>
      </c>
      <c r="M1916" t="b">
        <v>1</v>
      </c>
      <c r="N1916" s="2">
        <f>YEAR(B1916)</f>
        <v>2025</v>
      </c>
      <c r="O1916" t="str">
        <f>INDEX(Agences!$C:$C,MATCH(F1916,Agences!$A:$A,0))</f>
        <v>Est</v>
      </c>
      <c r="P1916" t="str">
        <f>INDEX(Produits!$C:$C,MATCH(H1916,Produits!$A:$A,0))</f>
        <v>Fournitures</v>
      </c>
      <c r="Q1916" s="3">
        <f>I1916*INDEX(Produits!$E:$E,MATCH(H1916,Produits!$A:$A,0))</f>
        <v>128.2</v>
      </c>
      <c r="R1916" s="3">
        <f>L1916-Q1916</f>
        <v>82.48000000000002</v>
      </c>
      <c r="S1916" s="2">
        <f>NETWORKDAYS(B1916,C1916)-1</f>
        <v>5</v>
      </c>
      <c r="T1916" s="1">
        <f>WORKDAY(B1916,5)</f>
        <v>46002</v>
      </c>
      <c r="U1916" t="b">
        <f>C1916&gt;T1916</f>
        <v>0</v>
      </c>
    </row>
    <row r="1917" spans="1:21" x14ac:dyDescent="0.25">
      <c r="A1917" t="s">
        <v>1369</v>
      </c>
      <c r="B1917" s="1">
        <v>45994</v>
      </c>
      <c r="C1917" s="1">
        <v>45999</v>
      </c>
      <c r="D1917" t="s">
        <v>1370</v>
      </c>
      <c r="E1917" t="s">
        <v>175</v>
      </c>
      <c r="F1917" t="s">
        <v>76</v>
      </c>
      <c r="G1917" t="s">
        <v>176</v>
      </c>
      <c r="H1917" t="s">
        <v>34</v>
      </c>
      <c r="I1917" s="2">
        <v>3</v>
      </c>
      <c r="J1917" s="3">
        <v>340</v>
      </c>
      <c r="K1917" s="4">
        <v>0.1</v>
      </c>
      <c r="L1917" s="3">
        <v>918</v>
      </c>
      <c r="M1917" t="b">
        <v>1</v>
      </c>
      <c r="N1917" s="2">
        <f>YEAR(B1917)</f>
        <v>2025</v>
      </c>
      <c r="O1917" t="str">
        <f>INDEX(Agences!$C:$C,MATCH(F1917,Agences!$A:$A,0))</f>
        <v>Île-de-France</v>
      </c>
      <c r="P1917" t="str">
        <f>INDEX(Produits!$C:$C,MATCH(H1917,Produits!$A:$A,0))</f>
        <v>Informatique</v>
      </c>
      <c r="Q1917" s="3">
        <f>I1917*INDEX(Produits!$E:$E,MATCH(H1917,Produits!$A:$A,0))</f>
        <v>826.1999999999999</v>
      </c>
      <c r="R1917" s="3">
        <f>L1917-Q1917</f>
        <v>91.80000000000007</v>
      </c>
      <c r="S1917" s="2">
        <f>NETWORKDAYS(B1917,C1917)-1</f>
        <v>3</v>
      </c>
      <c r="T1917" s="1">
        <f>WORKDAY(B1917,5)</f>
        <v>46001</v>
      </c>
      <c r="U1917" t="b">
        <f>C1917&gt;T1917</f>
        <v>0</v>
      </c>
    </row>
    <row r="1918" spans="1:21" x14ac:dyDescent="0.25">
      <c r="A1918" t="s">
        <v>1369</v>
      </c>
      <c r="B1918" s="1">
        <v>45994</v>
      </c>
      <c r="C1918" s="1">
        <v>45999</v>
      </c>
      <c r="D1918" t="s">
        <v>1370</v>
      </c>
      <c r="E1918" t="s">
        <v>175</v>
      </c>
      <c r="F1918" t="s">
        <v>76</v>
      </c>
      <c r="G1918" t="s">
        <v>176</v>
      </c>
      <c r="H1918" t="s">
        <v>112</v>
      </c>
      <c r="I1918" s="2">
        <v>7</v>
      </c>
      <c r="J1918" s="3">
        <v>129</v>
      </c>
      <c r="K1918" s="4">
        <v>0.02</v>
      </c>
      <c r="L1918" s="3">
        <v>884.94</v>
      </c>
      <c r="M1918" t="b">
        <v>1</v>
      </c>
      <c r="N1918" s="2">
        <f>YEAR(B1918)</f>
        <v>2025</v>
      </c>
      <c r="O1918" t="str">
        <f>INDEX(Agences!$C:$C,MATCH(F1918,Agences!$A:$A,0))</f>
        <v>Île-de-France</v>
      </c>
      <c r="P1918" t="str">
        <f>INDEX(Produits!$C:$C,MATCH(H1918,Produits!$A:$A,0))</f>
        <v>Mobilier</v>
      </c>
      <c r="Q1918" s="3">
        <f>I1918*INDEX(Produits!$E:$E,MATCH(H1918,Produits!$A:$A,0))</f>
        <v>605.01</v>
      </c>
      <c r="R1918" s="3">
        <f>L1918-Q1918</f>
        <v>279.93000000000006</v>
      </c>
      <c r="S1918" s="2">
        <f>NETWORKDAYS(B1918,C1918)-1</f>
        <v>3</v>
      </c>
      <c r="T1918" s="1">
        <f>WORKDAY(B1918,5)</f>
        <v>46001</v>
      </c>
      <c r="U1918" t="b">
        <f>C1918&gt;T1918</f>
        <v>0</v>
      </c>
    </row>
    <row r="1919" spans="1:21" x14ac:dyDescent="0.25">
      <c r="A1919" t="s">
        <v>1371</v>
      </c>
      <c r="B1919" s="1">
        <v>45994</v>
      </c>
      <c r="C1919" s="1">
        <v>45996</v>
      </c>
      <c r="D1919" t="s">
        <v>164</v>
      </c>
      <c r="E1919" t="s">
        <v>165</v>
      </c>
      <c r="F1919" t="s">
        <v>166</v>
      </c>
      <c r="G1919" t="s">
        <v>179</v>
      </c>
      <c r="H1919" t="s">
        <v>107</v>
      </c>
      <c r="I1919" s="2">
        <v>1</v>
      </c>
      <c r="J1919" s="3">
        <v>99</v>
      </c>
      <c r="K1919" s="4">
        <v>0</v>
      </c>
      <c r="L1919" s="3">
        <v>99</v>
      </c>
      <c r="M1919" t="b">
        <v>1</v>
      </c>
      <c r="N1919" s="2">
        <f>YEAR(B1919)</f>
        <v>2025</v>
      </c>
      <c r="O1919" t="str">
        <f>INDEX(Agences!$C:$C,MATCH(F1919,Agences!$A:$A,0))</f>
        <v>Ouest</v>
      </c>
      <c r="P1919" t="str">
        <f>INDEX(Produits!$C:$C,MATCH(H1919,Produits!$A:$A,0))</f>
        <v>Informatique</v>
      </c>
      <c r="Q1919" s="3">
        <f>I1919*INDEX(Produits!$E:$E,MATCH(H1919,Produits!$A:$A,0))</f>
        <v>75.24</v>
      </c>
      <c r="R1919" s="3">
        <f>L1919-Q1919</f>
        <v>23.760000000000005</v>
      </c>
      <c r="S1919" s="2">
        <f>NETWORKDAYS(B1919,C1919)-1</f>
        <v>2</v>
      </c>
      <c r="T1919" s="1">
        <f>WORKDAY(B1919,5)</f>
        <v>46001</v>
      </c>
      <c r="U1919" t="b">
        <f>C1919&gt;T1919</f>
        <v>0</v>
      </c>
    </row>
    <row r="1920" spans="1:21" x14ac:dyDescent="0.25">
      <c r="A1920" t="s">
        <v>1371</v>
      </c>
      <c r="B1920" s="1">
        <v>45994</v>
      </c>
      <c r="C1920" s="1">
        <v>45996</v>
      </c>
      <c r="D1920" t="s">
        <v>164</v>
      </c>
      <c r="E1920" t="s">
        <v>165</v>
      </c>
      <c r="F1920" t="s">
        <v>166</v>
      </c>
      <c r="G1920" t="s">
        <v>179</v>
      </c>
      <c r="H1920" t="s">
        <v>49</v>
      </c>
      <c r="I1920" s="2">
        <v>1</v>
      </c>
      <c r="J1920" s="3">
        <v>120</v>
      </c>
      <c r="K1920" s="4">
        <v>0</v>
      </c>
      <c r="L1920" s="3">
        <v>120</v>
      </c>
      <c r="M1920" t="b">
        <v>1</v>
      </c>
      <c r="N1920" s="2">
        <f>YEAR(B1920)</f>
        <v>2025</v>
      </c>
      <c r="O1920" t="str">
        <f>INDEX(Agences!$C:$C,MATCH(F1920,Agences!$A:$A,0))</f>
        <v>Ouest</v>
      </c>
      <c r="P1920" t="str">
        <f>INDEX(Produits!$C:$C,MATCH(H1920,Produits!$A:$A,0))</f>
        <v>Maintenance</v>
      </c>
      <c r="Q1920" s="3">
        <f>I1920*INDEX(Produits!$E:$E,MATCH(H1920,Produits!$A:$A,0))</f>
        <v>55.2</v>
      </c>
      <c r="R1920" s="3">
        <f>L1920-Q1920</f>
        <v>64.8</v>
      </c>
      <c r="S1920" s="2">
        <f>NETWORKDAYS(B1920,C1920)-1</f>
        <v>2</v>
      </c>
      <c r="T1920" s="1">
        <f>WORKDAY(B1920,5)</f>
        <v>46001</v>
      </c>
      <c r="U1920" t="b">
        <f>C1920&gt;T1920</f>
        <v>0</v>
      </c>
    </row>
    <row r="1921" spans="1:21" x14ac:dyDescent="0.25">
      <c r="A1921" t="s">
        <v>1371</v>
      </c>
      <c r="B1921" s="1">
        <v>45994</v>
      </c>
      <c r="C1921" s="1">
        <v>45996</v>
      </c>
      <c r="D1921" t="s">
        <v>164</v>
      </c>
      <c r="E1921" t="s">
        <v>165</v>
      </c>
      <c r="F1921" t="s">
        <v>166</v>
      </c>
      <c r="G1921" t="s">
        <v>179</v>
      </c>
      <c r="H1921" t="s">
        <v>196</v>
      </c>
      <c r="I1921" s="2">
        <v>5</v>
      </c>
      <c r="J1921" s="3">
        <v>18.5</v>
      </c>
      <c r="K1921" s="4">
        <v>0</v>
      </c>
      <c r="L1921" s="3">
        <v>92.5</v>
      </c>
      <c r="M1921" t="b">
        <v>1</v>
      </c>
      <c r="N1921" s="2">
        <f>YEAR(B1921)</f>
        <v>2025</v>
      </c>
      <c r="O1921" t="str">
        <f>INDEX(Agences!$C:$C,MATCH(F1921,Agences!$A:$A,0))</f>
        <v>Ouest</v>
      </c>
      <c r="P1921" t="str">
        <f>INDEX(Produits!$C:$C,MATCH(H1921,Produits!$A:$A,0))</f>
        <v>Fournitures</v>
      </c>
      <c r="Q1921" s="3">
        <f>I1921*INDEX(Produits!$E:$E,MATCH(H1921,Produits!$A:$A,0))</f>
        <v>47.199999999999996</v>
      </c>
      <c r="R1921" s="3">
        <f>L1921-Q1921</f>
        <v>45.300000000000004</v>
      </c>
      <c r="S1921" s="2">
        <f>NETWORKDAYS(B1921,C1921)-1</f>
        <v>2</v>
      </c>
      <c r="T1921" s="1">
        <f>WORKDAY(B1921,5)</f>
        <v>46001</v>
      </c>
      <c r="U1921" t="b">
        <f>C1921&gt;T1921</f>
        <v>0</v>
      </c>
    </row>
    <row r="1922" spans="1:21" x14ac:dyDescent="0.25">
      <c r="A1922" t="s">
        <v>1372</v>
      </c>
      <c r="B1922" s="1">
        <v>45994</v>
      </c>
      <c r="C1922" s="1">
        <v>46000</v>
      </c>
      <c r="D1922" t="s">
        <v>821</v>
      </c>
      <c r="E1922" t="s">
        <v>236</v>
      </c>
      <c r="F1922" t="s">
        <v>39</v>
      </c>
      <c r="G1922" t="s">
        <v>322</v>
      </c>
      <c r="H1922" t="s">
        <v>162</v>
      </c>
      <c r="I1922" s="2">
        <v>8</v>
      </c>
      <c r="J1922" s="3">
        <v>289</v>
      </c>
      <c r="K1922" s="4">
        <v>0.05</v>
      </c>
      <c r="L1922" s="3">
        <v>2196.4</v>
      </c>
      <c r="M1922" t="b">
        <v>1</v>
      </c>
      <c r="N1922" s="2">
        <f>YEAR(B1922)</f>
        <v>2025</v>
      </c>
      <c r="O1922" t="str">
        <f>INDEX(Agences!$C:$C,MATCH(F1922,Agences!$A:$A,0))</f>
        <v>Sud-Ouest</v>
      </c>
      <c r="P1922" t="str">
        <f>INDEX(Produits!$C:$C,MATCH(H1922,Produits!$A:$A,0))</f>
        <v>Mobilier</v>
      </c>
      <c r="Q1922" s="3">
        <f>I1922*INDEX(Produits!$E:$E,MATCH(H1922,Produits!$A:$A,0))</f>
        <v>1549.04</v>
      </c>
      <c r="R1922" s="3">
        <f>L1922-Q1922</f>
        <v>647.3600000000001</v>
      </c>
      <c r="S1922" s="2">
        <f>NETWORKDAYS(B1922,C1922)-1</f>
        <v>4</v>
      </c>
      <c r="T1922" s="1">
        <f>WORKDAY(B1922,5)</f>
        <v>46001</v>
      </c>
      <c r="U1922" t="b">
        <f>C1922&gt;T1922</f>
        <v>0</v>
      </c>
    </row>
    <row r="1923" spans="1:21" x14ac:dyDescent="0.25">
      <c r="A1923" t="s">
        <v>1373</v>
      </c>
      <c r="B1923" s="1">
        <v>45994</v>
      </c>
      <c r="C1923" s="1">
        <v>45999</v>
      </c>
      <c r="D1923" t="s">
        <v>1374</v>
      </c>
      <c r="E1923" t="s">
        <v>82</v>
      </c>
      <c r="F1923" t="s">
        <v>39</v>
      </c>
      <c r="G1923" t="s">
        <v>40</v>
      </c>
      <c r="H1923" t="s">
        <v>49</v>
      </c>
      <c r="I1923" s="2">
        <v>2</v>
      </c>
      <c r="J1923" s="3">
        <v>120</v>
      </c>
      <c r="K1923" s="4">
        <v>0.05</v>
      </c>
      <c r="L1923" s="3">
        <v>228</v>
      </c>
      <c r="M1923" t="b">
        <v>1</v>
      </c>
      <c r="N1923" s="2">
        <f>YEAR(B1923)</f>
        <v>2025</v>
      </c>
      <c r="O1923" t="str">
        <f>INDEX(Agences!$C:$C,MATCH(F1923,Agences!$A:$A,0))</f>
        <v>Sud-Ouest</v>
      </c>
      <c r="P1923" t="str">
        <f>INDEX(Produits!$C:$C,MATCH(H1923,Produits!$A:$A,0))</f>
        <v>Maintenance</v>
      </c>
      <c r="Q1923" s="3">
        <f>I1923*INDEX(Produits!$E:$E,MATCH(H1923,Produits!$A:$A,0))</f>
        <v>110.4</v>
      </c>
      <c r="R1923" s="3">
        <f>L1923-Q1923</f>
        <v>117.6</v>
      </c>
      <c r="S1923" s="2">
        <f>NETWORKDAYS(B1923,C1923)-1</f>
        <v>3</v>
      </c>
      <c r="T1923" s="1">
        <f>WORKDAY(B1923,5)</f>
        <v>46001</v>
      </c>
      <c r="U1923" t="b">
        <f>C1923&gt;T1923</f>
        <v>0</v>
      </c>
    </row>
    <row r="1924" spans="1:21" x14ac:dyDescent="0.25">
      <c r="A1924" t="s">
        <v>1373</v>
      </c>
      <c r="B1924" s="1">
        <v>45994</v>
      </c>
      <c r="C1924" s="1">
        <v>45999</v>
      </c>
      <c r="D1924" t="s">
        <v>1374</v>
      </c>
      <c r="E1924" t="s">
        <v>82</v>
      </c>
      <c r="F1924" t="s">
        <v>39</v>
      </c>
      <c r="G1924" t="s">
        <v>40</v>
      </c>
      <c r="H1924" t="s">
        <v>42</v>
      </c>
      <c r="I1924" s="2">
        <v>1</v>
      </c>
      <c r="J1924" s="3">
        <v>55</v>
      </c>
      <c r="K1924" s="4">
        <v>0</v>
      </c>
      <c r="L1924" s="3">
        <v>55</v>
      </c>
      <c r="M1924" t="b">
        <v>1</v>
      </c>
      <c r="N1924" s="2">
        <f>YEAR(B1924)</f>
        <v>2025</v>
      </c>
      <c r="O1924" t="str">
        <f>INDEX(Agences!$C:$C,MATCH(F1924,Agences!$A:$A,0))</f>
        <v>Sud-Ouest</v>
      </c>
      <c r="P1924" t="str">
        <f>INDEX(Produits!$C:$C,MATCH(H1924,Produits!$A:$A,0))</f>
        <v>Maintenance</v>
      </c>
      <c r="Q1924" s="3">
        <f>I1924*INDEX(Produits!$E:$E,MATCH(H1924,Produits!$A:$A,0))</f>
        <v>24.75</v>
      </c>
      <c r="R1924" s="3">
        <f>L1924-Q1924</f>
        <v>30.25</v>
      </c>
      <c r="S1924" s="2">
        <f>NETWORKDAYS(B1924,C1924)-1</f>
        <v>3</v>
      </c>
      <c r="T1924" s="1">
        <f>WORKDAY(B1924,5)</f>
        <v>46001</v>
      </c>
      <c r="U1924" t="b">
        <f>C1924&gt;T1924</f>
        <v>0</v>
      </c>
    </row>
    <row r="1925" spans="1:21" x14ac:dyDescent="0.25">
      <c r="A1925" t="s">
        <v>1375</v>
      </c>
      <c r="B1925" s="1">
        <v>45994</v>
      </c>
      <c r="C1925" s="1">
        <v>45996</v>
      </c>
      <c r="D1925" t="s">
        <v>1376</v>
      </c>
      <c r="E1925" t="s">
        <v>87</v>
      </c>
      <c r="F1925" t="s">
        <v>88</v>
      </c>
      <c r="G1925" t="s">
        <v>226</v>
      </c>
      <c r="H1925" t="s">
        <v>50</v>
      </c>
      <c r="I1925" s="2">
        <v>6</v>
      </c>
      <c r="J1925" s="3">
        <v>69</v>
      </c>
      <c r="K1925" s="4">
        <v>0.02</v>
      </c>
      <c r="L1925" s="3">
        <v>405.72</v>
      </c>
      <c r="M1925" t="b">
        <v>1</v>
      </c>
      <c r="N1925" s="2">
        <f>YEAR(B1925)</f>
        <v>2025</v>
      </c>
      <c r="O1925" t="str">
        <f>INDEX(Agences!$C:$C,MATCH(F1925,Agences!$A:$A,0))</f>
        <v>Sud-Ouest</v>
      </c>
      <c r="P1925" t="str">
        <f>INDEX(Produits!$C:$C,MATCH(H1925,Produits!$A:$A,0))</f>
        <v>Informatique</v>
      </c>
      <c r="Q1925" s="3">
        <f>I1925*INDEX(Produits!$E:$E,MATCH(H1925,Produits!$A:$A,0))</f>
        <v>327.06</v>
      </c>
      <c r="R1925" s="3">
        <f>L1925-Q1925</f>
        <v>78.66000000000003</v>
      </c>
      <c r="S1925" s="2">
        <f>NETWORKDAYS(B1925,C1925)-1</f>
        <v>2</v>
      </c>
      <c r="T1925" s="1">
        <f>WORKDAY(B1925,5)</f>
        <v>46001</v>
      </c>
      <c r="U1925" t="b">
        <f>C1925&gt;T1925</f>
        <v>0</v>
      </c>
    </row>
    <row r="1926" spans="1:21" x14ac:dyDescent="0.25">
      <c r="A1926" t="s">
        <v>1375</v>
      </c>
      <c r="B1926" s="1">
        <v>45994</v>
      </c>
      <c r="C1926" s="1">
        <v>45996</v>
      </c>
      <c r="D1926" t="s">
        <v>1376</v>
      </c>
      <c r="E1926" t="s">
        <v>87</v>
      </c>
      <c r="F1926" t="s">
        <v>88</v>
      </c>
      <c r="G1926" t="s">
        <v>226</v>
      </c>
      <c r="H1926" t="s">
        <v>107</v>
      </c>
      <c r="I1926" s="2">
        <v>2</v>
      </c>
      <c r="J1926" s="3">
        <v>99</v>
      </c>
      <c r="K1926" s="4">
        <v>0</v>
      </c>
      <c r="L1926" s="3">
        <v>198</v>
      </c>
      <c r="M1926" t="b">
        <v>1</v>
      </c>
      <c r="N1926" s="2">
        <f>YEAR(B1926)</f>
        <v>2025</v>
      </c>
      <c r="O1926" t="str">
        <f>INDEX(Agences!$C:$C,MATCH(F1926,Agences!$A:$A,0))</f>
        <v>Sud-Ouest</v>
      </c>
      <c r="P1926" t="str">
        <f>INDEX(Produits!$C:$C,MATCH(H1926,Produits!$A:$A,0))</f>
        <v>Informatique</v>
      </c>
      <c r="Q1926" s="3">
        <f>I1926*INDEX(Produits!$E:$E,MATCH(H1926,Produits!$A:$A,0))</f>
        <v>150.48</v>
      </c>
      <c r="R1926" s="3">
        <f>L1926-Q1926</f>
        <v>47.52000000000001</v>
      </c>
      <c r="S1926" s="2">
        <f>NETWORKDAYS(B1926,C1926)-1</f>
        <v>2</v>
      </c>
      <c r="T1926" s="1">
        <f>WORKDAY(B1926,5)</f>
        <v>46001</v>
      </c>
      <c r="U1926" t="b">
        <f>C1926&gt;T1926</f>
        <v>0</v>
      </c>
    </row>
    <row r="1927" spans="1:21" x14ac:dyDescent="0.25">
      <c r="A1927" t="s">
        <v>1375</v>
      </c>
      <c r="B1927" s="1">
        <v>45994</v>
      </c>
      <c r="C1927" s="1">
        <v>45996</v>
      </c>
      <c r="D1927" t="s">
        <v>1376</v>
      </c>
      <c r="E1927" t="s">
        <v>87</v>
      </c>
      <c r="F1927" t="s">
        <v>88</v>
      </c>
      <c r="G1927" t="s">
        <v>226</v>
      </c>
      <c r="H1927" t="s">
        <v>103</v>
      </c>
      <c r="I1927" s="2">
        <v>1</v>
      </c>
      <c r="J1927" s="3">
        <v>245</v>
      </c>
      <c r="K1927" s="4">
        <v>0</v>
      </c>
      <c r="L1927" s="3">
        <v>245</v>
      </c>
      <c r="M1927" t="b">
        <v>1</v>
      </c>
      <c r="N1927" s="2">
        <f>YEAR(B1927)</f>
        <v>2025</v>
      </c>
      <c r="O1927" t="str">
        <f>INDEX(Agences!$C:$C,MATCH(F1927,Agences!$A:$A,0))</f>
        <v>Sud-Ouest</v>
      </c>
      <c r="P1927" t="str">
        <f>INDEX(Produits!$C:$C,MATCH(H1927,Produits!$A:$A,0))</f>
        <v>Mobilier</v>
      </c>
      <c r="Q1927" s="3">
        <f>I1927*INDEX(Produits!$E:$E,MATCH(H1927,Produits!$A:$A,0))</f>
        <v>164.15</v>
      </c>
      <c r="R1927" s="3">
        <f>L1927-Q1927</f>
        <v>80.85</v>
      </c>
      <c r="S1927" s="2">
        <f>NETWORKDAYS(B1927,C1927)-1</f>
        <v>2</v>
      </c>
      <c r="T1927" s="1">
        <f>WORKDAY(B1927,5)</f>
        <v>46001</v>
      </c>
      <c r="U1927" t="b">
        <f>C1927&gt;T1927</f>
        <v>0</v>
      </c>
    </row>
    <row r="1928" spans="1:21" x14ac:dyDescent="0.25">
      <c r="A1928" t="s">
        <v>1375</v>
      </c>
      <c r="B1928" s="1">
        <v>45994</v>
      </c>
      <c r="C1928" s="1">
        <v>45996</v>
      </c>
      <c r="D1928" t="s">
        <v>1376</v>
      </c>
      <c r="E1928" t="s">
        <v>87</v>
      </c>
      <c r="F1928" t="s">
        <v>88</v>
      </c>
      <c r="G1928" t="s">
        <v>226</v>
      </c>
      <c r="H1928" t="s">
        <v>35</v>
      </c>
      <c r="I1928" s="2">
        <v>2</v>
      </c>
      <c r="J1928" s="3">
        <v>79</v>
      </c>
      <c r="K1928" s="4">
        <v>0</v>
      </c>
      <c r="L1928" s="3">
        <v>158</v>
      </c>
      <c r="M1928" t="b">
        <v>1</v>
      </c>
      <c r="N1928" s="2">
        <f>YEAR(B1928)</f>
        <v>2025</v>
      </c>
      <c r="O1928" t="str">
        <f>INDEX(Agences!$C:$C,MATCH(F1928,Agences!$A:$A,0))</f>
        <v>Sud-Ouest</v>
      </c>
      <c r="P1928" t="str">
        <f>INDEX(Produits!$C:$C,MATCH(H1928,Produits!$A:$A,0))</f>
        <v>Mobilier</v>
      </c>
      <c r="Q1928" s="3">
        <f>I1928*INDEX(Produits!$E:$E,MATCH(H1928,Produits!$A:$A,0))</f>
        <v>93.22</v>
      </c>
      <c r="R1928" s="3">
        <f>L1928-Q1928</f>
        <v>64.78</v>
      </c>
      <c r="S1928" s="2">
        <f>NETWORKDAYS(B1928,C1928)-1</f>
        <v>2</v>
      </c>
      <c r="T1928" s="1">
        <f>WORKDAY(B1928,5)</f>
        <v>46001</v>
      </c>
      <c r="U1928" t="b">
        <f>C1928&gt;T1928</f>
        <v>0</v>
      </c>
    </row>
    <row r="1929" spans="1:21" x14ac:dyDescent="0.25">
      <c r="A1929" t="s">
        <v>1375</v>
      </c>
      <c r="B1929" s="1">
        <v>45994</v>
      </c>
      <c r="C1929" s="1">
        <v>45996</v>
      </c>
      <c r="D1929" t="s">
        <v>1376</v>
      </c>
      <c r="E1929" t="s">
        <v>87</v>
      </c>
      <c r="F1929" t="s">
        <v>88</v>
      </c>
      <c r="G1929" t="s">
        <v>226</v>
      </c>
      <c r="H1929" t="s">
        <v>51</v>
      </c>
      <c r="I1929" s="2">
        <v>1</v>
      </c>
      <c r="J1929" s="3">
        <v>180</v>
      </c>
      <c r="K1929" s="4">
        <v>0</v>
      </c>
      <c r="L1929" s="3">
        <v>180</v>
      </c>
      <c r="M1929" t="b">
        <v>1</v>
      </c>
      <c r="N1929" s="2">
        <f>YEAR(B1929)</f>
        <v>2025</v>
      </c>
      <c r="O1929" t="str">
        <f>INDEX(Agences!$C:$C,MATCH(F1929,Agences!$A:$A,0))</f>
        <v>Sud-Ouest</v>
      </c>
      <c r="P1929" t="str">
        <f>INDEX(Produits!$C:$C,MATCH(H1929,Produits!$A:$A,0))</f>
        <v>Maintenance</v>
      </c>
      <c r="Q1929" s="3">
        <f>I1929*INDEX(Produits!$E:$E,MATCH(H1929,Produits!$A:$A,0))</f>
        <v>82.8</v>
      </c>
      <c r="R1929" s="3">
        <f>L1929-Q1929</f>
        <v>97.2</v>
      </c>
      <c r="S1929" s="2">
        <f>NETWORKDAYS(B1929,C1929)-1</f>
        <v>2</v>
      </c>
      <c r="T1929" s="1">
        <f>WORKDAY(B1929,5)</f>
        <v>46001</v>
      </c>
      <c r="U1929" t="b">
        <f>C1929&gt;T1929</f>
        <v>0</v>
      </c>
    </row>
    <row r="1930" spans="1:21" x14ac:dyDescent="0.25">
      <c r="A1930" t="s">
        <v>1377</v>
      </c>
      <c r="B1930" s="1">
        <v>45993</v>
      </c>
      <c r="C1930" s="1">
        <v>45995</v>
      </c>
      <c r="D1930" t="s">
        <v>1201</v>
      </c>
      <c r="E1930" t="s">
        <v>333</v>
      </c>
      <c r="F1930" t="s">
        <v>138</v>
      </c>
      <c r="G1930" t="s">
        <v>214</v>
      </c>
      <c r="H1930" t="s">
        <v>34</v>
      </c>
      <c r="I1930" s="2">
        <v>3</v>
      </c>
      <c r="J1930" s="3">
        <v>340</v>
      </c>
      <c r="K1930" s="4">
        <v>0</v>
      </c>
      <c r="L1930" s="3">
        <v>1020</v>
      </c>
      <c r="M1930" t="b">
        <v>1</v>
      </c>
      <c r="N1930" s="2">
        <f>YEAR(B1930)</f>
        <v>2025</v>
      </c>
      <c r="O1930" t="str">
        <f>INDEX(Agences!$C:$C,MATCH(F1930,Agences!$A:$A,0))</f>
        <v>Île-de-France</v>
      </c>
      <c r="P1930" t="str">
        <f>INDEX(Produits!$C:$C,MATCH(H1930,Produits!$A:$A,0))</f>
        <v>Informatique</v>
      </c>
      <c r="Q1930" s="3">
        <f>I1930*INDEX(Produits!$E:$E,MATCH(H1930,Produits!$A:$A,0))</f>
        <v>826.1999999999999</v>
      </c>
      <c r="R1930" s="3">
        <f>L1930-Q1930</f>
        <v>193.80000000000007</v>
      </c>
      <c r="S1930" s="2">
        <f>NETWORKDAYS(B1930,C1930)-1</f>
        <v>2</v>
      </c>
      <c r="T1930" s="1">
        <f>WORKDAY(B1930,5)</f>
        <v>46000</v>
      </c>
      <c r="U1930" t="b">
        <f>C1930&gt;T1930</f>
        <v>0</v>
      </c>
    </row>
    <row r="1931" spans="1:21" x14ac:dyDescent="0.25">
      <c r="A1931" t="s">
        <v>1377</v>
      </c>
      <c r="B1931" s="1">
        <v>45993</v>
      </c>
      <c r="C1931" s="1">
        <v>45995</v>
      </c>
      <c r="D1931" t="s">
        <v>1201</v>
      </c>
      <c r="E1931" t="s">
        <v>333</v>
      </c>
      <c r="F1931" t="s">
        <v>138</v>
      </c>
      <c r="G1931" t="s">
        <v>214</v>
      </c>
      <c r="H1931" t="s">
        <v>79</v>
      </c>
      <c r="I1931" s="2">
        <v>10</v>
      </c>
      <c r="J1931" s="3">
        <v>14.9</v>
      </c>
      <c r="K1931" s="4">
        <v>0.08</v>
      </c>
      <c r="L1931" s="3">
        <v>137.08</v>
      </c>
      <c r="M1931" t="b">
        <v>1</v>
      </c>
      <c r="N1931" s="2">
        <f>YEAR(B1931)</f>
        <v>2025</v>
      </c>
      <c r="O1931" t="str">
        <f>INDEX(Agences!$C:$C,MATCH(F1931,Agences!$A:$A,0))</f>
        <v>Île-de-France</v>
      </c>
      <c r="P1931" t="str">
        <f>INDEX(Produits!$C:$C,MATCH(H1931,Produits!$A:$A,0))</f>
        <v>Fournitures</v>
      </c>
      <c r="Q1931" s="3">
        <f>I1931*INDEX(Produits!$E:$E,MATCH(H1931,Produits!$A:$A,0))</f>
        <v>80.5</v>
      </c>
      <c r="R1931" s="3">
        <f>L1931-Q1931</f>
        <v>56.58000000000001</v>
      </c>
      <c r="S1931" s="2">
        <f>NETWORKDAYS(B1931,C1931)-1</f>
        <v>2</v>
      </c>
      <c r="T1931" s="1">
        <f>WORKDAY(B1931,5)</f>
        <v>46000</v>
      </c>
      <c r="U1931" t="b">
        <f>C1931&gt;T1931</f>
        <v>0</v>
      </c>
    </row>
    <row r="1932" spans="1:21" x14ac:dyDescent="0.25">
      <c r="A1932" t="s">
        <v>1378</v>
      </c>
      <c r="B1932" s="1">
        <v>45993</v>
      </c>
      <c r="C1932" s="1">
        <v>45994</v>
      </c>
      <c r="D1932" t="s">
        <v>184</v>
      </c>
      <c r="E1932" t="s">
        <v>185</v>
      </c>
      <c r="F1932" t="s">
        <v>31</v>
      </c>
      <c r="G1932" t="s">
        <v>32</v>
      </c>
      <c r="H1932" t="s">
        <v>64</v>
      </c>
      <c r="I1932" s="2">
        <v>15</v>
      </c>
      <c r="J1932" s="3">
        <v>16.8</v>
      </c>
      <c r="K1932" s="4">
        <v>0.05</v>
      </c>
      <c r="L1932" s="3">
        <v>239.4</v>
      </c>
      <c r="M1932" t="b">
        <v>1</v>
      </c>
      <c r="N1932" s="2">
        <f>YEAR(B1932)</f>
        <v>2025</v>
      </c>
      <c r="O1932" t="str">
        <f>INDEX(Agences!$C:$C,MATCH(F1932,Agences!$A:$A,0))</f>
        <v>Ouest</v>
      </c>
      <c r="P1932" t="str">
        <f>INDEX(Produits!$C:$C,MATCH(H1932,Produits!$A:$A,0))</f>
        <v>Fournitures</v>
      </c>
      <c r="Q1932" s="3">
        <f>I1932*INDEX(Produits!$E:$E,MATCH(H1932,Produits!$A:$A,0))</f>
        <v>131.1</v>
      </c>
      <c r="R1932" s="3">
        <f>L1932-Q1932</f>
        <v>108.30000000000001</v>
      </c>
      <c r="S1932" s="2">
        <f>NETWORKDAYS(B1932,C1932)-1</f>
        <v>1</v>
      </c>
      <c r="T1932" s="1">
        <f>WORKDAY(B1932,5)</f>
        <v>46000</v>
      </c>
      <c r="U1932" t="b">
        <f>C1932&gt;T1932</f>
        <v>0</v>
      </c>
    </row>
    <row r="1933" spans="1:21" x14ac:dyDescent="0.25">
      <c r="A1933" t="s">
        <v>1378</v>
      </c>
      <c r="B1933" s="1">
        <v>45993</v>
      </c>
      <c r="C1933" s="1">
        <v>45994</v>
      </c>
      <c r="D1933" t="s">
        <v>184</v>
      </c>
      <c r="E1933" t="s">
        <v>185</v>
      </c>
      <c r="F1933" t="s">
        <v>31</v>
      </c>
      <c r="G1933" t="s">
        <v>32</v>
      </c>
      <c r="H1933" t="s">
        <v>112</v>
      </c>
      <c r="I1933" s="2">
        <v>4</v>
      </c>
      <c r="J1933" s="3">
        <v>129</v>
      </c>
      <c r="K1933" s="4">
        <v>0.02</v>
      </c>
      <c r="L1933" s="3">
        <v>505.68</v>
      </c>
      <c r="M1933" t="b">
        <v>1</v>
      </c>
      <c r="N1933" s="2">
        <f>YEAR(B1933)</f>
        <v>2025</v>
      </c>
      <c r="O1933" t="str">
        <f>INDEX(Agences!$C:$C,MATCH(F1933,Agences!$A:$A,0))</f>
        <v>Ouest</v>
      </c>
      <c r="P1933" t="str">
        <f>INDEX(Produits!$C:$C,MATCH(H1933,Produits!$A:$A,0))</f>
        <v>Mobilier</v>
      </c>
      <c r="Q1933" s="3">
        <f>I1933*INDEX(Produits!$E:$E,MATCH(H1933,Produits!$A:$A,0))</f>
        <v>345.72</v>
      </c>
      <c r="R1933" s="3">
        <f>L1933-Q1933</f>
        <v>159.95999999999998</v>
      </c>
      <c r="S1933" s="2">
        <f>NETWORKDAYS(B1933,C1933)-1</f>
        <v>1</v>
      </c>
      <c r="T1933" s="1">
        <f>WORKDAY(B1933,5)</f>
        <v>46000</v>
      </c>
      <c r="U1933" t="b">
        <f>C1933&gt;T1933</f>
        <v>0</v>
      </c>
    </row>
    <row r="1934" spans="1:21" x14ac:dyDescent="0.25">
      <c r="A1934" t="s">
        <v>1378</v>
      </c>
      <c r="B1934" s="1">
        <v>45993</v>
      </c>
      <c r="C1934" s="1">
        <v>45994</v>
      </c>
      <c r="D1934" t="s">
        <v>184</v>
      </c>
      <c r="E1934" t="s">
        <v>185</v>
      </c>
      <c r="F1934" t="s">
        <v>31</v>
      </c>
      <c r="G1934" t="s">
        <v>32</v>
      </c>
      <c r="H1934" t="s">
        <v>103</v>
      </c>
      <c r="I1934" s="2">
        <v>4</v>
      </c>
      <c r="J1934" s="3">
        <v>245</v>
      </c>
      <c r="K1934" s="4">
        <v>0</v>
      </c>
      <c r="L1934" s="3">
        <v>980</v>
      </c>
      <c r="M1934" t="b">
        <v>1</v>
      </c>
      <c r="N1934" s="2">
        <f>YEAR(B1934)</f>
        <v>2025</v>
      </c>
      <c r="O1934" t="str">
        <f>INDEX(Agences!$C:$C,MATCH(F1934,Agences!$A:$A,0))</f>
        <v>Ouest</v>
      </c>
      <c r="P1934" t="str">
        <f>INDEX(Produits!$C:$C,MATCH(H1934,Produits!$A:$A,0))</f>
        <v>Mobilier</v>
      </c>
      <c r="Q1934" s="3">
        <f>I1934*INDEX(Produits!$E:$E,MATCH(H1934,Produits!$A:$A,0))</f>
        <v>656.6</v>
      </c>
      <c r="R1934" s="3">
        <f>L1934-Q1934</f>
        <v>323.4</v>
      </c>
      <c r="S1934" s="2">
        <f>NETWORKDAYS(B1934,C1934)-1</f>
        <v>1</v>
      </c>
      <c r="T1934" s="1">
        <f>WORKDAY(B1934,5)</f>
        <v>46000</v>
      </c>
      <c r="U1934" t="b">
        <f>C1934&gt;T1934</f>
        <v>0</v>
      </c>
    </row>
    <row r="1935" spans="1:21" x14ac:dyDescent="0.25">
      <c r="A1935" t="s">
        <v>1379</v>
      </c>
      <c r="B1935" s="1">
        <v>45993</v>
      </c>
      <c r="C1935" s="1">
        <v>45996</v>
      </c>
      <c r="D1935" t="s">
        <v>1136</v>
      </c>
      <c r="E1935" t="s">
        <v>191</v>
      </c>
      <c r="F1935" t="s">
        <v>62</v>
      </c>
      <c r="G1935" t="s">
        <v>68</v>
      </c>
      <c r="H1935" t="s">
        <v>35</v>
      </c>
      <c r="I1935" s="2">
        <v>1</v>
      </c>
      <c r="J1935" s="3">
        <v>79</v>
      </c>
      <c r="K1935" s="4">
        <v>0.1</v>
      </c>
      <c r="L1935" s="3">
        <v>71.1</v>
      </c>
      <c r="M1935" t="b">
        <v>1</v>
      </c>
      <c r="N1935" s="2">
        <f>YEAR(B1935)</f>
        <v>2025</v>
      </c>
      <c r="O1935" t="str">
        <f>INDEX(Agences!$C:$C,MATCH(F1935,Agences!$A:$A,0))</f>
        <v>Méditerranée</v>
      </c>
      <c r="P1935" t="str">
        <f>INDEX(Produits!$C:$C,MATCH(H1935,Produits!$A:$A,0))</f>
        <v>Mobilier</v>
      </c>
      <c r="Q1935" s="3">
        <f>I1935*INDEX(Produits!$E:$E,MATCH(H1935,Produits!$A:$A,0))</f>
        <v>46.61</v>
      </c>
      <c r="R1935" s="3">
        <f>L1935-Q1935</f>
        <v>24.489999999999995</v>
      </c>
      <c r="S1935" s="2">
        <f>NETWORKDAYS(B1935,C1935)-1</f>
        <v>3</v>
      </c>
      <c r="T1935" s="1">
        <f>WORKDAY(B1935,5)</f>
        <v>46000</v>
      </c>
      <c r="U1935" t="b">
        <f>C1935&gt;T1935</f>
        <v>0</v>
      </c>
    </row>
    <row r="1936" spans="1:21" x14ac:dyDescent="0.25">
      <c r="A1936" t="s">
        <v>1380</v>
      </c>
      <c r="B1936" s="1">
        <v>45993</v>
      </c>
      <c r="C1936" s="1">
        <v>45996</v>
      </c>
      <c r="D1936" t="s">
        <v>597</v>
      </c>
      <c r="E1936" t="s">
        <v>153</v>
      </c>
      <c r="F1936" t="s">
        <v>94</v>
      </c>
      <c r="G1936" t="s">
        <v>95</v>
      </c>
      <c r="H1936" t="s">
        <v>83</v>
      </c>
      <c r="I1936" s="2">
        <v>3</v>
      </c>
      <c r="J1936" s="3">
        <v>49</v>
      </c>
      <c r="K1936" s="4">
        <v>0.02</v>
      </c>
      <c r="L1936" s="3">
        <v>144.06</v>
      </c>
      <c r="M1936" t="b">
        <v>1</v>
      </c>
      <c r="N1936" s="2">
        <f>YEAR(B1936)</f>
        <v>2025</v>
      </c>
      <c r="O1936" t="str">
        <f>INDEX(Agences!$C:$C,MATCH(F1936,Agences!$A:$A,0))</f>
        <v>Méditerranée</v>
      </c>
      <c r="P1936" t="str">
        <f>INDEX(Produits!$C:$C,MATCH(H1936,Produits!$A:$A,0))</f>
        <v>Mobilier</v>
      </c>
      <c r="Q1936" s="3">
        <f>I1936*INDEX(Produits!$E:$E,MATCH(H1936,Produits!$A:$A,0))</f>
        <v>85.26</v>
      </c>
      <c r="R1936" s="3">
        <f>L1936-Q1936</f>
        <v>58.8</v>
      </c>
      <c r="S1936" s="2">
        <f>NETWORKDAYS(B1936,C1936)-1</f>
        <v>3</v>
      </c>
      <c r="T1936" s="1">
        <f>WORKDAY(B1936,5)</f>
        <v>46000</v>
      </c>
      <c r="U1936" t="b">
        <f>C1936&gt;T1936</f>
        <v>0</v>
      </c>
    </row>
    <row r="1937" spans="1:21" x14ac:dyDescent="0.25">
      <c r="A1937" t="s">
        <v>1380</v>
      </c>
      <c r="B1937" s="1">
        <v>45993</v>
      </c>
      <c r="C1937" s="1">
        <v>45996</v>
      </c>
      <c r="D1937" t="s">
        <v>597</v>
      </c>
      <c r="E1937" t="s">
        <v>153</v>
      </c>
      <c r="F1937" t="s">
        <v>94</v>
      </c>
      <c r="G1937" t="s">
        <v>95</v>
      </c>
      <c r="H1937" t="s">
        <v>35</v>
      </c>
      <c r="I1937" s="2">
        <v>6</v>
      </c>
      <c r="J1937" s="3">
        <v>79</v>
      </c>
      <c r="K1937" s="4">
        <v>0.02</v>
      </c>
      <c r="L1937" s="3">
        <v>464.52</v>
      </c>
      <c r="M1937" t="b">
        <v>1</v>
      </c>
      <c r="N1937" s="2">
        <f>YEAR(B1937)</f>
        <v>2025</v>
      </c>
      <c r="O1937" t="str">
        <f>INDEX(Agences!$C:$C,MATCH(F1937,Agences!$A:$A,0))</f>
        <v>Méditerranée</v>
      </c>
      <c r="P1937" t="str">
        <f>INDEX(Produits!$C:$C,MATCH(H1937,Produits!$A:$A,0))</f>
        <v>Mobilier</v>
      </c>
      <c r="Q1937" s="3">
        <f>I1937*INDEX(Produits!$E:$E,MATCH(H1937,Produits!$A:$A,0))</f>
        <v>279.65999999999997</v>
      </c>
      <c r="R1937" s="3">
        <f>L1937-Q1937</f>
        <v>184.86</v>
      </c>
      <c r="S1937" s="2">
        <f>NETWORKDAYS(B1937,C1937)-1</f>
        <v>3</v>
      </c>
      <c r="T1937" s="1">
        <f>WORKDAY(B1937,5)</f>
        <v>46000</v>
      </c>
      <c r="U1937" t="b">
        <f>C1937&gt;T1937</f>
        <v>0</v>
      </c>
    </row>
    <row r="1938" spans="1:21" x14ac:dyDescent="0.25">
      <c r="A1938" t="s">
        <v>1381</v>
      </c>
      <c r="B1938" s="1">
        <v>45993</v>
      </c>
      <c r="C1938" s="1">
        <v>45995</v>
      </c>
      <c r="D1938" t="s">
        <v>267</v>
      </c>
      <c r="E1938" t="s">
        <v>157</v>
      </c>
      <c r="F1938" t="s">
        <v>46</v>
      </c>
      <c r="G1938" t="s">
        <v>47</v>
      </c>
      <c r="H1938" t="s">
        <v>48</v>
      </c>
      <c r="I1938" s="2">
        <v>1</v>
      </c>
      <c r="J1938" s="3">
        <v>165</v>
      </c>
      <c r="K1938" s="4">
        <v>0</v>
      </c>
      <c r="L1938" s="3">
        <v>165</v>
      </c>
      <c r="M1938" t="b">
        <v>1</v>
      </c>
      <c r="N1938" s="2">
        <f>YEAR(B1938)</f>
        <v>2025</v>
      </c>
      <c r="O1938" t="str">
        <f>INDEX(Agences!$C:$C,MATCH(F1938,Agences!$A:$A,0))</f>
        <v>Est</v>
      </c>
      <c r="P1938" t="str">
        <f>INDEX(Produits!$C:$C,MATCH(H1938,Produits!$A:$A,0))</f>
        <v>Mobilier</v>
      </c>
      <c r="Q1938" s="3">
        <f>I1938*INDEX(Produits!$E:$E,MATCH(H1938,Produits!$A:$A,0))</f>
        <v>107.25</v>
      </c>
      <c r="R1938" s="3">
        <f>L1938-Q1938</f>
        <v>57.75</v>
      </c>
      <c r="S1938" s="2">
        <f>NETWORKDAYS(B1938,C1938)-1</f>
        <v>2</v>
      </c>
      <c r="T1938" s="1">
        <f>WORKDAY(B1938,5)</f>
        <v>46000</v>
      </c>
      <c r="U1938" t="b">
        <f>C1938&gt;T1938</f>
        <v>0</v>
      </c>
    </row>
    <row r="1939" spans="1:21" x14ac:dyDescent="0.25">
      <c r="A1939" t="s">
        <v>1381</v>
      </c>
      <c r="B1939" s="1">
        <v>45993</v>
      </c>
      <c r="C1939" s="1">
        <v>45995</v>
      </c>
      <c r="D1939" t="s">
        <v>267</v>
      </c>
      <c r="E1939" t="s">
        <v>157</v>
      </c>
      <c r="F1939" t="s">
        <v>46</v>
      </c>
      <c r="G1939" t="s">
        <v>47</v>
      </c>
      <c r="H1939" t="s">
        <v>79</v>
      </c>
      <c r="I1939" s="2">
        <v>5</v>
      </c>
      <c r="J1939" s="3">
        <v>14.9</v>
      </c>
      <c r="K1939" s="4">
        <v>0.08</v>
      </c>
      <c r="L1939" s="3">
        <v>68.54</v>
      </c>
      <c r="M1939" t="b">
        <v>1</v>
      </c>
      <c r="N1939" s="2">
        <f>YEAR(B1939)</f>
        <v>2025</v>
      </c>
      <c r="O1939" t="str">
        <f>INDEX(Agences!$C:$C,MATCH(F1939,Agences!$A:$A,0))</f>
        <v>Est</v>
      </c>
      <c r="P1939" t="str">
        <f>INDEX(Produits!$C:$C,MATCH(H1939,Produits!$A:$A,0))</f>
        <v>Fournitures</v>
      </c>
      <c r="Q1939" s="3">
        <f>I1939*INDEX(Produits!$E:$E,MATCH(H1939,Produits!$A:$A,0))</f>
        <v>40.25</v>
      </c>
      <c r="R1939" s="3">
        <f>L1939-Q1939</f>
        <v>28.290000000000006</v>
      </c>
      <c r="S1939" s="2">
        <f>NETWORKDAYS(B1939,C1939)-1</f>
        <v>2</v>
      </c>
      <c r="T1939" s="1">
        <f>WORKDAY(B1939,5)</f>
        <v>46000</v>
      </c>
      <c r="U1939" t="b">
        <f>C1939&gt;T1939</f>
        <v>0</v>
      </c>
    </row>
    <row r="1940" spans="1:21" x14ac:dyDescent="0.25">
      <c r="A1940" t="s">
        <v>1381</v>
      </c>
      <c r="B1940" s="1">
        <v>45993</v>
      </c>
      <c r="C1940" s="1">
        <v>45995</v>
      </c>
      <c r="D1940" t="s">
        <v>267</v>
      </c>
      <c r="E1940" t="s">
        <v>157</v>
      </c>
      <c r="F1940" t="s">
        <v>46</v>
      </c>
      <c r="G1940" t="s">
        <v>47</v>
      </c>
      <c r="H1940" t="s">
        <v>42</v>
      </c>
      <c r="I1940" s="2">
        <v>1</v>
      </c>
      <c r="J1940" s="3">
        <v>55</v>
      </c>
      <c r="K1940" s="4">
        <v>0</v>
      </c>
      <c r="L1940" s="3">
        <v>55</v>
      </c>
      <c r="M1940" t="b">
        <v>1</v>
      </c>
      <c r="N1940" s="2">
        <f>YEAR(B1940)</f>
        <v>2025</v>
      </c>
      <c r="O1940" t="str">
        <f>INDEX(Agences!$C:$C,MATCH(F1940,Agences!$A:$A,0))</f>
        <v>Est</v>
      </c>
      <c r="P1940" t="str">
        <f>INDEX(Produits!$C:$C,MATCH(H1940,Produits!$A:$A,0))</f>
        <v>Maintenance</v>
      </c>
      <c r="Q1940" s="3">
        <f>I1940*INDEX(Produits!$E:$E,MATCH(H1940,Produits!$A:$A,0))</f>
        <v>24.75</v>
      </c>
      <c r="R1940" s="3">
        <f>L1940-Q1940</f>
        <v>30.25</v>
      </c>
      <c r="S1940" s="2">
        <f>NETWORKDAYS(B1940,C1940)-1</f>
        <v>2</v>
      </c>
      <c r="T1940" s="1">
        <f>WORKDAY(B1940,5)</f>
        <v>46000</v>
      </c>
      <c r="U1940" t="b">
        <f>C1940&gt;T1940</f>
        <v>0</v>
      </c>
    </row>
    <row r="1941" spans="1:21" x14ac:dyDescent="0.25">
      <c r="A1941" t="s">
        <v>1382</v>
      </c>
      <c r="B1941" s="1">
        <v>45992</v>
      </c>
      <c r="C1941" s="1">
        <v>45995</v>
      </c>
      <c r="D1941" t="s">
        <v>882</v>
      </c>
      <c r="E1941" t="s">
        <v>333</v>
      </c>
      <c r="F1941" t="s">
        <v>138</v>
      </c>
      <c r="G1941" t="s">
        <v>214</v>
      </c>
      <c r="H1941" t="s">
        <v>84</v>
      </c>
      <c r="I1941" s="2">
        <v>2</v>
      </c>
      <c r="J1941" s="3">
        <v>420</v>
      </c>
      <c r="K1941" s="4">
        <v>0.05</v>
      </c>
      <c r="L1941" s="3">
        <v>798</v>
      </c>
      <c r="M1941" t="b">
        <v>1</v>
      </c>
      <c r="N1941" s="2">
        <f>YEAR(B1941)</f>
        <v>2025</v>
      </c>
      <c r="O1941" t="str">
        <f>INDEX(Agences!$C:$C,MATCH(F1941,Agences!$A:$A,0))</f>
        <v>Île-de-France</v>
      </c>
      <c r="P1941" t="str">
        <f>INDEX(Produits!$C:$C,MATCH(H1941,Produits!$A:$A,0))</f>
        <v>Mobilier</v>
      </c>
      <c r="Q1941" s="3">
        <f>I1941*INDEX(Produits!$E:$E,MATCH(H1941,Produits!$A:$A,0))</f>
        <v>487.2</v>
      </c>
      <c r="R1941" s="3">
        <f>L1941-Q1941</f>
        <v>310.8</v>
      </c>
      <c r="S1941" s="2">
        <f>NETWORKDAYS(B1941,C1941)-1</f>
        <v>3</v>
      </c>
      <c r="T1941" s="1">
        <f>WORKDAY(B1941,5)</f>
        <v>45999</v>
      </c>
      <c r="U1941" t="b">
        <f>C1941&gt;T1941</f>
        <v>0</v>
      </c>
    </row>
    <row r="1942" spans="1:21" x14ac:dyDescent="0.25">
      <c r="A1942" t="s">
        <v>1382</v>
      </c>
      <c r="B1942" s="1">
        <v>45992</v>
      </c>
      <c r="C1942" s="1">
        <v>45995</v>
      </c>
      <c r="D1942" t="s">
        <v>882</v>
      </c>
      <c r="E1942" t="s">
        <v>333</v>
      </c>
      <c r="F1942" t="s">
        <v>138</v>
      </c>
      <c r="G1942" t="s">
        <v>214</v>
      </c>
      <c r="H1942" t="s">
        <v>123</v>
      </c>
      <c r="I1942" s="2">
        <v>5</v>
      </c>
      <c r="J1942" s="3">
        <v>39.9</v>
      </c>
      <c r="K1942" s="4">
        <v>0</v>
      </c>
      <c r="L1942" s="3">
        <v>199.5</v>
      </c>
      <c r="M1942" t="b">
        <v>1</v>
      </c>
      <c r="N1942" s="2">
        <f>YEAR(B1942)</f>
        <v>2025</v>
      </c>
      <c r="O1942" t="str">
        <f>INDEX(Agences!$C:$C,MATCH(F1942,Agences!$A:$A,0))</f>
        <v>Île-de-France</v>
      </c>
      <c r="P1942" t="str">
        <f>INDEX(Produits!$C:$C,MATCH(H1942,Produits!$A:$A,0))</f>
        <v>Fournitures</v>
      </c>
      <c r="Q1942" s="3">
        <f>I1942*INDEX(Produits!$E:$E,MATCH(H1942,Produits!$A:$A,0))</f>
        <v>111.7</v>
      </c>
      <c r="R1942" s="3">
        <f>L1942-Q1942</f>
        <v>87.8</v>
      </c>
      <c r="S1942" s="2">
        <f>NETWORKDAYS(B1942,C1942)-1</f>
        <v>3</v>
      </c>
      <c r="T1942" s="1">
        <f>WORKDAY(B1942,5)</f>
        <v>45999</v>
      </c>
      <c r="U1942" t="b">
        <f>C1942&gt;T1942</f>
        <v>0</v>
      </c>
    </row>
    <row r="1943" spans="1:21" x14ac:dyDescent="0.25">
      <c r="A1943" t="s">
        <v>1382</v>
      </c>
      <c r="B1943" s="1">
        <v>45992</v>
      </c>
      <c r="C1943" s="1">
        <v>45995</v>
      </c>
      <c r="D1943" t="s">
        <v>882</v>
      </c>
      <c r="E1943" t="s">
        <v>333</v>
      </c>
      <c r="F1943" t="s">
        <v>138</v>
      </c>
      <c r="G1943" t="s">
        <v>214</v>
      </c>
      <c r="H1943" t="s">
        <v>233</v>
      </c>
      <c r="I1943" s="2">
        <v>5</v>
      </c>
      <c r="J1943" s="3">
        <v>27.5</v>
      </c>
      <c r="K1943" s="4">
        <v>0</v>
      </c>
      <c r="L1943" s="3">
        <v>137.5</v>
      </c>
      <c r="M1943" t="b">
        <v>1</v>
      </c>
      <c r="N1943" s="2">
        <f>YEAR(B1943)</f>
        <v>2025</v>
      </c>
      <c r="O1943" t="str">
        <f>INDEX(Agences!$C:$C,MATCH(F1943,Agences!$A:$A,0))</f>
        <v>Île-de-France</v>
      </c>
      <c r="P1943" t="str">
        <f>INDEX(Produits!$C:$C,MATCH(H1943,Produits!$A:$A,0))</f>
        <v>Fournitures</v>
      </c>
      <c r="Q1943" s="3">
        <f>I1943*INDEX(Produits!$E:$E,MATCH(H1943,Produits!$A:$A,0))</f>
        <v>77</v>
      </c>
      <c r="R1943" s="3">
        <f>L1943-Q1943</f>
        <v>60.5</v>
      </c>
      <c r="S1943" s="2">
        <f>NETWORKDAYS(B1943,C1943)-1</f>
        <v>3</v>
      </c>
      <c r="T1943" s="1">
        <f>WORKDAY(B1943,5)</f>
        <v>45999</v>
      </c>
      <c r="U1943" t="b">
        <f>C1943&gt;T1943</f>
        <v>0</v>
      </c>
    </row>
    <row r="1944" spans="1:21" x14ac:dyDescent="0.25">
      <c r="A1944" t="s">
        <v>1383</v>
      </c>
      <c r="B1944" s="1">
        <v>45992</v>
      </c>
      <c r="C1944" s="1">
        <v>45993</v>
      </c>
      <c r="D1944" t="s">
        <v>494</v>
      </c>
      <c r="E1944" t="s">
        <v>270</v>
      </c>
      <c r="F1944" t="s">
        <v>76</v>
      </c>
      <c r="G1944" t="s">
        <v>232</v>
      </c>
      <c r="H1944" t="s">
        <v>50</v>
      </c>
      <c r="I1944" s="2">
        <v>6</v>
      </c>
      <c r="J1944" s="3">
        <v>69</v>
      </c>
      <c r="K1944" s="4">
        <v>0.1</v>
      </c>
      <c r="L1944" s="3">
        <v>372.6</v>
      </c>
      <c r="M1944" t="b">
        <v>1</v>
      </c>
      <c r="N1944" s="2">
        <f>YEAR(B1944)</f>
        <v>2025</v>
      </c>
      <c r="O1944" t="str">
        <f>INDEX(Agences!$C:$C,MATCH(F1944,Agences!$A:$A,0))</f>
        <v>Île-de-France</v>
      </c>
      <c r="P1944" t="str">
        <f>INDEX(Produits!$C:$C,MATCH(H1944,Produits!$A:$A,0))</f>
        <v>Informatique</v>
      </c>
      <c r="Q1944" s="3">
        <f>I1944*INDEX(Produits!$E:$E,MATCH(H1944,Produits!$A:$A,0))</f>
        <v>327.06</v>
      </c>
      <c r="R1944" s="3">
        <f>L1944-Q1944</f>
        <v>45.54000000000002</v>
      </c>
      <c r="S1944" s="2">
        <f>NETWORKDAYS(B1944,C1944)-1</f>
        <v>1</v>
      </c>
      <c r="T1944" s="1">
        <f>WORKDAY(B1944,5)</f>
        <v>45999</v>
      </c>
      <c r="U1944" t="b">
        <f>C1944&gt;T1944</f>
        <v>0</v>
      </c>
    </row>
    <row r="1945" spans="1:21" x14ac:dyDescent="0.25">
      <c r="A1945" t="s">
        <v>1384</v>
      </c>
      <c r="B1945" s="1">
        <v>45992</v>
      </c>
      <c r="C1945" s="1">
        <v>45995</v>
      </c>
      <c r="D1945" t="s">
        <v>1385</v>
      </c>
      <c r="E1945" t="s">
        <v>339</v>
      </c>
      <c r="F1945" t="s">
        <v>31</v>
      </c>
      <c r="G1945" t="s">
        <v>32</v>
      </c>
      <c r="H1945" t="s">
        <v>127</v>
      </c>
      <c r="I1945" s="2">
        <v>1</v>
      </c>
      <c r="J1945" s="3">
        <v>649</v>
      </c>
      <c r="K1945" s="4">
        <v>0.08</v>
      </c>
      <c r="L1945" s="3">
        <v>597.08</v>
      </c>
      <c r="M1945" t="b">
        <v>1</v>
      </c>
      <c r="N1945" s="2">
        <f>YEAR(B1945)</f>
        <v>2025</v>
      </c>
      <c r="O1945" t="str">
        <f>INDEX(Agences!$C:$C,MATCH(F1945,Agences!$A:$A,0))</f>
        <v>Ouest</v>
      </c>
      <c r="P1945" t="str">
        <f>INDEX(Produits!$C:$C,MATCH(H1945,Produits!$A:$A,0))</f>
        <v>Informatique</v>
      </c>
      <c r="Q1945" s="3">
        <f>I1945*INDEX(Produits!$E:$E,MATCH(H1945,Produits!$A:$A,0))</f>
        <v>480.26</v>
      </c>
      <c r="R1945" s="3">
        <f>L1945-Q1945</f>
        <v>116.82000000000005</v>
      </c>
      <c r="S1945" s="2">
        <f>NETWORKDAYS(B1945,C1945)-1</f>
        <v>3</v>
      </c>
      <c r="T1945" s="1">
        <f>WORKDAY(B1945,5)</f>
        <v>45999</v>
      </c>
      <c r="U1945" t="b">
        <f>C1945&gt;T1945</f>
        <v>0</v>
      </c>
    </row>
    <row r="1946" spans="1:21" x14ac:dyDescent="0.25">
      <c r="A1946" t="s">
        <v>1384</v>
      </c>
      <c r="B1946" s="1">
        <v>45992</v>
      </c>
      <c r="C1946" s="1">
        <v>45995</v>
      </c>
      <c r="D1946" t="s">
        <v>1385</v>
      </c>
      <c r="E1946" t="s">
        <v>339</v>
      </c>
      <c r="F1946" t="s">
        <v>31</v>
      </c>
      <c r="G1946" t="s">
        <v>32</v>
      </c>
      <c r="H1946" t="s">
        <v>35</v>
      </c>
      <c r="I1946" s="2">
        <v>4</v>
      </c>
      <c r="J1946" s="3">
        <v>79</v>
      </c>
      <c r="K1946" s="4">
        <v>0.02</v>
      </c>
      <c r="L1946" s="3">
        <v>309.68</v>
      </c>
      <c r="M1946" t="b">
        <v>1</v>
      </c>
      <c r="N1946" s="2">
        <f>YEAR(B1946)</f>
        <v>2025</v>
      </c>
      <c r="O1946" t="str">
        <f>INDEX(Agences!$C:$C,MATCH(F1946,Agences!$A:$A,0))</f>
        <v>Ouest</v>
      </c>
      <c r="P1946" t="str">
        <f>INDEX(Produits!$C:$C,MATCH(H1946,Produits!$A:$A,0))</f>
        <v>Mobilier</v>
      </c>
      <c r="Q1946" s="3">
        <f>I1946*INDEX(Produits!$E:$E,MATCH(H1946,Produits!$A:$A,0))</f>
        <v>186.44</v>
      </c>
      <c r="R1946" s="3">
        <f>L1946-Q1946</f>
        <v>123.24000000000001</v>
      </c>
      <c r="S1946" s="2">
        <f>NETWORKDAYS(B1946,C1946)-1</f>
        <v>3</v>
      </c>
      <c r="T1946" s="1">
        <f>WORKDAY(B1946,5)</f>
        <v>45999</v>
      </c>
      <c r="U1946" t="b">
        <f>C1946&gt;T1946</f>
        <v>0</v>
      </c>
    </row>
    <row r="1947" spans="1:21" x14ac:dyDescent="0.25">
      <c r="A1947" t="s">
        <v>1386</v>
      </c>
      <c r="B1947" s="1">
        <v>45992</v>
      </c>
      <c r="C1947" s="1">
        <v>45994</v>
      </c>
      <c r="D1947" t="s">
        <v>1374</v>
      </c>
      <c r="E1947" t="s">
        <v>82</v>
      </c>
      <c r="F1947" t="s">
        <v>39</v>
      </c>
      <c r="G1947" t="s">
        <v>40</v>
      </c>
      <c r="H1947" t="s">
        <v>233</v>
      </c>
      <c r="I1947" s="2">
        <v>5</v>
      </c>
      <c r="J1947" s="3">
        <v>27.5</v>
      </c>
      <c r="K1947" s="4">
        <v>0</v>
      </c>
      <c r="L1947" s="3">
        <v>137.5</v>
      </c>
      <c r="M1947" t="b">
        <v>1</v>
      </c>
      <c r="N1947" s="2">
        <f>YEAR(B1947)</f>
        <v>2025</v>
      </c>
      <c r="O1947" t="str">
        <f>INDEX(Agences!$C:$C,MATCH(F1947,Agences!$A:$A,0))</f>
        <v>Sud-Ouest</v>
      </c>
      <c r="P1947" t="str">
        <f>INDEX(Produits!$C:$C,MATCH(H1947,Produits!$A:$A,0))</f>
        <v>Fournitures</v>
      </c>
      <c r="Q1947" s="3">
        <f>I1947*INDEX(Produits!$E:$E,MATCH(H1947,Produits!$A:$A,0))</f>
        <v>77</v>
      </c>
      <c r="R1947" s="3">
        <f>L1947-Q1947</f>
        <v>60.5</v>
      </c>
      <c r="S1947" s="2">
        <f>NETWORKDAYS(B1947,C1947)-1</f>
        <v>2</v>
      </c>
      <c r="T1947" s="1">
        <f>WORKDAY(B1947,5)</f>
        <v>45999</v>
      </c>
      <c r="U1947" t="b">
        <f>C1947&gt;T1947</f>
        <v>0</v>
      </c>
    </row>
    <row r="1948" spans="1:21" x14ac:dyDescent="0.25">
      <c r="A1948" t="s">
        <v>1386</v>
      </c>
      <c r="B1948" s="1">
        <v>45992</v>
      </c>
      <c r="C1948" s="1">
        <v>45994</v>
      </c>
      <c r="D1948" t="s">
        <v>1374</v>
      </c>
      <c r="E1948" t="s">
        <v>82</v>
      </c>
      <c r="F1948" t="s">
        <v>39</v>
      </c>
      <c r="G1948" t="s">
        <v>40</v>
      </c>
      <c r="H1948" t="s">
        <v>34</v>
      </c>
      <c r="I1948" s="2">
        <v>2</v>
      </c>
      <c r="J1948" s="3">
        <v>340</v>
      </c>
      <c r="K1948" s="4">
        <v>0.02</v>
      </c>
      <c r="L1948" s="3">
        <v>666.4</v>
      </c>
      <c r="M1948" t="b">
        <v>1</v>
      </c>
      <c r="N1948" s="2">
        <f>YEAR(B1948)</f>
        <v>2025</v>
      </c>
      <c r="O1948" t="str">
        <f>INDEX(Agences!$C:$C,MATCH(F1948,Agences!$A:$A,0))</f>
        <v>Sud-Ouest</v>
      </c>
      <c r="P1948" t="str">
        <f>INDEX(Produits!$C:$C,MATCH(H1948,Produits!$A:$A,0))</f>
        <v>Informatique</v>
      </c>
      <c r="Q1948" s="3">
        <f>I1948*INDEX(Produits!$E:$E,MATCH(H1948,Produits!$A:$A,0))</f>
        <v>550.8</v>
      </c>
      <c r="R1948" s="3">
        <f>L1948-Q1948</f>
        <v>115.60000000000002</v>
      </c>
      <c r="S1948" s="2">
        <f>NETWORKDAYS(B1948,C1948)-1</f>
        <v>2</v>
      </c>
      <c r="T1948" s="1">
        <f>WORKDAY(B1948,5)</f>
        <v>45999</v>
      </c>
      <c r="U1948" t="b">
        <f>C1948&gt;T1948</f>
        <v>0</v>
      </c>
    </row>
    <row r="1949" spans="1:21" x14ac:dyDescent="0.25">
      <c r="A1949" t="s">
        <v>1386</v>
      </c>
      <c r="B1949" s="1">
        <v>45992</v>
      </c>
      <c r="C1949" s="1">
        <v>45994</v>
      </c>
      <c r="D1949" t="s">
        <v>1374</v>
      </c>
      <c r="E1949" t="s">
        <v>82</v>
      </c>
      <c r="F1949" t="s">
        <v>39</v>
      </c>
      <c r="G1949" t="s">
        <v>40</v>
      </c>
      <c r="H1949" t="s">
        <v>127</v>
      </c>
      <c r="I1949" s="2">
        <v>1</v>
      </c>
      <c r="J1949" s="3">
        <v>649</v>
      </c>
      <c r="K1949" s="4">
        <v>0</v>
      </c>
      <c r="L1949" s="3">
        <v>649</v>
      </c>
      <c r="M1949" t="b">
        <v>1</v>
      </c>
      <c r="N1949" s="2">
        <f>YEAR(B1949)</f>
        <v>2025</v>
      </c>
      <c r="O1949" t="str">
        <f>INDEX(Agences!$C:$C,MATCH(F1949,Agences!$A:$A,0))</f>
        <v>Sud-Ouest</v>
      </c>
      <c r="P1949" t="str">
        <f>INDEX(Produits!$C:$C,MATCH(H1949,Produits!$A:$A,0))</f>
        <v>Informatique</v>
      </c>
      <c r="Q1949" s="3">
        <f>I1949*INDEX(Produits!$E:$E,MATCH(H1949,Produits!$A:$A,0))</f>
        <v>480.26</v>
      </c>
      <c r="R1949" s="3">
        <f>L1949-Q1949</f>
        <v>168.74</v>
      </c>
      <c r="S1949" s="2">
        <f>NETWORKDAYS(B1949,C1949)-1</f>
        <v>2</v>
      </c>
      <c r="T1949" s="1">
        <f>WORKDAY(B1949,5)</f>
        <v>45999</v>
      </c>
      <c r="U1949" t="b">
        <f>C1949&gt;T1949</f>
        <v>0</v>
      </c>
    </row>
    <row r="1950" spans="1:21" x14ac:dyDescent="0.25">
      <c r="A1950" t="s">
        <v>1386</v>
      </c>
      <c r="B1950" s="1">
        <v>45992</v>
      </c>
      <c r="C1950" s="1">
        <v>45994</v>
      </c>
      <c r="D1950" t="s">
        <v>1374</v>
      </c>
      <c r="E1950" t="s">
        <v>82</v>
      </c>
      <c r="F1950" t="s">
        <v>39</v>
      </c>
      <c r="G1950" t="s">
        <v>40</v>
      </c>
      <c r="H1950" t="s">
        <v>42</v>
      </c>
      <c r="I1950" s="2">
        <v>1</v>
      </c>
      <c r="J1950" s="3">
        <v>55</v>
      </c>
      <c r="K1950" s="4">
        <v>0.08</v>
      </c>
      <c r="L1950" s="3">
        <v>50.6</v>
      </c>
      <c r="M1950" t="b">
        <v>1</v>
      </c>
      <c r="N1950" s="2">
        <f>YEAR(B1950)</f>
        <v>2025</v>
      </c>
      <c r="O1950" t="str">
        <f>INDEX(Agences!$C:$C,MATCH(F1950,Agences!$A:$A,0))</f>
        <v>Sud-Ouest</v>
      </c>
      <c r="P1950" t="str">
        <f>INDEX(Produits!$C:$C,MATCH(H1950,Produits!$A:$A,0))</f>
        <v>Maintenance</v>
      </c>
      <c r="Q1950" s="3">
        <f>I1950*INDEX(Produits!$E:$E,MATCH(H1950,Produits!$A:$A,0))</f>
        <v>24.75</v>
      </c>
      <c r="R1950" s="3">
        <f>L1950-Q1950</f>
        <v>25.85</v>
      </c>
      <c r="S1950" s="2">
        <f>NETWORKDAYS(B1950,C1950)-1</f>
        <v>2</v>
      </c>
      <c r="T1950" s="1">
        <f>WORKDAY(B1950,5)</f>
        <v>45999</v>
      </c>
      <c r="U1950" t="b">
        <f>C1950&gt;T1950</f>
        <v>0</v>
      </c>
    </row>
    <row r="1951" spans="1:21" x14ac:dyDescent="0.25">
      <c r="A1951" t="s">
        <v>1386</v>
      </c>
      <c r="B1951" s="1">
        <v>45992</v>
      </c>
      <c r="C1951" s="1">
        <v>45994</v>
      </c>
      <c r="D1951" t="s">
        <v>1374</v>
      </c>
      <c r="E1951" t="s">
        <v>82</v>
      </c>
      <c r="F1951" t="s">
        <v>39</v>
      </c>
      <c r="G1951" t="s">
        <v>40</v>
      </c>
      <c r="H1951" t="s">
        <v>83</v>
      </c>
      <c r="I1951" s="2">
        <v>2</v>
      </c>
      <c r="J1951" s="3">
        <v>49</v>
      </c>
      <c r="K1951" s="4">
        <v>0.02</v>
      </c>
      <c r="L1951" s="3">
        <v>96.04</v>
      </c>
      <c r="M1951" t="b">
        <v>1</v>
      </c>
      <c r="N1951" s="2">
        <f>YEAR(B1951)</f>
        <v>2025</v>
      </c>
      <c r="O1951" t="str">
        <f>INDEX(Agences!$C:$C,MATCH(F1951,Agences!$A:$A,0))</f>
        <v>Sud-Ouest</v>
      </c>
      <c r="P1951" t="str">
        <f>INDEX(Produits!$C:$C,MATCH(H1951,Produits!$A:$A,0))</f>
        <v>Mobilier</v>
      </c>
      <c r="Q1951" s="3">
        <f>I1951*INDEX(Produits!$E:$E,MATCH(H1951,Produits!$A:$A,0))</f>
        <v>56.84</v>
      </c>
      <c r="R1951" s="3">
        <f>L1951-Q1951</f>
        <v>39.2</v>
      </c>
      <c r="S1951" s="2">
        <f>NETWORKDAYS(B1951,C1951)-1</f>
        <v>2</v>
      </c>
      <c r="T1951" s="1">
        <f>WORKDAY(B1951,5)</f>
        <v>45999</v>
      </c>
      <c r="U1951" t="b">
        <f>C1951&gt;T1951</f>
        <v>0</v>
      </c>
    </row>
    <row r="1952" spans="1:21" x14ac:dyDescent="0.25">
      <c r="A1952" t="s">
        <v>1387</v>
      </c>
      <c r="B1952" s="1">
        <v>45992</v>
      </c>
      <c r="C1952" s="1">
        <v>45993</v>
      </c>
      <c r="D1952" t="s">
        <v>711</v>
      </c>
      <c r="E1952" t="s">
        <v>61</v>
      </c>
      <c r="F1952" t="s">
        <v>62</v>
      </c>
      <c r="G1952" t="s">
        <v>68</v>
      </c>
      <c r="H1952" t="s">
        <v>90</v>
      </c>
      <c r="I1952" s="2">
        <v>5</v>
      </c>
      <c r="J1952" s="3">
        <v>22.9</v>
      </c>
      <c r="K1952" s="4">
        <v>0</v>
      </c>
      <c r="L1952" s="3">
        <v>114.5</v>
      </c>
      <c r="M1952" t="b">
        <v>1</v>
      </c>
      <c r="N1952" s="2">
        <f>YEAR(B1952)</f>
        <v>2025</v>
      </c>
      <c r="O1952" t="str">
        <f>INDEX(Agences!$C:$C,MATCH(F1952,Agences!$A:$A,0))</f>
        <v>Méditerranée</v>
      </c>
      <c r="P1952" t="str">
        <f>INDEX(Produits!$C:$C,MATCH(H1952,Produits!$A:$A,0))</f>
        <v>Fournitures</v>
      </c>
      <c r="Q1952" s="3">
        <f>I1952*INDEX(Produits!$E:$E,MATCH(H1952,Produits!$A:$A,0))</f>
        <v>64.1</v>
      </c>
      <c r="R1952" s="3">
        <f>L1952-Q1952</f>
        <v>50.400000000000006</v>
      </c>
      <c r="S1952" s="2">
        <f>NETWORKDAYS(B1952,C1952)-1</f>
        <v>1</v>
      </c>
      <c r="T1952" s="1">
        <f>WORKDAY(B1952,5)</f>
        <v>45999</v>
      </c>
      <c r="U1952" t="b">
        <f>C1952&gt;T1952</f>
        <v>0</v>
      </c>
    </row>
    <row r="1953" spans="1:21" x14ac:dyDescent="0.25">
      <c r="A1953" t="s">
        <v>1387</v>
      </c>
      <c r="B1953" s="1">
        <v>45992</v>
      </c>
      <c r="C1953" s="1">
        <v>45993</v>
      </c>
      <c r="D1953" t="s">
        <v>711</v>
      </c>
      <c r="E1953" t="s">
        <v>61</v>
      </c>
      <c r="F1953" t="s">
        <v>62</v>
      </c>
      <c r="G1953" t="s">
        <v>68</v>
      </c>
      <c r="H1953" t="s">
        <v>42</v>
      </c>
      <c r="I1953" s="2">
        <v>1</v>
      </c>
      <c r="J1953" s="3">
        <v>55</v>
      </c>
      <c r="K1953" s="4">
        <v>0</v>
      </c>
      <c r="L1953" s="3">
        <v>55</v>
      </c>
      <c r="M1953" t="b">
        <v>1</v>
      </c>
      <c r="N1953" s="2">
        <f>YEAR(B1953)</f>
        <v>2025</v>
      </c>
      <c r="O1953" t="str">
        <f>INDEX(Agences!$C:$C,MATCH(F1953,Agences!$A:$A,0))</f>
        <v>Méditerranée</v>
      </c>
      <c r="P1953" t="str">
        <f>INDEX(Produits!$C:$C,MATCH(H1953,Produits!$A:$A,0))</f>
        <v>Maintenance</v>
      </c>
      <c r="Q1953" s="3">
        <f>I1953*INDEX(Produits!$E:$E,MATCH(H1953,Produits!$A:$A,0))</f>
        <v>24.75</v>
      </c>
      <c r="R1953" s="3">
        <f>L1953-Q1953</f>
        <v>30.25</v>
      </c>
      <c r="S1953" s="2">
        <f>NETWORKDAYS(B1953,C1953)-1</f>
        <v>1</v>
      </c>
      <c r="T1953" s="1">
        <f>WORKDAY(B1953,5)</f>
        <v>45999</v>
      </c>
      <c r="U1953" t="b">
        <f>C1953&gt;T1953</f>
        <v>0</v>
      </c>
    </row>
    <row r="1954" spans="1:21" x14ac:dyDescent="0.25">
      <c r="A1954" t="s">
        <v>1387</v>
      </c>
      <c r="B1954" s="1">
        <v>45992</v>
      </c>
      <c r="C1954" s="1">
        <v>45993</v>
      </c>
      <c r="D1954" t="s">
        <v>711</v>
      </c>
      <c r="E1954" t="s">
        <v>61</v>
      </c>
      <c r="F1954" t="s">
        <v>62</v>
      </c>
      <c r="G1954" t="s">
        <v>68</v>
      </c>
      <c r="H1954" t="s">
        <v>83</v>
      </c>
      <c r="I1954" s="2">
        <v>1</v>
      </c>
      <c r="J1954" s="3">
        <v>49</v>
      </c>
      <c r="K1954" s="4">
        <v>0.05</v>
      </c>
      <c r="L1954" s="3">
        <v>46.55</v>
      </c>
      <c r="M1954" t="b">
        <v>1</v>
      </c>
      <c r="N1954" s="2">
        <f>YEAR(B1954)</f>
        <v>2025</v>
      </c>
      <c r="O1954" t="str">
        <f>INDEX(Agences!$C:$C,MATCH(F1954,Agences!$A:$A,0))</f>
        <v>Méditerranée</v>
      </c>
      <c r="P1954" t="str">
        <f>INDEX(Produits!$C:$C,MATCH(H1954,Produits!$A:$A,0))</f>
        <v>Mobilier</v>
      </c>
      <c r="Q1954" s="3">
        <f>I1954*INDEX(Produits!$E:$E,MATCH(H1954,Produits!$A:$A,0))</f>
        <v>28.42</v>
      </c>
      <c r="R1954" s="3">
        <f>L1954-Q1954</f>
        <v>18.129999999999995</v>
      </c>
      <c r="S1954" s="2">
        <f>NETWORKDAYS(B1954,C1954)-1</f>
        <v>1</v>
      </c>
      <c r="T1954" s="1">
        <f>WORKDAY(B1954,5)</f>
        <v>45999</v>
      </c>
      <c r="U1954" t="b">
        <f>C1954&gt;T1954</f>
        <v>0</v>
      </c>
    </row>
    <row r="1955" spans="1:21" x14ac:dyDescent="0.25">
      <c r="A1955" t="s">
        <v>1388</v>
      </c>
      <c r="B1955" s="1">
        <v>45992</v>
      </c>
      <c r="C1955" s="1">
        <v>45999</v>
      </c>
      <c r="D1955" t="s">
        <v>1389</v>
      </c>
      <c r="E1955" t="s">
        <v>242</v>
      </c>
      <c r="F1955" t="s">
        <v>94</v>
      </c>
      <c r="G1955" t="s">
        <v>154</v>
      </c>
      <c r="H1955" t="s">
        <v>49</v>
      </c>
      <c r="I1955" s="2">
        <v>1</v>
      </c>
      <c r="J1955" s="3">
        <v>120</v>
      </c>
      <c r="K1955" s="4">
        <v>0.02</v>
      </c>
      <c r="L1955" s="3">
        <v>117.6</v>
      </c>
      <c r="M1955" t="b">
        <v>1</v>
      </c>
      <c r="N1955" s="2">
        <f>YEAR(B1955)</f>
        <v>2025</v>
      </c>
      <c r="O1955" t="str">
        <f>INDEX(Agences!$C:$C,MATCH(F1955,Agences!$A:$A,0))</f>
        <v>Méditerranée</v>
      </c>
      <c r="P1955" t="str">
        <f>INDEX(Produits!$C:$C,MATCH(H1955,Produits!$A:$A,0))</f>
        <v>Maintenance</v>
      </c>
      <c r="Q1955" s="3">
        <f>I1955*INDEX(Produits!$E:$E,MATCH(H1955,Produits!$A:$A,0))</f>
        <v>55.2</v>
      </c>
      <c r="R1955" s="3">
        <f>L1955-Q1955</f>
        <v>62.39999999999999</v>
      </c>
      <c r="S1955" s="2">
        <f>NETWORKDAYS(B1955,C1955)-1</f>
        <v>5</v>
      </c>
      <c r="T1955" s="1">
        <f>WORKDAY(B1955,5)</f>
        <v>45999</v>
      </c>
      <c r="U1955" t="b">
        <f>C1955&gt;T1955</f>
        <v>0</v>
      </c>
    </row>
    <row r="1956" spans="1:21" x14ac:dyDescent="0.25">
      <c r="A1956" t="s">
        <v>1390</v>
      </c>
      <c r="B1956" s="1">
        <v>45992</v>
      </c>
      <c r="C1956" s="1">
        <v>45993</v>
      </c>
      <c r="D1956" t="s">
        <v>1391</v>
      </c>
      <c r="E1956" t="s">
        <v>242</v>
      </c>
      <c r="F1956" t="s">
        <v>94</v>
      </c>
      <c r="G1956" t="s">
        <v>95</v>
      </c>
      <c r="H1956" t="s">
        <v>90</v>
      </c>
      <c r="I1956" s="2">
        <v>20</v>
      </c>
      <c r="J1956" s="3">
        <v>22.9</v>
      </c>
      <c r="K1956" s="4">
        <v>0</v>
      </c>
      <c r="L1956" s="3">
        <v>458</v>
      </c>
      <c r="M1956" t="b">
        <v>1</v>
      </c>
      <c r="N1956" s="2">
        <f>YEAR(B1956)</f>
        <v>2025</v>
      </c>
      <c r="O1956" t="str">
        <f>INDEX(Agences!$C:$C,MATCH(F1956,Agences!$A:$A,0))</f>
        <v>Méditerranée</v>
      </c>
      <c r="P1956" t="str">
        <f>INDEX(Produits!$C:$C,MATCH(H1956,Produits!$A:$A,0))</f>
        <v>Fournitures</v>
      </c>
      <c r="Q1956" s="3">
        <f>I1956*INDEX(Produits!$E:$E,MATCH(H1956,Produits!$A:$A,0))</f>
        <v>256.4</v>
      </c>
      <c r="R1956" s="3">
        <f>L1956-Q1956</f>
        <v>201.60000000000002</v>
      </c>
      <c r="S1956" s="2">
        <f>NETWORKDAYS(B1956,C1956)-1</f>
        <v>1</v>
      </c>
      <c r="T1956" s="1">
        <f>WORKDAY(B1956,5)</f>
        <v>45999</v>
      </c>
      <c r="U1956" t="b">
        <f>C1956&gt;T1956</f>
        <v>0</v>
      </c>
    </row>
    <row r="1957" spans="1:21" x14ac:dyDescent="0.25">
      <c r="A1957" t="s">
        <v>1390</v>
      </c>
      <c r="B1957" s="1">
        <v>45992</v>
      </c>
      <c r="C1957" s="1">
        <v>45993</v>
      </c>
      <c r="D1957" t="s">
        <v>1391</v>
      </c>
      <c r="E1957" t="s">
        <v>242</v>
      </c>
      <c r="F1957" t="s">
        <v>94</v>
      </c>
      <c r="G1957" t="s">
        <v>95</v>
      </c>
      <c r="H1957" t="s">
        <v>50</v>
      </c>
      <c r="I1957" s="2">
        <v>5</v>
      </c>
      <c r="J1957" s="3">
        <v>69</v>
      </c>
      <c r="K1957" s="4">
        <v>0</v>
      </c>
      <c r="L1957" s="3">
        <v>345</v>
      </c>
      <c r="M1957" t="b">
        <v>1</v>
      </c>
      <c r="N1957" s="2">
        <f>YEAR(B1957)</f>
        <v>2025</v>
      </c>
      <c r="O1957" t="str">
        <f>INDEX(Agences!$C:$C,MATCH(F1957,Agences!$A:$A,0))</f>
        <v>Méditerranée</v>
      </c>
      <c r="P1957" t="str">
        <f>INDEX(Produits!$C:$C,MATCH(H1957,Produits!$A:$A,0))</f>
        <v>Informatique</v>
      </c>
      <c r="Q1957" s="3">
        <f>I1957*INDEX(Produits!$E:$E,MATCH(H1957,Produits!$A:$A,0))</f>
        <v>272.55</v>
      </c>
      <c r="R1957" s="3">
        <f>L1957-Q1957</f>
        <v>72.44999999999999</v>
      </c>
      <c r="S1957" s="2">
        <f>NETWORKDAYS(B1957,C1957)-1</f>
        <v>1</v>
      </c>
      <c r="T1957" s="1">
        <f>WORKDAY(B1957,5)</f>
        <v>45999</v>
      </c>
      <c r="U1957" t="b">
        <f>C1957&gt;T1957</f>
        <v>0</v>
      </c>
    </row>
    <row r="1958" spans="1:21" x14ac:dyDescent="0.25">
      <c r="A1958" t="s">
        <v>1390</v>
      </c>
      <c r="B1958" s="1">
        <v>45992</v>
      </c>
      <c r="C1958" s="1">
        <v>45993</v>
      </c>
      <c r="D1958" t="s">
        <v>1391</v>
      </c>
      <c r="E1958" t="s">
        <v>242</v>
      </c>
      <c r="F1958" t="s">
        <v>94</v>
      </c>
      <c r="G1958" t="s">
        <v>95</v>
      </c>
      <c r="H1958" t="s">
        <v>150</v>
      </c>
      <c r="I1958" s="2">
        <v>1</v>
      </c>
      <c r="J1958" s="3">
        <v>790</v>
      </c>
      <c r="K1958" s="4">
        <v>0.05</v>
      </c>
      <c r="L1958" s="3">
        <v>750.5</v>
      </c>
      <c r="M1958" t="b">
        <v>1</v>
      </c>
      <c r="N1958" s="2">
        <f>YEAR(B1958)</f>
        <v>2025</v>
      </c>
      <c r="O1958" t="str">
        <f>INDEX(Agences!$C:$C,MATCH(F1958,Agences!$A:$A,0))</f>
        <v>Méditerranée</v>
      </c>
      <c r="P1958" t="str">
        <f>INDEX(Produits!$C:$C,MATCH(H1958,Produits!$A:$A,0))</f>
        <v>Informatique</v>
      </c>
      <c r="Q1958" s="3">
        <f>I1958*INDEX(Produits!$E:$E,MATCH(H1958,Produits!$A:$A,0))</f>
        <v>584.6</v>
      </c>
      <c r="R1958" s="3">
        <f>L1958-Q1958</f>
        <v>165.89999999999998</v>
      </c>
      <c r="S1958" s="2">
        <f>NETWORKDAYS(B1958,C1958)-1</f>
        <v>1</v>
      </c>
      <c r="T1958" s="1">
        <f>WORKDAY(B1958,5)</f>
        <v>45999</v>
      </c>
      <c r="U1958" t="b">
        <f>C1958&gt;T1958</f>
        <v>0</v>
      </c>
    </row>
    <row r="1959" spans="1:21" x14ac:dyDescent="0.25">
      <c r="A1959" t="s">
        <v>1392</v>
      </c>
      <c r="B1959" s="1">
        <v>45992</v>
      </c>
      <c r="C1959" s="1">
        <v>45994</v>
      </c>
      <c r="D1959" t="s">
        <v>1311</v>
      </c>
      <c r="E1959" t="s">
        <v>54</v>
      </c>
      <c r="F1959" t="s">
        <v>55</v>
      </c>
      <c r="G1959" t="s">
        <v>56</v>
      </c>
      <c r="H1959" t="s">
        <v>196</v>
      </c>
      <c r="I1959" s="2">
        <v>5</v>
      </c>
      <c r="J1959" s="3">
        <v>18.5</v>
      </c>
      <c r="K1959" s="4">
        <v>0</v>
      </c>
      <c r="L1959" s="3">
        <v>92.5</v>
      </c>
      <c r="M1959" t="b">
        <v>1</v>
      </c>
      <c r="N1959" s="2">
        <f>YEAR(B1959)</f>
        <v>2025</v>
      </c>
      <c r="O1959" t="str">
        <f>INDEX(Agences!$C:$C,MATCH(F1959,Agences!$A:$A,0))</f>
        <v>Est</v>
      </c>
      <c r="P1959" t="str">
        <f>INDEX(Produits!$C:$C,MATCH(H1959,Produits!$A:$A,0))</f>
        <v>Fournitures</v>
      </c>
      <c r="Q1959" s="3">
        <f>I1959*INDEX(Produits!$E:$E,MATCH(H1959,Produits!$A:$A,0))</f>
        <v>47.199999999999996</v>
      </c>
      <c r="R1959" s="3">
        <f>L1959-Q1959</f>
        <v>45.300000000000004</v>
      </c>
      <c r="S1959" s="2">
        <f>NETWORKDAYS(B1959,C1959)-1</f>
        <v>2</v>
      </c>
      <c r="T1959" s="1">
        <f>WORKDAY(B1959,5)</f>
        <v>45999</v>
      </c>
      <c r="U1959" t="b">
        <f>C1959&gt;T1959</f>
        <v>0</v>
      </c>
    </row>
    <row r="1960" spans="1:21" x14ac:dyDescent="0.25">
      <c r="A1960" t="s">
        <v>1392</v>
      </c>
      <c r="B1960" s="1">
        <v>45992</v>
      </c>
      <c r="C1960" s="1">
        <v>45994</v>
      </c>
      <c r="D1960" t="s">
        <v>1311</v>
      </c>
      <c r="E1960" t="s">
        <v>54</v>
      </c>
      <c r="F1960" t="s">
        <v>55</v>
      </c>
      <c r="G1960" t="s">
        <v>56</v>
      </c>
      <c r="H1960" t="s">
        <v>49</v>
      </c>
      <c r="I1960" s="2">
        <v>1</v>
      </c>
      <c r="J1960" s="3">
        <v>120</v>
      </c>
      <c r="K1960" s="4">
        <v>0.1</v>
      </c>
      <c r="L1960" s="3">
        <v>108</v>
      </c>
      <c r="M1960" t="b">
        <v>1</v>
      </c>
      <c r="N1960" s="2">
        <f>YEAR(B1960)</f>
        <v>2025</v>
      </c>
      <c r="O1960" t="str">
        <f>INDEX(Agences!$C:$C,MATCH(F1960,Agences!$A:$A,0))</f>
        <v>Est</v>
      </c>
      <c r="P1960" t="str">
        <f>INDEX(Produits!$C:$C,MATCH(H1960,Produits!$A:$A,0))</f>
        <v>Maintenance</v>
      </c>
      <c r="Q1960" s="3">
        <f>I1960*INDEX(Produits!$E:$E,MATCH(H1960,Produits!$A:$A,0))</f>
        <v>55.2</v>
      </c>
      <c r="R1960" s="3">
        <f>L1960-Q1960</f>
        <v>52.8</v>
      </c>
      <c r="S1960" s="2">
        <f>NETWORKDAYS(B1960,C1960)-1</f>
        <v>2</v>
      </c>
      <c r="T1960" s="1">
        <f>WORKDAY(B1960,5)</f>
        <v>45999</v>
      </c>
      <c r="U1960" t="b">
        <f>C1960&gt;T1960</f>
        <v>0</v>
      </c>
    </row>
    <row r="1961" spans="1:21" x14ac:dyDescent="0.25">
      <c r="A1961" t="s">
        <v>1392</v>
      </c>
      <c r="B1961" s="1">
        <v>45992</v>
      </c>
      <c r="C1961" s="1">
        <v>45994</v>
      </c>
      <c r="D1961" t="s">
        <v>1311</v>
      </c>
      <c r="E1961" t="s">
        <v>54</v>
      </c>
      <c r="F1961" t="s">
        <v>55</v>
      </c>
      <c r="G1961" t="s">
        <v>56</v>
      </c>
      <c r="H1961" t="s">
        <v>103</v>
      </c>
      <c r="I1961" s="2">
        <v>2</v>
      </c>
      <c r="J1961" s="3">
        <v>245</v>
      </c>
      <c r="K1961" s="4">
        <v>0</v>
      </c>
      <c r="L1961" s="3">
        <v>490</v>
      </c>
      <c r="M1961" t="b">
        <v>1</v>
      </c>
      <c r="N1961" s="2">
        <f>YEAR(B1961)</f>
        <v>2025</v>
      </c>
      <c r="O1961" t="str">
        <f>INDEX(Agences!$C:$C,MATCH(F1961,Agences!$A:$A,0))</f>
        <v>Est</v>
      </c>
      <c r="P1961" t="str">
        <f>INDEX(Produits!$C:$C,MATCH(H1961,Produits!$A:$A,0))</f>
        <v>Mobilier</v>
      </c>
      <c r="Q1961" s="3">
        <f>I1961*INDEX(Produits!$E:$E,MATCH(H1961,Produits!$A:$A,0))</f>
        <v>328.3</v>
      </c>
      <c r="R1961" s="3">
        <f>L1961-Q1961</f>
        <v>161.7</v>
      </c>
      <c r="S1961" s="2">
        <f>NETWORKDAYS(B1961,C1961)-1</f>
        <v>2</v>
      </c>
      <c r="T1961" s="1">
        <f>WORKDAY(B1961,5)</f>
        <v>45999</v>
      </c>
      <c r="U1961" t="b">
        <f>C1961&gt;T1961</f>
        <v>0</v>
      </c>
    </row>
    <row r="1962" spans="1:21" x14ac:dyDescent="0.25">
      <c r="A1962" t="s">
        <v>1393</v>
      </c>
      <c r="B1962" s="1">
        <v>45989</v>
      </c>
      <c r="C1962" s="1">
        <v>45996</v>
      </c>
      <c r="D1962" t="s">
        <v>1394</v>
      </c>
      <c r="E1962" t="s">
        <v>209</v>
      </c>
      <c r="F1962" t="s">
        <v>99</v>
      </c>
      <c r="G1962" t="s">
        <v>100</v>
      </c>
      <c r="H1962" t="s">
        <v>108</v>
      </c>
      <c r="I1962" s="2">
        <v>20</v>
      </c>
      <c r="J1962" s="3">
        <v>24.5</v>
      </c>
      <c r="K1962" s="4">
        <v>0.08</v>
      </c>
      <c r="L1962" s="3">
        <v>450.8</v>
      </c>
      <c r="M1962" t="b">
        <v>1</v>
      </c>
      <c r="N1962" s="2">
        <f>YEAR(B1962)</f>
        <v>2025</v>
      </c>
      <c r="O1962" t="str">
        <f>INDEX(Agences!$C:$C,MATCH(F1962,Agences!$A:$A,0))</f>
        <v>Nord</v>
      </c>
      <c r="P1962" t="str">
        <f>INDEX(Produits!$C:$C,MATCH(H1962,Produits!$A:$A,0))</f>
        <v>Fournitures</v>
      </c>
      <c r="Q1962" s="3">
        <f>I1962*INDEX(Produits!$E:$E,MATCH(H1962,Produits!$A:$A,0))</f>
        <v>294</v>
      </c>
      <c r="R1962" s="3">
        <f>L1962-Q1962</f>
        <v>156.8</v>
      </c>
      <c r="S1962" s="2">
        <f>NETWORKDAYS(B1962,C1962)-1</f>
        <v>5</v>
      </c>
      <c r="T1962" s="1">
        <f>WORKDAY(B1962,5)</f>
        <v>45996</v>
      </c>
      <c r="U1962" t="b">
        <f>C1962&gt;T1962</f>
        <v>0</v>
      </c>
    </row>
    <row r="1963" spans="1:21" x14ac:dyDescent="0.25">
      <c r="A1963" t="s">
        <v>1393</v>
      </c>
      <c r="B1963" s="1">
        <v>45989</v>
      </c>
      <c r="C1963" s="1">
        <v>45996</v>
      </c>
      <c r="D1963" t="s">
        <v>1394</v>
      </c>
      <c r="E1963" t="s">
        <v>209</v>
      </c>
      <c r="F1963" t="s">
        <v>99</v>
      </c>
      <c r="G1963" t="s">
        <v>100</v>
      </c>
      <c r="H1963" t="s">
        <v>42</v>
      </c>
      <c r="I1963" s="2">
        <v>2</v>
      </c>
      <c r="J1963" s="3">
        <v>55</v>
      </c>
      <c r="K1963" s="4">
        <v>0.05</v>
      </c>
      <c r="L1963" s="3">
        <v>104.5</v>
      </c>
      <c r="M1963" t="b">
        <v>1</v>
      </c>
      <c r="N1963" s="2">
        <f>YEAR(B1963)</f>
        <v>2025</v>
      </c>
      <c r="O1963" t="str">
        <f>INDEX(Agences!$C:$C,MATCH(F1963,Agences!$A:$A,0))</f>
        <v>Nord</v>
      </c>
      <c r="P1963" t="str">
        <f>INDEX(Produits!$C:$C,MATCH(H1963,Produits!$A:$A,0))</f>
        <v>Maintenance</v>
      </c>
      <c r="Q1963" s="3">
        <f>I1963*INDEX(Produits!$E:$E,MATCH(H1963,Produits!$A:$A,0))</f>
        <v>49.5</v>
      </c>
      <c r="R1963" s="3">
        <f>L1963-Q1963</f>
        <v>55</v>
      </c>
      <c r="S1963" s="2">
        <f>NETWORKDAYS(B1963,C1963)-1</f>
        <v>5</v>
      </c>
      <c r="T1963" s="1">
        <f>WORKDAY(B1963,5)</f>
        <v>45996</v>
      </c>
      <c r="U1963" t="b">
        <f>C1963&gt;T1963</f>
        <v>0</v>
      </c>
    </row>
    <row r="1964" spans="1:21" x14ac:dyDescent="0.25">
      <c r="A1964" t="s">
        <v>1393</v>
      </c>
      <c r="B1964" s="1">
        <v>45989</v>
      </c>
      <c r="C1964" s="1">
        <v>45996</v>
      </c>
      <c r="D1964" t="s">
        <v>1394</v>
      </c>
      <c r="E1964" t="s">
        <v>209</v>
      </c>
      <c r="F1964" t="s">
        <v>99</v>
      </c>
      <c r="G1964" t="s">
        <v>100</v>
      </c>
      <c r="H1964" t="s">
        <v>83</v>
      </c>
      <c r="I1964" s="2">
        <v>3</v>
      </c>
      <c r="J1964" s="3">
        <v>49</v>
      </c>
      <c r="K1964" s="4">
        <v>0.05</v>
      </c>
      <c r="L1964" s="3">
        <v>139.65</v>
      </c>
      <c r="M1964" t="b">
        <v>1</v>
      </c>
      <c r="N1964" s="2">
        <f>YEAR(B1964)</f>
        <v>2025</v>
      </c>
      <c r="O1964" t="str">
        <f>INDEX(Agences!$C:$C,MATCH(F1964,Agences!$A:$A,0))</f>
        <v>Nord</v>
      </c>
      <c r="P1964" t="str">
        <f>INDEX(Produits!$C:$C,MATCH(H1964,Produits!$A:$A,0))</f>
        <v>Mobilier</v>
      </c>
      <c r="Q1964" s="3">
        <f>I1964*INDEX(Produits!$E:$E,MATCH(H1964,Produits!$A:$A,0))</f>
        <v>85.26</v>
      </c>
      <c r="R1964" s="3">
        <f>L1964-Q1964</f>
        <v>54.39</v>
      </c>
      <c r="S1964" s="2">
        <f>NETWORKDAYS(B1964,C1964)-1</f>
        <v>5</v>
      </c>
      <c r="T1964" s="1">
        <f>WORKDAY(B1964,5)</f>
        <v>45996</v>
      </c>
      <c r="U1964" t="b">
        <f>C1964&gt;T1964</f>
        <v>0</v>
      </c>
    </row>
    <row r="1965" spans="1:21" x14ac:dyDescent="0.25">
      <c r="A1965" t="s">
        <v>1395</v>
      </c>
      <c r="B1965" s="1">
        <v>45989</v>
      </c>
      <c r="C1965" s="1">
        <v>45993</v>
      </c>
      <c r="D1965" t="s">
        <v>701</v>
      </c>
      <c r="E1965" t="s">
        <v>229</v>
      </c>
      <c r="F1965" t="s">
        <v>55</v>
      </c>
      <c r="G1965" t="s">
        <v>71</v>
      </c>
      <c r="H1965" t="s">
        <v>150</v>
      </c>
      <c r="I1965" s="2">
        <v>2</v>
      </c>
      <c r="J1965" s="3">
        <v>790</v>
      </c>
      <c r="K1965" s="4">
        <v>0</v>
      </c>
      <c r="L1965" s="3">
        <v>1580</v>
      </c>
      <c r="M1965" t="b">
        <v>1</v>
      </c>
      <c r="N1965" s="2">
        <f>YEAR(B1965)</f>
        <v>2025</v>
      </c>
      <c r="O1965" t="str">
        <f>INDEX(Agences!$C:$C,MATCH(F1965,Agences!$A:$A,0))</f>
        <v>Est</v>
      </c>
      <c r="P1965" t="str">
        <f>INDEX(Produits!$C:$C,MATCH(H1965,Produits!$A:$A,0))</f>
        <v>Informatique</v>
      </c>
      <c r="Q1965" s="3">
        <f>I1965*INDEX(Produits!$E:$E,MATCH(H1965,Produits!$A:$A,0))</f>
        <v>1169.2</v>
      </c>
      <c r="R1965" s="3">
        <f>L1965-Q1965</f>
        <v>410.79999999999995</v>
      </c>
      <c r="S1965" s="2">
        <f>NETWORKDAYS(B1965,C1965)-1</f>
        <v>2</v>
      </c>
      <c r="T1965" s="1">
        <f>WORKDAY(B1965,5)</f>
        <v>45996</v>
      </c>
      <c r="U1965" t="b">
        <f>C1965&gt;T1965</f>
        <v>0</v>
      </c>
    </row>
    <row r="1966" spans="1:21" x14ac:dyDescent="0.25">
      <c r="A1966" t="s">
        <v>1396</v>
      </c>
      <c r="B1966" s="1">
        <v>45988</v>
      </c>
      <c r="C1966" s="1">
        <v>45989</v>
      </c>
      <c r="D1966" t="s">
        <v>1397</v>
      </c>
      <c r="E1966" t="s">
        <v>137</v>
      </c>
      <c r="F1966" t="s">
        <v>138</v>
      </c>
      <c r="G1966" t="s">
        <v>220</v>
      </c>
      <c r="H1966" t="s">
        <v>57</v>
      </c>
      <c r="I1966" s="2">
        <v>3</v>
      </c>
      <c r="J1966" s="3">
        <v>149</v>
      </c>
      <c r="K1966" s="4">
        <v>0</v>
      </c>
      <c r="L1966" s="3">
        <v>447</v>
      </c>
      <c r="M1966" t="b">
        <v>1</v>
      </c>
      <c r="N1966" s="2">
        <f>YEAR(B1966)</f>
        <v>2025</v>
      </c>
      <c r="O1966" t="str">
        <f>INDEX(Agences!$C:$C,MATCH(F1966,Agences!$A:$A,0))</f>
        <v>Île-de-France</v>
      </c>
      <c r="P1966" t="str">
        <f>INDEX(Produits!$C:$C,MATCH(H1966,Produits!$A:$A,0))</f>
        <v>Informatique</v>
      </c>
      <c r="Q1966" s="3">
        <f>I1966*INDEX(Produits!$E:$E,MATCH(H1966,Produits!$A:$A,0))</f>
        <v>344.19</v>
      </c>
      <c r="R1966" s="3">
        <f>L1966-Q1966</f>
        <v>102.81</v>
      </c>
      <c r="S1966" s="2">
        <f>NETWORKDAYS(B1966,C1966)-1</f>
        <v>1</v>
      </c>
      <c r="T1966" s="1">
        <f>WORKDAY(B1966,5)</f>
        <v>45995</v>
      </c>
      <c r="U1966" t="b">
        <f>C1966&gt;T1966</f>
        <v>0</v>
      </c>
    </row>
    <row r="1967" spans="1:21" x14ac:dyDescent="0.25">
      <c r="A1967" t="s">
        <v>1396</v>
      </c>
      <c r="B1967" s="1">
        <v>45988</v>
      </c>
      <c r="C1967" s="1">
        <v>45989</v>
      </c>
      <c r="D1967" t="s">
        <v>1397</v>
      </c>
      <c r="E1967" t="s">
        <v>137</v>
      </c>
      <c r="F1967" t="s">
        <v>138</v>
      </c>
      <c r="G1967" t="s">
        <v>220</v>
      </c>
      <c r="H1967" t="s">
        <v>33</v>
      </c>
      <c r="I1967" s="2">
        <v>1</v>
      </c>
      <c r="J1967" s="3">
        <v>219</v>
      </c>
      <c r="K1967" s="4">
        <v>0</v>
      </c>
      <c r="L1967" s="3">
        <v>219</v>
      </c>
      <c r="M1967" t="b">
        <v>1</v>
      </c>
      <c r="N1967" s="2">
        <f>YEAR(B1967)</f>
        <v>2025</v>
      </c>
      <c r="O1967" t="str">
        <f>INDEX(Agences!$C:$C,MATCH(F1967,Agences!$A:$A,0))</f>
        <v>Île-de-France</v>
      </c>
      <c r="P1967" t="str">
        <f>INDEX(Produits!$C:$C,MATCH(H1967,Produits!$A:$A,0))</f>
        <v>Informatique</v>
      </c>
      <c r="Q1967" s="3">
        <f>I1967*INDEX(Produits!$E:$E,MATCH(H1967,Produits!$A:$A,0))</f>
        <v>179.58</v>
      </c>
      <c r="R1967" s="3">
        <f>L1967-Q1967</f>
        <v>39.41999999999999</v>
      </c>
      <c r="S1967" s="2">
        <f>NETWORKDAYS(B1967,C1967)-1</f>
        <v>1</v>
      </c>
      <c r="T1967" s="1">
        <f>WORKDAY(B1967,5)</f>
        <v>45995</v>
      </c>
      <c r="U1967" t="b">
        <f>C1967&gt;T1967</f>
        <v>0</v>
      </c>
    </row>
    <row r="1968" spans="1:21" x14ac:dyDescent="0.25">
      <c r="A1968" t="s">
        <v>1396</v>
      </c>
      <c r="B1968" s="1">
        <v>45988</v>
      </c>
      <c r="C1968" s="1">
        <v>45989</v>
      </c>
      <c r="D1968" t="s">
        <v>1397</v>
      </c>
      <c r="E1968" t="s">
        <v>137</v>
      </c>
      <c r="F1968" t="s">
        <v>138</v>
      </c>
      <c r="G1968" t="s">
        <v>220</v>
      </c>
      <c r="H1968" t="s">
        <v>90</v>
      </c>
      <c r="I1968" s="2">
        <v>10</v>
      </c>
      <c r="J1968" s="3">
        <v>22.9</v>
      </c>
      <c r="K1968" s="4">
        <v>0.05</v>
      </c>
      <c r="L1968" s="3">
        <v>217.55</v>
      </c>
      <c r="M1968" t="b">
        <v>1</v>
      </c>
      <c r="N1968" s="2">
        <f>YEAR(B1968)</f>
        <v>2025</v>
      </c>
      <c r="O1968" t="str">
        <f>INDEX(Agences!$C:$C,MATCH(F1968,Agences!$A:$A,0))</f>
        <v>Île-de-France</v>
      </c>
      <c r="P1968" t="str">
        <f>INDEX(Produits!$C:$C,MATCH(H1968,Produits!$A:$A,0))</f>
        <v>Fournitures</v>
      </c>
      <c r="Q1968" s="3">
        <f>I1968*INDEX(Produits!$E:$E,MATCH(H1968,Produits!$A:$A,0))</f>
        <v>128.2</v>
      </c>
      <c r="R1968" s="3">
        <f>L1968-Q1968</f>
        <v>89.35000000000002</v>
      </c>
      <c r="S1968" s="2">
        <f>NETWORKDAYS(B1968,C1968)-1</f>
        <v>1</v>
      </c>
      <c r="T1968" s="1">
        <f>WORKDAY(B1968,5)</f>
        <v>45995</v>
      </c>
      <c r="U1968" t="b">
        <f>C1968&gt;T1968</f>
        <v>0</v>
      </c>
    </row>
    <row r="1969" spans="1:21" x14ac:dyDescent="0.25">
      <c r="A1969" t="s">
        <v>1398</v>
      </c>
      <c r="B1969" s="1">
        <v>45988</v>
      </c>
      <c r="C1969" s="1">
        <v>45995</v>
      </c>
      <c r="D1969" t="s">
        <v>1399</v>
      </c>
      <c r="E1969" t="s">
        <v>270</v>
      </c>
      <c r="F1969" t="s">
        <v>76</v>
      </c>
      <c r="G1969" t="s">
        <v>77</v>
      </c>
      <c r="H1969" t="s">
        <v>162</v>
      </c>
      <c r="I1969" s="2">
        <v>3</v>
      </c>
      <c r="J1969" s="3">
        <v>289</v>
      </c>
      <c r="K1969" s="4">
        <v>0</v>
      </c>
      <c r="L1969" s="3">
        <v>867</v>
      </c>
      <c r="M1969" t="b">
        <v>1</v>
      </c>
      <c r="N1969" s="2">
        <f>YEAR(B1969)</f>
        <v>2025</v>
      </c>
      <c r="O1969" t="str">
        <f>INDEX(Agences!$C:$C,MATCH(F1969,Agences!$A:$A,0))</f>
        <v>Île-de-France</v>
      </c>
      <c r="P1969" t="str">
        <f>INDEX(Produits!$C:$C,MATCH(H1969,Produits!$A:$A,0))</f>
        <v>Mobilier</v>
      </c>
      <c r="Q1969" s="3">
        <f>I1969*INDEX(Produits!$E:$E,MATCH(H1969,Produits!$A:$A,0))</f>
        <v>580.89</v>
      </c>
      <c r="R1969" s="3">
        <f>L1969-Q1969</f>
        <v>286.11</v>
      </c>
      <c r="S1969" s="2">
        <f>NETWORKDAYS(B1969,C1969)-1</f>
        <v>5</v>
      </c>
      <c r="T1969" s="1">
        <f>WORKDAY(B1969,5)</f>
        <v>45995</v>
      </c>
      <c r="U1969" t="b">
        <f>C1969&gt;T1969</f>
        <v>0</v>
      </c>
    </row>
    <row r="1970" spans="1:21" x14ac:dyDescent="0.25">
      <c r="A1970" t="s">
        <v>1398</v>
      </c>
      <c r="B1970" s="1">
        <v>45988</v>
      </c>
      <c r="C1970" s="1">
        <v>45995</v>
      </c>
      <c r="D1970" t="s">
        <v>1399</v>
      </c>
      <c r="E1970" t="s">
        <v>270</v>
      </c>
      <c r="F1970" t="s">
        <v>76</v>
      </c>
      <c r="G1970" t="s">
        <v>77</v>
      </c>
      <c r="H1970" t="s">
        <v>112</v>
      </c>
      <c r="I1970" s="2">
        <v>1</v>
      </c>
      <c r="J1970" s="3">
        <v>129</v>
      </c>
      <c r="K1970" s="4">
        <v>0.05</v>
      </c>
      <c r="L1970" s="3">
        <v>122.55</v>
      </c>
      <c r="M1970" t="b">
        <v>1</v>
      </c>
      <c r="N1970" s="2">
        <f>YEAR(B1970)</f>
        <v>2025</v>
      </c>
      <c r="O1970" t="str">
        <f>INDEX(Agences!$C:$C,MATCH(F1970,Agences!$A:$A,0))</f>
        <v>Île-de-France</v>
      </c>
      <c r="P1970" t="str">
        <f>INDEX(Produits!$C:$C,MATCH(H1970,Produits!$A:$A,0))</f>
        <v>Mobilier</v>
      </c>
      <c r="Q1970" s="3">
        <f>I1970*INDEX(Produits!$E:$E,MATCH(H1970,Produits!$A:$A,0))</f>
        <v>86.43</v>
      </c>
      <c r="R1970" s="3">
        <f>L1970-Q1970</f>
        <v>36.11999999999999</v>
      </c>
      <c r="S1970" s="2">
        <f>NETWORKDAYS(B1970,C1970)-1</f>
        <v>5</v>
      </c>
      <c r="T1970" s="1">
        <f>WORKDAY(B1970,5)</f>
        <v>45995</v>
      </c>
      <c r="U1970" t="b">
        <f>C1970&gt;T1970</f>
        <v>0</v>
      </c>
    </row>
    <row r="1971" spans="1:21" x14ac:dyDescent="0.25">
      <c r="A1971" t="s">
        <v>1400</v>
      </c>
      <c r="B1971" s="1">
        <v>45988</v>
      </c>
      <c r="C1971" s="1">
        <v>45993</v>
      </c>
      <c r="D1971" t="s">
        <v>1401</v>
      </c>
      <c r="E1971" t="s">
        <v>236</v>
      </c>
      <c r="F1971" t="s">
        <v>39</v>
      </c>
      <c r="G1971" t="s">
        <v>322</v>
      </c>
      <c r="H1971" t="s">
        <v>42</v>
      </c>
      <c r="I1971" s="2">
        <v>1</v>
      </c>
      <c r="J1971" s="3">
        <v>55</v>
      </c>
      <c r="K1971" s="4">
        <v>0</v>
      </c>
      <c r="L1971" s="3">
        <v>55</v>
      </c>
      <c r="M1971" t="b">
        <v>1</v>
      </c>
      <c r="N1971" s="2">
        <f>YEAR(B1971)</f>
        <v>2025</v>
      </c>
      <c r="O1971" t="str">
        <f>INDEX(Agences!$C:$C,MATCH(F1971,Agences!$A:$A,0))</f>
        <v>Sud-Ouest</v>
      </c>
      <c r="P1971" t="str">
        <f>INDEX(Produits!$C:$C,MATCH(H1971,Produits!$A:$A,0))</f>
        <v>Maintenance</v>
      </c>
      <c r="Q1971" s="3">
        <f>I1971*INDEX(Produits!$E:$E,MATCH(H1971,Produits!$A:$A,0))</f>
        <v>24.75</v>
      </c>
      <c r="R1971" s="3">
        <f>L1971-Q1971</f>
        <v>30.25</v>
      </c>
      <c r="S1971" s="2">
        <f>NETWORKDAYS(B1971,C1971)-1</f>
        <v>3</v>
      </c>
      <c r="T1971" s="1">
        <f>WORKDAY(B1971,5)</f>
        <v>45995</v>
      </c>
      <c r="U1971" t="b">
        <f>C1971&gt;T1971</f>
        <v>0</v>
      </c>
    </row>
    <row r="1972" spans="1:21" x14ac:dyDescent="0.25">
      <c r="A1972" t="s">
        <v>1400</v>
      </c>
      <c r="B1972" s="1">
        <v>45988</v>
      </c>
      <c r="C1972" s="1">
        <v>45993</v>
      </c>
      <c r="D1972" t="s">
        <v>1401</v>
      </c>
      <c r="E1972" t="s">
        <v>236</v>
      </c>
      <c r="F1972" t="s">
        <v>39</v>
      </c>
      <c r="G1972" t="s">
        <v>322</v>
      </c>
      <c r="H1972" t="s">
        <v>83</v>
      </c>
      <c r="I1972" s="2">
        <v>4</v>
      </c>
      <c r="J1972" s="3">
        <v>49</v>
      </c>
      <c r="K1972" s="4">
        <v>0</v>
      </c>
      <c r="L1972" s="3">
        <v>196</v>
      </c>
      <c r="M1972" t="b">
        <v>1</v>
      </c>
      <c r="N1972" s="2">
        <f>YEAR(B1972)</f>
        <v>2025</v>
      </c>
      <c r="O1972" t="str">
        <f>INDEX(Agences!$C:$C,MATCH(F1972,Agences!$A:$A,0))</f>
        <v>Sud-Ouest</v>
      </c>
      <c r="P1972" t="str">
        <f>INDEX(Produits!$C:$C,MATCH(H1972,Produits!$A:$A,0))</f>
        <v>Mobilier</v>
      </c>
      <c r="Q1972" s="3">
        <f>I1972*INDEX(Produits!$E:$E,MATCH(H1972,Produits!$A:$A,0))</f>
        <v>113.68</v>
      </c>
      <c r="R1972" s="3">
        <f>L1972-Q1972</f>
        <v>82.32</v>
      </c>
      <c r="S1972" s="2">
        <f>NETWORKDAYS(B1972,C1972)-1</f>
        <v>3</v>
      </c>
      <c r="T1972" s="1">
        <f>WORKDAY(B1972,5)</f>
        <v>45995</v>
      </c>
      <c r="U1972" t="b">
        <f>C1972&gt;T1972</f>
        <v>0</v>
      </c>
    </row>
    <row r="1973" spans="1:21" x14ac:dyDescent="0.25">
      <c r="A1973" t="s">
        <v>1400</v>
      </c>
      <c r="B1973" s="1">
        <v>45988</v>
      </c>
      <c r="C1973" s="1">
        <v>45993</v>
      </c>
      <c r="D1973" t="s">
        <v>1401</v>
      </c>
      <c r="E1973" t="s">
        <v>236</v>
      </c>
      <c r="F1973" t="s">
        <v>39</v>
      </c>
      <c r="G1973" t="s">
        <v>322</v>
      </c>
      <c r="H1973" t="s">
        <v>90</v>
      </c>
      <c r="I1973" s="2">
        <v>25</v>
      </c>
      <c r="J1973" s="3">
        <v>22.9</v>
      </c>
      <c r="K1973" s="4">
        <v>0.05</v>
      </c>
      <c r="L1973" s="3">
        <v>543.88</v>
      </c>
      <c r="M1973" t="b">
        <v>1</v>
      </c>
      <c r="N1973" s="2">
        <f>YEAR(B1973)</f>
        <v>2025</v>
      </c>
      <c r="O1973" t="str">
        <f>INDEX(Agences!$C:$C,MATCH(F1973,Agences!$A:$A,0))</f>
        <v>Sud-Ouest</v>
      </c>
      <c r="P1973" t="str">
        <f>INDEX(Produits!$C:$C,MATCH(H1973,Produits!$A:$A,0))</f>
        <v>Fournitures</v>
      </c>
      <c r="Q1973" s="3">
        <f>I1973*INDEX(Produits!$E:$E,MATCH(H1973,Produits!$A:$A,0))</f>
        <v>320.5</v>
      </c>
      <c r="R1973" s="3">
        <f>L1973-Q1973</f>
        <v>223.38</v>
      </c>
      <c r="S1973" s="2">
        <f>NETWORKDAYS(B1973,C1973)-1</f>
        <v>3</v>
      </c>
      <c r="T1973" s="1">
        <f>WORKDAY(B1973,5)</f>
        <v>45995</v>
      </c>
      <c r="U1973" t="b">
        <f>C1973&gt;T1973</f>
        <v>0</v>
      </c>
    </row>
    <row r="1974" spans="1:21" x14ac:dyDescent="0.25">
      <c r="A1974" t="s">
        <v>1402</v>
      </c>
      <c r="B1974" s="1">
        <v>45988</v>
      </c>
      <c r="C1974" s="1">
        <v>45994</v>
      </c>
      <c r="D1974" t="s">
        <v>405</v>
      </c>
      <c r="E1974" t="s">
        <v>256</v>
      </c>
      <c r="F1974" t="s">
        <v>88</v>
      </c>
      <c r="G1974" t="s">
        <v>226</v>
      </c>
      <c r="H1974" t="s">
        <v>41</v>
      </c>
      <c r="I1974" s="2">
        <v>1</v>
      </c>
      <c r="J1974" s="3">
        <v>790</v>
      </c>
      <c r="K1974" s="4">
        <v>0.08</v>
      </c>
      <c r="L1974" s="3">
        <v>726.8</v>
      </c>
      <c r="M1974" t="b">
        <v>1</v>
      </c>
      <c r="N1974" s="2">
        <f>YEAR(B1974)</f>
        <v>2025</v>
      </c>
      <c r="O1974" t="str">
        <f>INDEX(Agences!$C:$C,MATCH(F1974,Agences!$A:$A,0))</f>
        <v>Sud-Ouest</v>
      </c>
      <c r="P1974" t="str">
        <f>INDEX(Produits!$C:$C,MATCH(H1974,Produits!$A:$A,0))</f>
        <v>Informatique</v>
      </c>
      <c r="Q1974" s="3">
        <f>I1974*INDEX(Produits!$E:$E,MATCH(H1974,Produits!$A:$A,0))</f>
        <v>576.7</v>
      </c>
      <c r="R1974" s="3">
        <f>L1974-Q1974</f>
        <v>150.0999999999999</v>
      </c>
      <c r="S1974" s="2">
        <f>NETWORKDAYS(B1974,C1974)-1</f>
        <v>4</v>
      </c>
      <c r="T1974" s="1">
        <f>WORKDAY(B1974,5)</f>
        <v>45995</v>
      </c>
      <c r="U1974" t="b">
        <f>C1974&gt;T1974</f>
        <v>0</v>
      </c>
    </row>
    <row r="1975" spans="1:21" x14ac:dyDescent="0.25">
      <c r="A1975" t="s">
        <v>1402</v>
      </c>
      <c r="B1975" s="1">
        <v>45988</v>
      </c>
      <c r="C1975" s="1">
        <v>45994</v>
      </c>
      <c r="D1975" t="s">
        <v>405</v>
      </c>
      <c r="E1975" t="s">
        <v>256</v>
      </c>
      <c r="F1975" t="s">
        <v>88</v>
      </c>
      <c r="G1975" t="s">
        <v>226</v>
      </c>
      <c r="H1975" t="s">
        <v>112</v>
      </c>
      <c r="I1975" s="2">
        <v>1</v>
      </c>
      <c r="J1975" s="3">
        <v>129</v>
      </c>
      <c r="K1975" s="4">
        <v>0.05</v>
      </c>
      <c r="L1975" s="3">
        <v>122.55</v>
      </c>
      <c r="M1975" t="b">
        <v>1</v>
      </c>
      <c r="N1975" s="2">
        <f>YEAR(B1975)</f>
        <v>2025</v>
      </c>
      <c r="O1975" t="str">
        <f>INDEX(Agences!$C:$C,MATCH(F1975,Agences!$A:$A,0))</f>
        <v>Sud-Ouest</v>
      </c>
      <c r="P1975" t="str">
        <f>INDEX(Produits!$C:$C,MATCH(H1975,Produits!$A:$A,0))</f>
        <v>Mobilier</v>
      </c>
      <c r="Q1975" s="3">
        <f>I1975*INDEX(Produits!$E:$E,MATCH(H1975,Produits!$A:$A,0))</f>
        <v>86.43</v>
      </c>
      <c r="R1975" s="3">
        <f>L1975-Q1975</f>
        <v>36.11999999999999</v>
      </c>
      <c r="S1975" s="2">
        <f>NETWORKDAYS(B1975,C1975)-1</f>
        <v>4</v>
      </c>
      <c r="T1975" s="1">
        <f>WORKDAY(B1975,5)</f>
        <v>45995</v>
      </c>
      <c r="U1975" t="b">
        <f>C1975&gt;T1975</f>
        <v>0</v>
      </c>
    </row>
    <row r="1976" spans="1:21" x14ac:dyDescent="0.25">
      <c r="A1976" t="s">
        <v>1403</v>
      </c>
      <c r="B1976" s="1">
        <v>45988</v>
      </c>
      <c r="C1976" s="1">
        <v>45993</v>
      </c>
      <c r="D1976" t="s">
        <v>377</v>
      </c>
      <c r="E1976" t="s">
        <v>45</v>
      </c>
      <c r="F1976" t="s">
        <v>46</v>
      </c>
      <c r="G1976" t="s">
        <v>158</v>
      </c>
      <c r="H1976" t="s">
        <v>51</v>
      </c>
      <c r="I1976" s="2">
        <v>3</v>
      </c>
      <c r="J1976" s="3">
        <v>180</v>
      </c>
      <c r="K1976" s="4">
        <v>0.02</v>
      </c>
      <c r="L1976" s="3">
        <v>529.2</v>
      </c>
      <c r="M1976" t="b">
        <v>1</v>
      </c>
      <c r="N1976" s="2">
        <f>YEAR(B1976)</f>
        <v>2025</v>
      </c>
      <c r="O1976" t="str">
        <f>INDEX(Agences!$C:$C,MATCH(F1976,Agences!$A:$A,0))</f>
        <v>Est</v>
      </c>
      <c r="P1976" t="str">
        <f>INDEX(Produits!$C:$C,MATCH(H1976,Produits!$A:$A,0))</f>
        <v>Maintenance</v>
      </c>
      <c r="Q1976" s="3">
        <f>I1976*INDEX(Produits!$E:$E,MATCH(H1976,Produits!$A:$A,0))</f>
        <v>248.39999999999998</v>
      </c>
      <c r="R1976" s="3">
        <f>L1976-Q1976</f>
        <v>280.80000000000007</v>
      </c>
      <c r="S1976" s="2">
        <f>NETWORKDAYS(B1976,C1976)-1</f>
        <v>3</v>
      </c>
      <c r="T1976" s="1">
        <f>WORKDAY(B1976,5)</f>
        <v>45995</v>
      </c>
      <c r="U1976" t="b">
        <f>C1976&gt;T1976</f>
        <v>0</v>
      </c>
    </row>
    <row r="1977" spans="1:21" x14ac:dyDescent="0.25">
      <c r="A1977" t="s">
        <v>1403</v>
      </c>
      <c r="B1977" s="1">
        <v>45988</v>
      </c>
      <c r="C1977" s="1">
        <v>45993</v>
      </c>
      <c r="D1977" t="s">
        <v>377</v>
      </c>
      <c r="E1977" t="s">
        <v>45</v>
      </c>
      <c r="F1977" t="s">
        <v>46</v>
      </c>
      <c r="G1977" t="s">
        <v>158</v>
      </c>
      <c r="H1977" t="s">
        <v>34</v>
      </c>
      <c r="I1977" s="2">
        <v>1</v>
      </c>
      <c r="J1977" s="3">
        <v>340</v>
      </c>
      <c r="K1977" s="4">
        <v>0.08</v>
      </c>
      <c r="L1977" s="3">
        <v>312.8</v>
      </c>
      <c r="M1977" t="b">
        <v>1</v>
      </c>
      <c r="N1977" s="2">
        <f>YEAR(B1977)</f>
        <v>2025</v>
      </c>
      <c r="O1977" t="str">
        <f>INDEX(Agences!$C:$C,MATCH(F1977,Agences!$A:$A,0))</f>
        <v>Est</v>
      </c>
      <c r="P1977" t="str">
        <f>INDEX(Produits!$C:$C,MATCH(H1977,Produits!$A:$A,0))</f>
        <v>Informatique</v>
      </c>
      <c r="Q1977" s="3">
        <f>I1977*INDEX(Produits!$E:$E,MATCH(H1977,Produits!$A:$A,0))</f>
        <v>275.4</v>
      </c>
      <c r="R1977" s="3">
        <f>L1977-Q1977</f>
        <v>37.400000000000034</v>
      </c>
      <c r="S1977" s="2">
        <f>NETWORKDAYS(B1977,C1977)-1</f>
        <v>3</v>
      </c>
      <c r="T1977" s="1">
        <f>WORKDAY(B1977,5)</f>
        <v>45995</v>
      </c>
      <c r="U1977" t="b">
        <f>C1977&gt;T1977</f>
        <v>0</v>
      </c>
    </row>
    <row r="1978" spans="1:21" x14ac:dyDescent="0.25">
      <c r="A1978" t="s">
        <v>1403</v>
      </c>
      <c r="B1978" s="1">
        <v>45988</v>
      </c>
      <c r="C1978" s="1">
        <v>45993</v>
      </c>
      <c r="D1978" t="s">
        <v>377</v>
      </c>
      <c r="E1978" t="s">
        <v>45</v>
      </c>
      <c r="F1978" t="s">
        <v>46</v>
      </c>
      <c r="G1978" t="s">
        <v>158</v>
      </c>
      <c r="H1978" t="s">
        <v>48</v>
      </c>
      <c r="I1978" s="2">
        <v>2</v>
      </c>
      <c r="J1978" s="3">
        <v>165</v>
      </c>
      <c r="K1978" s="4">
        <v>0</v>
      </c>
      <c r="L1978" s="3">
        <v>330</v>
      </c>
      <c r="M1978" t="b">
        <v>1</v>
      </c>
      <c r="N1978" s="2">
        <f>YEAR(B1978)</f>
        <v>2025</v>
      </c>
      <c r="O1978" t="str">
        <f>INDEX(Agences!$C:$C,MATCH(F1978,Agences!$A:$A,0))</f>
        <v>Est</v>
      </c>
      <c r="P1978" t="str">
        <f>INDEX(Produits!$C:$C,MATCH(H1978,Produits!$A:$A,0))</f>
        <v>Mobilier</v>
      </c>
      <c r="Q1978" s="3">
        <f>I1978*INDEX(Produits!$E:$E,MATCH(H1978,Produits!$A:$A,0))</f>
        <v>214.5</v>
      </c>
      <c r="R1978" s="3">
        <f>L1978-Q1978</f>
        <v>115.5</v>
      </c>
      <c r="S1978" s="2">
        <f>NETWORKDAYS(B1978,C1978)-1</f>
        <v>3</v>
      </c>
      <c r="T1978" s="1">
        <f>WORKDAY(B1978,5)</f>
        <v>45995</v>
      </c>
      <c r="U1978" t="b">
        <f>C1978&gt;T1978</f>
        <v>0</v>
      </c>
    </row>
    <row r="1979" spans="1:21" x14ac:dyDescent="0.25">
      <c r="A1979" t="s">
        <v>1404</v>
      </c>
      <c r="B1979" s="1">
        <v>45987</v>
      </c>
      <c r="C1979" s="1">
        <v>45988</v>
      </c>
      <c r="D1979" t="s">
        <v>964</v>
      </c>
      <c r="E1979" t="s">
        <v>122</v>
      </c>
      <c r="F1979" t="s">
        <v>24</v>
      </c>
      <c r="G1979" t="s">
        <v>25</v>
      </c>
      <c r="H1979" t="s">
        <v>50</v>
      </c>
      <c r="I1979" s="2">
        <v>1</v>
      </c>
      <c r="J1979" s="3">
        <v>69</v>
      </c>
      <c r="K1979" s="4">
        <v>0.02</v>
      </c>
      <c r="L1979" s="3">
        <v>67.62</v>
      </c>
      <c r="M1979" t="b">
        <v>1</v>
      </c>
      <c r="N1979" s="2">
        <f>YEAR(B1979)</f>
        <v>2025</v>
      </c>
      <c r="O1979" t="str">
        <f>INDEX(Agences!$C:$C,MATCH(F1979,Agences!$A:$A,0))</f>
        <v>Nord</v>
      </c>
      <c r="P1979" t="str">
        <f>INDEX(Produits!$C:$C,MATCH(H1979,Produits!$A:$A,0))</f>
        <v>Informatique</v>
      </c>
      <c r="Q1979" s="3">
        <f>I1979*INDEX(Produits!$E:$E,MATCH(H1979,Produits!$A:$A,0))</f>
        <v>54.51</v>
      </c>
      <c r="R1979" s="3">
        <f>L1979-Q1979</f>
        <v>13.110000000000007</v>
      </c>
      <c r="S1979" s="2">
        <f>NETWORKDAYS(B1979,C1979)-1</f>
        <v>1</v>
      </c>
      <c r="T1979" s="1">
        <f>WORKDAY(B1979,5)</f>
        <v>45994</v>
      </c>
      <c r="U1979" t="b">
        <f>C1979&gt;T1979</f>
        <v>0</v>
      </c>
    </row>
    <row r="1980" spans="1:21" x14ac:dyDescent="0.25">
      <c r="A1980" t="s">
        <v>1404</v>
      </c>
      <c r="B1980" s="1">
        <v>45987</v>
      </c>
      <c r="C1980" s="1">
        <v>45988</v>
      </c>
      <c r="D1980" t="s">
        <v>964</v>
      </c>
      <c r="E1980" t="s">
        <v>122</v>
      </c>
      <c r="F1980" t="s">
        <v>24</v>
      </c>
      <c r="G1980" t="s">
        <v>25</v>
      </c>
      <c r="H1980" t="s">
        <v>72</v>
      </c>
      <c r="I1980" s="2">
        <v>3</v>
      </c>
      <c r="J1980" s="3">
        <v>179</v>
      </c>
      <c r="K1980" s="4">
        <v>0</v>
      </c>
      <c r="L1980" s="3">
        <v>537</v>
      </c>
      <c r="M1980" t="b">
        <v>1</v>
      </c>
      <c r="N1980" s="2">
        <f>YEAR(B1980)</f>
        <v>2025</v>
      </c>
      <c r="O1980" t="str">
        <f>INDEX(Agences!$C:$C,MATCH(F1980,Agences!$A:$A,0))</f>
        <v>Nord</v>
      </c>
      <c r="P1980" t="str">
        <f>INDEX(Produits!$C:$C,MATCH(H1980,Produits!$A:$A,0))</f>
        <v>Informatique</v>
      </c>
      <c r="Q1980" s="3">
        <f>I1980*INDEX(Produits!$E:$E,MATCH(H1980,Produits!$A:$A,0))</f>
        <v>440.34000000000003</v>
      </c>
      <c r="R1980" s="3">
        <f>L1980-Q1980</f>
        <v>96.65999999999997</v>
      </c>
      <c r="S1980" s="2">
        <f>NETWORKDAYS(B1980,C1980)-1</f>
        <v>1</v>
      </c>
      <c r="T1980" s="1">
        <f>WORKDAY(B1980,5)</f>
        <v>45994</v>
      </c>
      <c r="U1980" t="b">
        <f>C1980&gt;T1980</f>
        <v>0</v>
      </c>
    </row>
    <row r="1981" spans="1:21" x14ac:dyDescent="0.25">
      <c r="A1981" t="s">
        <v>1405</v>
      </c>
      <c r="B1981" s="1">
        <v>45987</v>
      </c>
      <c r="C1981" s="1">
        <v>45989</v>
      </c>
      <c r="D1981" t="s">
        <v>160</v>
      </c>
      <c r="E1981" t="s">
        <v>137</v>
      </c>
      <c r="F1981" t="s">
        <v>138</v>
      </c>
      <c r="G1981" t="s">
        <v>139</v>
      </c>
      <c r="H1981" t="s">
        <v>42</v>
      </c>
      <c r="I1981" s="2">
        <v>1</v>
      </c>
      <c r="J1981" s="3">
        <v>55</v>
      </c>
      <c r="K1981" s="4">
        <v>0.05</v>
      </c>
      <c r="L1981" s="3">
        <v>52.25</v>
      </c>
      <c r="M1981" t="b">
        <v>1</v>
      </c>
      <c r="N1981" s="2">
        <f>YEAR(B1981)</f>
        <v>2025</v>
      </c>
      <c r="O1981" t="str">
        <f>INDEX(Agences!$C:$C,MATCH(F1981,Agences!$A:$A,0))</f>
        <v>Île-de-France</v>
      </c>
      <c r="P1981" t="str">
        <f>INDEX(Produits!$C:$C,MATCH(H1981,Produits!$A:$A,0))</f>
        <v>Maintenance</v>
      </c>
      <c r="Q1981" s="3">
        <f>I1981*INDEX(Produits!$E:$E,MATCH(H1981,Produits!$A:$A,0))</f>
        <v>24.75</v>
      </c>
      <c r="R1981" s="3">
        <f>L1981-Q1981</f>
        <v>27.5</v>
      </c>
      <c r="S1981" s="2">
        <f>NETWORKDAYS(B1981,C1981)-1</f>
        <v>2</v>
      </c>
      <c r="T1981" s="1">
        <f>WORKDAY(B1981,5)</f>
        <v>45994</v>
      </c>
      <c r="U1981" t="b">
        <f>C1981&gt;T1981</f>
        <v>0</v>
      </c>
    </row>
    <row r="1982" spans="1:21" x14ac:dyDescent="0.25">
      <c r="A1982" t="s">
        <v>1405</v>
      </c>
      <c r="B1982" s="1">
        <v>45987</v>
      </c>
      <c r="C1982" s="1">
        <v>45989</v>
      </c>
      <c r="D1982" t="s">
        <v>160</v>
      </c>
      <c r="E1982" t="s">
        <v>137</v>
      </c>
      <c r="F1982" t="s">
        <v>138</v>
      </c>
      <c r="G1982" t="s">
        <v>139</v>
      </c>
      <c r="H1982" t="s">
        <v>206</v>
      </c>
      <c r="I1982" s="2">
        <v>15</v>
      </c>
      <c r="J1982" s="3">
        <v>34</v>
      </c>
      <c r="K1982" s="4">
        <v>0.05</v>
      </c>
      <c r="L1982" s="3">
        <v>484.5</v>
      </c>
      <c r="M1982" t="b">
        <v>1</v>
      </c>
      <c r="N1982" s="2">
        <f>YEAR(B1982)</f>
        <v>2025</v>
      </c>
      <c r="O1982" t="str">
        <f>INDEX(Agences!$C:$C,MATCH(F1982,Agences!$A:$A,0))</f>
        <v>Île-de-France</v>
      </c>
      <c r="P1982" t="str">
        <f>INDEX(Produits!$C:$C,MATCH(H1982,Produits!$A:$A,0))</f>
        <v>Fournitures</v>
      </c>
      <c r="Q1982" s="3">
        <f>I1982*INDEX(Produits!$E:$E,MATCH(H1982,Produits!$A:$A,0))</f>
        <v>290.7</v>
      </c>
      <c r="R1982" s="3">
        <f>L1982-Q1982</f>
        <v>193.8</v>
      </c>
      <c r="S1982" s="2">
        <f>NETWORKDAYS(B1982,C1982)-1</f>
        <v>2</v>
      </c>
      <c r="T1982" s="1">
        <f>WORKDAY(B1982,5)</f>
        <v>45994</v>
      </c>
      <c r="U1982" t="b">
        <f>C1982&gt;T1982</f>
        <v>0</v>
      </c>
    </row>
    <row r="1983" spans="1:21" x14ac:dyDescent="0.25">
      <c r="A1983" t="s">
        <v>1406</v>
      </c>
      <c r="B1983" s="1">
        <v>45987</v>
      </c>
      <c r="C1983" s="1">
        <v>45992</v>
      </c>
      <c r="D1983" t="s">
        <v>1170</v>
      </c>
      <c r="E1983" t="s">
        <v>149</v>
      </c>
      <c r="F1983" t="s">
        <v>88</v>
      </c>
      <c r="G1983" t="s">
        <v>89</v>
      </c>
      <c r="H1983" t="s">
        <v>57</v>
      </c>
      <c r="I1983" s="2">
        <v>1</v>
      </c>
      <c r="J1983" s="3">
        <v>149</v>
      </c>
      <c r="K1983" s="4">
        <v>0.08</v>
      </c>
      <c r="L1983" s="3">
        <v>137.08</v>
      </c>
      <c r="M1983" t="b">
        <v>1</v>
      </c>
      <c r="N1983" s="2">
        <f>YEAR(B1983)</f>
        <v>2025</v>
      </c>
      <c r="O1983" t="str">
        <f>INDEX(Agences!$C:$C,MATCH(F1983,Agences!$A:$A,0))</f>
        <v>Sud-Ouest</v>
      </c>
      <c r="P1983" t="str">
        <f>INDEX(Produits!$C:$C,MATCH(H1983,Produits!$A:$A,0))</f>
        <v>Informatique</v>
      </c>
      <c r="Q1983" s="3">
        <f>I1983*INDEX(Produits!$E:$E,MATCH(H1983,Produits!$A:$A,0))</f>
        <v>114.73</v>
      </c>
      <c r="R1983" s="3">
        <f>L1983-Q1983</f>
        <v>22.35000000000001</v>
      </c>
      <c r="S1983" s="2">
        <f>NETWORKDAYS(B1983,C1983)-1</f>
        <v>3</v>
      </c>
      <c r="T1983" s="1">
        <f>WORKDAY(B1983,5)</f>
        <v>45994</v>
      </c>
      <c r="U1983" t="b">
        <f>C1983&gt;T1983</f>
        <v>0</v>
      </c>
    </row>
    <row r="1984" spans="1:21" x14ac:dyDescent="0.25">
      <c r="A1984" t="s">
        <v>1406</v>
      </c>
      <c r="B1984" s="1">
        <v>45987</v>
      </c>
      <c r="C1984" s="1">
        <v>45992</v>
      </c>
      <c r="D1984" t="s">
        <v>1170</v>
      </c>
      <c r="E1984" t="s">
        <v>149</v>
      </c>
      <c r="F1984" t="s">
        <v>88</v>
      </c>
      <c r="G1984" t="s">
        <v>89</v>
      </c>
      <c r="H1984" t="s">
        <v>42</v>
      </c>
      <c r="I1984" s="2">
        <v>1</v>
      </c>
      <c r="J1984" s="3">
        <v>55</v>
      </c>
      <c r="K1984" s="4">
        <v>0</v>
      </c>
      <c r="L1984" s="3">
        <v>55</v>
      </c>
      <c r="M1984" t="b">
        <v>1</v>
      </c>
      <c r="N1984" s="2">
        <f>YEAR(B1984)</f>
        <v>2025</v>
      </c>
      <c r="O1984" t="str">
        <f>INDEX(Agences!$C:$C,MATCH(F1984,Agences!$A:$A,0))</f>
        <v>Sud-Ouest</v>
      </c>
      <c r="P1984" t="str">
        <f>INDEX(Produits!$C:$C,MATCH(H1984,Produits!$A:$A,0))</f>
        <v>Maintenance</v>
      </c>
      <c r="Q1984" s="3">
        <f>I1984*INDEX(Produits!$E:$E,MATCH(H1984,Produits!$A:$A,0))</f>
        <v>24.75</v>
      </c>
      <c r="R1984" s="3">
        <f>L1984-Q1984</f>
        <v>30.25</v>
      </c>
      <c r="S1984" s="2">
        <f>NETWORKDAYS(B1984,C1984)-1</f>
        <v>3</v>
      </c>
      <c r="T1984" s="1">
        <f>WORKDAY(B1984,5)</f>
        <v>45994</v>
      </c>
      <c r="U1984" t="b">
        <f>C1984&gt;T1984</f>
        <v>0</v>
      </c>
    </row>
    <row r="1985" spans="1:21" x14ac:dyDescent="0.25">
      <c r="A1985" t="s">
        <v>1406</v>
      </c>
      <c r="B1985" s="1">
        <v>45987</v>
      </c>
      <c r="C1985" s="1">
        <v>45992</v>
      </c>
      <c r="D1985" t="s">
        <v>1170</v>
      </c>
      <c r="E1985" t="s">
        <v>149</v>
      </c>
      <c r="F1985" t="s">
        <v>88</v>
      </c>
      <c r="G1985" t="s">
        <v>89</v>
      </c>
      <c r="H1985" t="s">
        <v>50</v>
      </c>
      <c r="I1985" s="2">
        <v>2</v>
      </c>
      <c r="J1985" s="3">
        <v>69</v>
      </c>
      <c r="K1985" s="4">
        <v>0.05</v>
      </c>
      <c r="L1985" s="3">
        <v>131.1</v>
      </c>
      <c r="M1985" t="b">
        <v>1</v>
      </c>
      <c r="N1985" s="2">
        <f>YEAR(B1985)</f>
        <v>2025</v>
      </c>
      <c r="O1985" t="str">
        <f>INDEX(Agences!$C:$C,MATCH(F1985,Agences!$A:$A,0))</f>
        <v>Sud-Ouest</v>
      </c>
      <c r="P1985" t="str">
        <f>INDEX(Produits!$C:$C,MATCH(H1985,Produits!$A:$A,0))</f>
        <v>Informatique</v>
      </c>
      <c r="Q1985" s="3">
        <f>I1985*INDEX(Produits!$E:$E,MATCH(H1985,Produits!$A:$A,0))</f>
        <v>109.02</v>
      </c>
      <c r="R1985" s="3">
        <f>L1985-Q1985</f>
        <v>22.08</v>
      </c>
      <c r="S1985" s="2">
        <f>NETWORKDAYS(B1985,C1985)-1</f>
        <v>3</v>
      </c>
      <c r="T1985" s="1">
        <f>WORKDAY(B1985,5)</f>
        <v>45994</v>
      </c>
      <c r="U1985" t="b">
        <f>C1985&gt;T1985</f>
        <v>0</v>
      </c>
    </row>
    <row r="1986" spans="1:21" x14ac:dyDescent="0.25">
      <c r="A1986" t="s">
        <v>1406</v>
      </c>
      <c r="B1986" s="1">
        <v>45987</v>
      </c>
      <c r="C1986" s="1">
        <v>45992</v>
      </c>
      <c r="D1986" t="s">
        <v>1170</v>
      </c>
      <c r="E1986" t="s">
        <v>149</v>
      </c>
      <c r="F1986" t="s">
        <v>88</v>
      </c>
      <c r="G1986" t="s">
        <v>89</v>
      </c>
      <c r="H1986" t="s">
        <v>108</v>
      </c>
      <c r="I1986" s="2">
        <v>25</v>
      </c>
      <c r="J1986" s="3">
        <v>24.5</v>
      </c>
      <c r="K1986" s="4">
        <v>0</v>
      </c>
      <c r="L1986" s="3">
        <v>612.5</v>
      </c>
      <c r="M1986" t="b">
        <v>1</v>
      </c>
      <c r="N1986" s="2">
        <f>YEAR(B1986)</f>
        <v>2025</v>
      </c>
      <c r="O1986" t="str">
        <f>INDEX(Agences!$C:$C,MATCH(F1986,Agences!$A:$A,0))</f>
        <v>Sud-Ouest</v>
      </c>
      <c r="P1986" t="str">
        <f>INDEX(Produits!$C:$C,MATCH(H1986,Produits!$A:$A,0))</f>
        <v>Fournitures</v>
      </c>
      <c r="Q1986" s="3">
        <f>I1986*INDEX(Produits!$E:$E,MATCH(H1986,Produits!$A:$A,0))</f>
        <v>367.5</v>
      </c>
      <c r="R1986" s="3">
        <f>L1986-Q1986</f>
        <v>245</v>
      </c>
      <c r="S1986" s="2">
        <f>NETWORKDAYS(B1986,C1986)-1</f>
        <v>3</v>
      </c>
      <c r="T1986" s="1">
        <f>WORKDAY(B1986,5)</f>
        <v>45994</v>
      </c>
      <c r="U1986" t="b">
        <f>C1986&gt;T1986</f>
        <v>0</v>
      </c>
    </row>
    <row r="1987" spans="1:21" x14ac:dyDescent="0.25">
      <c r="A1987" t="s">
        <v>1407</v>
      </c>
      <c r="B1987" s="1">
        <v>45987</v>
      </c>
      <c r="C1987" s="1">
        <v>45994</v>
      </c>
      <c r="D1987" t="s">
        <v>1331</v>
      </c>
      <c r="E1987" t="s">
        <v>449</v>
      </c>
      <c r="F1987" t="s">
        <v>94</v>
      </c>
      <c r="G1987" t="s">
        <v>154</v>
      </c>
      <c r="H1987" t="s">
        <v>49</v>
      </c>
      <c r="I1987" s="2">
        <v>2</v>
      </c>
      <c r="J1987" s="3">
        <v>120</v>
      </c>
      <c r="K1987" s="4">
        <v>0</v>
      </c>
      <c r="L1987" s="3">
        <v>240</v>
      </c>
      <c r="M1987" t="b">
        <v>1</v>
      </c>
      <c r="N1987" s="2">
        <f>YEAR(B1987)</f>
        <v>2025</v>
      </c>
      <c r="O1987" t="str">
        <f>INDEX(Agences!$C:$C,MATCH(F1987,Agences!$A:$A,0))</f>
        <v>Méditerranée</v>
      </c>
      <c r="P1987" t="str">
        <f>INDEX(Produits!$C:$C,MATCH(H1987,Produits!$A:$A,0))</f>
        <v>Maintenance</v>
      </c>
      <c r="Q1987" s="3">
        <f>I1987*INDEX(Produits!$E:$E,MATCH(H1987,Produits!$A:$A,0))</f>
        <v>110.4</v>
      </c>
      <c r="R1987" s="3">
        <f>L1987-Q1987</f>
        <v>129.6</v>
      </c>
      <c r="S1987" s="2">
        <f>NETWORKDAYS(B1987,C1987)-1</f>
        <v>5</v>
      </c>
      <c r="T1987" s="1">
        <f>WORKDAY(B1987,5)</f>
        <v>45994</v>
      </c>
      <c r="U1987" t="b">
        <f>C1987&gt;T1987</f>
        <v>0</v>
      </c>
    </row>
    <row r="1988" spans="1:21" x14ac:dyDescent="0.25">
      <c r="A1988" t="s">
        <v>1407</v>
      </c>
      <c r="B1988" s="1">
        <v>45987</v>
      </c>
      <c r="C1988" s="1">
        <v>45994</v>
      </c>
      <c r="D1988" t="s">
        <v>1331</v>
      </c>
      <c r="E1988" t="s">
        <v>449</v>
      </c>
      <c r="F1988" t="s">
        <v>94</v>
      </c>
      <c r="G1988" t="s">
        <v>154</v>
      </c>
      <c r="H1988" t="s">
        <v>83</v>
      </c>
      <c r="I1988" s="2">
        <v>1</v>
      </c>
      <c r="J1988" s="3">
        <v>49</v>
      </c>
      <c r="K1988" s="4">
        <v>0.02</v>
      </c>
      <c r="L1988" s="3">
        <v>48.02</v>
      </c>
      <c r="M1988" t="b">
        <v>1</v>
      </c>
      <c r="N1988" s="2">
        <f>YEAR(B1988)</f>
        <v>2025</v>
      </c>
      <c r="O1988" t="str">
        <f>INDEX(Agences!$C:$C,MATCH(F1988,Agences!$A:$A,0))</f>
        <v>Méditerranée</v>
      </c>
      <c r="P1988" t="str">
        <f>INDEX(Produits!$C:$C,MATCH(H1988,Produits!$A:$A,0))</f>
        <v>Mobilier</v>
      </c>
      <c r="Q1988" s="3">
        <f>I1988*INDEX(Produits!$E:$E,MATCH(H1988,Produits!$A:$A,0))</f>
        <v>28.42</v>
      </c>
      <c r="R1988" s="3">
        <f>L1988-Q1988</f>
        <v>19.6</v>
      </c>
      <c r="S1988" s="2">
        <f>NETWORKDAYS(B1988,C1988)-1</f>
        <v>5</v>
      </c>
      <c r="T1988" s="1">
        <f>WORKDAY(B1988,5)</f>
        <v>45994</v>
      </c>
      <c r="U1988" t="b">
        <f>C1988&gt;T1988</f>
        <v>0</v>
      </c>
    </row>
    <row r="1989" spans="1:21" x14ac:dyDescent="0.25">
      <c r="A1989" t="s">
        <v>1407</v>
      </c>
      <c r="B1989" s="1">
        <v>45987</v>
      </c>
      <c r="C1989" s="1">
        <v>45994</v>
      </c>
      <c r="D1989" t="s">
        <v>1331</v>
      </c>
      <c r="E1989" t="s">
        <v>449</v>
      </c>
      <c r="F1989" t="s">
        <v>94</v>
      </c>
      <c r="G1989" t="s">
        <v>154</v>
      </c>
      <c r="H1989" t="s">
        <v>79</v>
      </c>
      <c r="I1989" s="2">
        <v>5</v>
      </c>
      <c r="J1989" s="3">
        <v>14.9</v>
      </c>
      <c r="K1989" s="4">
        <v>0.1</v>
      </c>
      <c r="L1989" s="3">
        <v>67.05</v>
      </c>
      <c r="M1989" t="b">
        <v>1</v>
      </c>
      <c r="N1989" s="2">
        <f>YEAR(B1989)</f>
        <v>2025</v>
      </c>
      <c r="O1989" t="str">
        <f>INDEX(Agences!$C:$C,MATCH(F1989,Agences!$A:$A,0))</f>
        <v>Méditerranée</v>
      </c>
      <c r="P1989" t="str">
        <f>INDEX(Produits!$C:$C,MATCH(H1989,Produits!$A:$A,0))</f>
        <v>Fournitures</v>
      </c>
      <c r="Q1989" s="3">
        <f>I1989*INDEX(Produits!$E:$E,MATCH(H1989,Produits!$A:$A,0))</f>
        <v>40.25</v>
      </c>
      <c r="R1989" s="3">
        <f>L1989-Q1989</f>
        <v>26.799999999999997</v>
      </c>
      <c r="S1989" s="2">
        <f>NETWORKDAYS(B1989,C1989)-1</f>
        <v>5</v>
      </c>
      <c r="T1989" s="1">
        <f>WORKDAY(B1989,5)</f>
        <v>45994</v>
      </c>
      <c r="U1989" t="b">
        <f>C1989&gt;T1989</f>
        <v>0</v>
      </c>
    </row>
    <row r="1990" spans="1:21" x14ac:dyDescent="0.25">
      <c r="A1990" t="s">
        <v>1407</v>
      </c>
      <c r="B1990" s="1">
        <v>45987</v>
      </c>
      <c r="C1990" s="1">
        <v>45994</v>
      </c>
      <c r="D1990" t="s">
        <v>1331</v>
      </c>
      <c r="E1990" t="s">
        <v>449</v>
      </c>
      <c r="F1990" t="s">
        <v>94</v>
      </c>
      <c r="G1990" t="s">
        <v>154</v>
      </c>
      <c r="H1990" t="s">
        <v>42</v>
      </c>
      <c r="I1990" s="2">
        <v>1</v>
      </c>
      <c r="J1990" s="3">
        <v>55</v>
      </c>
      <c r="K1990" s="4">
        <v>0.1</v>
      </c>
      <c r="L1990" s="3">
        <v>49.5</v>
      </c>
      <c r="M1990" t="b">
        <v>1</v>
      </c>
      <c r="N1990" s="2">
        <f>YEAR(B1990)</f>
        <v>2025</v>
      </c>
      <c r="O1990" t="str">
        <f>INDEX(Agences!$C:$C,MATCH(F1990,Agences!$A:$A,0))</f>
        <v>Méditerranée</v>
      </c>
      <c r="P1990" t="str">
        <f>INDEX(Produits!$C:$C,MATCH(H1990,Produits!$A:$A,0))</f>
        <v>Maintenance</v>
      </c>
      <c r="Q1990" s="3">
        <f>I1990*INDEX(Produits!$E:$E,MATCH(H1990,Produits!$A:$A,0))</f>
        <v>24.75</v>
      </c>
      <c r="R1990" s="3">
        <f>L1990-Q1990</f>
        <v>24.75</v>
      </c>
      <c r="S1990" s="2">
        <f>NETWORKDAYS(B1990,C1990)-1</f>
        <v>5</v>
      </c>
      <c r="T1990" s="1">
        <f>WORKDAY(B1990,5)</f>
        <v>45994</v>
      </c>
      <c r="U1990" t="b">
        <f>C1990&gt;T1990</f>
        <v>0</v>
      </c>
    </row>
    <row r="1991" spans="1:21" x14ac:dyDescent="0.25">
      <c r="A1991" t="s">
        <v>1408</v>
      </c>
      <c r="B1991" s="1">
        <v>45987</v>
      </c>
      <c r="C1991" s="1">
        <v>45992</v>
      </c>
      <c r="D1991" t="s">
        <v>513</v>
      </c>
      <c r="E1991" t="s">
        <v>54</v>
      </c>
      <c r="F1991" t="s">
        <v>55</v>
      </c>
      <c r="G1991" t="s">
        <v>71</v>
      </c>
      <c r="H1991" t="s">
        <v>103</v>
      </c>
      <c r="I1991" s="2">
        <v>3</v>
      </c>
      <c r="J1991" s="3">
        <v>245</v>
      </c>
      <c r="K1991" s="4">
        <v>0.05</v>
      </c>
      <c r="L1991" s="3">
        <v>698.25</v>
      </c>
      <c r="M1991" t="b">
        <v>1</v>
      </c>
      <c r="N1991" s="2">
        <f>YEAR(B1991)</f>
        <v>2025</v>
      </c>
      <c r="O1991" t="str">
        <f>INDEX(Agences!$C:$C,MATCH(F1991,Agences!$A:$A,0))</f>
        <v>Est</v>
      </c>
      <c r="P1991" t="str">
        <f>INDEX(Produits!$C:$C,MATCH(H1991,Produits!$A:$A,0))</f>
        <v>Mobilier</v>
      </c>
      <c r="Q1991" s="3">
        <f>I1991*INDEX(Produits!$E:$E,MATCH(H1991,Produits!$A:$A,0))</f>
        <v>492.45000000000005</v>
      </c>
      <c r="R1991" s="3">
        <f>L1991-Q1991</f>
        <v>205.79999999999995</v>
      </c>
      <c r="S1991" s="2">
        <f>NETWORKDAYS(B1991,C1991)-1</f>
        <v>3</v>
      </c>
      <c r="T1991" s="1">
        <f>WORKDAY(B1991,5)</f>
        <v>45994</v>
      </c>
      <c r="U1991" t="b">
        <f>C1991&gt;T1991</f>
        <v>0</v>
      </c>
    </row>
    <row r="1992" spans="1:21" x14ac:dyDescent="0.25">
      <c r="A1992" t="s">
        <v>1409</v>
      </c>
      <c r="B1992" s="1">
        <v>45986</v>
      </c>
      <c r="C1992" s="1">
        <v>45989</v>
      </c>
      <c r="D1992" t="s">
        <v>1084</v>
      </c>
      <c r="E1992" t="s">
        <v>172</v>
      </c>
      <c r="F1992" t="s">
        <v>99</v>
      </c>
      <c r="G1992" t="s">
        <v>265</v>
      </c>
      <c r="H1992" t="s">
        <v>107</v>
      </c>
      <c r="I1992" s="2">
        <v>1</v>
      </c>
      <c r="J1992" s="3">
        <v>99</v>
      </c>
      <c r="K1992" s="4">
        <v>0</v>
      </c>
      <c r="L1992" s="3">
        <v>99</v>
      </c>
      <c r="M1992" t="b">
        <v>1</v>
      </c>
      <c r="N1992" s="2">
        <f>YEAR(B1992)</f>
        <v>2025</v>
      </c>
      <c r="O1992" t="str">
        <f>INDEX(Agences!$C:$C,MATCH(F1992,Agences!$A:$A,0))</f>
        <v>Nord</v>
      </c>
      <c r="P1992" t="str">
        <f>INDEX(Produits!$C:$C,MATCH(H1992,Produits!$A:$A,0))</f>
        <v>Informatique</v>
      </c>
      <c r="Q1992" s="3">
        <f>I1992*INDEX(Produits!$E:$E,MATCH(H1992,Produits!$A:$A,0))</f>
        <v>75.24</v>
      </c>
      <c r="R1992" s="3">
        <f>L1992-Q1992</f>
        <v>23.760000000000005</v>
      </c>
      <c r="S1992" s="2">
        <f>NETWORKDAYS(B1992,C1992)-1</f>
        <v>3</v>
      </c>
      <c r="T1992" s="1">
        <f>WORKDAY(B1992,5)</f>
        <v>45993</v>
      </c>
      <c r="U1992" t="b">
        <f>C1992&gt;T1992</f>
        <v>0</v>
      </c>
    </row>
    <row r="1993" spans="1:21" x14ac:dyDescent="0.25">
      <c r="A1993" t="s">
        <v>1409</v>
      </c>
      <c r="B1993" s="1">
        <v>45986</v>
      </c>
      <c r="C1993" s="1">
        <v>45989</v>
      </c>
      <c r="D1993" t="s">
        <v>1084</v>
      </c>
      <c r="E1993" t="s">
        <v>172</v>
      </c>
      <c r="F1993" t="s">
        <v>99</v>
      </c>
      <c r="G1993" t="s">
        <v>265</v>
      </c>
      <c r="H1993" t="s">
        <v>50</v>
      </c>
      <c r="I1993" s="2">
        <v>3</v>
      </c>
      <c r="J1993" s="3">
        <v>69</v>
      </c>
      <c r="K1993" s="4">
        <v>0.05</v>
      </c>
      <c r="L1993" s="3">
        <v>196.65</v>
      </c>
      <c r="M1993" t="b">
        <v>1</v>
      </c>
      <c r="N1993" s="2">
        <f>YEAR(B1993)</f>
        <v>2025</v>
      </c>
      <c r="O1993" t="str">
        <f>INDEX(Agences!$C:$C,MATCH(F1993,Agences!$A:$A,0))</f>
        <v>Nord</v>
      </c>
      <c r="P1993" t="str">
        <f>INDEX(Produits!$C:$C,MATCH(H1993,Produits!$A:$A,0))</f>
        <v>Informatique</v>
      </c>
      <c r="Q1993" s="3">
        <f>I1993*INDEX(Produits!$E:$E,MATCH(H1993,Produits!$A:$A,0))</f>
        <v>163.53</v>
      </c>
      <c r="R1993" s="3">
        <f>L1993-Q1993</f>
        <v>33.120000000000005</v>
      </c>
      <c r="S1993" s="2">
        <f>NETWORKDAYS(B1993,C1993)-1</f>
        <v>3</v>
      </c>
      <c r="T1993" s="1">
        <f>WORKDAY(B1993,5)</f>
        <v>45993</v>
      </c>
      <c r="U1993" t="b">
        <f>C1993&gt;T1993</f>
        <v>0</v>
      </c>
    </row>
    <row r="1994" spans="1:21" x14ac:dyDescent="0.25">
      <c r="A1994" t="s">
        <v>1410</v>
      </c>
      <c r="B1994" s="1">
        <v>45986</v>
      </c>
      <c r="C1994" s="1">
        <v>45989</v>
      </c>
      <c r="D1994" t="s">
        <v>1411</v>
      </c>
      <c r="E1994" t="s">
        <v>333</v>
      </c>
      <c r="F1994" t="s">
        <v>138</v>
      </c>
      <c r="G1994" t="s">
        <v>220</v>
      </c>
      <c r="H1994" t="s">
        <v>42</v>
      </c>
      <c r="I1994" s="2">
        <v>1</v>
      </c>
      <c r="J1994" s="3">
        <v>55</v>
      </c>
      <c r="K1994" s="4">
        <v>0</v>
      </c>
      <c r="L1994" s="3">
        <v>55</v>
      </c>
      <c r="M1994" t="b">
        <v>1</v>
      </c>
      <c r="N1994" s="2">
        <f>YEAR(B1994)</f>
        <v>2025</v>
      </c>
      <c r="O1994" t="str">
        <f>INDEX(Agences!$C:$C,MATCH(F1994,Agences!$A:$A,0))</f>
        <v>Île-de-France</v>
      </c>
      <c r="P1994" t="str">
        <f>INDEX(Produits!$C:$C,MATCH(H1994,Produits!$A:$A,0))</f>
        <v>Maintenance</v>
      </c>
      <c r="Q1994" s="3">
        <f>I1994*INDEX(Produits!$E:$E,MATCH(H1994,Produits!$A:$A,0))</f>
        <v>24.75</v>
      </c>
      <c r="R1994" s="3">
        <f>L1994-Q1994</f>
        <v>30.25</v>
      </c>
      <c r="S1994" s="2">
        <f>NETWORKDAYS(B1994,C1994)-1</f>
        <v>3</v>
      </c>
      <c r="T1994" s="1">
        <f>WORKDAY(B1994,5)</f>
        <v>45993</v>
      </c>
      <c r="U1994" t="b">
        <f>C1994&gt;T1994</f>
        <v>0</v>
      </c>
    </row>
    <row r="1995" spans="1:21" x14ac:dyDescent="0.25">
      <c r="A1995" t="s">
        <v>1410</v>
      </c>
      <c r="B1995" s="1">
        <v>45986</v>
      </c>
      <c r="C1995" s="1">
        <v>45989</v>
      </c>
      <c r="D1995" t="s">
        <v>1411</v>
      </c>
      <c r="E1995" t="s">
        <v>333</v>
      </c>
      <c r="F1995" t="s">
        <v>138</v>
      </c>
      <c r="G1995" t="s">
        <v>220</v>
      </c>
      <c r="H1995" t="s">
        <v>49</v>
      </c>
      <c r="I1995" s="2">
        <v>1</v>
      </c>
      <c r="J1995" s="3">
        <v>120</v>
      </c>
      <c r="K1995" s="4">
        <v>0.02</v>
      </c>
      <c r="L1995" s="3">
        <v>117.6</v>
      </c>
      <c r="M1995" t="b">
        <v>1</v>
      </c>
      <c r="N1995" s="2">
        <f>YEAR(B1995)</f>
        <v>2025</v>
      </c>
      <c r="O1995" t="str">
        <f>INDEX(Agences!$C:$C,MATCH(F1995,Agences!$A:$A,0))</f>
        <v>Île-de-France</v>
      </c>
      <c r="P1995" t="str">
        <f>INDEX(Produits!$C:$C,MATCH(H1995,Produits!$A:$A,0))</f>
        <v>Maintenance</v>
      </c>
      <c r="Q1995" s="3">
        <f>I1995*INDEX(Produits!$E:$E,MATCH(H1995,Produits!$A:$A,0))</f>
        <v>55.2</v>
      </c>
      <c r="R1995" s="3">
        <f>L1995-Q1995</f>
        <v>62.39999999999999</v>
      </c>
      <c r="S1995" s="2">
        <f>NETWORKDAYS(B1995,C1995)-1</f>
        <v>3</v>
      </c>
      <c r="T1995" s="1">
        <f>WORKDAY(B1995,5)</f>
        <v>45993</v>
      </c>
      <c r="U1995" t="b">
        <f>C1995&gt;T1995</f>
        <v>0</v>
      </c>
    </row>
    <row r="1996" spans="1:21" x14ac:dyDescent="0.25">
      <c r="A1996" t="s">
        <v>1410</v>
      </c>
      <c r="B1996" s="1">
        <v>45986</v>
      </c>
      <c r="C1996" s="1">
        <v>45989</v>
      </c>
      <c r="D1996" t="s">
        <v>1411</v>
      </c>
      <c r="E1996" t="s">
        <v>333</v>
      </c>
      <c r="F1996" t="s">
        <v>138</v>
      </c>
      <c r="G1996" t="s">
        <v>220</v>
      </c>
      <c r="H1996" t="s">
        <v>162</v>
      </c>
      <c r="I1996" s="2">
        <v>1</v>
      </c>
      <c r="J1996" s="3">
        <v>289</v>
      </c>
      <c r="K1996" s="4">
        <v>0</v>
      </c>
      <c r="L1996" s="3">
        <v>289</v>
      </c>
      <c r="M1996" t="b">
        <v>1</v>
      </c>
      <c r="N1996" s="2">
        <f>YEAR(B1996)</f>
        <v>2025</v>
      </c>
      <c r="O1996" t="str">
        <f>INDEX(Agences!$C:$C,MATCH(F1996,Agences!$A:$A,0))</f>
        <v>Île-de-France</v>
      </c>
      <c r="P1996" t="str">
        <f>INDEX(Produits!$C:$C,MATCH(H1996,Produits!$A:$A,0))</f>
        <v>Mobilier</v>
      </c>
      <c r="Q1996" s="3">
        <f>I1996*INDEX(Produits!$E:$E,MATCH(H1996,Produits!$A:$A,0))</f>
        <v>193.63</v>
      </c>
      <c r="R1996" s="3">
        <f>L1996-Q1996</f>
        <v>95.37</v>
      </c>
      <c r="S1996" s="2">
        <f>NETWORKDAYS(B1996,C1996)-1</f>
        <v>3</v>
      </c>
      <c r="T1996" s="1">
        <f>WORKDAY(B1996,5)</f>
        <v>45993</v>
      </c>
      <c r="U1996" t="b">
        <f>C1996&gt;T1996</f>
        <v>0</v>
      </c>
    </row>
    <row r="1997" spans="1:21" x14ac:dyDescent="0.25">
      <c r="A1997" t="s">
        <v>1412</v>
      </c>
      <c r="B1997" s="1">
        <v>45986</v>
      </c>
      <c r="C1997" s="1">
        <v>45988</v>
      </c>
      <c r="D1997" t="s">
        <v>1413</v>
      </c>
      <c r="E1997" t="s">
        <v>137</v>
      </c>
      <c r="F1997" t="s">
        <v>138</v>
      </c>
      <c r="G1997" t="s">
        <v>220</v>
      </c>
      <c r="H1997" t="s">
        <v>35</v>
      </c>
      <c r="I1997" s="2">
        <v>7</v>
      </c>
      <c r="J1997" s="3">
        <v>79</v>
      </c>
      <c r="K1997" s="4">
        <v>0.08</v>
      </c>
      <c r="L1997" s="3">
        <v>508.76</v>
      </c>
      <c r="M1997" t="b">
        <v>1</v>
      </c>
      <c r="N1997" s="2">
        <f>YEAR(B1997)</f>
        <v>2025</v>
      </c>
      <c r="O1997" t="str">
        <f>INDEX(Agences!$C:$C,MATCH(F1997,Agences!$A:$A,0))</f>
        <v>Île-de-France</v>
      </c>
      <c r="P1997" t="str">
        <f>INDEX(Produits!$C:$C,MATCH(H1997,Produits!$A:$A,0))</f>
        <v>Mobilier</v>
      </c>
      <c r="Q1997" s="3">
        <f>I1997*INDEX(Produits!$E:$E,MATCH(H1997,Produits!$A:$A,0))</f>
        <v>326.27</v>
      </c>
      <c r="R1997" s="3">
        <f>L1997-Q1997</f>
        <v>182.49</v>
      </c>
      <c r="S1997" s="2">
        <f>NETWORKDAYS(B1997,C1997)-1</f>
        <v>2</v>
      </c>
      <c r="T1997" s="1">
        <f>WORKDAY(B1997,5)</f>
        <v>45993</v>
      </c>
      <c r="U1997" t="b">
        <f>C1997&gt;T1997</f>
        <v>0</v>
      </c>
    </row>
    <row r="1998" spans="1:21" x14ac:dyDescent="0.25">
      <c r="A1998" t="s">
        <v>1412</v>
      </c>
      <c r="B1998" s="1">
        <v>45986</v>
      </c>
      <c r="C1998" s="1">
        <v>45988</v>
      </c>
      <c r="D1998" t="s">
        <v>1413</v>
      </c>
      <c r="E1998" t="s">
        <v>137</v>
      </c>
      <c r="F1998" t="s">
        <v>138</v>
      </c>
      <c r="G1998" t="s">
        <v>220</v>
      </c>
      <c r="H1998" t="s">
        <v>57</v>
      </c>
      <c r="I1998" s="2">
        <v>2</v>
      </c>
      <c r="J1998" s="3">
        <v>149</v>
      </c>
      <c r="K1998" s="4">
        <v>0</v>
      </c>
      <c r="L1998" s="3">
        <v>298</v>
      </c>
      <c r="M1998" t="b">
        <v>1</v>
      </c>
      <c r="N1998" s="2">
        <f>YEAR(B1998)</f>
        <v>2025</v>
      </c>
      <c r="O1998" t="str">
        <f>INDEX(Agences!$C:$C,MATCH(F1998,Agences!$A:$A,0))</f>
        <v>Île-de-France</v>
      </c>
      <c r="P1998" t="str">
        <f>INDEX(Produits!$C:$C,MATCH(H1998,Produits!$A:$A,0))</f>
        <v>Informatique</v>
      </c>
      <c r="Q1998" s="3">
        <f>I1998*INDEX(Produits!$E:$E,MATCH(H1998,Produits!$A:$A,0))</f>
        <v>229.46</v>
      </c>
      <c r="R1998" s="3">
        <f>L1998-Q1998</f>
        <v>68.53999999999999</v>
      </c>
      <c r="S1998" s="2">
        <f>NETWORKDAYS(B1998,C1998)-1</f>
        <v>2</v>
      </c>
      <c r="T1998" s="1">
        <f>WORKDAY(B1998,5)</f>
        <v>45993</v>
      </c>
      <c r="U1998" t="b">
        <f>C1998&gt;T1998</f>
        <v>0</v>
      </c>
    </row>
    <row r="1999" spans="1:21" x14ac:dyDescent="0.25">
      <c r="A1999" t="s">
        <v>1414</v>
      </c>
      <c r="B1999" s="1">
        <v>45986</v>
      </c>
      <c r="C1999" s="1">
        <v>45989</v>
      </c>
      <c r="D1999" t="s">
        <v>141</v>
      </c>
      <c r="E1999" t="s">
        <v>87</v>
      </c>
      <c r="F1999" t="s">
        <v>88</v>
      </c>
      <c r="G1999" t="s">
        <v>89</v>
      </c>
      <c r="H1999" t="s">
        <v>237</v>
      </c>
      <c r="I1999" s="2">
        <v>1</v>
      </c>
      <c r="J1999" s="3">
        <v>890</v>
      </c>
      <c r="K1999" s="4">
        <v>0</v>
      </c>
      <c r="L1999" s="3">
        <v>890</v>
      </c>
      <c r="M1999" t="b">
        <v>1</v>
      </c>
      <c r="N1999" s="2">
        <f>YEAR(B1999)</f>
        <v>2025</v>
      </c>
      <c r="O1999" t="str">
        <f>INDEX(Agences!$C:$C,MATCH(F1999,Agences!$A:$A,0))</f>
        <v>Sud-Ouest</v>
      </c>
      <c r="P1999" t="str">
        <f>INDEX(Produits!$C:$C,MATCH(H1999,Produits!$A:$A,0))</f>
        <v>Mobilier</v>
      </c>
      <c r="Q1999" s="3">
        <f>I1999*INDEX(Produits!$E:$E,MATCH(H1999,Produits!$A:$A,0))</f>
        <v>596.3</v>
      </c>
      <c r="R1999" s="3">
        <f>L1999-Q1999</f>
        <v>293.70000000000005</v>
      </c>
      <c r="S1999" s="2">
        <f>NETWORKDAYS(B1999,C1999)-1</f>
        <v>3</v>
      </c>
      <c r="T1999" s="1">
        <f>WORKDAY(B1999,5)</f>
        <v>45993</v>
      </c>
      <c r="U1999" t="b">
        <f>C1999&gt;T1999</f>
        <v>0</v>
      </c>
    </row>
    <row r="2000" spans="1:21" x14ac:dyDescent="0.25">
      <c r="A2000" t="s">
        <v>1414</v>
      </c>
      <c r="B2000" s="1">
        <v>45986</v>
      </c>
      <c r="C2000" s="1">
        <v>45989</v>
      </c>
      <c r="D2000" t="s">
        <v>141</v>
      </c>
      <c r="E2000" t="s">
        <v>87</v>
      </c>
      <c r="F2000" t="s">
        <v>88</v>
      </c>
      <c r="G2000" t="s">
        <v>89</v>
      </c>
      <c r="H2000" t="s">
        <v>51</v>
      </c>
      <c r="I2000" s="2">
        <v>1</v>
      </c>
      <c r="J2000" s="3">
        <v>180</v>
      </c>
      <c r="K2000" s="4">
        <v>0</v>
      </c>
      <c r="L2000" s="3">
        <v>180</v>
      </c>
      <c r="M2000" t="b">
        <v>1</v>
      </c>
      <c r="N2000" s="2">
        <f>YEAR(B2000)</f>
        <v>2025</v>
      </c>
      <c r="O2000" t="str">
        <f>INDEX(Agences!$C:$C,MATCH(F2000,Agences!$A:$A,0))</f>
        <v>Sud-Ouest</v>
      </c>
      <c r="P2000" t="str">
        <f>INDEX(Produits!$C:$C,MATCH(H2000,Produits!$A:$A,0))</f>
        <v>Maintenance</v>
      </c>
      <c r="Q2000" s="3">
        <f>I2000*INDEX(Produits!$E:$E,MATCH(H2000,Produits!$A:$A,0))</f>
        <v>82.8</v>
      </c>
      <c r="R2000" s="3">
        <f>L2000-Q2000</f>
        <v>97.2</v>
      </c>
      <c r="S2000" s="2">
        <f>NETWORKDAYS(B2000,C2000)-1</f>
        <v>3</v>
      </c>
      <c r="T2000" s="1">
        <f>WORKDAY(B2000,5)</f>
        <v>45993</v>
      </c>
      <c r="U2000" t="b">
        <f>C2000&gt;T2000</f>
        <v>0</v>
      </c>
    </row>
    <row r="2001" spans="1:21" x14ac:dyDescent="0.25">
      <c r="A2001" t="s">
        <v>1414</v>
      </c>
      <c r="B2001" s="1">
        <v>45986</v>
      </c>
      <c r="C2001" s="1">
        <v>45989</v>
      </c>
      <c r="D2001" t="s">
        <v>141</v>
      </c>
      <c r="E2001" t="s">
        <v>87</v>
      </c>
      <c r="F2001" t="s">
        <v>88</v>
      </c>
      <c r="G2001" t="s">
        <v>89</v>
      </c>
      <c r="H2001" t="s">
        <v>83</v>
      </c>
      <c r="I2001" s="2">
        <v>2</v>
      </c>
      <c r="J2001" s="3">
        <v>49</v>
      </c>
      <c r="K2001" s="4">
        <v>0</v>
      </c>
      <c r="L2001" s="3">
        <v>98</v>
      </c>
      <c r="M2001" t="b">
        <v>1</v>
      </c>
      <c r="N2001" s="2">
        <f>YEAR(B2001)</f>
        <v>2025</v>
      </c>
      <c r="O2001" t="str">
        <f>INDEX(Agences!$C:$C,MATCH(F2001,Agences!$A:$A,0))</f>
        <v>Sud-Ouest</v>
      </c>
      <c r="P2001" t="str">
        <f>INDEX(Produits!$C:$C,MATCH(H2001,Produits!$A:$A,0))</f>
        <v>Mobilier</v>
      </c>
      <c r="Q2001" s="3">
        <f>I2001*INDEX(Produits!$E:$E,MATCH(H2001,Produits!$A:$A,0))</f>
        <v>56.84</v>
      </c>
      <c r="R2001" s="3">
        <f>L2001-Q2001</f>
        <v>41.16</v>
      </c>
      <c r="S2001" s="2">
        <f>NETWORKDAYS(B2001,C2001)-1</f>
        <v>3</v>
      </c>
      <c r="T2001" s="1">
        <f>WORKDAY(B2001,5)</f>
        <v>45993</v>
      </c>
      <c r="U2001" t="b">
        <f>C2001&gt;T2001</f>
        <v>0</v>
      </c>
    </row>
    <row r="2002" spans="1:21" x14ac:dyDescent="0.25">
      <c r="A2002" t="s">
        <v>1415</v>
      </c>
      <c r="B2002" s="1">
        <v>45985</v>
      </c>
      <c r="C2002" s="1">
        <v>45988</v>
      </c>
      <c r="D2002" t="s">
        <v>1364</v>
      </c>
      <c r="E2002" t="s">
        <v>137</v>
      </c>
      <c r="F2002" t="s">
        <v>138</v>
      </c>
      <c r="G2002" t="s">
        <v>220</v>
      </c>
      <c r="H2002" t="s">
        <v>50</v>
      </c>
      <c r="I2002" s="2">
        <v>6</v>
      </c>
      <c r="J2002" s="3">
        <v>69</v>
      </c>
      <c r="K2002" s="4">
        <v>0</v>
      </c>
      <c r="L2002" s="3">
        <v>414</v>
      </c>
      <c r="M2002" t="b">
        <v>1</v>
      </c>
      <c r="N2002" s="2">
        <f>YEAR(B2002)</f>
        <v>2025</v>
      </c>
      <c r="O2002" t="str">
        <f>INDEX(Agences!$C:$C,MATCH(F2002,Agences!$A:$A,0))</f>
        <v>Île-de-France</v>
      </c>
      <c r="P2002" t="str">
        <f>INDEX(Produits!$C:$C,MATCH(H2002,Produits!$A:$A,0))</f>
        <v>Informatique</v>
      </c>
      <c r="Q2002" s="3">
        <f>I2002*INDEX(Produits!$E:$E,MATCH(H2002,Produits!$A:$A,0))</f>
        <v>327.06</v>
      </c>
      <c r="R2002" s="3">
        <f>L2002-Q2002</f>
        <v>86.94</v>
      </c>
      <c r="S2002" s="2">
        <f>NETWORKDAYS(B2002,C2002)-1</f>
        <v>3</v>
      </c>
      <c r="T2002" s="1">
        <f>WORKDAY(B2002,5)</f>
        <v>45992</v>
      </c>
      <c r="U2002" t="b">
        <f>C2002&gt;T2002</f>
        <v>0</v>
      </c>
    </row>
    <row r="2003" spans="1:21" x14ac:dyDescent="0.25">
      <c r="A2003" t="s">
        <v>1415</v>
      </c>
      <c r="B2003" s="1">
        <v>45985</v>
      </c>
      <c r="C2003" s="1">
        <v>45988</v>
      </c>
      <c r="D2003" t="s">
        <v>1364</v>
      </c>
      <c r="E2003" t="s">
        <v>137</v>
      </c>
      <c r="F2003" t="s">
        <v>138</v>
      </c>
      <c r="G2003" t="s">
        <v>220</v>
      </c>
      <c r="H2003" t="s">
        <v>42</v>
      </c>
      <c r="I2003" s="2">
        <v>1</v>
      </c>
      <c r="J2003" s="3">
        <v>55</v>
      </c>
      <c r="K2003" s="4">
        <v>0</v>
      </c>
      <c r="L2003" s="3">
        <v>55</v>
      </c>
      <c r="M2003" t="b">
        <v>1</v>
      </c>
      <c r="N2003" s="2">
        <f>YEAR(B2003)</f>
        <v>2025</v>
      </c>
      <c r="O2003" t="str">
        <f>INDEX(Agences!$C:$C,MATCH(F2003,Agences!$A:$A,0))</f>
        <v>Île-de-France</v>
      </c>
      <c r="P2003" t="str">
        <f>INDEX(Produits!$C:$C,MATCH(H2003,Produits!$A:$A,0))</f>
        <v>Maintenance</v>
      </c>
      <c r="Q2003" s="3">
        <f>I2003*INDEX(Produits!$E:$E,MATCH(H2003,Produits!$A:$A,0))</f>
        <v>24.75</v>
      </c>
      <c r="R2003" s="3">
        <f>L2003-Q2003</f>
        <v>30.25</v>
      </c>
      <c r="S2003" s="2">
        <f>NETWORKDAYS(B2003,C2003)-1</f>
        <v>3</v>
      </c>
      <c r="T2003" s="1">
        <f>WORKDAY(B2003,5)</f>
        <v>45992</v>
      </c>
      <c r="U2003" t="b">
        <f>C2003&gt;T2003</f>
        <v>0</v>
      </c>
    </row>
    <row r="2004" spans="1:21" x14ac:dyDescent="0.25">
      <c r="A2004" t="s">
        <v>1416</v>
      </c>
      <c r="B2004" s="1">
        <v>45985</v>
      </c>
      <c r="C2004" s="1">
        <v>45987</v>
      </c>
      <c r="D2004" t="s">
        <v>1417</v>
      </c>
      <c r="E2004" t="s">
        <v>165</v>
      </c>
      <c r="F2004" t="s">
        <v>166</v>
      </c>
      <c r="G2004" t="s">
        <v>167</v>
      </c>
      <c r="H2004" t="s">
        <v>57</v>
      </c>
      <c r="I2004" s="2">
        <v>1</v>
      </c>
      <c r="J2004" s="3">
        <v>149</v>
      </c>
      <c r="K2004" s="4">
        <v>0.02</v>
      </c>
      <c r="L2004" s="3">
        <v>146.02</v>
      </c>
      <c r="M2004" t="b">
        <v>1</v>
      </c>
      <c r="N2004" s="2">
        <f>YEAR(B2004)</f>
        <v>2025</v>
      </c>
      <c r="O2004" t="str">
        <f>INDEX(Agences!$C:$C,MATCH(F2004,Agences!$A:$A,0))</f>
        <v>Ouest</v>
      </c>
      <c r="P2004" t="str">
        <f>INDEX(Produits!$C:$C,MATCH(H2004,Produits!$A:$A,0))</f>
        <v>Informatique</v>
      </c>
      <c r="Q2004" s="3">
        <f>I2004*INDEX(Produits!$E:$E,MATCH(H2004,Produits!$A:$A,0))</f>
        <v>114.73</v>
      </c>
      <c r="R2004" s="3">
        <f>L2004-Q2004</f>
        <v>31.290000000000006</v>
      </c>
      <c r="S2004" s="2">
        <f>NETWORKDAYS(B2004,C2004)-1</f>
        <v>2</v>
      </c>
      <c r="T2004" s="1">
        <f>WORKDAY(B2004,5)</f>
        <v>45992</v>
      </c>
      <c r="U2004" t="b">
        <f>C2004&gt;T2004</f>
        <v>0</v>
      </c>
    </row>
    <row r="2005" spans="1:21" x14ac:dyDescent="0.25">
      <c r="A2005" t="s">
        <v>1416</v>
      </c>
      <c r="B2005" s="1">
        <v>45985</v>
      </c>
      <c r="C2005" s="1">
        <v>45987</v>
      </c>
      <c r="D2005" t="s">
        <v>1417</v>
      </c>
      <c r="E2005" t="s">
        <v>165</v>
      </c>
      <c r="F2005" t="s">
        <v>166</v>
      </c>
      <c r="G2005" t="s">
        <v>167</v>
      </c>
      <c r="H2005" t="s">
        <v>72</v>
      </c>
      <c r="I2005" s="2">
        <v>3</v>
      </c>
      <c r="J2005" s="3">
        <v>179</v>
      </c>
      <c r="K2005" s="4">
        <v>0.05</v>
      </c>
      <c r="L2005" s="3">
        <v>510.15</v>
      </c>
      <c r="M2005" t="b">
        <v>1</v>
      </c>
      <c r="N2005" s="2">
        <f>YEAR(B2005)</f>
        <v>2025</v>
      </c>
      <c r="O2005" t="str">
        <f>INDEX(Agences!$C:$C,MATCH(F2005,Agences!$A:$A,0))</f>
        <v>Ouest</v>
      </c>
      <c r="P2005" t="str">
        <f>INDEX(Produits!$C:$C,MATCH(H2005,Produits!$A:$A,0))</f>
        <v>Informatique</v>
      </c>
      <c r="Q2005" s="3">
        <f>I2005*INDEX(Produits!$E:$E,MATCH(H2005,Produits!$A:$A,0))</f>
        <v>440.34000000000003</v>
      </c>
      <c r="R2005" s="3">
        <f>L2005-Q2005</f>
        <v>69.80999999999995</v>
      </c>
      <c r="S2005" s="2">
        <f>NETWORKDAYS(B2005,C2005)-1</f>
        <v>2</v>
      </c>
      <c r="T2005" s="1">
        <f>WORKDAY(B2005,5)</f>
        <v>45992</v>
      </c>
      <c r="U2005" t="b">
        <f>C2005&gt;T2005</f>
        <v>0</v>
      </c>
    </row>
    <row r="2006" spans="1:21" x14ac:dyDescent="0.25">
      <c r="A2006" t="s">
        <v>1416</v>
      </c>
      <c r="B2006" s="1">
        <v>45985</v>
      </c>
      <c r="C2006" s="1">
        <v>45987</v>
      </c>
      <c r="D2006" t="s">
        <v>1417</v>
      </c>
      <c r="E2006" t="s">
        <v>165</v>
      </c>
      <c r="F2006" t="s">
        <v>166</v>
      </c>
      <c r="G2006" t="s">
        <v>167</v>
      </c>
      <c r="H2006" t="s">
        <v>196</v>
      </c>
      <c r="I2006" s="2">
        <v>5</v>
      </c>
      <c r="J2006" s="3">
        <v>18.5</v>
      </c>
      <c r="K2006" s="4">
        <v>0.02</v>
      </c>
      <c r="L2006" s="3">
        <v>90.65</v>
      </c>
      <c r="M2006" t="b">
        <v>1</v>
      </c>
      <c r="N2006" s="2">
        <f>YEAR(B2006)</f>
        <v>2025</v>
      </c>
      <c r="O2006" t="str">
        <f>INDEX(Agences!$C:$C,MATCH(F2006,Agences!$A:$A,0))</f>
        <v>Ouest</v>
      </c>
      <c r="P2006" t="str">
        <f>INDEX(Produits!$C:$C,MATCH(H2006,Produits!$A:$A,0))</f>
        <v>Fournitures</v>
      </c>
      <c r="Q2006" s="3">
        <f>I2006*INDEX(Produits!$E:$E,MATCH(H2006,Produits!$A:$A,0))</f>
        <v>47.199999999999996</v>
      </c>
      <c r="R2006" s="3">
        <f>L2006-Q2006</f>
        <v>43.45000000000001</v>
      </c>
      <c r="S2006" s="2">
        <f>NETWORKDAYS(B2006,C2006)-1</f>
        <v>2</v>
      </c>
      <c r="T2006" s="1">
        <f>WORKDAY(B2006,5)</f>
        <v>45992</v>
      </c>
      <c r="U2006" t="b">
        <f>C2006&gt;T2006</f>
        <v>0</v>
      </c>
    </row>
    <row r="2007" spans="1:21" x14ac:dyDescent="0.25">
      <c r="A2007" t="s">
        <v>1416</v>
      </c>
      <c r="B2007" s="1">
        <v>45985</v>
      </c>
      <c r="C2007" s="1">
        <v>45987</v>
      </c>
      <c r="D2007" t="s">
        <v>1417</v>
      </c>
      <c r="E2007" t="s">
        <v>165</v>
      </c>
      <c r="F2007" t="s">
        <v>166</v>
      </c>
      <c r="G2007" t="s">
        <v>167</v>
      </c>
      <c r="H2007" t="s">
        <v>48</v>
      </c>
      <c r="I2007" s="2">
        <v>1</v>
      </c>
      <c r="J2007" s="3">
        <v>165</v>
      </c>
      <c r="K2007" s="4">
        <v>0.08</v>
      </c>
      <c r="L2007" s="3">
        <v>151.8</v>
      </c>
      <c r="M2007" t="b">
        <v>1</v>
      </c>
      <c r="N2007" s="2">
        <f>YEAR(B2007)</f>
        <v>2025</v>
      </c>
      <c r="O2007" t="str">
        <f>INDEX(Agences!$C:$C,MATCH(F2007,Agences!$A:$A,0))</f>
        <v>Ouest</v>
      </c>
      <c r="P2007" t="str">
        <f>INDEX(Produits!$C:$C,MATCH(H2007,Produits!$A:$A,0))</f>
        <v>Mobilier</v>
      </c>
      <c r="Q2007" s="3">
        <f>I2007*INDEX(Produits!$E:$E,MATCH(H2007,Produits!$A:$A,0))</f>
        <v>107.25</v>
      </c>
      <c r="R2007" s="3">
        <f>L2007-Q2007</f>
        <v>44.55000000000001</v>
      </c>
      <c r="S2007" s="2">
        <f>NETWORKDAYS(B2007,C2007)-1</f>
        <v>2</v>
      </c>
      <c r="T2007" s="1">
        <f>WORKDAY(B2007,5)</f>
        <v>45992</v>
      </c>
      <c r="U2007" t="b">
        <f>C2007&gt;T2007</f>
        <v>0</v>
      </c>
    </row>
    <row r="2008" spans="1:21" x14ac:dyDescent="0.25">
      <c r="A2008" t="s">
        <v>1418</v>
      </c>
      <c r="B2008" s="1">
        <v>45985</v>
      </c>
      <c r="C2008" s="1">
        <v>45986</v>
      </c>
      <c r="D2008" t="s">
        <v>1419</v>
      </c>
      <c r="E2008" t="s">
        <v>38</v>
      </c>
      <c r="F2008" t="s">
        <v>39</v>
      </c>
      <c r="G2008" t="s">
        <v>131</v>
      </c>
      <c r="H2008" t="s">
        <v>72</v>
      </c>
      <c r="I2008" s="2">
        <v>4</v>
      </c>
      <c r="J2008" s="3">
        <v>179</v>
      </c>
      <c r="K2008" s="4">
        <v>0</v>
      </c>
      <c r="L2008" s="3">
        <v>716</v>
      </c>
      <c r="M2008" t="b">
        <v>1</v>
      </c>
      <c r="N2008" s="2">
        <f>YEAR(B2008)</f>
        <v>2025</v>
      </c>
      <c r="O2008" t="str">
        <f>INDEX(Agences!$C:$C,MATCH(F2008,Agences!$A:$A,0))</f>
        <v>Sud-Ouest</v>
      </c>
      <c r="P2008" t="str">
        <f>INDEX(Produits!$C:$C,MATCH(H2008,Produits!$A:$A,0))</f>
        <v>Informatique</v>
      </c>
      <c r="Q2008" s="3">
        <f>I2008*INDEX(Produits!$E:$E,MATCH(H2008,Produits!$A:$A,0))</f>
        <v>587.12</v>
      </c>
      <c r="R2008" s="3">
        <f>L2008-Q2008</f>
        <v>128.88</v>
      </c>
      <c r="S2008" s="2">
        <f>NETWORKDAYS(B2008,C2008)-1</f>
        <v>1</v>
      </c>
      <c r="T2008" s="1">
        <f>WORKDAY(B2008,5)</f>
        <v>45992</v>
      </c>
      <c r="U2008" t="b">
        <f>C2008&gt;T2008</f>
        <v>0</v>
      </c>
    </row>
    <row r="2009" spans="1:21" x14ac:dyDescent="0.25">
      <c r="A2009" t="s">
        <v>1418</v>
      </c>
      <c r="B2009" s="1">
        <v>45985</v>
      </c>
      <c r="C2009" s="1">
        <v>45986</v>
      </c>
      <c r="D2009" t="s">
        <v>1419</v>
      </c>
      <c r="E2009" t="s">
        <v>38</v>
      </c>
      <c r="F2009" t="s">
        <v>39</v>
      </c>
      <c r="G2009" t="s">
        <v>131</v>
      </c>
      <c r="H2009" t="s">
        <v>83</v>
      </c>
      <c r="I2009" s="2">
        <v>6</v>
      </c>
      <c r="J2009" s="3">
        <v>49</v>
      </c>
      <c r="K2009" s="4">
        <v>0.05</v>
      </c>
      <c r="L2009" s="3">
        <v>279.3</v>
      </c>
      <c r="M2009" t="b">
        <v>1</v>
      </c>
      <c r="N2009" s="2">
        <f>YEAR(B2009)</f>
        <v>2025</v>
      </c>
      <c r="O2009" t="str">
        <f>INDEX(Agences!$C:$C,MATCH(F2009,Agences!$A:$A,0))</f>
        <v>Sud-Ouest</v>
      </c>
      <c r="P2009" t="str">
        <f>INDEX(Produits!$C:$C,MATCH(H2009,Produits!$A:$A,0))</f>
        <v>Mobilier</v>
      </c>
      <c r="Q2009" s="3">
        <f>I2009*INDEX(Produits!$E:$E,MATCH(H2009,Produits!$A:$A,0))</f>
        <v>170.52</v>
      </c>
      <c r="R2009" s="3">
        <f>L2009-Q2009</f>
        <v>108.78</v>
      </c>
      <c r="S2009" s="2">
        <f>NETWORKDAYS(B2009,C2009)-1</f>
        <v>1</v>
      </c>
      <c r="T2009" s="1">
        <f>WORKDAY(B2009,5)</f>
        <v>45992</v>
      </c>
      <c r="U2009" t="b">
        <f>C2009&gt;T2009</f>
        <v>0</v>
      </c>
    </row>
    <row r="2010" spans="1:21" x14ac:dyDescent="0.25">
      <c r="A2010" t="s">
        <v>1418</v>
      </c>
      <c r="B2010" s="1">
        <v>45985</v>
      </c>
      <c r="C2010" s="1">
        <v>45986</v>
      </c>
      <c r="D2010" t="s">
        <v>1419</v>
      </c>
      <c r="E2010" t="s">
        <v>38</v>
      </c>
      <c r="F2010" t="s">
        <v>39</v>
      </c>
      <c r="G2010" t="s">
        <v>131</v>
      </c>
      <c r="H2010" t="s">
        <v>35</v>
      </c>
      <c r="I2010" s="2">
        <v>3</v>
      </c>
      <c r="J2010" s="3">
        <v>79</v>
      </c>
      <c r="K2010" s="4">
        <v>0.08</v>
      </c>
      <c r="L2010" s="3">
        <v>218.04</v>
      </c>
      <c r="M2010" t="b">
        <v>1</v>
      </c>
      <c r="N2010" s="2">
        <f>YEAR(B2010)</f>
        <v>2025</v>
      </c>
      <c r="O2010" t="str">
        <f>INDEX(Agences!$C:$C,MATCH(F2010,Agences!$A:$A,0))</f>
        <v>Sud-Ouest</v>
      </c>
      <c r="P2010" t="str">
        <f>INDEX(Produits!$C:$C,MATCH(H2010,Produits!$A:$A,0))</f>
        <v>Mobilier</v>
      </c>
      <c r="Q2010" s="3">
        <f>I2010*INDEX(Produits!$E:$E,MATCH(H2010,Produits!$A:$A,0))</f>
        <v>139.82999999999998</v>
      </c>
      <c r="R2010" s="3">
        <f>L2010-Q2010</f>
        <v>78.21000000000001</v>
      </c>
      <c r="S2010" s="2">
        <f>NETWORKDAYS(B2010,C2010)-1</f>
        <v>1</v>
      </c>
      <c r="T2010" s="1">
        <f>WORKDAY(B2010,5)</f>
        <v>45992</v>
      </c>
      <c r="U2010" t="b">
        <f>C2010&gt;T2010</f>
        <v>0</v>
      </c>
    </row>
    <row r="2011" spans="1:21" x14ac:dyDescent="0.25">
      <c r="A2011" t="s">
        <v>1418</v>
      </c>
      <c r="B2011" s="1">
        <v>45985</v>
      </c>
      <c r="C2011" s="1">
        <v>45986</v>
      </c>
      <c r="D2011" t="s">
        <v>1419</v>
      </c>
      <c r="E2011" t="s">
        <v>38</v>
      </c>
      <c r="F2011" t="s">
        <v>39</v>
      </c>
      <c r="G2011" t="s">
        <v>131</v>
      </c>
      <c r="H2011" t="s">
        <v>26</v>
      </c>
      <c r="I2011" s="2">
        <v>1</v>
      </c>
      <c r="J2011" s="3">
        <v>290</v>
      </c>
      <c r="K2011" s="4">
        <v>0.05</v>
      </c>
      <c r="L2011" s="3">
        <v>275.5</v>
      </c>
      <c r="M2011" t="b">
        <v>1</v>
      </c>
      <c r="N2011" s="2">
        <f>YEAR(B2011)</f>
        <v>2025</v>
      </c>
      <c r="O2011" t="str">
        <f>INDEX(Agences!$C:$C,MATCH(F2011,Agences!$A:$A,0))</f>
        <v>Sud-Ouest</v>
      </c>
      <c r="P2011" t="str">
        <f>INDEX(Produits!$C:$C,MATCH(H2011,Produits!$A:$A,0))</f>
        <v>Maintenance</v>
      </c>
      <c r="Q2011" s="3">
        <f>I2011*INDEX(Produits!$E:$E,MATCH(H2011,Produits!$A:$A,0))</f>
        <v>139.2</v>
      </c>
      <c r="R2011" s="3">
        <f>L2011-Q2011</f>
        <v>136.3</v>
      </c>
      <c r="S2011" s="2">
        <f>NETWORKDAYS(B2011,C2011)-1</f>
        <v>1</v>
      </c>
      <c r="T2011" s="1">
        <f>WORKDAY(B2011,5)</f>
        <v>45992</v>
      </c>
      <c r="U2011" t="b">
        <f>C2011&gt;T2011</f>
        <v>0</v>
      </c>
    </row>
    <row r="2012" spans="1:21" x14ac:dyDescent="0.25">
      <c r="A2012" t="s">
        <v>1420</v>
      </c>
      <c r="B2012" s="1">
        <v>45982</v>
      </c>
      <c r="C2012" s="1">
        <v>45985</v>
      </c>
      <c r="D2012" t="s">
        <v>812</v>
      </c>
      <c r="E2012" t="s">
        <v>175</v>
      </c>
      <c r="F2012" t="s">
        <v>76</v>
      </c>
      <c r="G2012" t="s">
        <v>176</v>
      </c>
      <c r="H2012" t="s">
        <v>107</v>
      </c>
      <c r="I2012" s="2">
        <v>1</v>
      </c>
      <c r="J2012" s="3">
        <v>99</v>
      </c>
      <c r="K2012" s="4">
        <v>0.05</v>
      </c>
      <c r="L2012" s="3">
        <v>94.05</v>
      </c>
      <c r="M2012" t="b">
        <v>1</v>
      </c>
      <c r="N2012" s="2">
        <f>YEAR(B2012)</f>
        <v>2025</v>
      </c>
      <c r="O2012" t="str">
        <f>INDEX(Agences!$C:$C,MATCH(F2012,Agences!$A:$A,0))</f>
        <v>Île-de-France</v>
      </c>
      <c r="P2012" t="str">
        <f>INDEX(Produits!$C:$C,MATCH(H2012,Produits!$A:$A,0))</f>
        <v>Informatique</v>
      </c>
      <c r="Q2012" s="3">
        <f>I2012*INDEX(Produits!$E:$E,MATCH(H2012,Produits!$A:$A,0))</f>
        <v>75.24</v>
      </c>
      <c r="R2012" s="3">
        <f>L2012-Q2012</f>
        <v>18.810000000000002</v>
      </c>
      <c r="S2012" s="2">
        <f>NETWORKDAYS(B2012,C2012)-1</f>
        <v>1</v>
      </c>
      <c r="T2012" s="1">
        <f>WORKDAY(B2012,5)</f>
        <v>45989</v>
      </c>
      <c r="U2012" t="b">
        <f>C2012&gt;T2012</f>
        <v>0</v>
      </c>
    </row>
    <row r="2013" spans="1:21" x14ac:dyDescent="0.25">
      <c r="A2013" t="s">
        <v>1420</v>
      </c>
      <c r="B2013" s="1">
        <v>45982</v>
      </c>
      <c r="C2013" s="1">
        <v>45985</v>
      </c>
      <c r="D2013" t="s">
        <v>812</v>
      </c>
      <c r="E2013" t="s">
        <v>175</v>
      </c>
      <c r="F2013" t="s">
        <v>76</v>
      </c>
      <c r="G2013" t="s">
        <v>176</v>
      </c>
      <c r="H2013" t="s">
        <v>90</v>
      </c>
      <c r="I2013" s="2">
        <v>10</v>
      </c>
      <c r="J2013" s="3">
        <v>22.9</v>
      </c>
      <c r="K2013" s="4">
        <v>0</v>
      </c>
      <c r="L2013" s="3">
        <v>229</v>
      </c>
      <c r="M2013" t="b">
        <v>1</v>
      </c>
      <c r="N2013" s="2">
        <f>YEAR(B2013)</f>
        <v>2025</v>
      </c>
      <c r="O2013" t="str">
        <f>INDEX(Agences!$C:$C,MATCH(F2013,Agences!$A:$A,0))</f>
        <v>Île-de-France</v>
      </c>
      <c r="P2013" t="str">
        <f>INDEX(Produits!$C:$C,MATCH(H2013,Produits!$A:$A,0))</f>
        <v>Fournitures</v>
      </c>
      <c r="Q2013" s="3">
        <f>I2013*INDEX(Produits!$E:$E,MATCH(H2013,Produits!$A:$A,0))</f>
        <v>128.2</v>
      </c>
      <c r="R2013" s="3">
        <f>L2013-Q2013</f>
        <v>100.80000000000001</v>
      </c>
      <c r="S2013" s="2">
        <f>NETWORKDAYS(B2013,C2013)-1</f>
        <v>1</v>
      </c>
      <c r="T2013" s="1">
        <f>WORKDAY(B2013,5)</f>
        <v>45989</v>
      </c>
      <c r="U2013" t="b">
        <f>C2013&gt;T2013</f>
        <v>0</v>
      </c>
    </row>
    <row r="2014" spans="1:21" x14ac:dyDescent="0.25">
      <c r="A2014" t="s">
        <v>1420</v>
      </c>
      <c r="B2014" s="1">
        <v>45982</v>
      </c>
      <c r="C2014" s="1">
        <v>45985</v>
      </c>
      <c r="D2014" t="s">
        <v>812</v>
      </c>
      <c r="E2014" t="s">
        <v>175</v>
      </c>
      <c r="F2014" t="s">
        <v>76</v>
      </c>
      <c r="G2014" t="s">
        <v>176</v>
      </c>
      <c r="H2014" t="s">
        <v>206</v>
      </c>
      <c r="I2014" s="2">
        <v>15</v>
      </c>
      <c r="J2014" s="3">
        <v>34</v>
      </c>
      <c r="K2014" s="4">
        <v>0</v>
      </c>
      <c r="L2014" s="3">
        <v>510</v>
      </c>
      <c r="M2014" t="b">
        <v>1</v>
      </c>
      <c r="N2014" s="2">
        <f>YEAR(B2014)</f>
        <v>2025</v>
      </c>
      <c r="O2014" t="str">
        <f>INDEX(Agences!$C:$C,MATCH(F2014,Agences!$A:$A,0))</f>
        <v>Île-de-France</v>
      </c>
      <c r="P2014" t="str">
        <f>INDEX(Produits!$C:$C,MATCH(H2014,Produits!$A:$A,0))</f>
        <v>Fournitures</v>
      </c>
      <c r="Q2014" s="3">
        <f>I2014*INDEX(Produits!$E:$E,MATCH(H2014,Produits!$A:$A,0))</f>
        <v>290.7</v>
      </c>
      <c r="R2014" s="3">
        <f>L2014-Q2014</f>
        <v>219.3</v>
      </c>
      <c r="S2014" s="2">
        <f>NETWORKDAYS(B2014,C2014)-1</f>
        <v>1</v>
      </c>
      <c r="T2014" s="1">
        <f>WORKDAY(B2014,5)</f>
        <v>45989</v>
      </c>
      <c r="U2014" t="b">
        <f>C2014&gt;T2014</f>
        <v>0</v>
      </c>
    </row>
    <row r="2015" spans="1:21" x14ac:dyDescent="0.25">
      <c r="A2015" t="s">
        <v>1421</v>
      </c>
      <c r="B2015" s="1">
        <v>45982</v>
      </c>
      <c r="C2015" s="1">
        <v>45986</v>
      </c>
      <c r="D2015" t="s">
        <v>1422</v>
      </c>
      <c r="E2015" t="s">
        <v>251</v>
      </c>
      <c r="F2015" t="s">
        <v>166</v>
      </c>
      <c r="G2015" t="s">
        <v>248</v>
      </c>
      <c r="H2015" t="s">
        <v>42</v>
      </c>
      <c r="I2015" s="2">
        <v>2</v>
      </c>
      <c r="J2015" s="3">
        <v>55</v>
      </c>
      <c r="K2015" s="4">
        <v>0.05</v>
      </c>
      <c r="L2015" s="3">
        <v>104.5</v>
      </c>
      <c r="M2015" t="b">
        <v>1</v>
      </c>
      <c r="N2015" s="2">
        <f>YEAR(B2015)</f>
        <v>2025</v>
      </c>
      <c r="O2015" t="str">
        <f>INDEX(Agences!$C:$C,MATCH(F2015,Agences!$A:$A,0))</f>
        <v>Ouest</v>
      </c>
      <c r="P2015" t="str">
        <f>INDEX(Produits!$C:$C,MATCH(H2015,Produits!$A:$A,0))</f>
        <v>Maintenance</v>
      </c>
      <c r="Q2015" s="3">
        <f>I2015*INDEX(Produits!$E:$E,MATCH(H2015,Produits!$A:$A,0))</f>
        <v>49.5</v>
      </c>
      <c r="R2015" s="3">
        <f>L2015-Q2015</f>
        <v>55</v>
      </c>
      <c r="S2015" s="2">
        <f>NETWORKDAYS(B2015,C2015)-1</f>
        <v>2</v>
      </c>
      <c r="T2015" s="1">
        <f>WORKDAY(B2015,5)</f>
        <v>45989</v>
      </c>
      <c r="U2015" t="b">
        <f>C2015&gt;T2015</f>
        <v>0</v>
      </c>
    </row>
    <row r="2016" spans="1:21" x14ac:dyDescent="0.25">
      <c r="A2016" t="s">
        <v>1421</v>
      </c>
      <c r="B2016" s="1">
        <v>45982</v>
      </c>
      <c r="C2016" s="1">
        <v>45986</v>
      </c>
      <c r="D2016" t="s">
        <v>1422</v>
      </c>
      <c r="E2016" t="s">
        <v>251</v>
      </c>
      <c r="F2016" t="s">
        <v>166</v>
      </c>
      <c r="G2016" t="s">
        <v>248</v>
      </c>
      <c r="H2016" t="s">
        <v>57</v>
      </c>
      <c r="I2016" s="2">
        <v>3</v>
      </c>
      <c r="J2016" s="3">
        <v>149</v>
      </c>
      <c r="K2016" s="4">
        <v>0.05</v>
      </c>
      <c r="L2016" s="3">
        <v>424.65</v>
      </c>
      <c r="M2016" t="b">
        <v>1</v>
      </c>
      <c r="N2016" s="2">
        <f>YEAR(B2016)</f>
        <v>2025</v>
      </c>
      <c r="O2016" t="str">
        <f>INDEX(Agences!$C:$C,MATCH(F2016,Agences!$A:$A,0))</f>
        <v>Ouest</v>
      </c>
      <c r="P2016" t="str">
        <f>INDEX(Produits!$C:$C,MATCH(H2016,Produits!$A:$A,0))</f>
        <v>Informatique</v>
      </c>
      <c r="Q2016" s="3">
        <f>I2016*INDEX(Produits!$E:$E,MATCH(H2016,Produits!$A:$A,0))</f>
        <v>344.19</v>
      </c>
      <c r="R2016" s="3">
        <f>L2016-Q2016</f>
        <v>80.45999999999998</v>
      </c>
      <c r="S2016" s="2">
        <f>NETWORKDAYS(B2016,C2016)-1</f>
        <v>2</v>
      </c>
      <c r="T2016" s="1">
        <f>WORKDAY(B2016,5)</f>
        <v>45989</v>
      </c>
      <c r="U2016" t="b">
        <f>C2016&gt;T2016</f>
        <v>0</v>
      </c>
    </row>
    <row r="2017" spans="1:21" x14ac:dyDescent="0.25">
      <c r="A2017" t="s">
        <v>1423</v>
      </c>
      <c r="B2017" s="1">
        <v>45982</v>
      </c>
      <c r="C2017" s="1">
        <v>45986</v>
      </c>
      <c r="D2017" t="s">
        <v>253</v>
      </c>
      <c r="E2017" t="s">
        <v>165</v>
      </c>
      <c r="F2017" t="s">
        <v>166</v>
      </c>
      <c r="G2017" t="s">
        <v>179</v>
      </c>
      <c r="H2017" t="s">
        <v>57</v>
      </c>
      <c r="I2017" s="2">
        <v>5</v>
      </c>
      <c r="J2017" s="3">
        <v>149</v>
      </c>
      <c r="K2017" s="4">
        <v>0.08</v>
      </c>
      <c r="L2017" s="3">
        <v>685.4</v>
      </c>
      <c r="M2017" t="b">
        <v>1</v>
      </c>
      <c r="N2017" s="2">
        <f>YEAR(B2017)</f>
        <v>2025</v>
      </c>
      <c r="O2017" t="str">
        <f>INDEX(Agences!$C:$C,MATCH(F2017,Agences!$A:$A,0))</f>
        <v>Ouest</v>
      </c>
      <c r="P2017" t="str">
        <f>INDEX(Produits!$C:$C,MATCH(H2017,Produits!$A:$A,0))</f>
        <v>Informatique</v>
      </c>
      <c r="Q2017" s="3">
        <f>I2017*INDEX(Produits!$E:$E,MATCH(H2017,Produits!$A:$A,0))</f>
        <v>573.65</v>
      </c>
      <c r="R2017" s="3">
        <f>L2017-Q2017</f>
        <v>111.75</v>
      </c>
      <c r="S2017" s="2">
        <f>NETWORKDAYS(B2017,C2017)-1</f>
        <v>2</v>
      </c>
      <c r="T2017" s="1">
        <f>WORKDAY(B2017,5)</f>
        <v>45989</v>
      </c>
      <c r="U2017" t="b">
        <f>C2017&gt;T2017</f>
        <v>0</v>
      </c>
    </row>
    <row r="2018" spans="1:21" x14ac:dyDescent="0.25">
      <c r="A2018" t="s">
        <v>1424</v>
      </c>
      <c r="B2018" s="1">
        <v>45982</v>
      </c>
      <c r="C2018" s="1">
        <v>45986</v>
      </c>
      <c r="D2018" t="s">
        <v>1227</v>
      </c>
      <c r="E2018" t="s">
        <v>38</v>
      </c>
      <c r="F2018" t="s">
        <v>39</v>
      </c>
      <c r="G2018" t="s">
        <v>322</v>
      </c>
      <c r="H2018" t="s">
        <v>41</v>
      </c>
      <c r="I2018" s="2">
        <v>2</v>
      </c>
      <c r="J2018" s="3">
        <v>790</v>
      </c>
      <c r="K2018" s="4">
        <v>0</v>
      </c>
      <c r="L2018" s="3">
        <v>1580</v>
      </c>
      <c r="M2018" t="b">
        <v>1</v>
      </c>
      <c r="N2018" s="2">
        <f>YEAR(B2018)</f>
        <v>2025</v>
      </c>
      <c r="O2018" t="str">
        <f>INDEX(Agences!$C:$C,MATCH(F2018,Agences!$A:$A,0))</f>
        <v>Sud-Ouest</v>
      </c>
      <c r="P2018" t="str">
        <f>INDEX(Produits!$C:$C,MATCH(H2018,Produits!$A:$A,0))</f>
        <v>Informatique</v>
      </c>
      <c r="Q2018" s="3">
        <f>I2018*INDEX(Produits!$E:$E,MATCH(H2018,Produits!$A:$A,0))</f>
        <v>1153.4</v>
      </c>
      <c r="R2018" s="3">
        <f>L2018-Q2018</f>
        <v>426.5999999999999</v>
      </c>
      <c r="S2018" s="2">
        <f>NETWORKDAYS(B2018,C2018)-1</f>
        <v>2</v>
      </c>
      <c r="T2018" s="1">
        <f>WORKDAY(B2018,5)</f>
        <v>45989</v>
      </c>
      <c r="U2018" t="b">
        <f>C2018&gt;T2018</f>
        <v>0</v>
      </c>
    </row>
    <row r="2019" spans="1:21" x14ac:dyDescent="0.25">
      <c r="A2019" t="s">
        <v>1424</v>
      </c>
      <c r="B2019" s="1">
        <v>45982</v>
      </c>
      <c r="C2019" s="1">
        <v>45986</v>
      </c>
      <c r="D2019" t="s">
        <v>1227</v>
      </c>
      <c r="E2019" t="s">
        <v>38</v>
      </c>
      <c r="F2019" t="s">
        <v>39</v>
      </c>
      <c r="G2019" t="s">
        <v>322</v>
      </c>
      <c r="H2019" t="s">
        <v>27</v>
      </c>
      <c r="I2019" s="2">
        <v>1</v>
      </c>
      <c r="J2019" s="3">
        <v>310</v>
      </c>
      <c r="K2019" s="4">
        <v>0</v>
      </c>
      <c r="L2019" s="3">
        <v>310</v>
      </c>
      <c r="M2019" t="b">
        <v>1</v>
      </c>
      <c r="N2019" s="2">
        <f>YEAR(B2019)</f>
        <v>2025</v>
      </c>
      <c r="O2019" t="str">
        <f>INDEX(Agences!$C:$C,MATCH(F2019,Agences!$A:$A,0))</f>
        <v>Sud-Ouest</v>
      </c>
      <c r="P2019" t="str">
        <f>INDEX(Produits!$C:$C,MATCH(H2019,Produits!$A:$A,0))</f>
        <v>Mobilier</v>
      </c>
      <c r="Q2019" s="3">
        <f>I2019*INDEX(Produits!$E:$E,MATCH(H2019,Produits!$A:$A,0))</f>
        <v>186</v>
      </c>
      <c r="R2019" s="3">
        <f>L2019-Q2019</f>
        <v>124</v>
      </c>
      <c r="S2019" s="2">
        <f>NETWORKDAYS(B2019,C2019)-1</f>
        <v>2</v>
      </c>
      <c r="T2019" s="1">
        <f>WORKDAY(B2019,5)</f>
        <v>45989</v>
      </c>
      <c r="U2019" t="b">
        <f>C2019&gt;T2019</f>
        <v>0</v>
      </c>
    </row>
    <row r="2020" spans="1:21" x14ac:dyDescent="0.25">
      <c r="A2020" t="s">
        <v>1425</v>
      </c>
      <c r="B2020" s="1">
        <v>45982</v>
      </c>
      <c r="C2020" s="1">
        <v>45987</v>
      </c>
      <c r="D2020" t="s">
        <v>1426</v>
      </c>
      <c r="E2020" t="s">
        <v>38</v>
      </c>
      <c r="F2020" t="s">
        <v>39</v>
      </c>
      <c r="G2020" t="s">
        <v>131</v>
      </c>
      <c r="H2020" t="s">
        <v>26</v>
      </c>
      <c r="I2020" s="2">
        <v>1</v>
      </c>
      <c r="J2020" s="3">
        <v>290</v>
      </c>
      <c r="K2020" s="4">
        <v>0.02</v>
      </c>
      <c r="L2020" s="3">
        <v>284.2</v>
      </c>
      <c r="M2020" t="b">
        <v>1</v>
      </c>
      <c r="N2020" s="2">
        <f>YEAR(B2020)</f>
        <v>2025</v>
      </c>
      <c r="O2020" t="str">
        <f>INDEX(Agences!$C:$C,MATCH(F2020,Agences!$A:$A,0))</f>
        <v>Sud-Ouest</v>
      </c>
      <c r="P2020" t="str">
        <f>INDEX(Produits!$C:$C,MATCH(H2020,Produits!$A:$A,0))</f>
        <v>Maintenance</v>
      </c>
      <c r="Q2020" s="3">
        <f>I2020*INDEX(Produits!$E:$E,MATCH(H2020,Produits!$A:$A,0))</f>
        <v>139.2</v>
      </c>
      <c r="R2020" s="3">
        <f>L2020-Q2020</f>
        <v>145</v>
      </c>
      <c r="S2020" s="2">
        <f>NETWORKDAYS(B2020,C2020)-1</f>
        <v>3</v>
      </c>
      <c r="T2020" s="1">
        <f>WORKDAY(B2020,5)</f>
        <v>45989</v>
      </c>
      <c r="U2020" t="b">
        <f>C2020&gt;T2020</f>
        <v>0</v>
      </c>
    </row>
    <row r="2021" spans="1:21" x14ac:dyDescent="0.25">
      <c r="A2021" t="s">
        <v>1427</v>
      </c>
      <c r="B2021" s="1">
        <v>45981</v>
      </c>
      <c r="C2021" s="1">
        <v>45985</v>
      </c>
      <c r="D2021" t="s">
        <v>815</v>
      </c>
      <c r="E2021" t="s">
        <v>119</v>
      </c>
      <c r="F2021" t="s">
        <v>24</v>
      </c>
      <c r="G2021" t="s">
        <v>199</v>
      </c>
      <c r="H2021" t="s">
        <v>35</v>
      </c>
      <c r="I2021" s="2">
        <v>3</v>
      </c>
      <c r="J2021" s="3">
        <v>79</v>
      </c>
      <c r="K2021" s="4">
        <v>0.05</v>
      </c>
      <c r="L2021" s="3">
        <v>225.15</v>
      </c>
      <c r="M2021" t="b">
        <v>1</v>
      </c>
      <c r="N2021" s="2">
        <f>YEAR(B2021)</f>
        <v>2025</v>
      </c>
      <c r="O2021" t="str">
        <f>INDEX(Agences!$C:$C,MATCH(F2021,Agences!$A:$A,0))</f>
        <v>Nord</v>
      </c>
      <c r="P2021" t="str">
        <f>INDEX(Produits!$C:$C,MATCH(H2021,Produits!$A:$A,0))</f>
        <v>Mobilier</v>
      </c>
      <c r="Q2021" s="3">
        <f>I2021*INDEX(Produits!$E:$E,MATCH(H2021,Produits!$A:$A,0))</f>
        <v>139.82999999999998</v>
      </c>
      <c r="R2021" s="3">
        <f>L2021-Q2021</f>
        <v>85.32000000000002</v>
      </c>
      <c r="S2021" s="2">
        <f>NETWORKDAYS(B2021,C2021)-1</f>
        <v>2</v>
      </c>
      <c r="T2021" s="1">
        <f>WORKDAY(B2021,5)</f>
        <v>45988</v>
      </c>
      <c r="U2021" t="b">
        <f>C2021&gt;T2021</f>
        <v>0</v>
      </c>
    </row>
    <row r="2022" spans="1:21" x14ac:dyDescent="0.25">
      <c r="A2022" t="s">
        <v>1427</v>
      </c>
      <c r="B2022" s="1">
        <v>45981</v>
      </c>
      <c r="C2022" s="1">
        <v>45985</v>
      </c>
      <c r="D2022" t="s">
        <v>815</v>
      </c>
      <c r="E2022" t="s">
        <v>119</v>
      </c>
      <c r="F2022" t="s">
        <v>24</v>
      </c>
      <c r="G2022" t="s">
        <v>199</v>
      </c>
      <c r="H2022" t="s">
        <v>112</v>
      </c>
      <c r="I2022" s="2">
        <v>5</v>
      </c>
      <c r="J2022" s="3">
        <v>129</v>
      </c>
      <c r="K2022" s="4">
        <v>0</v>
      </c>
      <c r="L2022" s="3">
        <v>645</v>
      </c>
      <c r="M2022" t="b">
        <v>1</v>
      </c>
      <c r="N2022" s="2">
        <f>YEAR(B2022)</f>
        <v>2025</v>
      </c>
      <c r="O2022" t="str">
        <f>INDEX(Agences!$C:$C,MATCH(F2022,Agences!$A:$A,0))</f>
        <v>Nord</v>
      </c>
      <c r="P2022" t="str">
        <f>INDEX(Produits!$C:$C,MATCH(H2022,Produits!$A:$A,0))</f>
        <v>Mobilier</v>
      </c>
      <c r="Q2022" s="3">
        <f>I2022*INDEX(Produits!$E:$E,MATCH(H2022,Produits!$A:$A,0))</f>
        <v>432.15000000000003</v>
      </c>
      <c r="R2022" s="3">
        <f>L2022-Q2022</f>
        <v>212.84999999999997</v>
      </c>
      <c r="S2022" s="2">
        <f>NETWORKDAYS(B2022,C2022)-1</f>
        <v>2</v>
      </c>
      <c r="T2022" s="1">
        <f>WORKDAY(B2022,5)</f>
        <v>45988</v>
      </c>
      <c r="U2022" t="b">
        <f>C2022&gt;T2022</f>
        <v>0</v>
      </c>
    </row>
    <row r="2023" spans="1:21" x14ac:dyDescent="0.25">
      <c r="A2023" t="s">
        <v>1427</v>
      </c>
      <c r="B2023" s="1">
        <v>45981</v>
      </c>
      <c r="C2023" s="1">
        <v>45985</v>
      </c>
      <c r="D2023" t="s">
        <v>815</v>
      </c>
      <c r="E2023" t="s">
        <v>119</v>
      </c>
      <c r="F2023" t="s">
        <v>24</v>
      </c>
      <c r="G2023" t="s">
        <v>199</v>
      </c>
      <c r="H2023" t="s">
        <v>49</v>
      </c>
      <c r="I2023" s="2">
        <v>4</v>
      </c>
      <c r="J2023" s="3">
        <v>120</v>
      </c>
      <c r="K2023" s="4">
        <v>0.05</v>
      </c>
      <c r="L2023" s="3">
        <v>456</v>
      </c>
      <c r="M2023" t="b">
        <v>1</v>
      </c>
      <c r="N2023" s="2">
        <f>YEAR(B2023)</f>
        <v>2025</v>
      </c>
      <c r="O2023" t="str">
        <f>INDEX(Agences!$C:$C,MATCH(F2023,Agences!$A:$A,0))</f>
        <v>Nord</v>
      </c>
      <c r="P2023" t="str">
        <f>INDEX(Produits!$C:$C,MATCH(H2023,Produits!$A:$A,0))</f>
        <v>Maintenance</v>
      </c>
      <c r="Q2023" s="3">
        <f>I2023*INDEX(Produits!$E:$E,MATCH(H2023,Produits!$A:$A,0))</f>
        <v>220.8</v>
      </c>
      <c r="R2023" s="3">
        <f>L2023-Q2023</f>
        <v>235.2</v>
      </c>
      <c r="S2023" s="2">
        <f>NETWORKDAYS(B2023,C2023)-1</f>
        <v>2</v>
      </c>
      <c r="T2023" s="1">
        <f>WORKDAY(B2023,5)</f>
        <v>45988</v>
      </c>
      <c r="U2023" t="b">
        <f>C2023&gt;T2023</f>
        <v>0</v>
      </c>
    </row>
    <row r="2024" spans="1:21" x14ac:dyDescent="0.25">
      <c r="A2024" t="s">
        <v>1428</v>
      </c>
      <c r="B2024" s="1">
        <v>45981</v>
      </c>
      <c r="C2024" s="1">
        <v>45988</v>
      </c>
      <c r="D2024" t="s">
        <v>332</v>
      </c>
      <c r="E2024" t="s">
        <v>333</v>
      </c>
      <c r="F2024" t="s">
        <v>138</v>
      </c>
      <c r="G2024" t="s">
        <v>220</v>
      </c>
      <c r="H2024" t="s">
        <v>107</v>
      </c>
      <c r="I2024" s="2">
        <v>2</v>
      </c>
      <c r="J2024" s="3">
        <v>99</v>
      </c>
      <c r="K2024" s="4">
        <v>0</v>
      </c>
      <c r="L2024" s="3">
        <v>198</v>
      </c>
      <c r="M2024" t="b">
        <v>1</v>
      </c>
      <c r="N2024" s="2">
        <f>YEAR(B2024)</f>
        <v>2025</v>
      </c>
      <c r="O2024" t="str">
        <f>INDEX(Agences!$C:$C,MATCH(F2024,Agences!$A:$A,0))</f>
        <v>Île-de-France</v>
      </c>
      <c r="P2024" t="str">
        <f>INDEX(Produits!$C:$C,MATCH(H2024,Produits!$A:$A,0))</f>
        <v>Informatique</v>
      </c>
      <c r="Q2024" s="3">
        <f>I2024*INDEX(Produits!$E:$E,MATCH(H2024,Produits!$A:$A,0))</f>
        <v>150.48</v>
      </c>
      <c r="R2024" s="3">
        <f>L2024-Q2024</f>
        <v>47.52000000000001</v>
      </c>
      <c r="S2024" s="2">
        <f>NETWORKDAYS(B2024,C2024)-1</f>
        <v>5</v>
      </c>
      <c r="T2024" s="1">
        <f>WORKDAY(B2024,5)</f>
        <v>45988</v>
      </c>
      <c r="U2024" t="b">
        <f>C2024&gt;T2024</f>
        <v>0</v>
      </c>
    </row>
    <row r="2025" spans="1:21" x14ac:dyDescent="0.25">
      <c r="A2025" t="s">
        <v>1428</v>
      </c>
      <c r="B2025" s="1">
        <v>45981</v>
      </c>
      <c r="C2025" s="1">
        <v>45988</v>
      </c>
      <c r="D2025" t="s">
        <v>332</v>
      </c>
      <c r="E2025" t="s">
        <v>333</v>
      </c>
      <c r="F2025" t="s">
        <v>138</v>
      </c>
      <c r="G2025" t="s">
        <v>220</v>
      </c>
      <c r="H2025" t="s">
        <v>84</v>
      </c>
      <c r="I2025" s="2">
        <v>5</v>
      </c>
      <c r="J2025" s="3">
        <v>420</v>
      </c>
      <c r="K2025" s="4">
        <v>0</v>
      </c>
      <c r="L2025" s="3">
        <v>2100</v>
      </c>
      <c r="M2025" t="b">
        <v>1</v>
      </c>
      <c r="N2025" s="2">
        <f>YEAR(B2025)</f>
        <v>2025</v>
      </c>
      <c r="O2025" t="str">
        <f>INDEX(Agences!$C:$C,MATCH(F2025,Agences!$A:$A,0))</f>
        <v>Île-de-France</v>
      </c>
      <c r="P2025" t="str">
        <f>INDEX(Produits!$C:$C,MATCH(H2025,Produits!$A:$A,0))</f>
        <v>Mobilier</v>
      </c>
      <c r="Q2025" s="3">
        <f>I2025*INDEX(Produits!$E:$E,MATCH(H2025,Produits!$A:$A,0))</f>
        <v>1218</v>
      </c>
      <c r="R2025" s="3">
        <f>L2025-Q2025</f>
        <v>882</v>
      </c>
      <c r="S2025" s="2">
        <f>NETWORKDAYS(B2025,C2025)-1</f>
        <v>5</v>
      </c>
      <c r="T2025" s="1">
        <f>WORKDAY(B2025,5)</f>
        <v>45988</v>
      </c>
      <c r="U2025" t="b">
        <f>C2025&gt;T2025</f>
        <v>0</v>
      </c>
    </row>
    <row r="2026" spans="1:21" x14ac:dyDescent="0.25">
      <c r="A2026" t="s">
        <v>1429</v>
      </c>
      <c r="B2026" s="1">
        <v>45981</v>
      </c>
      <c r="C2026" s="1">
        <v>45986</v>
      </c>
      <c r="D2026" t="s">
        <v>959</v>
      </c>
      <c r="E2026" t="s">
        <v>61</v>
      </c>
      <c r="F2026" t="s">
        <v>62</v>
      </c>
      <c r="G2026" t="s">
        <v>63</v>
      </c>
      <c r="H2026" t="s">
        <v>319</v>
      </c>
      <c r="I2026" s="2">
        <v>1</v>
      </c>
      <c r="J2026" s="3">
        <v>289</v>
      </c>
      <c r="K2026" s="4">
        <v>0</v>
      </c>
      <c r="L2026" s="3">
        <v>289</v>
      </c>
      <c r="M2026" t="b">
        <v>1</v>
      </c>
      <c r="N2026" s="2">
        <f>YEAR(B2026)</f>
        <v>2025</v>
      </c>
      <c r="O2026" t="str">
        <f>INDEX(Agences!$C:$C,MATCH(F2026,Agences!$A:$A,0))</f>
        <v>Méditerranée</v>
      </c>
      <c r="P2026" t="str">
        <f>INDEX(Produits!$C:$C,MATCH(H2026,Produits!$A:$A,0))</f>
        <v>Informatique</v>
      </c>
      <c r="Q2026" s="3">
        <f>I2026*INDEX(Produits!$E:$E,MATCH(H2026,Produits!$A:$A,0))</f>
        <v>213.86</v>
      </c>
      <c r="R2026" s="3">
        <f>L2026-Q2026</f>
        <v>75.13999999999999</v>
      </c>
      <c r="S2026" s="2">
        <f>NETWORKDAYS(B2026,C2026)-1</f>
        <v>3</v>
      </c>
      <c r="T2026" s="1">
        <f>WORKDAY(B2026,5)</f>
        <v>45988</v>
      </c>
      <c r="U2026" t="b">
        <f>C2026&gt;T2026</f>
        <v>0</v>
      </c>
    </row>
    <row r="2027" spans="1:21" x14ac:dyDescent="0.25">
      <c r="A2027" t="s">
        <v>1429</v>
      </c>
      <c r="B2027" s="1">
        <v>45981</v>
      </c>
      <c r="C2027" s="1">
        <v>45986</v>
      </c>
      <c r="D2027" t="s">
        <v>959</v>
      </c>
      <c r="E2027" t="s">
        <v>61</v>
      </c>
      <c r="F2027" t="s">
        <v>62</v>
      </c>
      <c r="G2027" t="s">
        <v>63</v>
      </c>
      <c r="H2027" t="s">
        <v>50</v>
      </c>
      <c r="I2027" s="2">
        <v>1</v>
      </c>
      <c r="J2027" s="3">
        <v>69</v>
      </c>
      <c r="K2027" s="4">
        <v>0.1</v>
      </c>
      <c r="L2027" s="3">
        <v>62.1</v>
      </c>
      <c r="M2027" t="b">
        <v>1</v>
      </c>
      <c r="N2027" s="2">
        <f>YEAR(B2027)</f>
        <v>2025</v>
      </c>
      <c r="O2027" t="str">
        <f>INDEX(Agences!$C:$C,MATCH(F2027,Agences!$A:$A,0))</f>
        <v>Méditerranée</v>
      </c>
      <c r="P2027" t="str">
        <f>INDEX(Produits!$C:$C,MATCH(H2027,Produits!$A:$A,0))</f>
        <v>Informatique</v>
      </c>
      <c r="Q2027" s="3">
        <f>I2027*INDEX(Produits!$E:$E,MATCH(H2027,Produits!$A:$A,0))</f>
        <v>54.51</v>
      </c>
      <c r="R2027" s="3">
        <f>L2027-Q2027</f>
        <v>7.590000000000003</v>
      </c>
      <c r="S2027" s="2">
        <f>NETWORKDAYS(B2027,C2027)-1</f>
        <v>3</v>
      </c>
      <c r="T2027" s="1">
        <f>WORKDAY(B2027,5)</f>
        <v>45988</v>
      </c>
      <c r="U2027" t="b">
        <f>C2027&gt;T2027</f>
        <v>0</v>
      </c>
    </row>
    <row r="2028" spans="1:21" x14ac:dyDescent="0.25">
      <c r="A2028" t="s">
        <v>1429</v>
      </c>
      <c r="B2028" s="1">
        <v>45981</v>
      </c>
      <c r="C2028" s="1">
        <v>45986</v>
      </c>
      <c r="D2028" t="s">
        <v>959</v>
      </c>
      <c r="E2028" t="s">
        <v>61</v>
      </c>
      <c r="F2028" t="s">
        <v>62</v>
      </c>
      <c r="G2028" t="s">
        <v>63</v>
      </c>
      <c r="H2028" t="s">
        <v>79</v>
      </c>
      <c r="I2028" s="2">
        <v>15</v>
      </c>
      <c r="J2028" s="3">
        <v>14.9</v>
      </c>
      <c r="K2028" s="4">
        <v>0</v>
      </c>
      <c r="L2028" s="3">
        <v>223.5</v>
      </c>
      <c r="M2028" t="b">
        <v>1</v>
      </c>
      <c r="N2028" s="2">
        <f>YEAR(B2028)</f>
        <v>2025</v>
      </c>
      <c r="O2028" t="str">
        <f>INDEX(Agences!$C:$C,MATCH(F2028,Agences!$A:$A,0))</f>
        <v>Méditerranée</v>
      </c>
      <c r="P2028" t="str">
        <f>INDEX(Produits!$C:$C,MATCH(H2028,Produits!$A:$A,0))</f>
        <v>Fournitures</v>
      </c>
      <c r="Q2028" s="3">
        <f>I2028*INDEX(Produits!$E:$E,MATCH(H2028,Produits!$A:$A,0))</f>
        <v>120.75000000000001</v>
      </c>
      <c r="R2028" s="3">
        <f>L2028-Q2028</f>
        <v>102.74999999999999</v>
      </c>
      <c r="S2028" s="2">
        <f>NETWORKDAYS(B2028,C2028)-1</f>
        <v>3</v>
      </c>
      <c r="T2028" s="1">
        <f>WORKDAY(B2028,5)</f>
        <v>45988</v>
      </c>
      <c r="U2028" t="b">
        <f>C2028&gt;T2028</f>
        <v>0</v>
      </c>
    </row>
    <row r="2029" spans="1:21" x14ac:dyDescent="0.25">
      <c r="A2029" t="s">
        <v>1430</v>
      </c>
      <c r="B2029" s="1">
        <v>45981</v>
      </c>
      <c r="C2029" s="1">
        <v>45986</v>
      </c>
      <c r="D2029" t="s">
        <v>1431</v>
      </c>
      <c r="E2029" t="s">
        <v>242</v>
      </c>
      <c r="F2029" t="s">
        <v>94</v>
      </c>
      <c r="G2029" t="s">
        <v>95</v>
      </c>
      <c r="H2029" t="s">
        <v>49</v>
      </c>
      <c r="I2029" s="2">
        <v>1</v>
      </c>
      <c r="J2029" s="3">
        <v>120</v>
      </c>
      <c r="K2029" s="4">
        <v>0.05</v>
      </c>
      <c r="L2029" s="3">
        <v>114</v>
      </c>
      <c r="M2029" t="b">
        <v>1</v>
      </c>
      <c r="N2029" s="2">
        <f>YEAR(B2029)</f>
        <v>2025</v>
      </c>
      <c r="O2029" t="str">
        <f>INDEX(Agences!$C:$C,MATCH(F2029,Agences!$A:$A,0))</f>
        <v>Méditerranée</v>
      </c>
      <c r="P2029" t="str">
        <f>INDEX(Produits!$C:$C,MATCH(H2029,Produits!$A:$A,0))</f>
        <v>Maintenance</v>
      </c>
      <c r="Q2029" s="3">
        <f>I2029*INDEX(Produits!$E:$E,MATCH(H2029,Produits!$A:$A,0))</f>
        <v>55.2</v>
      </c>
      <c r="R2029" s="3">
        <f>L2029-Q2029</f>
        <v>58.8</v>
      </c>
      <c r="S2029" s="2">
        <f>NETWORKDAYS(B2029,C2029)-1</f>
        <v>3</v>
      </c>
      <c r="T2029" s="1">
        <f>WORKDAY(B2029,5)</f>
        <v>45988</v>
      </c>
      <c r="U2029" t="b">
        <f>C2029&gt;T2029</f>
        <v>0</v>
      </c>
    </row>
    <row r="2030" spans="1:21" x14ac:dyDescent="0.25">
      <c r="A2030" t="s">
        <v>1430</v>
      </c>
      <c r="B2030" s="1">
        <v>45981</v>
      </c>
      <c r="C2030" s="1">
        <v>45986</v>
      </c>
      <c r="D2030" t="s">
        <v>1431</v>
      </c>
      <c r="E2030" t="s">
        <v>242</v>
      </c>
      <c r="F2030" t="s">
        <v>94</v>
      </c>
      <c r="G2030" t="s">
        <v>95</v>
      </c>
      <c r="H2030" t="s">
        <v>50</v>
      </c>
      <c r="I2030" s="2">
        <v>1</v>
      </c>
      <c r="J2030" s="3">
        <v>69</v>
      </c>
      <c r="K2030" s="4">
        <v>0</v>
      </c>
      <c r="L2030" s="3">
        <v>69</v>
      </c>
      <c r="M2030" t="b">
        <v>1</v>
      </c>
      <c r="N2030" s="2">
        <f>YEAR(B2030)</f>
        <v>2025</v>
      </c>
      <c r="O2030" t="str">
        <f>INDEX(Agences!$C:$C,MATCH(F2030,Agences!$A:$A,0))</f>
        <v>Méditerranée</v>
      </c>
      <c r="P2030" t="str">
        <f>INDEX(Produits!$C:$C,MATCH(H2030,Produits!$A:$A,0))</f>
        <v>Informatique</v>
      </c>
      <c r="Q2030" s="3">
        <f>I2030*INDEX(Produits!$E:$E,MATCH(H2030,Produits!$A:$A,0))</f>
        <v>54.51</v>
      </c>
      <c r="R2030" s="3">
        <f>L2030-Q2030</f>
        <v>14.490000000000002</v>
      </c>
      <c r="S2030" s="2">
        <f>NETWORKDAYS(B2030,C2030)-1</f>
        <v>3</v>
      </c>
      <c r="T2030" s="1">
        <f>WORKDAY(B2030,5)</f>
        <v>45988</v>
      </c>
      <c r="U2030" t="b">
        <f>C2030&gt;T2030</f>
        <v>0</v>
      </c>
    </row>
    <row r="2031" spans="1:21" x14ac:dyDescent="0.25">
      <c r="A2031" t="s">
        <v>1430</v>
      </c>
      <c r="B2031" s="1">
        <v>45981</v>
      </c>
      <c r="C2031" s="1">
        <v>45986</v>
      </c>
      <c r="D2031" t="s">
        <v>1431</v>
      </c>
      <c r="E2031" t="s">
        <v>242</v>
      </c>
      <c r="F2031" t="s">
        <v>94</v>
      </c>
      <c r="G2031" t="s">
        <v>95</v>
      </c>
      <c r="H2031" t="s">
        <v>90</v>
      </c>
      <c r="I2031" s="2">
        <v>10</v>
      </c>
      <c r="J2031" s="3">
        <v>22.9</v>
      </c>
      <c r="K2031" s="4">
        <v>0</v>
      </c>
      <c r="L2031" s="3">
        <v>229</v>
      </c>
      <c r="M2031" t="b">
        <v>1</v>
      </c>
      <c r="N2031" s="2">
        <f>YEAR(B2031)</f>
        <v>2025</v>
      </c>
      <c r="O2031" t="str">
        <f>INDEX(Agences!$C:$C,MATCH(F2031,Agences!$A:$A,0))</f>
        <v>Méditerranée</v>
      </c>
      <c r="P2031" t="str">
        <f>INDEX(Produits!$C:$C,MATCH(H2031,Produits!$A:$A,0))</f>
        <v>Fournitures</v>
      </c>
      <c r="Q2031" s="3">
        <f>I2031*INDEX(Produits!$E:$E,MATCH(H2031,Produits!$A:$A,0))</f>
        <v>128.2</v>
      </c>
      <c r="R2031" s="3">
        <f>L2031-Q2031</f>
        <v>100.80000000000001</v>
      </c>
      <c r="S2031" s="2">
        <f>NETWORKDAYS(B2031,C2031)-1</f>
        <v>3</v>
      </c>
      <c r="T2031" s="1">
        <f>WORKDAY(B2031,5)</f>
        <v>45988</v>
      </c>
      <c r="U2031" t="b">
        <f>C2031&gt;T2031</f>
        <v>0</v>
      </c>
    </row>
    <row r="2032" spans="1:21" x14ac:dyDescent="0.25">
      <c r="A2032" t="s">
        <v>1430</v>
      </c>
      <c r="B2032" s="1">
        <v>45981</v>
      </c>
      <c r="C2032" s="1">
        <v>45986</v>
      </c>
      <c r="D2032" t="s">
        <v>1431</v>
      </c>
      <c r="E2032" t="s">
        <v>242</v>
      </c>
      <c r="F2032" t="s">
        <v>94</v>
      </c>
      <c r="G2032" t="s">
        <v>95</v>
      </c>
      <c r="H2032" t="s">
        <v>84</v>
      </c>
      <c r="I2032" s="2">
        <v>2</v>
      </c>
      <c r="J2032" s="3">
        <v>420</v>
      </c>
      <c r="K2032" s="4">
        <v>0.05</v>
      </c>
      <c r="L2032" s="3">
        <v>798</v>
      </c>
      <c r="M2032" t="b">
        <v>1</v>
      </c>
      <c r="N2032" s="2">
        <f>YEAR(B2032)</f>
        <v>2025</v>
      </c>
      <c r="O2032" t="str">
        <f>INDEX(Agences!$C:$C,MATCH(F2032,Agences!$A:$A,0))</f>
        <v>Méditerranée</v>
      </c>
      <c r="P2032" t="str">
        <f>INDEX(Produits!$C:$C,MATCH(H2032,Produits!$A:$A,0))</f>
        <v>Mobilier</v>
      </c>
      <c r="Q2032" s="3">
        <f>I2032*INDEX(Produits!$E:$E,MATCH(H2032,Produits!$A:$A,0))</f>
        <v>487.2</v>
      </c>
      <c r="R2032" s="3">
        <f>L2032-Q2032</f>
        <v>310.8</v>
      </c>
      <c r="S2032" s="2">
        <f>NETWORKDAYS(B2032,C2032)-1</f>
        <v>3</v>
      </c>
      <c r="T2032" s="1">
        <f>WORKDAY(B2032,5)</f>
        <v>45988</v>
      </c>
      <c r="U2032" t="b">
        <f>C2032&gt;T2032</f>
        <v>0</v>
      </c>
    </row>
    <row r="2033" spans="1:21" x14ac:dyDescent="0.25">
      <c r="A2033" t="s">
        <v>1430</v>
      </c>
      <c r="B2033" s="1">
        <v>45981</v>
      </c>
      <c r="C2033" s="1">
        <v>45986</v>
      </c>
      <c r="D2033" t="s">
        <v>1431</v>
      </c>
      <c r="E2033" t="s">
        <v>242</v>
      </c>
      <c r="F2033" t="s">
        <v>94</v>
      </c>
      <c r="G2033" t="s">
        <v>95</v>
      </c>
      <c r="H2033" t="s">
        <v>107</v>
      </c>
      <c r="I2033" s="2">
        <v>2</v>
      </c>
      <c r="J2033" s="3">
        <v>99</v>
      </c>
      <c r="K2033" s="4">
        <v>0.02</v>
      </c>
      <c r="L2033" s="3">
        <v>194.04</v>
      </c>
      <c r="M2033" t="b">
        <v>1</v>
      </c>
      <c r="N2033" s="2">
        <f>YEAR(B2033)</f>
        <v>2025</v>
      </c>
      <c r="O2033" t="str">
        <f>INDEX(Agences!$C:$C,MATCH(F2033,Agences!$A:$A,0))</f>
        <v>Méditerranée</v>
      </c>
      <c r="P2033" t="str">
        <f>INDEX(Produits!$C:$C,MATCH(H2033,Produits!$A:$A,0))</f>
        <v>Informatique</v>
      </c>
      <c r="Q2033" s="3">
        <f>I2033*INDEX(Produits!$E:$E,MATCH(H2033,Produits!$A:$A,0))</f>
        <v>150.48</v>
      </c>
      <c r="R2033" s="3">
        <f>L2033-Q2033</f>
        <v>43.56</v>
      </c>
      <c r="S2033" s="2">
        <f>NETWORKDAYS(B2033,C2033)-1</f>
        <v>3</v>
      </c>
      <c r="T2033" s="1">
        <f>WORKDAY(B2033,5)</f>
        <v>45988</v>
      </c>
      <c r="U2033" t="b">
        <f>C2033&gt;T2033</f>
        <v>0</v>
      </c>
    </row>
    <row r="2034" spans="1:21" x14ac:dyDescent="0.25">
      <c r="A2034" t="s">
        <v>1432</v>
      </c>
      <c r="B2034" s="1">
        <v>45980</v>
      </c>
      <c r="C2034" s="1">
        <v>45985</v>
      </c>
      <c r="D2034" t="s">
        <v>480</v>
      </c>
      <c r="E2034" t="s">
        <v>399</v>
      </c>
      <c r="F2034" t="s">
        <v>166</v>
      </c>
      <c r="G2034" t="s">
        <v>167</v>
      </c>
      <c r="H2034" t="s">
        <v>112</v>
      </c>
      <c r="I2034" s="2">
        <v>2</v>
      </c>
      <c r="J2034" s="3">
        <v>129</v>
      </c>
      <c r="K2034" s="4">
        <v>0</v>
      </c>
      <c r="L2034" s="3">
        <v>258</v>
      </c>
      <c r="M2034" t="b">
        <v>1</v>
      </c>
      <c r="N2034" s="2">
        <f>YEAR(B2034)</f>
        <v>2025</v>
      </c>
      <c r="O2034" t="str">
        <f>INDEX(Agences!$C:$C,MATCH(F2034,Agences!$A:$A,0))</f>
        <v>Ouest</v>
      </c>
      <c r="P2034" t="str">
        <f>INDEX(Produits!$C:$C,MATCH(H2034,Produits!$A:$A,0))</f>
        <v>Mobilier</v>
      </c>
      <c r="Q2034" s="3">
        <f>I2034*INDEX(Produits!$E:$E,MATCH(H2034,Produits!$A:$A,0))</f>
        <v>172.86</v>
      </c>
      <c r="R2034" s="3">
        <f>L2034-Q2034</f>
        <v>85.13999999999999</v>
      </c>
      <c r="S2034" s="2">
        <f>NETWORKDAYS(B2034,C2034)-1</f>
        <v>3</v>
      </c>
      <c r="T2034" s="1">
        <f>WORKDAY(B2034,5)</f>
        <v>45987</v>
      </c>
      <c r="U2034" t="b">
        <f>C2034&gt;T2034</f>
        <v>0</v>
      </c>
    </row>
    <row r="2035" spans="1:21" x14ac:dyDescent="0.25">
      <c r="A2035" t="s">
        <v>1432</v>
      </c>
      <c r="B2035" s="1">
        <v>45980</v>
      </c>
      <c r="C2035" s="1">
        <v>45985</v>
      </c>
      <c r="D2035" t="s">
        <v>480</v>
      </c>
      <c r="E2035" t="s">
        <v>399</v>
      </c>
      <c r="F2035" t="s">
        <v>166</v>
      </c>
      <c r="G2035" t="s">
        <v>167</v>
      </c>
      <c r="H2035" t="s">
        <v>42</v>
      </c>
      <c r="I2035" s="2">
        <v>1</v>
      </c>
      <c r="J2035" s="3">
        <v>55</v>
      </c>
      <c r="K2035" s="4">
        <v>0.08</v>
      </c>
      <c r="L2035" s="3">
        <v>50.6</v>
      </c>
      <c r="M2035" t="b">
        <v>1</v>
      </c>
      <c r="N2035" s="2">
        <f>YEAR(B2035)</f>
        <v>2025</v>
      </c>
      <c r="O2035" t="str">
        <f>INDEX(Agences!$C:$C,MATCH(F2035,Agences!$A:$A,0))</f>
        <v>Ouest</v>
      </c>
      <c r="P2035" t="str">
        <f>INDEX(Produits!$C:$C,MATCH(H2035,Produits!$A:$A,0))</f>
        <v>Maintenance</v>
      </c>
      <c r="Q2035" s="3">
        <f>I2035*INDEX(Produits!$E:$E,MATCH(H2035,Produits!$A:$A,0))</f>
        <v>24.75</v>
      </c>
      <c r="R2035" s="3">
        <f>L2035-Q2035</f>
        <v>25.85</v>
      </c>
      <c r="S2035" s="2">
        <f>NETWORKDAYS(B2035,C2035)-1</f>
        <v>3</v>
      </c>
      <c r="T2035" s="1">
        <f>WORKDAY(B2035,5)</f>
        <v>45987</v>
      </c>
      <c r="U2035" t="b">
        <f>C2035&gt;T2035</f>
        <v>0</v>
      </c>
    </row>
    <row r="2036" spans="1:21" x14ac:dyDescent="0.25">
      <c r="A2036" t="s">
        <v>1432</v>
      </c>
      <c r="B2036" s="1">
        <v>45980</v>
      </c>
      <c r="C2036" s="1">
        <v>45985</v>
      </c>
      <c r="D2036" t="s">
        <v>480</v>
      </c>
      <c r="E2036" t="s">
        <v>399</v>
      </c>
      <c r="F2036" t="s">
        <v>166</v>
      </c>
      <c r="G2036" t="s">
        <v>167</v>
      </c>
      <c r="H2036" t="s">
        <v>237</v>
      </c>
      <c r="I2036" s="2">
        <v>1</v>
      </c>
      <c r="J2036" s="3">
        <v>890</v>
      </c>
      <c r="K2036" s="4">
        <v>0.08</v>
      </c>
      <c r="L2036" s="3">
        <v>818.8</v>
      </c>
      <c r="M2036" t="b">
        <v>1</v>
      </c>
      <c r="N2036" s="2">
        <f>YEAR(B2036)</f>
        <v>2025</v>
      </c>
      <c r="O2036" t="str">
        <f>INDEX(Agences!$C:$C,MATCH(F2036,Agences!$A:$A,0))</f>
        <v>Ouest</v>
      </c>
      <c r="P2036" t="str">
        <f>INDEX(Produits!$C:$C,MATCH(H2036,Produits!$A:$A,0))</f>
        <v>Mobilier</v>
      </c>
      <c r="Q2036" s="3">
        <f>I2036*INDEX(Produits!$E:$E,MATCH(H2036,Produits!$A:$A,0))</f>
        <v>596.3</v>
      </c>
      <c r="R2036" s="3">
        <f>L2036-Q2036</f>
        <v>222.5</v>
      </c>
      <c r="S2036" s="2">
        <f>NETWORKDAYS(B2036,C2036)-1</f>
        <v>3</v>
      </c>
      <c r="T2036" s="1">
        <f>WORKDAY(B2036,5)</f>
        <v>45987</v>
      </c>
      <c r="U2036" t="b">
        <f>C2036&gt;T2036</f>
        <v>0</v>
      </c>
    </row>
    <row r="2037" spans="1:21" x14ac:dyDescent="0.25">
      <c r="A2037" t="s">
        <v>1433</v>
      </c>
      <c r="B2037" s="1">
        <v>45980</v>
      </c>
      <c r="C2037" s="1">
        <v>45982</v>
      </c>
      <c r="D2037" t="s">
        <v>184</v>
      </c>
      <c r="E2037" t="s">
        <v>185</v>
      </c>
      <c r="F2037" t="s">
        <v>31</v>
      </c>
      <c r="G2037" t="s">
        <v>375</v>
      </c>
      <c r="H2037" t="s">
        <v>49</v>
      </c>
      <c r="I2037" s="2">
        <v>2</v>
      </c>
      <c r="J2037" s="3">
        <v>120</v>
      </c>
      <c r="K2037" s="4">
        <v>0</v>
      </c>
      <c r="L2037" s="3">
        <v>240</v>
      </c>
      <c r="M2037" t="b">
        <v>1</v>
      </c>
      <c r="N2037" s="2">
        <f>YEAR(B2037)</f>
        <v>2025</v>
      </c>
      <c r="O2037" t="str">
        <f>INDEX(Agences!$C:$C,MATCH(F2037,Agences!$A:$A,0))</f>
        <v>Ouest</v>
      </c>
      <c r="P2037" t="str">
        <f>INDEX(Produits!$C:$C,MATCH(H2037,Produits!$A:$A,0))</f>
        <v>Maintenance</v>
      </c>
      <c r="Q2037" s="3">
        <f>I2037*INDEX(Produits!$E:$E,MATCH(H2037,Produits!$A:$A,0))</f>
        <v>110.4</v>
      </c>
      <c r="R2037" s="3">
        <f>L2037-Q2037</f>
        <v>129.6</v>
      </c>
      <c r="S2037" s="2">
        <f>NETWORKDAYS(B2037,C2037)-1</f>
        <v>2</v>
      </c>
      <c r="T2037" s="1">
        <f>WORKDAY(B2037,5)</f>
        <v>45987</v>
      </c>
      <c r="U2037" t="b">
        <f>C2037&gt;T2037</f>
        <v>0</v>
      </c>
    </row>
    <row r="2038" spans="1:21" x14ac:dyDescent="0.25">
      <c r="A2038" t="s">
        <v>1433</v>
      </c>
      <c r="B2038" s="1">
        <v>45980</v>
      </c>
      <c r="C2038" s="1">
        <v>45982</v>
      </c>
      <c r="D2038" t="s">
        <v>184</v>
      </c>
      <c r="E2038" t="s">
        <v>185</v>
      </c>
      <c r="F2038" t="s">
        <v>31</v>
      </c>
      <c r="G2038" t="s">
        <v>375</v>
      </c>
      <c r="H2038" t="s">
        <v>107</v>
      </c>
      <c r="I2038" s="2">
        <v>1</v>
      </c>
      <c r="J2038" s="3">
        <v>99</v>
      </c>
      <c r="K2038" s="4">
        <v>0.08</v>
      </c>
      <c r="L2038" s="3">
        <v>91.08</v>
      </c>
      <c r="M2038" t="b">
        <v>1</v>
      </c>
      <c r="N2038" s="2">
        <f>YEAR(B2038)</f>
        <v>2025</v>
      </c>
      <c r="O2038" t="str">
        <f>INDEX(Agences!$C:$C,MATCH(F2038,Agences!$A:$A,0))</f>
        <v>Ouest</v>
      </c>
      <c r="P2038" t="str">
        <f>INDEX(Produits!$C:$C,MATCH(H2038,Produits!$A:$A,0))</f>
        <v>Informatique</v>
      </c>
      <c r="Q2038" s="3">
        <f>I2038*INDEX(Produits!$E:$E,MATCH(H2038,Produits!$A:$A,0))</f>
        <v>75.24</v>
      </c>
      <c r="R2038" s="3">
        <f>L2038-Q2038</f>
        <v>15.840000000000003</v>
      </c>
      <c r="S2038" s="2">
        <f>NETWORKDAYS(B2038,C2038)-1</f>
        <v>2</v>
      </c>
      <c r="T2038" s="1">
        <f>WORKDAY(B2038,5)</f>
        <v>45987</v>
      </c>
      <c r="U2038" t="b">
        <f>C2038&gt;T2038</f>
        <v>0</v>
      </c>
    </row>
    <row r="2039" spans="1:21" x14ac:dyDescent="0.25">
      <c r="A2039" t="s">
        <v>1433</v>
      </c>
      <c r="B2039" s="1">
        <v>45980</v>
      </c>
      <c r="C2039" s="1">
        <v>45982</v>
      </c>
      <c r="D2039" t="s">
        <v>184</v>
      </c>
      <c r="E2039" t="s">
        <v>185</v>
      </c>
      <c r="F2039" t="s">
        <v>31</v>
      </c>
      <c r="G2039" t="s">
        <v>375</v>
      </c>
      <c r="H2039" t="s">
        <v>57</v>
      </c>
      <c r="I2039" s="2">
        <v>2</v>
      </c>
      <c r="J2039" s="3">
        <v>149</v>
      </c>
      <c r="K2039" s="4">
        <v>0.05</v>
      </c>
      <c r="L2039" s="3">
        <v>283.1</v>
      </c>
      <c r="M2039" t="b">
        <v>1</v>
      </c>
      <c r="N2039" s="2">
        <f>YEAR(B2039)</f>
        <v>2025</v>
      </c>
      <c r="O2039" t="str">
        <f>INDEX(Agences!$C:$C,MATCH(F2039,Agences!$A:$A,0))</f>
        <v>Ouest</v>
      </c>
      <c r="P2039" t="str">
        <f>INDEX(Produits!$C:$C,MATCH(H2039,Produits!$A:$A,0))</f>
        <v>Informatique</v>
      </c>
      <c r="Q2039" s="3">
        <f>I2039*INDEX(Produits!$E:$E,MATCH(H2039,Produits!$A:$A,0))</f>
        <v>229.46</v>
      </c>
      <c r="R2039" s="3">
        <f>L2039-Q2039</f>
        <v>53.640000000000015</v>
      </c>
      <c r="S2039" s="2">
        <f>NETWORKDAYS(B2039,C2039)-1</f>
        <v>2</v>
      </c>
      <c r="T2039" s="1">
        <f>WORKDAY(B2039,5)</f>
        <v>45987</v>
      </c>
      <c r="U2039" t="b">
        <f>C2039&gt;T2039</f>
        <v>0</v>
      </c>
    </row>
    <row r="2040" spans="1:21" x14ac:dyDescent="0.25">
      <c r="A2040" t="s">
        <v>1433</v>
      </c>
      <c r="B2040" s="1">
        <v>45980</v>
      </c>
      <c r="C2040" s="1">
        <v>45982</v>
      </c>
      <c r="D2040" t="s">
        <v>184</v>
      </c>
      <c r="E2040" t="s">
        <v>185</v>
      </c>
      <c r="F2040" t="s">
        <v>31</v>
      </c>
      <c r="G2040" t="s">
        <v>375</v>
      </c>
      <c r="H2040" t="s">
        <v>42</v>
      </c>
      <c r="I2040" s="2">
        <v>1</v>
      </c>
      <c r="J2040" s="3">
        <v>55</v>
      </c>
      <c r="K2040" s="4">
        <v>0.08</v>
      </c>
      <c r="L2040" s="3">
        <v>50.6</v>
      </c>
      <c r="M2040" t="b">
        <v>1</v>
      </c>
      <c r="N2040" s="2">
        <f>YEAR(B2040)</f>
        <v>2025</v>
      </c>
      <c r="O2040" t="str">
        <f>INDEX(Agences!$C:$C,MATCH(F2040,Agences!$A:$A,0))</f>
        <v>Ouest</v>
      </c>
      <c r="P2040" t="str">
        <f>INDEX(Produits!$C:$C,MATCH(H2040,Produits!$A:$A,0))</f>
        <v>Maintenance</v>
      </c>
      <c r="Q2040" s="3">
        <f>I2040*INDEX(Produits!$E:$E,MATCH(H2040,Produits!$A:$A,0))</f>
        <v>24.75</v>
      </c>
      <c r="R2040" s="3">
        <f>L2040-Q2040</f>
        <v>25.85</v>
      </c>
      <c r="S2040" s="2">
        <f>NETWORKDAYS(B2040,C2040)-1</f>
        <v>2</v>
      </c>
      <c r="T2040" s="1">
        <f>WORKDAY(B2040,5)</f>
        <v>45987</v>
      </c>
      <c r="U2040" t="b">
        <f>C2040&gt;T2040</f>
        <v>0</v>
      </c>
    </row>
    <row r="2041" spans="1:21" x14ac:dyDescent="0.25">
      <c r="A2041" t="s">
        <v>1434</v>
      </c>
      <c r="B2041" s="1">
        <v>45980</v>
      </c>
      <c r="C2041" s="1">
        <v>45985</v>
      </c>
      <c r="D2041" t="s">
        <v>290</v>
      </c>
      <c r="E2041" t="s">
        <v>191</v>
      </c>
      <c r="F2041" t="s">
        <v>62</v>
      </c>
      <c r="G2041" t="s">
        <v>63</v>
      </c>
      <c r="H2041" t="s">
        <v>319</v>
      </c>
      <c r="I2041" s="2">
        <v>3</v>
      </c>
      <c r="J2041" s="3">
        <v>289</v>
      </c>
      <c r="K2041" s="4">
        <v>0</v>
      </c>
      <c r="L2041" s="3">
        <v>867</v>
      </c>
      <c r="M2041" t="b">
        <v>1</v>
      </c>
      <c r="N2041" s="2">
        <f>YEAR(B2041)</f>
        <v>2025</v>
      </c>
      <c r="O2041" t="str">
        <f>INDEX(Agences!$C:$C,MATCH(F2041,Agences!$A:$A,0))</f>
        <v>Méditerranée</v>
      </c>
      <c r="P2041" t="str">
        <f>INDEX(Produits!$C:$C,MATCH(H2041,Produits!$A:$A,0))</f>
        <v>Informatique</v>
      </c>
      <c r="Q2041" s="3">
        <f>I2041*INDEX(Produits!$E:$E,MATCH(H2041,Produits!$A:$A,0))</f>
        <v>641.58</v>
      </c>
      <c r="R2041" s="3">
        <f>L2041-Q2041</f>
        <v>225.41999999999996</v>
      </c>
      <c r="S2041" s="2">
        <f>NETWORKDAYS(B2041,C2041)-1</f>
        <v>3</v>
      </c>
      <c r="T2041" s="1">
        <f>WORKDAY(B2041,5)</f>
        <v>45987</v>
      </c>
      <c r="U2041" t="b">
        <f>C2041&gt;T2041</f>
        <v>0</v>
      </c>
    </row>
    <row r="2042" spans="1:21" x14ac:dyDescent="0.25">
      <c r="A2042" t="s">
        <v>1434</v>
      </c>
      <c r="B2042" s="1">
        <v>45980</v>
      </c>
      <c r="C2042" s="1">
        <v>45985</v>
      </c>
      <c r="D2042" t="s">
        <v>290</v>
      </c>
      <c r="E2042" t="s">
        <v>191</v>
      </c>
      <c r="F2042" t="s">
        <v>62</v>
      </c>
      <c r="G2042" t="s">
        <v>63</v>
      </c>
      <c r="H2042" t="s">
        <v>79</v>
      </c>
      <c r="I2042" s="2">
        <v>5</v>
      </c>
      <c r="J2042" s="3">
        <v>14.9</v>
      </c>
      <c r="K2042" s="4">
        <v>0.02</v>
      </c>
      <c r="L2042" s="3">
        <v>73.01</v>
      </c>
      <c r="M2042" t="b">
        <v>1</v>
      </c>
      <c r="N2042" s="2">
        <f>YEAR(B2042)</f>
        <v>2025</v>
      </c>
      <c r="O2042" t="str">
        <f>INDEX(Agences!$C:$C,MATCH(F2042,Agences!$A:$A,0))</f>
        <v>Méditerranée</v>
      </c>
      <c r="P2042" t="str">
        <f>INDEX(Produits!$C:$C,MATCH(H2042,Produits!$A:$A,0))</f>
        <v>Fournitures</v>
      </c>
      <c r="Q2042" s="3">
        <f>I2042*INDEX(Produits!$E:$E,MATCH(H2042,Produits!$A:$A,0))</f>
        <v>40.25</v>
      </c>
      <c r="R2042" s="3">
        <f>L2042-Q2042</f>
        <v>32.760000000000005</v>
      </c>
      <c r="S2042" s="2">
        <f>NETWORKDAYS(B2042,C2042)-1</f>
        <v>3</v>
      </c>
      <c r="T2042" s="1">
        <f>WORKDAY(B2042,5)</f>
        <v>45987</v>
      </c>
      <c r="U2042" t="b">
        <f>C2042&gt;T2042</f>
        <v>0</v>
      </c>
    </row>
    <row r="2043" spans="1:21" x14ac:dyDescent="0.25">
      <c r="A2043" t="s">
        <v>1434</v>
      </c>
      <c r="B2043" s="1">
        <v>45980</v>
      </c>
      <c r="C2043" s="1">
        <v>45985</v>
      </c>
      <c r="D2043" t="s">
        <v>290</v>
      </c>
      <c r="E2043" t="s">
        <v>191</v>
      </c>
      <c r="F2043" t="s">
        <v>62</v>
      </c>
      <c r="G2043" t="s">
        <v>63</v>
      </c>
      <c r="H2043" t="s">
        <v>50</v>
      </c>
      <c r="I2043" s="2">
        <v>4</v>
      </c>
      <c r="J2043" s="3">
        <v>69</v>
      </c>
      <c r="K2043" s="4">
        <v>0.1</v>
      </c>
      <c r="L2043" s="3">
        <v>248.4</v>
      </c>
      <c r="M2043" t="b">
        <v>1</v>
      </c>
      <c r="N2043" s="2">
        <f>YEAR(B2043)</f>
        <v>2025</v>
      </c>
      <c r="O2043" t="str">
        <f>INDEX(Agences!$C:$C,MATCH(F2043,Agences!$A:$A,0))</f>
        <v>Méditerranée</v>
      </c>
      <c r="P2043" t="str">
        <f>INDEX(Produits!$C:$C,MATCH(H2043,Produits!$A:$A,0))</f>
        <v>Informatique</v>
      </c>
      <c r="Q2043" s="3">
        <f>I2043*INDEX(Produits!$E:$E,MATCH(H2043,Produits!$A:$A,0))</f>
        <v>218.04</v>
      </c>
      <c r="R2043" s="3">
        <f>L2043-Q2043</f>
        <v>30.360000000000014</v>
      </c>
      <c r="S2043" s="2">
        <f>NETWORKDAYS(B2043,C2043)-1</f>
        <v>3</v>
      </c>
      <c r="T2043" s="1">
        <f>WORKDAY(B2043,5)</f>
        <v>45987</v>
      </c>
      <c r="U2043" t="b">
        <f>C2043&gt;T2043</f>
        <v>0</v>
      </c>
    </row>
    <row r="2044" spans="1:21" x14ac:dyDescent="0.25">
      <c r="A2044" t="s">
        <v>1435</v>
      </c>
      <c r="B2044" s="1">
        <v>45980</v>
      </c>
      <c r="C2044" s="1">
        <v>45985</v>
      </c>
      <c r="D2044" t="s">
        <v>241</v>
      </c>
      <c r="E2044" t="s">
        <v>242</v>
      </c>
      <c r="F2044" t="s">
        <v>94</v>
      </c>
      <c r="G2044" t="s">
        <v>95</v>
      </c>
      <c r="H2044" t="s">
        <v>150</v>
      </c>
      <c r="I2044" s="2">
        <v>1</v>
      </c>
      <c r="J2044" s="3">
        <v>790</v>
      </c>
      <c r="K2044" s="4">
        <v>0</v>
      </c>
      <c r="L2044" s="3">
        <v>790</v>
      </c>
      <c r="M2044" t="b">
        <v>1</v>
      </c>
      <c r="N2044" s="2">
        <f>YEAR(B2044)</f>
        <v>2025</v>
      </c>
      <c r="O2044" t="str">
        <f>INDEX(Agences!$C:$C,MATCH(F2044,Agences!$A:$A,0))</f>
        <v>Méditerranée</v>
      </c>
      <c r="P2044" t="str">
        <f>INDEX(Produits!$C:$C,MATCH(H2044,Produits!$A:$A,0))</f>
        <v>Informatique</v>
      </c>
      <c r="Q2044" s="3">
        <f>I2044*INDEX(Produits!$E:$E,MATCH(H2044,Produits!$A:$A,0))</f>
        <v>584.6</v>
      </c>
      <c r="R2044" s="3">
        <f>L2044-Q2044</f>
        <v>205.39999999999998</v>
      </c>
      <c r="S2044" s="2">
        <f>NETWORKDAYS(B2044,C2044)-1</f>
        <v>3</v>
      </c>
      <c r="T2044" s="1">
        <f>WORKDAY(B2044,5)</f>
        <v>45987</v>
      </c>
      <c r="U2044" t="b">
        <f>C2044&gt;T2044</f>
        <v>0</v>
      </c>
    </row>
    <row r="2045" spans="1:21" x14ac:dyDescent="0.25">
      <c r="A2045" t="s">
        <v>1435</v>
      </c>
      <c r="B2045" s="1">
        <v>45980</v>
      </c>
      <c r="C2045" s="1">
        <v>45985</v>
      </c>
      <c r="D2045" t="s">
        <v>241</v>
      </c>
      <c r="E2045" t="s">
        <v>242</v>
      </c>
      <c r="F2045" t="s">
        <v>94</v>
      </c>
      <c r="G2045" t="s">
        <v>95</v>
      </c>
      <c r="H2045" t="s">
        <v>49</v>
      </c>
      <c r="I2045" s="2">
        <v>1</v>
      </c>
      <c r="J2045" s="3">
        <v>120</v>
      </c>
      <c r="K2045" s="4">
        <v>0.08</v>
      </c>
      <c r="L2045" s="3">
        <v>110.4</v>
      </c>
      <c r="M2045" t="b">
        <v>1</v>
      </c>
      <c r="N2045" s="2">
        <f>YEAR(B2045)</f>
        <v>2025</v>
      </c>
      <c r="O2045" t="str">
        <f>INDEX(Agences!$C:$C,MATCH(F2045,Agences!$A:$A,0))</f>
        <v>Méditerranée</v>
      </c>
      <c r="P2045" t="str">
        <f>INDEX(Produits!$C:$C,MATCH(H2045,Produits!$A:$A,0))</f>
        <v>Maintenance</v>
      </c>
      <c r="Q2045" s="3">
        <f>I2045*INDEX(Produits!$E:$E,MATCH(H2045,Produits!$A:$A,0))</f>
        <v>55.2</v>
      </c>
      <c r="R2045" s="3">
        <f>L2045-Q2045</f>
        <v>55.2</v>
      </c>
      <c r="S2045" s="2">
        <f>NETWORKDAYS(B2045,C2045)-1</f>
        <v>3</v>
      </c>
      <c r="T2045" s="1">
        <f>WORKDAY(B2045,5)</f>
        <v>45987</v>
      </c>
      <c r="U2045" t="b">
        <f>C2045&gt;T2045</f>
        <v>0</v>
      </c>
    </row>
    <row r="2046" spans="1:21" x14ac:dyDescent="0.25">
      <c r="A2046" t="s">
        <v>1435</v>
      </c>
      <c r="B2046" s="1">
        <v>45980</v>
      </c>
      <c r="C2046" s="1">
        <v>45985</v>
      </c>
      <c r="D2046" t="s">
        <v>241</v>
      </c>
      <c r="E2046" t="s">
        <v>242</v>
      </c>
      <c r="F2046" t="s">
        <v>94</v>
      </c>
      <c r="G2046" t="s">
        <v>95</v>
      </c>
      <c r="H2046" t="s">
        <v>107</v>
      </c>
      <c r="I2046" s="2">
        <v>6</v>
      </c>
      <c r="J2046" s="3">
        <v>99</v>
      </c>
      <c r="K2046" s="4">
        <v>0</v>
      </c>
      <c r="L2046" s="3">
        <v>594</v>
      </c>
      <c r="M2046" t="b">
        <v>1</v>
      </c>
      <c r="N2046" s="2">
        <f>YEAR(B2046)</f>
        <v>2025</v>
      </c>
      <c r="O2046" t="str">
        <f>INDEX(Agences!$C:$C,MATCH(F2046,Agences!$A:$A,0))</f>
        <v>Méditerranée</v>
      </c>
      <c r="P2046" t="str">
        <f>INDEX(Produits!$C:$C,MATCH(H2046,Produits!$A:$A,0))</f>
        <v>Informatique</v>
      </c>
      <c r="Q2046" s="3">
        <f>I2046*INDEX(Produits!$E:$E,MATCH(H2046,Produits!$A:$A,0))</f>
        <v>451.43999999999994</v>
      </c>
      <c r="R2046" s="3">
        <f>L2046-Q2046</f>
        <v>142.56000000000006</v>
      </c>
      <c r="S2046" s="2">
        <f>NETWORKDAYS(B2046,C2046)-1</f>
        <v>3</v>
      </c>
      <c r="T2046" s="1">
        <f>WORKDAY(B2046,5)</f>
        <v>45987</v>
      </c>
      <c r="U2046" t="b">
        <f>C2046&gt;T2046</f>
        <v>0</v>
      </c>
    </row>
    <row r="2047" spans="1:21" x14ac:dyDescent="0.25">
      <c r="A2047" t="s">
        <v>1436</v>
      </c>
      <c r="B2047" s="1">
        <v>45980</v>
      </c>
      <c r="C2047" s="1">
        <v>45986</v>
      </c>
      <c r="D2047" t="s">
        <v>502</v>
      </c>
      <c r="E2047" t="s">
        <v>229</v>
      </c>
      <c r="F2047" t="s">
        <v>55</v>
      </c>
      <c r="G2047" t="s">
        <v>195</v>
      </c>
      <c r="H2047" t="s">
        <v>83</v>
      </c>
      <c r="I2047" s="2">
        <v>2</v>
      </c>
      <c r="J2047" s="3">
        <v>49</v>
      </c>
      <c r="K2047" s="4">
        <v>0</v>
      </c>
      <c r="L2047" s="3">
        <v>98</v>
      </c>
      <c r="M2047" t="b">
        <v>1</v>
      </c>
      <c r="N2047" s="2">
        <f>YEAR(B2047)</f>
        <v>2025</v>
      </c>
      <c r="O2047" t="str">
        <f>INDEX(Agences!$C:$C,MATCH(F2047,Agences!$A:$A,0))</f>
        <v>Est</v>
      </c>
      <c r="P2047" t="str">
        <f>INDEX(Produits!$C:$C,MATCH(H2047,Produits!$A:$A,0))</f>
        <v>Mobilier</v>
      </c>
      <c r="Q2047" s="3">
        <f>I2047*INDEX(Produits!$E:$E,MATCH(H2047,Produits!$A:$A,0))</f>
        <v>56.84</v>
      </c>
      <c r="R2047" s="3">
        <f>L2047-Q2047</f>
        <v>41.16</v>
      </c>
      <c r="S2047" s="2">
        <f>NETWORKDAYS(B2047,C2047)-1</f>
        <v>4</v>
      </c>
      <c r="T2047" s="1">
        <f>WORKDAY(B2047,5)</f>
        <v>45987</v>
      </c>
      <c r="U2047" t="b">
        <f>C2047&gt;T2047</f>
        <v>0</v>
      </c>
    </row>
    <row r="2048" spans="1:21" x14ac:dyDescent="0.25">
      <c r="A2048" t="s">
        <v>1436</v>
      </c>
      <c r="B2048" s="1">
        <v>45980</v>
      </c>
      <c r="C2048" s="1">
        <v>45986</v>
      </c>
      <c r="D2048" t="s">
        <v>502</v>
      </c>
      <c r="E2048" t="s">
        <v>229</v>
      </c>
      <c r="F2048" t="s">
        <v>55</v>
      </c>
      <c r="G2048" t="s">
        <v>195</v>
      </c>
      <c r="H2048" t="s">
        <v>90</v>
      </c>
      <c r="I2048" s="2">
        <v>10</v>
      </c>
      <c r="J2048" s="3">
        <v>22.9</v>
      </c>
      <c r="K2048" s="4">
        <v>0</v>
      </c>
      <c r="L2048" s="3">
        <v>229</v>
      </c>
      <c r="M2048" t="b">
        <v>1</v>
      </c>
      <c r="N2048" s="2">
        <f>YEAR(B2048)</f>
        <v>2025</v>
      </c>
      <c r="O2048" t="str">
        <f>INDEX(Agences!$C:$C,MATCH(F2048,Agences!$A:$A,0))</f>
        <v>Est</v>
      </c>
      <c r="P2048" t="str">
        <f>INDEX(Produits!$C:$C,MATCH(H2048,Produits!$A:$A,0))</f>
        <v>Fournitures</v>
      </c>
      <c r="Q2048" s="3">
        <f>I2048*INDEX(Produits!$E:$E,MATCH(H2048,Produits!$A:$A,0))</f>
        <v>128.2</v>
      </c>
      <c r="R2048" s="3">
        <f>L2048-Q2048</f>
        <v>100.80000000000001</v>
      </c>
      <c r="S2048" s="2">
        <f>NETWORKDAYS(B2048,C2048)-1</f>
        <v>4</v>
      </c>
      <c r="T2048" s="1">
        <f>WORKDAY(B2048,5)</f>
        <v>45987</v>
      </c>
      <c r="U2048" t="b">
        <f>C2048&gt;T2048</f>
        <v>0</v>
      </c>
    </row>
    <row r="2049" spans="1:21" x14ac:dyDescent="0.25">
      <c r="A2049" t="s">
        <v>1437</v>
      </c>
      <c r="B2049" s="1">
        <v>45979</v>
      </c>
      <c r="C2049" s="1">
        <v>45980</v>
      </c>
      <c r="D2049" t="s">
        <v>198</v>
      </c>
      <c r="E2049" t="s">
        <v>122</v>
      </c>
      <c r="F2049" t="s">
        <v>24</v>
      </c>
      <c r="G2049" t="s">
        <v>25</v>
      </c>
      <c r="H2049" t="s">
        <v>72</v>
      </c>
      <c r="I2049" s="2">
        <v>1</v>
      </c>
      <c r="J2049" s="3">
        <v>179</v>
      </c>
      <c r="K2049" s="4">
        <v>0</v>
      </c>
      <c r="L2049" s="3">
        <v>179</v>
      </c>
      <c r="M2049" t="b">
        <v>1</v>
      </c>
      <c r="N2049" s="2">
        <f>YEAR(B2049)</f>
        <v>2025</v>
      </c>
      <c r="O2049" t="str">
        <f>INDEX(Agences!$C:$C,MATCH(F2049,Agences!$A:$A,0))</f>
        <v>Nord</v>
      </c>
      <c r="P2049" t="str">
        <f>INDEX(Produits!$C:$C,MATCH(H2049,Produits!$A:$A,0))</f>
        <v>Informatique</v>
      </c>
      <c r="Q2049" s="3">
        <f>I2049*INDEX(Produits!$E:$E,MATCH(H2049,Produits!$A:$A,0))</f>
        <v>146.78</v>
      </c>
      <c r="R2049" s="3">
        <f>L2049-Q2049</f>
        <v>32.22</v>
      </c>
      <c r="S2049" s="2">
        <f>NETWORKDAYS(B2049,C2049)-1</f>
        <v>1</v>
      </c>
      <c r="T2049" s="1">
        <f>WORKDAY(B2049,5)</f>
        <v>45986</v>
      </c>
      <c r="U2049" t="b">
        <f>C2049&gt;T2049</f>
        <v>0</v>
      </c>
    </row>
    <row r="2050" spans="1:21" x14ac:dyDescent="0.25">
      <c r="A2050" t="s">
        <v>1437</v>
      </c>
      <c r="B2050" s="1">
        <v>45979</v>
      </c>
      <c r="C2050" s="1">
        <v>45980</v>
      </c>
      <c r="D2050" t="s">
        <v>198</v>
      </c>
      <c r="E2050" t="s">
        <v>122</v>
      </c>
      <c r="F2050" t="s">
        <v>24</v>
      </c>
      <c r="G2050" t="s">
        <v>25</v>
      </c>
      <c r="H2050" t="s">
        <v>83</v>
      </c>
      <c r="I2050" s="2">
        <v>1</v>
      </c>
      <c r="J2050" s="3">
        <v>49</v>
      </c>
      <c r="K2050" s="4">
        <v>0.02</v>
      </c>
      <c r="L2050" s="3">
        <v>48.02</v>
      </c>
      <c r="M2050" t="b">
        <v>1</v>
      </c>
      <c r="N2050" s="2">
        <f>YEAR(B2050)</f>
        <v>2025</v>
      </c>
      <c r="O2050" t="str">
        <f>INDEX(Agences!$C:$C,MATCH(F2050,Agences!$A:$A,0))</f>
        <v>Nord</v>
      </c>
      <c r="P2050" t="str">
        <f>INDEX(Produits!$C:$C,MATCH(H2050,Produits!$A:$A,0))</f>
        <v>Mobilier</v>
      </c>
      <c r="Q2050" s="3">
        <f>I2050*INDEX(Produits!$E:$E,MATCH(H2050,Produits!$A:$A,0))</f>
        <v>28.42</v>
      </c>
      <c r="R2050" s="3">
        <f>L2050-Q2050</f>
        <v>19.6</v>
      </c>
      <c r="S2050" s="2">
        <f>NETWORKDAYS(B2050,C2050)-1</f>
        <v>1</v>
      </c>
      <c r="T2050" s="1">
        <f>WORKDAY(B2050,5)</f>
        <v>45986</v>
      </c>
      <c r="U2050" t="b">
        <f>C2050&gt;T2050</f>
        <v>0</v>
      </c>
    </row>
    <row r="2051" spans="1:21" x14ac:dyDescent="0.25">
      <c r="A2051" t="s">
        <v>1438</v>
      </c>
      <c r="B2051" s="1">
        <v>45979</v>
      </c>
      <c r="C2051" s="1">
        <v>45981</v>
      </c>
      <c r="D2051" t="s">
        <v>359</v>
      </c>
      <c r="E2051" t="s">
        <v>137</v>
      </c>
      <c r="F2051" t="s">
        <v>138</v>
      </c>
      <c r="G2051" t="s">
        <v>139</v>
      </c>
      <c r="H2051" t="s">
        <v>50</v>
      </c>
      <c r="I2051" s="2">
        <v>3</v>
      </c>
      <c r="J2051" s="3">
        <v>69</v>
      </c>
      <c r="K2051" s="4">
        <v>0</v>
      </c>
      <c r="L2051" s="3">
        <v>207</v>
      </c>
      <c r="M2051" t="b">
        <v>1</v>
      </c>
      <c r="N2051" s="2">
        <f>YEAR(B2051)</f>
        <v>2025</v>
      </c>
      <c r="O2051" t="str">
        <f>INDEX(Agences!$C:$C,MATCH(F2051,Agences!$A:$A,0))</f>
        <v>Île-de-France</v>
      </c>
      <c r="P2051" t="str">
        <f>INDEX(Produits!$C:$C,MATCH(H2051,Produits!$A:$A,0))</f>
        <v>Informatique</v>
      </c>
      <c r="Q2051" s="3">
        <f>I2051*INDEX(Produits!$E:$E,MATCH(H2051,Produits!$A:$A,0))</f>
        <v>163.53</v>
      </c>
      <c r="R2051" s="3">
        <f>L2051-Q2051</f>
        <v>43.47</v>
      </c>
      <c r="S2051" s="2">
        <f>NETWORKDAYS(B2051,C2051)-1</f>
        <v>2</v>
      </c>
      <c r="T2051" s="1">
        <f>WORKDAY(B2051,5)</f>
        <v>45986</v>
      </c>
      <c r="U2051" t="b">
        <f>C2051&gt;T2051</f>
        <v>0</v>
      </c>
    </row>
    <row r="2052" spans="1:21" x14ac:dyDescent="0.25">
      <c r="A2052" t="s">
        <v>1439</v>
      </c>
      <c r="B2052" s="1">
        <v>45979</v>
      </c>
      <c r="C2052" s="1">
        <v>45981</v>
      </c>
      <c r="D2052" t="s">
        <v>1370</v>
      </c>
      <c r="E2052" t="s">
        <v>175</v>
      </c>
      <c r="F2052" t="s">
        <v>76</v>
      </c>
      <c r="G2052" t="s">
        <v>176</v>
      </c>
      <c r="H2052" t="s">
        <v>58</v>
      </c>
      <c r="I2052" s="2">
        <v>1</v>
      </c>
      <c r="J2052" s="3">
        <v>649</v>
      </c>
      <c r="K2052" s="4">
        <v>0</v>
      </c>
      <c r="L2052" s="3">
        <v>649</v>
      </c>
      <c r="M2052" t="b">
        <v>1</v>
      </c>
      <c r="N2052" s="2">
        <f>YEAR(B2052)</f>
        <v>2025</v>
      </c>
      <c r="O2052" t="str">
        <f>INDEX(Agences!$C:$C,MATCH(F2052,Agences!$A:$A,0))</f>
        <v>Île-de-France</v>
      </c>
      <c r="P2052" t="str">
        <f>INDEX(Produits!$C:$C,MATCH(H2052,Produits!$A:$A,0))</f>
        <v>Mobilier</v>
      </c>
      <c r="Q2052" s="3">
        <f>I2052*INDEX(Produits!$E:$E,MATCH(H2052,Produits!$A:$A,0))</f>
        <v>408.87</v>
      </c>
      <c r="R2052" s="3">
        <f>L2052-Q2052</f>
        <v>240.13</v>
      </c>
      <c r="S2052" s="2">
        <f>NETWORKDAYS(B2052,C2052)-1</f>
        <v>2</v>
      </c>
      <c r="T2052" s="1">
        <f>WORKDAY(B2052,5)</f>
        <v>45986</v>
      </c>
      <c r="U2052" t="b">
        <f>C2052&gt;T2052</f>
        <v>0</v>
      </c>
    </row>
    <row r="2053" spans="1:21" x14ac:dyDescent="0.25">
      <c r="A2053" t="s">
        <v>1439</v>
      </c>
      <c r="B2053" s="1">
        <v>45979</v>
      </c>
      <c r="C2053" s="1">
        <v>45981</v>
      </c>
      <c r="D2053" t="s">
        <v>1370</v>
      </c>
      <c r="E2053" t="s">
        <v>175</v>
      </c>
      <c r="F2053" t="s">
        <v>76</v>
      </c>
      <c r="G2053" t="s">
        <v>176</v>
      </c>
      <c r="H2053" t="s">
        <v>132</v>
      </c>
      <c r="I2053" s="2">
        <v>1</v>
      </c>
      <c r="J2053" s="3">
        <v>650</v>
      </c>
      <c r="K2053" s="4">
        <v>0</v>
      </c>
      <c r="L2053" s="3">
        <v>650</v>
      </c>
      <c r="M2053" t="b">
        <v>1</v>
      </c>
      <c r="N2053" s="2">
        <f>YEAR(B2053)</f>
        <v>2025</v>
      </c>
      <c r="O2053" t="str">
        <f>INDEX(Agences!$C:$C,MATCH(F2053,Agences!$A:$A,0))</f>
        <v>Île-de-France</v>
      </c>
      <c r="P2053" t="str">
        <f>INDEX(Produits!$C:$C,MATCH(H2053,Produits!$A:$A,0))</f>
        <v>Maintenance</v>
      </c>
      <c r="Q2053" s="3">
        <f>I2053*INDEX(Produits!$E:$E,MATCH(H2053,Produits!$A:$A,0))</f>
        <v>273</v>
      </c>
      <c r="R2053" s="3">
        <f>L2053-Q2053</f>
        <v>377</v>
      </c>
      <c r="S2053" s="2">
        <f>NETWORKDAYS(B2053,C2053)-1</f>
        <v>2</v>
      </c>
      <c r="T2053" s="1">
        <f>WORKDAY(B2053,5)</f>
        <v>45986</v>
      </c>
      <c r="U2053" t="b">
        <f>C2053&gt;T2053</f>
        <v>0</v>
      </c>
    </row>
    <row r="2054" spans="1:21" x14ac:dyDescent="0.25">
      <c r="A2054" t="s">
        <v>1439</v>
      </c>
      <c r="B2054" s="1">
        <v>45979</v>
      </c>
      <c r="C2054" s="1">
        <v>45981</v>
      </c>
      <c r="D2054" t="s">
        <v>1370</v>
      </c>
      <c r="E2054" t="s">
        <v>175</v>
      </c>
      <c r="F2054" t="s">
        <v>76</v>
      </c>
      <c r="G2054" t="s">
        <v>176</v>
      </c>
      <c r="H2054" t="s">
        <v>83</v>
      </c>
      <c r="I2054" s="2">
        <v>1</v>
      </c>
      <c r="J2054" s="3">
        <v>49</v>
      </c>
      <c r="K2054" s="4">
        <v>0</v>
      </c>
      <c r="L2054" s="3">
        <v>49</v>
      </c>
      <c r="M2054" t="b">
        <v>1</v>
      </c>
      <c r="N2054" s="2">
        <f>YEAR(B2054)</f>
        <v>2025</v>
      </c>
      <c r="O2054" t="str">
        <f>INDEX(Agences!$C:$C,MATCH(F2054,Agences!$A:$A,0))</f>
        <v>Île-de-France</v>
      </c>
      <c r="P2054" t="str">
        <f>INDEX(Produits!$C:$C,MATCH(H2054,Produits!$A:$A,0))</f>
        <v>Mobilier</v>
      </c>
      <c r="Q2054" s="3">
        <f>I2054*INDEX(Produits!$E:$E,MATCH(H2054,Produits!$A:$A,0))</f>
        <v>28.42</v>
      </c>
      <c r="R2054" s="3">
        <f>L2054-Q2054</f>
        <v>20.58</v>
      </c>
      <c r="S2054" s="2">
        <f>NETWORKDAYS(B2054,C2054)-1</f>
        <v>2</v>
      </c>
      <c r="T2054" s="1">
        <f>WORKDAY(B2054,5)</f>
        <v>45986</v>
      </c>
      <c r="U2054" t="b">
        <f>C2054&gt;T2054</f>
        <v>0</v>
      </c>
    </row>
    <row r="2055" spans="1:21" x14ac:dyDescent="0.25">
      <c r="A2055" t="s">
        <v>1439</v>
      </c>
      <c r="B2055" s="1">
        <v>45979</v>
      </c>
      <c r="C2055" s="1">
        <v>45981</v>
      </c>
      <c r="D2055" t="s">
        <v>1370</v>
      </c>
      <c r="E2055" t="s">
        <v>175</v>
      </c>
      <c r="F2055" t="s">
        <v>76</v>
      </c>
      <c r="G2055" t="s">
        <v>176</v>
      </c>
      <c r="H2055" t="s">
        <v>33</v>
      </c>
      <c r="I2055" s="2">
        <v>3</v>
      </c>
      <c r="J2055" s="3">
        <v>219</v>
      </c>
      <c r="K2055" s="4">
        <v>0.02</v>
      </c>
      <c r="L2055" s="3">
        <v>643.86</v>
      </c>
      <c r="M2055" t="b">
        <v>1</v>
      </c>
      <c r="N2055" s="2">
        <f>YEAR(B2055)</f>
        <v>2025</v>
      </c>
      <c r="O2055" t="str">
        <f>INDEX(Agences!$C:$C,MATCH(F2055,Agences!$A:$A,0))</f>
        <v>Île-de-France</v>
      </c>
      <c r="P2055" t="str">
        <f>INDEX(Produits!$C:$C,MATCH(H2055,Produits!$A:$A,0))</f>
        <v>Informatique</v>
      </c>
      <c r="Q2055" s="3">
        <f>I2055*INDEX(Produits!$E:$E,MATCH(H2055,Produits!$A:$A,0))</f>
        <v>538.74</v>
      </c>
      <c r="R2055" s="3">
        <f>L2055-Q2055</f>
        <v>105.12</v>
      </c>
      <c r="S2055" s="2">
        <f>NETWORKDAYS(B2055,C2055)-1</f>
        <v>2</v>
      </c>
      <c r="T2055" s="1">
        <f>WORKDAY(B2055,5)</f>
        <v>45986</v>
      </c>
      <c r="U2055" t="b">
        <f>C2055&gt;T2055</f>
        <v>0</v>
      </c>
    </row>
    <row r="2056" spans="1:21" x14ac:dyDescent="0.25">
      <c r="A2056" t="s">
        <v>1440</v>
      </c>
      <c r="B2056" s="1">
        <v>45979</v>
      </c>
      <c r="C2056" s="1">
        <v>45982</v>
      </c>
      <c r="D2056" t="s">
        <v>1441</v>
      </c>
      <c r="E2056" t="s">
        <v>242</v>
      </c>
      <c r="F2056" t="s">
        <v>94</v>
      </c>
      <c r="G2056" t="s">
        <v>154</v>
      </c>
      <c r="H2056" t="s">
        <v>84</v>
      </c>
      <c r="I2056" s="2">
        <v>1</v>
      </c>
      <c r="J2056" s="3">
        <v>420</v>
      </c>
      <c r="K2056" s="4">
        <v>0.05</v>
      </c>
      <c r="L2056" s="3">
        <v>399</v>
      </c>
      <c r="M2056" t="b">
        <v>1</v>
      </c>
      <c r="N2056" s="2">
        <f>YEAR(B2056)</f>
        <v>2025</v>
      </c>
      <c r="O2056" t="str">
        <f>INDEX(Agences!$C:$C,MATCH(F2056,Agences!$A:$A,0))</f>
        <v>Méditerranée</v>
      </c>
      <c r="P2056" t="str">
        <f>INDEX(Produits!$C:$C,MATCH(H2056,Produits!$A:$A,0))</f>
        <v>Mobilier</v>
      </c>
      <c r="Q2056" s="3">
        <f>I2056*INDEX(Produits!$E:$E,MATCH(H2056,Produits!$A:$A,0))</f>
        <v>243.6</v>
      </c>
      <c r="R2056" s="3">
        <f>L2056-Q2056</f>
        <v>155.4</v>
      </c>
      <c r="S2056" s="2">
        <f>NETWORKDAYS(B2056,C2056)-1</f>
        <v>3</v>
      </c>
      <c r="T2056" s="1">
        <f>WORKDAY(B2056,5)</f>
        <v>45986</v>
      </c>
      <c r="U2056" t="b">
        <f>C2056&gt;T2056</f>
        <v>0</v>
      </c>
    </row>
    <row r="2057" spans="1:21" x14ac:dyDescent="0.25">
      <c r="A2057" t="s">
        <v>1440</v>
      </c>
      <c r="B2057" s="1">
        <v>45979</v>
      </c>
      <c r="C2057" s="1">
        <v>45982</v>
      </c>
      <c r="D2057" t="s">
        <v>1441</v>
      </c>
      <c r="E2057" t="s">
        <v>242</v>
      </c>
      <c r="F2057" t="s">
        <v>94</v>
      </c>
      <c r="G2057" t="s">
        <v>154</v>
      </c>
      <c r="H2057" t="s">
        <v>48</v>
      </c>
      <c r="I2057" s="2">
        <v>2</v>
      </c>
      <c r="J2057" s="3">
        <v>165</v>
      </c>
      <c r="K2057" s="4">
        <v>0</v>
      </c>
      <c r="L2057" s="3">
        <v>330</v>
      </c>
      <c r="M2057" t="b">
        <v>1</v>
      </c>
      <c r="N2057" s="2">
        <f>YEAR(B2057)</f>
        <v>2025</v>
      </c>
      <c r="O2057" t="str">
        <f>INDEX(Agences!$C:$C,MATCH(F2057,Agences!$A:$A,0))</f>
        <v>Méditerranée</v>
      </c>
      <c r="P2057" t="str">
        <f>INDEX(Produits!$C:$C,MATCH(H2057,Produits!$A:$A,0))</f>
        <v>Mobilier</v>
      </c>
      <c r="Q2057" s="3">
        <f>I2057*INDEX(Produits!$E:$E,MATCH(H2057,Produits!$A:$A,0))</f>
        <v>214.5</v>
      </c>
      <c r="R2057" s="3">
        <f>L2057-Q2057</f>
        <v>115.5</v>
      </c>
      <c r="S2057" s="2">
        <f>NETWORKDAYS(B2057,C2057)-1</f>
        <v>3</v>
      </c>
      <c r="T2057" s="1">
        <f>WORKDAY(B2057,5)</f>
        <v>45986</v>
      </c>
      <c r="U2057" t="b">
        <f>C2057&gt;T2057</f>
        <v>0</v>
      </c>
    </row>
    <row r="2058" spans="1:21" x14ac:dyDescent="0.25">
      <c r="A2058" t="s">
        <v>1440</v>
      </c>
      <c r="B2058" s="1">
        <v>45979</v>
      </c>
      <c r="C2058" s="1">
        <v>45982</v>
      </c>
      <c r="D2058" t="s">
        <v>1441</v>
      </c>
      <c r="E2058" t="s">
        <v>242</v>
      </c>
      <c r="F2058" t="s">
        <v>94</v>
      </c>
      <c r="G2058" t="s">
        <v>154</v>
      </c>
      <c r="H2058" t="s">
        <v>79</v>
      </c>
      <c r="I2058" s="2">
        <v>15</v>
      </c>
      <c r="J2058" s="3">
        <v>14.9</v>
      </c>
      <c r="K2058" s="4">
        <v>0.05</v>
      </c>
      <c r="L2058" s="3">
        <v>212.33</v>
      </c>
      <c r="M2058" t="b">
        <v>1</v>
      </c>
      <c r="N2058" s="2">
        <f>YEAR(B2058)</f>
        <v>2025</v>
      </c>
      <c r="O2058" t="str">
        <f>INDEX(Agences!$C:$C,MATCH(F2058,Agences!$A:$A,0))</f>
        <v>Méditerranée</v>
      </c>
      <c r="P2058" t="str">
        <f>INDEX(Produits!$C:$C,MATCH(H2058,Produits!$A:$A,0))</f>
        <v>Fournitures</v>
      </c>
      <c r="Q2058" s="3">
        <f>I2058*INDEX(Produits!$E:$E,MATCH(H2058,Produits!$A:$A,0))</f>
        <v>120.75000000000001</v>
      </c>
      <c r="R2058" s="3">
        <f>L2058-Q2058</f>
        <v>91.58</v>
      </c>
      <c r="S2058" s="2">
        <f>NETWORKDAYS(B2058,C2058)-1</f>
        <v>3</v>
      </c>
      <c r="T2058" s="1">
        <f>WORKDAY(B2058,5)</f>
        <v>45986</v>
      </c>
      <c r="U2058" t="b">
        <f>C2058&gt;T2058</f>
        <v>0</v>
      </c>
    </row>
    <row r="2059" spans="1:21" x14ac:dyDescent="0.25">
      <c r="A2059" t="s">
        <v>1440</v>
      </c>
      <c r="B2059" s="1">
        <v>45979</v>
      </c>
      <c r="C2059" s="1">
        <v>45982</v>
      </c>
      <c r="D2059" t="s">
        <v>1441</v>
      </c>
      <c r="E2059" t="s">
        <v>242</v>
      </c>
      <c r="F2059" t="s">
        <v>94</v>
      </c>
      <c r="G2059" t="s">
        <v>154</v>
      </c>
      <c r="H2059" t="s">
        <v>162</v>
      </c>
      <c r="I2059" s="2">
        <v>1</v>
      </c>
      <c r="J2059" s="3">
        <v>289</v>
      </c>
      <c r="K2059" s="4">
        <v>0.02</v>
      </c>
      <c r="L2059" s="3">
        <v>283.22</v>
      </c>
      <c r="M2059" t="b">
        <v>1</v>
      </c>
      <c r="N2059" s="2">
        <f>YEAR(B2059)</f>
        <v>2025</v>
      </c>
      <c r="O2059" t="str">
        <f>INDEX(Agences!$C:$C,MATCH(F2059,Agences!$A:$A,0))</f>
        <v>Méditerranée</v>
      </c>
      <c r="P2059" t="str">
        <f>INDEX(Produits!$C:$C,MATCH(H2059,Produits!$A:$A,0))</f>
        <v>Mobilier</v>
      </c>
      <c r="Q2059" s="3">
        <f>I2059*INDEX(Produits!$E:$E,MATCH(H2059,Produits!$A:$A,0))</f>
        <v>193.63</v>
      </c>
      <c r="R2059" s="3">
        <f>L2059-Q2059</f>
        <v>89.59000000000003</v>
      </c>
      <c r="S2059" s="2">
        <f>NETWORKDAYS(B2059,C2059)-1</f>
        <v>3</v>
      </c>
      <c r="T2059" s="1">
        <f>WORKDAY(B2059,5)</f>
        <v>45986</v>
      </c>
      <c r="U2059" t="b">
        <f>C2059&gt;T2059</f>
        <v>0</v>
      </c>
    </row>
    <row r="2060" spans="1:21" x14ac:dyDescent="0.25">
      <c r="A2060" t="s">
        <v>1442</v>
      </c>
      <c r="B2060" s="1">
        <v>45979</v>
      </c>
      <c r="C2060" s="1">
        <v>45985</v>
      </c>
      <c r="D2060" t="s">
        <v>834</v>
      </c>
      <c r="E2060" t="s">
        <v>54</v>
      </c>
      <c r="F2060" t="s">
        <v>55</v>
      </c>
      <c r="G2060" t="s">
        <v>71</v>
      </c>
      <c r="H2060" t="s">
        <v>83</v>
      </c>
      <c r="I2060" s="2">
        <v>2</v>
      </c>
      <c r="J2060" s="3">
        <v>49</v>
      </c>
      <c r="K2060" s="4">
        <v>0.08</v>
      </c>
      <c r="L2060" s="3">
        <v>90.16</v>
      </c>
      <c r="M2060" t="b">
        <v>1</v>
      </c>
      <c r="N2060" s="2">
        <f>YEAR(B2060)</f>
        <v>2025</v>
      </c>
      <c r="O2060" t="str">
        <f>INDEX(Agences!$C:$C,MATCH(F2060,Agences!$A:$A,0))</f>
        <v>Est</v>
      </c>
      <c r="P2060" t="str">
        <f>INDEX(Produits!$C:$C,MATCH(H2060,Produits!$A:$A,0))</f>
        <v>Mobilier</v>
      </c>
      <c r="Q2060" s="3">
        <f>I2060*INDEX(Produits!$E:$E,MATCH(H2060,Produits!$A:$A,0))</f>
        <v>56.84</v>
      </c>
      <c r="R2060" s="3">
        <f>L2060-Q2060</f>
        <v>33.31999999999999</v>
      </c>
      <c r="S2060" s="2">
        <f>NETWORKDAYS(B2060,C2060)-1</f>
        <v>4</v>
      </c>
      <c r="T2060" s="1">
        <f>WORKDAY(B2060,5)</f>
        <v>45986</v>
      </c>
      <c r="U2060" t="b">
        <f>C2060&gt;T2060</f>
        <v>0</v>
      </c>
    </row>
    <row r="2061" spans="1:21" x14ac:dyDescent="0.25">
      <c r="A2061" t="s">
        <v>1442</v>
      </c>
      <c r="B2061" s="1">
        <v>45979</v>
      </c>
      <c r="C2061" s="1">
        <v>45985</v>
      </c>
      <c r="D2061" t="s">
        <v>834</v>
      </c>
      <c r="E2061" t="s">
        <v>54</v>
      </c>
      <c r="F2061" t="s">
        <v>55</v>
      </c>
      <c r="G2061" t="s">
        <v>71</v>
      </c>
      <c r="H2061" t="s">
        <v>49</v>
      </c>
      <c r="I2061" s="2">
        <v>2</v>
      </c>
      <c r="J2061" s="3">
        <v>120</v>
      </c>
      <c r="K2061" s="4">
        <v>0</v>
      </c>
      <c r="L2061" s="3">
        <v>240</v>
      </c>
      <c r="M2061" t="b">
        <v>1</v>
      </c>
      <c r="N2061" s="2">
        <f>YEAR(B2061)</f>
        <v>2025</v>
      </c>
      <c r="O2061" t="str">
        <f>INDEX(Agences!$C:$C,MATCH(F2061,Agences!$A:$A,0))</f>
        <v>Est</v>
      </c>
      <c r="P2061" t="str">
        <f>INDEX(Produits!$C:$C,MATCH(H2061,Produits!$A:$A,0))</f>
        <v>Maintenance</v>
      </c>
      <c r="Q2061" s="3">
        <f>I2061*INDEX(Produits!$E:$E,MATCH(H2061,Produits!$A:$A,0))</f>
        <v>110.4</v>
      </c>
      <c r="R2061" s="3">
        <f>L2061-Q2061</f>
        <v>129.6</v>
      </c>
      <c r="S2061" s="2">
        <f>NETWORKDAYS(B2061,C2061)-1</f>
        <v>4</v>
      </c>
      <c r="T2061" s="1">
        <f>WORKDAY(B2061,5)</f>
        <v>45986</v>
      </c>
      <c r="U2061" t="b">
        <f>C2061&gt;T2061</f>
        <v>0</v>
      </c>
    </row>
    <row r="2062" spans="1:21" x14ac:dyDescent="0.25">
      <c r="A2062" t="s">
        <v>1442</v>
      </c>
      <c r="B2062" s="1">
        <v>45979</v>
      </c>
      <c r="C2062" s="1">
        <v>45985</v>
      </c>
      <c r="D2062" t="s">
        <v>834</v>
      </c>
      <c r="E2062" t="s">
        <v>54</v>
      </c>
      <c r="F2062" t="s">
        <v>55</v>
      </c>
      <c r="G2062" t="s">
        <v>71</v>
      </c>
      <c r="H2062" t="s">
        <v>196</v>
      </c>
      <c r="I2062" s="2">
        <v>10</v>
      </c>
      <c r="J2062" s="3">
        <v>18.5</v>
      </c>
      <c r="K2062" s="4">
        <v>0.08</v>
      </c>
      <c r="L2062" s="3">
        <v>170.2</v>
      </c>
      <c r="M2062" t="b">
        <v>1</v>
      </c>
      <c r="N2062" s="2">
        <f>YEAR(B2062)</f>
        <v>2025</v>
      </c>
      <c r="O2062" t="str">
        <f>INDEX(Agences!$C:$C,MATCH(F2062,Agences!$A:$A,0))</f>
        <v>Est</v>
      </c>
      <c r="P2062" t="str">
        <f>INDEX(Produits!$C:$C,MATCH(H2062,Produits!$A:$A,0))</f>
        <v>Fournitures</v>
      </c>
      <c r="Q2062" s="3">
        <f>I2062*INDEX(Produits!$E:$E,MATCH(H2062,Produits!$A:$A,0))</f>
        <v>94.39999999999999</v>
      </c>
      <c r="R2062" s="3">
        <f>L2062-Q2062</f>
        <v>75.8</v>
      </c>
      <c r="S2062" s="2">
        <f>NETWORKDAYS(B2062,C2062)-1</f>
        <v>4</v>
      </c>
      <c r="T2062" s="1">
        <f>WORKDAY(B2062,5)</f>
        <v>45986</v>
      </c>
      <c r="U2062" t="b">
        <f>C2062&gt;T2062</f>
        <v>0</v>
      </c>
    </row>
    <row r="2063" spans="1:21" x14ac:dyDescent="0.25">
      <c r="A2063" t="s">
        <v>1443</v>
      </c>
      <c r="B2063" s="1">
        <v>45978</v>
      </c>
      <c r="C2063" s="1">
        <v>45980</v>
      </c>
      <c r="D2063" t="s">
        <v>304</v>
      </c>
      <c r="E2063" t="s">
        <v>119</v>
      </c>
      <c r="F2063" t="s">
        <v>24</v>
      </c>
      <c r="G2063" t="s">
        <v>199</v>
      </c>
      <c r="H2063" t="s">
        <v>50</v>
      </c>
      <c r="I2063" s="2">
        <v>2</v>
      </c>
      <c r="J2063" s="3">
        <v>69</v>
      </c>
      <c r="K2063" s="4">
        <v>0</v>
      </c>
      <c r="L2063" s="3">
        <v>138</v>
      </c>
      <c r="M2063" t="b">
        <v>1</v>
      </c>
      <c r="N2063" s="2">
        <f>YEAR(B2063)</f>
        <v>2025</v>
      </c>
      <c r="O2063" t="str">
        <f>INDEX(Agences!$C:$C,MATCH(F2063,Agences!$A:$A,0))</f>
        <v>Nord</v>
      </c>
      <c r="P2063" t="str">
        <f>INDEX(Produits!$C:$C,MATCH(H2063,Produits!$A:$A,0))</f>
        <v>Informatique</v>
      </c>
      <c r="Q2063" s="3">
        <f>I2063*INDEX(Produits!$E:$E,MATCH(H2063,Produits!$A:$A,0))</f>
        <v>109.02</v>
      </c>
      <c r="R2063" s="3">
        <f>L2063-Q2063</f>
        <v>28.980000000000004</v>
      </c>
      <c r="S2063" s="2">
        <f>NETWORKDAYS(B2063,C2063)-1</f>
        <v>2</v>
      </c>
      <c r="T2063" s="1">
        <f>WORKDAY(B2063,5)</f>
        <v>45985</v>
      </c>
      <c r="U2063" t="b">
        <f>C2063&gt;T2063</f>
        <v>0</v>
      </c>
    </row>
    <row r="2064" spans="1:21" x14ac:dyDescent="0.25">
      <c r="A2064" t="s">
        <v>1443</v>
      </c>
      <c r="B2064" s="1">
        <v>45978</v>
      </c>
      <c r="C2064" s="1">
        <v>45980</v>
      </c>
      <c r="D2064" t="s">
        <v>304</v>
      </c>
      <c r="E2064" t="s">
        <v>119</v>
      </c>
      <c r="F2064" t="s">
        <v>24</v>
      </c>
      <c r="G2064" t="s">
        <v>199</v>
      </c>
      <c r="H2064" t="s">
        <v>57</v>
      </c>
      <c r="I2064" s="2">
        <v>3</v>
      </c>
      <c r="J2064" s="3">
        <v>149</v>
      </c>
      <c r="K2064" s="4">
        <v>0</v>
      </c>
      <c r="L2064" s="3">
        <v>447</v>
      </c>
      <c r="M2064" t="b">
        <v>1</v>
      </c>
      <c r="N2064" s="2">
        <f>YEAR(B2064)</f>
        <v>2025</v>
      </c>
      <c r="O2064" t="str">
        <f>INDEX(Agences!$C:$C,MATCH(F2064,Agences!$A:$A,0))</f>
        <v>Nord</v>
      </c>
      <c r="P2064" t="str">
        <f>INDEX(Produits!$C:$C,MATCH(H2064,Produits!$A:$A,0))</f>
        <v>Informatique</v>
      </c>
      <c r="Q2064" s="3">
        <f>I2064*INDEX(Produits!$E:$E,MATCH(H2064,Produits!$A:$A,0))</f>
        <v>344.19</v>
      </c>
      <c r="R2064" s="3">
        <f>L2064-Q2064</f>
        <v>102.81</v>
      </c>
      <c r="S2064" s="2">
        <f>NETWORKDAYS(B2064,C2064)-1</f>
        <v>2</v>
      </c>
      <c r="T2064" s="1">
        <f>WORKDAY(B2064,5)</f>
        <v>45985</v>
      </c>
      <c r="U2064" t="b">
        <f>C2064&gt;T2064</f>
        <v>0</v>
      </c>
    </row>
    <row r="2065" spans="1:21" x14ac:dyDescent="0.25">
      <c r="A2065" t="s">
        <v>1443</v>
      </c>
      <c r="B2065" s="1">
        <v>45978</v>
      </c>
      <c r="C2065" s="1">
        <v>45980</v>
      </c>
      <c r="D2065" t="s">
        <v>304</v>
      </c>
      <c r="E2065" t="s">
        <v>119</v>
      </c>
      <c r="F2065" t="s">
        <v>24</v>
      </c>
      <c r="G2065" t="s">
        <v>199</v>
      </c>
      <c r="H2065" t="s">
        <v>84</v>
      </c>
      <c r="I2065" s="2">
        <v>1</v>
      </c>
      <c r="J2065" s="3">
        <v>420</v>
      </c>
      <c r="K2065" s="4">
        <v>0</v>
      </c>
      <c r="L2065" s="3">
        <v>420</v>
      </c>
      <c r="M2065" t="b">
        <v>1</v>
      </c>
      <c r="N2065" s="2">
        <f>YEAR(B2065)</f>
        <v>2025</v>
      </c>
      <c r="O2065" t="str">
        <f>INDEX(Agences!$C:$C,MATCH(F2065,Agences!$A:$A,0))</f>
        <v>Nord</v>
      </c>
      <c r="P2065" t="str">
        <f>INDEX(Produits!$C:$C,MATCH(H2065,Produits!$A:$A,0))</f>
        <v>Mobilier</v>
      </c>
      <c r="Q2065" s="3">
        <f>I2065*INDEX(Produits!$E:$E,MATCH(H2065,Produits!$A:$A,0))</f>
        <v>243.6</v>
      </c>
      <c r="R2065" s="3">
        <f>L2065-Q2065</f>
        <v>176.4</v>
      </c>
      <c r="S2065" s="2">
        <f>NETWORKDAYS(B2065,C2065)-1</f>
        <v>2</v>
      </c>
      <c r="T2065" s="1">
        <f>WORKDAY(B2065,5)</f>
        <v>45985</v>
      </c>
      <c r="U2065" t="b">
        <f>C2065&gt;T2065</f>
        <v>0</v>
      </c>
    </row>
    <row r="2066" spans="1:21" x14ac:dyDescent="0.25">
      <c r="A2066" t="s">
        <v>1444</v>
      </c>
      <c r="B2066" s="1">
        <v>45978</v>
      </c>
      <c r="C2066" s="1">
        <v>45980</v>
      </c>
      <c r="D2066" t="s">
        <v>136</v>
      </c>
      <c r="E2066" t="s">
        <v>137</v>
      </c>
      <c r="F2066" t="s">
        <v>138</v>
      </c>
      <c r="G2066" t="s">
        <v>139</v>
      </c>
      <c r="H2066" t="s">
        <v>42</v>
      </c>
      <c r="I2066" s="2">
        <v>1</v>
      </c>
      <c r="J2066" s="3">
        <v>55</v>
      </c>
      <c r="K2066" s="4">
        <v>0.08</v>
      </c>
      <c r="L2066" s="3">
        <v>50.6</v>
      </c>
      <c r="M2066" t="b">
        <v>1</v>
      </c>
      <c r="N2066" s="2">
        <f>YEAR(B2066)</f>
        <v>2025</v>
      </c>
      <c r="O2066" t="str">
        <f>INDEX(Agences!$C:$C,MATCH(F2066,Agences!$A:$A,0))</f>
        <v>Île-de-France</v>
      </c>
      <c r="P2066" t="str">
        <f>INDEX(Produits!$C:$C,MATCH(H2066,Produits!$A:$A,0))</f>
        <v>Maintenance</v>
      </c>
      <c r="Q2066" s="3">
        <f>I2066*INDEX(Produits!$E:$E,MATCH(H2066,Produits!$A:$A,0))</f>
        <v>24.75</v>
      </c>
      <c r="R2066" s="3">
        <f>L2066-Q2066</f>
        <v>25.85</v>
      </c>
      <c r="S2066" s="2">
        <f>NETWORKDAYS(B2066,C2066)-1</f>
        <v>2</v>
      </c>
      <c r="T2066" s="1">
        <f>WORKDAY(B2066,5)</f>
        <v>45985</v>
      </c>
      <c r="U2066" t="b">
        <f>C2066&gt;T2066</f>
        <v>0</v>
      </c>
    </row>
    <row r="2067" spans="1:21" x14ac:dyDescent="0.25">
      <c r="A2067" t="s">
        <v>1444</v>
      </c>
      <c r="B2067" s="1">
        <v>45978</v>
      </c>
      <c r="C2067" s="1">
        <v>45980</v>
      </c>
      <c r="D2067" t="s">
        <v>136</v>
      </c>
      <c r="E2067" t="s">
        <v>137</v>
      </c>
      <c r="F2067" t="s">
        <v>138</v>
      </c>
      <c r="G2067" t="s">
        <v>139</v>
      </c>
      <c r="H2067" t="s">
        <v>150</v>
      </c>
      <c r="I2067" s="2">
        <v>1</v>
      </c>
      <c r="J2067" s="3">
        <v>790</v>
      </c>
      <c r="K2067" s="4">
        <v>0</v>
      </c>
      <c r="L2067" s="3">
        <v>790</v>
      </c>
      <c r="M2067" t="b">
        <v>1</v>
      </c>
      <c r="N2067" s="2">
        <f>YEAR(B2067)</f>
        <v>2025</v>
      </c>
      <c r="O2067" t="str">
        <f>INDEX(Agences!$C:$C,MATCH(F2067,Agences!$A:$A,0))</f>
        <v>Île-de-France</v>
      </c>
      <c r="P2067" t="str">
        <f>INDEX(Produits!$C:$C,MATCH(H2067,Produits!$A:$A,0))</f>
        <v>Informatique</v>
      </c>
      <c r="Q2067" s="3">
        <f>I2067*INDEX(Produits!$E:$E,MATCH(H2067,Produits!$A:$A,0))</f>
        <v>584.6</v>
      </c>
      <c r="R2067" s="3">
        <f>L2067-Q2067</f>
        <v>205.39999999999998</v>
      </c>
      <c r="S2067" s="2">
        <f>NETWORKDAYS(B2067,C2067)-1</f>
        <v>2</v>
      </c>
      <c r="T2067" s="1">
        <f>WORKDAY(B2067,5)</f>
        <v>45985</v>
      </c>
      <c r="U2067" t="b">
        <f>C2067&gt;T2067</f>
        <v>0</v>
      </c>
    </row>
    <row r="2068" spans="1:21" x14ac:dyDescent="0.25">
      <c r="A2068" t="s">
        <v>1445</v>
      </c>
      <c r="B2068" s="1">
        <v>45978</v>
      </c>
      <c r="C2068" s="1">
        <v>45980</v>
      </c>
      <c r="D2068" t="s">
        <v>1446</v>
      </c>
      <c r="E2068" t="s">
        <v>202</v>
      </c>
      <c r="F2068" t="s">
        <v>138</v>
      </c>
      <c r="G2068" t="s">
        <v>220</v>
      </c>
      <c r="H2068" t="s">
        <v>42</v>
      </c>
      <c r="I2068" s="2">
        <v>1</v>
      </c>
      <c r="J2068" s="3">
        <v>55</v>
      </c>
      <c r="K2068" s="4">
        <v>0</v>
      </c>
      <c r="L2068" s="3">
        <v>55</v>
      </c>
      <c r="M2068" t="b">
        <v>1</v>
      </c>
      <c r="N2068" s="2">
        <f>YEAR(B2068)</f>
        <v>2025</v>
      </c>
      <c r="O2068" t="str">
        <f>INDEX(Agences!$C:$C,MATCH(F2068,Agences!$A:$A,0))</f>
        <v>Île-de-France</v>
      </c>
      <c r="P2068" t="str">
        <f>INDEX(Produits!$C:$C,MATCH(H2068,Produits!$A:$A,0))</f>
        <v>Maintenance</v>
      </c>
      <c r="Q2068" s="3">
        <f>I2068*INDEX(Produits!$E:$E,MATCH(H2068,Produits!$A:$A,0))</f>
        <v>24.75</v>
      </c>
      <c r="R2068" s="3">
        <f>L2068-Q2068</f>
        <v>30.25</v>
      </c>
      <c r="S2068" s="2">
        <f>NETWORKDAYS(B2068,C2068)-1</f>
        <v>2</v>
      </c>
      <c r="T2068" s="1">
        <f>WORKDAY(B2068,5)</f>
        <v>45985</v>
      </c>
      <c r="U2068" t="b">
        <f>C2068&gt;T2068</f>
        <v>0</v>
      </c>
    </row>
    <row r="2069" spans="1:21" x14ac:dyDescent="0.25">
      <c r="A2069" t="s">
        <v>1445</v>
      </c>
      <c r="B2069" s="1">
        <v>45978</v>
      </c>
      <c r="C2069" s="1">
        <v>45980</v>
      </c>
      <c r="D2069" t="s">
        <v>1446</v>
      </c>
      <c r="E2069" t="s">
        <v>202</v>
      </c>
      <c r="F2069" t="s">
        <v>138</v>
      </c>
      <c r="G2069" t="s">
        <v>220</v>
      </c>
      <c r="H2069" t="s">
        <v>50</v>
      </c>
      <c r="I2069" s="2">
        <v>2</v>
      </c>
      <c r="J2069" s="3">
        <v>69</v>
      </c>
      <c r="K2069" s="4">
        <v>0</v>
      </c>
      <c r="L2069" s="3">
        <v>138</v>
      </c>
      <c r="M2069" t="b">
        <v>1</v>
      </c>
      <c r="N2069" s="2">
        <f>YEAR(B2069)</f>
        <v>2025</v>
      </c>
      <c r="O2069" t="str">
        <f>INDEX(Agences!$C:$C,MATCH(F2069,Agences!$A:$A,0))</f>
        <v>Île-de-France</v>
      </c>
      <c r="P2069" t="str">
        <f>INDEX(Produits!$C:$C,MATCH(H2069,Produits!$A:$A,0))</f>
        <v>Informatique</v>
      </c>
      <c r="Q2069" s="3">
        <f>I2069*INDEX(Produits!$E:$E,MATCH(H2069,Produits!$A:$A,0))</f>
        <v>109.02</v>
      </c>
      <c r="R2069" s="3">
        <f>L2069-Q2069</f>
        <v>28.980000000000004</v>
      </c>
      <c r="S2069" s="2">
        <f>NETWORKDAYS(B2069,C2069)-1</f>
        <v>2</v>
      </c>
      <c r="T2069" s="1">
        <f>WORKDAY(B2069,5)</f>
        <v>45985</v>
      </c>
      <c r="U2069" t="b">
        <f>C2069&gt;T2069</f>
        <v>0</v>
      </c>
    </row>
    <row r="2070" spans="1:21" x14ac:dyDescent="0.25">
      <c r="A2070" t="s">
        <v>1447</v>
      </c>
      <c r="B2070" s="1">
        <v>45978</v>
      </c>
      <c r="C2070" s="1">
        <v>45979</v>
      </c>
      <c r="D2070" t="s">
        <v>842</v>
      </c>
      <c r="E2070" t="s">
        <v>30</v>
      </c>
      <c r="F2070" t="s">
        <v>31</v>
      </c>
      <c r="G2070" t="s">
        <v>186</v>
      </c>
      <c r="H2070" t="s">
        <v>127</v>
      </c>
      <c r="I2070" s="2">
        <v>1</v>
      </c>
      <c r="J2070" s="3">
        <v>649</v>
      </c>
      <c r="K2070" s="4">
        <v>0.05</v>
      </c>
      <c r="L2070" s="3">
        <v>616.55</v>
      </c>
      <c r="M2070" t="b">
        <v>1</v>
      </c>
      <c r="N2070" s="2">
        <f>YEAR(B2070)</f>
        <v>2025</v>
      </c>
      <c r="O2070" t="str">
        <f>INDEX(Agences!$C:$C,MATCH(F2070,Agences!$A:$A,0))</f>
        <v>Ouest</v>
      </c>
      <c r="P2070" t="str">
        <f>INDEX(Produits!$C:$C,MATCH(H2070,Produits!$A:$A,0))</f>
        <v>Informatique</v>
      </c>
      <c r="Q2070" s="3">
        <f>I2070*INDEX(Produits!$E:$E,MATCH(H2070,Produits!$A:$A,0))</f>
        <v>480.26</v>
      </c>
      <c r="R2070" s="3">
        <f>L2070-Q2070</f>
        <v>136.28999999999996</v>
      </c>
      <c r="S2070" s="2">
        <f>NETWORKDAYS(B2070,C2070)-1</f>
        <v>1</v>
      </c>
      <c r="T2070" s="1">
        <f>WORKDAY(B2070,5)</f>
        <v>45985</v>
      </c>
      <c r="U2070" t="b">
        <f>C2070&gt;T2070</f>
        <v>0</v>
      </c>
    </row>
    <row r="2071" spans="1:21" x14ac:dyDescent="0.25">
      <c r="A2071" t="s">
        <v>1447</v>
      </c>
      <c r="B2071" s="1">
        <v>45978</v>
      </c>
      <c r="C2071" s="1">
        <v>45979</v>
      </c>
      <c r="D2071" t="s">
        <v>842</v>
      </c>
      <c r="E2071" t="s">
        <v>30</v>
      </c>
      <c r="F2071" t="s">
        <v>31</v>
      </c>
      <c r="G2071" t="s">
        <v>186</v>
      </c>
      <c r="H2071" t="s">
        <v>42</v>
      </c>
      <c r="I2071" s="2">
        <v>1</v>
      </c>
      <c r="J2071" s="3">
        <v>55</v>
      </c>
      <c r="K2071" s="4">
        <v>0.02</v>
      </c>
      <c r="L2071" s="3">
        <v>53.9</v>
      </c>
      <c r="M2071" t="b">
        <v>1</v>
      </c>
      <c r="N2071" s="2">
        <f>YEAR(B2071)</f>
        <v>2025</v>
      </c>
      <c r="O2071" t="str">
        <f>INDEX(Agences!$C:$C,MATCH(F2071,Agences!$A:$A,0))</f>
        <v>Ouest</v>
      </c>
      <c r="P2071" t="str">
        <f>INDEX(Produits!$C:$C,MATCH(H2071,Produits!$A:$A,0))</f>
        <v>Maintenance</v>
      </c>
      <c r="Q2071" s="3">
        <f>I2071*INDEX(Produits!$E:$E,MATCH(H2071,Produits!$A:$A,0))</f>
        <v>24.75</v>
      </c>
      <c r="R2071" s="3">
        <f>L2071-Q2071</f>
        <v>29.15</v>
      </c>
      <c r="S2071" s="2">
        <f>NETWORKDAYS(B2071,C2071)-1</f>
        <v>1</v>
      </c>
      <c r="T2071" s="1">
        <f>WORKDAY(B2071,5)</f>
        <v>45985</v>
      </c>
      <c r="U2071" t="b">
        <f>C2071&gt;T2071</f>
        <v>0</v>
      </c>
    </row>
    <row r="2072" spans="1:21" x14ac:dyDescent="0.25">
      <c r="A2072" t="s">
        <v>1447</v>
      </c>
      <c r="B2072" s="1">
        <v>45978</v>
      </c>
      <c r="C2072" s="1">
        <v>45979</v>
      </c>
      <c r="D2072" t="s">
        <v>842</v>
      </c>
      <c r="E2072" t="s">
        <v>30</v>
      </c>
      <c r="F2072" t="s">
        <v>31</v>
      </c>
      <c r="G2072" t="s">
        <v>186</v>
      </c>
      <c r="H2072" t="s">
        <v>205</v>
      </c>
      <c r="I2072" s="2">
        <v>5</v>
      </c>
      <c r="J2072" s="3">
        <v>359</v>
      </c>
      <c r="K2072" s="4">
        <v>0.08</v>
      </c>
      <c r="L2072" s="3">
        <v>1651.4</v>
      </c>
      <c r="M2072" t="b">
        <v>1</v>
      </c>
      <c r="N2072" s="2">
        <f>YEAR(B2072)</f>
        <v>2025</v>
      </c>
      <c r="O2072" t="str">
        <f>INDEX(Agences!$C:$C,MATCH(F2072,Agences!$A:$A,0))</f>
        <v>Ouest</v>
      </c>
      <c r="P2072" t="str">
        <f>INDEX(Produits!$C:$C,MATCH(H2072,Produits!$A:$A,0))</f>
        <v>Mobilier</v>
      </c>
      <c r="Q2072" s="3">
        <f>I2072*INDEX(Produits!$E:$E,MATCH(H2072,Produits!$A:$A,0))</f>
        <v>1023.15</v>
      </c>
      <c r="R2072" s="3">
        <f>L2072-Q2072</f>
        <v>628.2500000000001</v>
      </c>
      <c r="S2072" s="2">
        <f>NETWORKDAYS(B2072,C2072)-1</f>
        <v>1</v>
      </c>
      <c r="T2072" s="1">
        <f>WORKDAY(B2072,5)</f>
        <v>45985</v>
      </c>
      <c r="U2072" t="b">
        <f>C2072&gt;T2072</f>
        <v>0</v>
      </c>
    </row>
    <row r="2073" spans="1:21" x14ac:dyDescent="0.25">
      <c r="A2073" t="s">
        <v>1447</v>
      </c>
      <c r="B2073" s="1">
        <v>45978</v>
      </c>
      <c r="C2073" s="1">
        <v>45979</v>
      </c>
      <c r="D2073" t="s">
        <v>842</v>
      </c>
      <c r="E2073" t="s">
        <v>30</v>
      </c>
      <c r="F2073" t="s">
        <v>31</v>
      </c>
      <c r="G2073" t="s">
        <v>186</v>
      </c>
      <c r="H2073" t="s">
        <v>108</v>
      </c>
      <c r="I2073" s="2">
        <v>15</v>
      </c>
      <c r="J2073" s="3">
        <v>24.5</v>
      </c>
      <c r="K2073" s="4">
        <v>0</v>
      </c>
      <c r="L2073" s="3">
        <v>367.5</v>
      </c>
      <c r="M2073" t="b">
        <v>1</v>
      </c>
      <c r="N2073" s="2">
        <f>YEAR(B2073)</f>
        <v>2025</v>
      </c>
      <c r="O2073" t="str">
        <f>INDEX(Agences!$C:$C,MATCH(F2073,Agences!$A:$A,0))</f>
        <v>Ouest</v>
      </c>
      <c r="P2073" t="str">
        <f>INDEX(Produits!$C:$C,MATCH(H2073,Produits!$A:$A,0))</f>
        <v>Fournitures</v>
      </c>
      <c r="Q2073" s="3">
        <f>I2073*INDEX(Produits!$E:$E,MATCH(H2073,Produits!$A:$A,0))</f>
        <v>220.5</v>
      </c>
      <c r="R2073" s="3">
        <f>L2073-Q2073</f>
        <v>147</v>
      </c>
      <c r="S2073" s="2">
        <f>NETWORKDAYS(B2073,C2073)-1</f>
        <v>1</v>
      </c>
      <c r="T2073" s="1">
        <f>WORKDAY(B2073,5)</f>
        <v>45985</v>
      </c>
      <c r="U2073" t="b">
        <f>C2073&gt;T2073</f>
        <v>0</v>
      </c>
    </row>
    <row r="2074" spans="1:21" x14ac:dyDescent="0.25">
      <c r="A2074" t="s">
        <v>1448</v>
      </c>
      <c r="B2074" s="1">
        <v>45975</v>
      </c>
      <c r="C2074" s="1">
        <v>45978</v>
      </c>
      <c r="D2074" t="s">
        <v>1359</v>
      </c>
      <c r="E2074" t="s">
        <v>122</v>
      </c>
      <c r="F2074" t="s">
        <v>24</v>
      </c>
      <c r="G2074" t="s">
        <v>199</v>
      </c>
      <c r="H2074" t="s">
        <v>107</v>
      </c>
      <c r="I2074" s="2">
        <v>1</v>
      </c>
      <c r="J2074" s="3">
        <v>99</v>
      </c>
      <c r="K2074" s="4">
        <v>0</v>
      </c>
      <c r="L2074" s="3">
        <v>99</v>
      </c>
      <c r="M2074" t="b">
        <v>1</v>
      </c>
      <c r="N2074" s="2">
        <f>YEAR(B2074)</f>
        <v>2025</v>
      </c>
      <c r="O2074" t="str">
        <f>INDEX(Agences!$C:$C,MATCH(F2074,Agences!$A:$A,0))</f>
        <v>Nord</v>
      </c>
      <c r="P2074" t="str">
        <f>INDEX(Produits!$C:$C,MATCH(H2074,Produits!$A:$A,0))</f>
        <v>Informatique</v>
      </c>
      <c r="Q2074" s="3">
        <f>I2074*INDEX(Produits!$E:$E,MATCH(H2074,Produits!$A:$A,0))</f>
        <v>75.24</v>
      </c>
      <c r="R2074" s="3">
        <f>L2074-Q2074</f>
        <v>23.760000000000005</v>
      </c>
      <c r="S2074" s="2">
        <f>NETWORKDAYS(B2074,C2074)-1</f>
        <v>1</v>
      </c>
      <c r="T2074" s="1">
        <f>WORKDAY(B2074,5)</f>
        <v>45982</v>
      </c>
      <c r="U2074" t="b">
        <f>C2074&gt;T2074</f>
        <v>0</v>
      </c>
    </row>
    <row r="2075" spans="1:21" x14ac:dyDescent="0.25">
      <c r="A2075" t="s">
        <v>1448</v>
      </c>
      <c r="B2075" s="1">
        <v>45975</v>
      </c>
      <c r="C2075" s="1">
        <v>45978</v>
      </c>
      <c r="D2075" t="s">
        <v>1359</v>
      </c>
      <c r="E2075" t="s">
        <v>122</v>
      </c>
      <c r="F2075" t="s">
        <v>24</v>
      </c>
      <c r="G2075" t="s">
        <v>199</v>
      </c>
      <c r="H2075" t="s">
        <v>233</v>
      </c>
      <c r="I2075" s="2">
        <v>5</v>
      </c>
      <c r="J2075" s="3">
        <v>27.5</v>
      </c>
      <c r="K2075" s="4">
        <v>0.05</v>
      </c>
      <c r="L2075" s="3">
        <v>130.63</v>
      </c>
      <c r="M2075" t="b">
        <v>1</v>
      </c>
      <c r="N2075" s="2">
        <f>YEAR(B2075)</f>
        <v>2025</v>
      </c>
      <c r="O2075" t="str">
        <f>INDEX(Agences!$C:$C,MATCH(F2075,Agences!$A:$A,0))</f>
        <v>Nord</v>
      </c>
      <c r="P2075" t="str">
        <f>INDEX(Produits!$C:$C,MATCH(H2075,Produits!$A:$A,0))</f>
        <v>Fournitures</v>
      </c>
      <c r="Q2075" s="3">
        <f>I2075*INDEX(Produits!$E:$E,MATCH(H2075,Produits!$A:$A,0))</f>
        <v>77</v>
      </c>
      <c r="R2075" s="3">
        <f>L2075-Q2075</f>
        <v>53.629999999999995</v>
      </c>
      <c r="S2075" s="2">
        <f>NETWORKDAYS(B2075,C2075)-1</f>
        <v>1</v>
      </c>
      <c r="T2075" s="1">
        <f>WORKDAY(B2075,5)</f>
        <v>45982</v>
      </c>
      <c r="U2075" t="b">
        <f>C2075&gt;T2075</f>
        <v>0</v>
      </c>
    </row>
    <row r="2076" spans="1:21" x14ac:dyDescent="0.25">
      <c r="A2076" t="s">
        <v>1448</v>
      </c>
      <c r="B2076" s="1">
        <v>45975</v>
      </c>
      <c r="C2076" s="1">
        <v>45978</v>
      </c>
      <c r="D2076" t="s">
        <v>1359</v>
      </c>
      <c r="E2076" t="s">
        <v>122</v>
      </c>
      <c r="F2076" t="s">
        <v>24</v>
      </c>
      <c r="G2076" t="s">
        <v>199</v>
      </c>
      <c r="H2076" t="s">
        <v>79</v>
      </c>
      <c r="I2076" s="2">
        <v>15</v>
      </c>
      <c r="J2076" s="3">
        <v>14.9</v>
      </c>
      <c r="K2076" s="4">
        <v>0</v>
      </c>
      <c r="L2076" s="3">
        <v>223.5</v>
      </c>
      <c r="M2076" t="b">
        <v>1</v>
      </c>
      <c r="N2076" s="2">
        <f>YEAR(B2076)</f>
        <v>2025</v>
      </c>
      <c r="O2076" t="str">
        <f>INDEX(Agences!$C:$C,MATCH(F2076,Agences!$A:$A,0))</f>
        <v>Nord</v>
      </c>
      <c r="P2076" t="str">
        <f>INDEX(Produits!$C:$C,MATCH(H2076,Produits!$A:$A,0))</f>
        <v>Fournitures</v>
      </c>
      <c r="Q2076" s="3">
        <f>I2076*INDEX(Produits!$E:$E,MATCH(H2076,Produits!$A:$A,0))</f>
        <v>120.75000000000001</v>
      </c>
      <c r="R2076" s="3">
        <f>L2076-Q2076</f>
        <v>102.74999999999999</v>
      </c>
      <c r="S2076" s="2">
        <f>NETWORKDAYS(B2076,C2076)-1</f>
        <v>1</v>
      </c>
      <c r="T2076" s="1">
        <f>WORKDAY(B2076,5)</f>
        <v>45982</v>
      </c>
      <c r="U2076" t="b">
        <f>C2076&gt;T2076</f>
        <v>0</v>
      </c>
    </row>
    <row r="2077" spans="1:21" x14ac:dyDescent="0.25">
      <c r="A2077" t="s">
        <v>1449</v>
      </c>
      <c r="B2077" s="1">
        <v>45975</v>
      </c>
      <c r="C2077" s="1">
        <v>45982</v>
      </c>
      <c r="D2077" t="s">
        <v>815</v>
      </c>
      <c r="E2077" t="s">
        <v>119</v>
      </c>
      <c r="F2077" t="s">
        <v>24</v>
      </c>
      <c r="G2077" t="s">
        <v>116</v>
      </c>
      <c r="H2077" t="s">
        <v>57</v>
      </c>
      <c r="I2077" s="2">
        <v>1</v>
      </c>
      <c r="J2077" s="3">
        <v>149</v>
      </c>
      <c r="K2077" s="4">
        <v>0</v>
      </c>
      <c r="L2077" s="3">
        <v>149</v>
      </c>
      <c r="M2077" t="b">
        <v>1</v>
      </c>
      <c r="N2077" s="2">
        <f>YEAR(B2077)</f>
        <v>2025</v>
      </c>
      <c r="O2077" t="str">
        <f>INDEX(Agences!$C:$C,MATCH(F2077,Agences!$A:$A,0))</f>
        <v>Nord</v>
      </c>
      <c r="P2077" t="str">
        <f>INDEX(Produits!$C:$C,MATCH(H2077,Produits!$A:$A,0))</f>
        <v>Informatique</v>
      </c>
      <c r="Q2077" s="3">
        <f>I2077*INDEX(Produits!$E:$E,MATCH(H2077,Produits!$A:$A,0))</f>
        <v>114.73</v>
      </c>
      <c r="R2077" s="3">
        <f>L2077-Q2077</f>
        <v>34.269999999999996</v>
      </c>
      <c r="S2077" s="2">
        <f>NETWORKDAYS(B2077,C2077)-1</f>
        <v>5</v>
      </c>
      <c r="T2077" s="1">
        <f>WORKDAY(B2077,5)</f>
        <v>45982</v>
      </c>
      <c r="U2077" t="b">
        <f>C2077&gt;T2077</f>
        <v>0</v>
      </c>
    </row>
    <row r="2078" spans="1:21" x14ac:dyDescent="0.25">
      <c r="A2078" t="s">
        <v>1450</v>
      </c>
      <c r="B2078" s="1">
        <v>45975</v>
      </c>
      <c r="C2078" s="1">
        <v>45978</v>
      </c>
      <c r="D2078" t="s">
        <v>1451</v>
      </c>
      <c r="E2078" t="s">
        <v>130</v>
      </c>
      <c r="F2078" t="s">
        <v>39</v>
      </c>
      <c r="G2078" t="s">
        <v>322</v>
      </c>
      <c r="H2078" t="s">
        <v>103</v>
      </c>
      <c r="I2078" s="2">
        <v>1</v>
      </c>
      <c r="J2078" s="3">
        <v>245</v>
      </c>
      <c r="K2078" s="4">
        <v>0.05</v>
      </c>
      <c r="L2078" s="3">
        <v>232.75</v>
      </c>
      <c r="M2078" t="b">
        <v>1</v>
      </c>
      <c r="N2078" s="2">
        <f>YEAR(B2078)</f>
        <v>2025</v>
      </c>
      <c r="O2078" t="str">
        <f>INDEX(Agences!$C:$C,MATCH(F2078,Agences!$A:$A,0))</f>
        <v>Sud-Ouest</v>
      </c>
      <c r="P2078" t="str">
        <f>INDEX(Produits!$C:$C,MATCH(H2078,Produits!$A:$A,0))</f>
        <v>Mobilier</v>
      </c>
      <c r="Q2078" s="3">
        <f>I2078*INDEX(Produits!$E:$E,MATCH(H2078,Produits!$A:$A,0))</f>
        <v>164.15</v>
      </c>
      <c r="R2078" s="3">
        <f>L2078-Q2078</f>
        <v>68.6</v>
      </c>
      <c r="S2078" s="2">
        <f>NETWORKDAYS(B2078,C2078)-1</f>
        <v>1</v>
      </c>
      <c r="T2078" s="1">
        <f>WORKDAY(B2078,5)</f>
        <v>45982</v>
      </c>
      <c r="U2078" t="b">
        <f>C2078&gt;T2078</f>
        <v>0</v>
      </c>
    </row>
    <row r="2079" spans="1:21" x14ac:dyDescent="0.25">
      <c r="A2079" t="s">
        <v>1452</v>
      </c>
      <c r="B2079" s="1">
        <v>45975</v>
      </c>
      <c r="C2079" s="1">
        <v>45979</v>
      </c>
      <c r="D2079" t="s">
        <v>1345</v>
      </c>
      <c r="E2079" t="s">
        <v>149</v>
      </c>
      <c r="F2079" t="s">
        <v>88</v>
      </c>
      <c r="G2079" t="s">
        <v>142</v>
      </c>
      <c r="H2079" t="s">
        <v>41</v>
      </c>
      <c r="I2079" s="2">
        <v>1</v>
      </c>
      <c r="J2079" s="3">
        <v>790</v>
      </c>
      <c r="K2079" s="4">
        <v>0.05</v>
      </c>
      <c r="L2079" s="3">
        <v>750.5</v>
      </c>
      <c r="M2079" t="b">
        <v>1</v>
      </c>
      <c r="N2079" s="2">
        <f>YEAR(B2079)</f>
        <v>2025</v>
      </c>
      <c r="O2079" t="str">
        <f>INDEX(Agences!$C:$C,MATCH(F2079,Agences!$A:$A,0))</f>
        <v>Sud-Ouest</v>
      </c>
      <c r="P2079" t="str">
        <f>INDEX(Produits!$C:$C,MATCH(H2079,Produits!$A:$A,0))</f>
        <v>Informatique</v>
      </c>
      <c r="Q2079" s="3">
        <f>I2079*INDEX(Produits!$E:$E,MATCH(H2079,Produits!$A:$A,0))</f>
        <v>576.7</v>
      </c>
      <c r="R2079" s="3">
        <f>L2079-Q2079</f>
        <v>173.79999999999995</v>
      </c>
      <c r="S2079" s="2">
        <f>NETWORKDAYS(B2079,C2079)-1</f>
        <v>2</v>
      </c>
      <c r="T2079" s="1">
        <f>WORKDAY(B2079,5)</f>
        <v>45982</v>
      </c>
      <c r="U2079" t="b">
        <f>C2079&gt;T2079</f>
        <v>0</v>
      </c>
    </row>
    <row r="2080" spans="1:21" x14ac:dyDescent="0.25">
      <c r="A2080" t="s">
        <v>1452</v>
      </c>
      <c r="B2080" s="1">
        <v>45975</v>
      </c>
      <c r="C2080" s="1">
        <v>45979</v>
      </c>
      <c r="D2080" t="s">
        <v>1345</v>
      </c>
      <c r="E2080" t="s">
        <v>149</v>
      </c>
      <c r="F2080" t="s">
        <v>88</v>
      </c>
      <c r="G2080" t="s">
        <v>142</v>
      </c>
      <c r="H2080" t="s">
        <v>50</v>
      </c>
      <c r="I2080" s="2">
        <v>4</v>
      </c>
      <c r="J2080" s="3">
        <v>69</v>
      </c>
      <c r="K2080" s="4">
        <v>0</v>
      </c>
      <c r="L2080" s="3">
        <v>276</v>
      </c>
      <c r="M2080" t="b">
        <v>1</v>
      </c>
      <c r="N2080" s="2">
        <f>YEAR(B2080)</f>
        <v>2025</v>
      </c>
      <c r="O2080" t="str">
        <f>INDEX(Agences!$C:$C,MATCH(F2080,Agences!$A:$A,0))</f>
        <v>Sud-Ouest</v>
      </c>
      <c r="P2080" t="str">
        <f>INDEX(Produits!$C:$C,MATCH(H2080,Produits!$A:$A,0))</f>
        <v>Informatique</v>
      </c>
      <c r="Q2080" s="3">
        <f>I2080*INDEX(Produits!$E:$E,MATCH(H2080,Produits!$A:$A,0))</f>
        <v>218.04</v>
      </c>
      <c r="R2080" s="3">
        <f>L2080-Q2080</f>
        <v>57.96000000000001</v>
      </c>
      <c r="S2080" s="2">
        <f>NETWORKDAYS(B2080,C2080)-1</f>
        <v>2</v>
      </c>
      <c r="T2080" s="1">
        <f>WORKDAY(B2080,5)</f>
        <v>45982</v>
      </c>
      <c r="U2080" t="b">
        <f>C2080&gt;T2080</f>
        <v>0</v>
      </c>
    </row>
    <row r="2081" spans="1:21" x14ac:dyDescent="0.25">
      <c r="A2081" t="s">
        <v>1452</v>
      </c>
      <c r="B2081" s="1">
        <v>45975</v>
      </c>
      <c r="C2081" s="1">
        <v>45979</v>
      </c>
      <c r="D2081" t="s">
        <v>1345</v>
      </c>
      <c r="E2081" t="s">
        <v>149</v>
      </c>
      <c r="F2081" t="s">
        <v>88</v>
      </c>
      <c r="G2081" t="s">
        <v>142</v>
      </c>
      <c r="H2081" t="s">
        <v>51</v>
      </c>
      <c r="I2081" s="2">
        <v>1</v>
      </c>
      <c r="J2081" s="3">
        <v>180</v>
      </c>
      <c r="K2081" s="4">
        <v>0</v>
      </c>
      <c r="L2081" s="3">
        <v>180</v>
      </c>
      <c r="M2081" t="b">
        <v>1</v>
      </c>
      <c r="N2081" s="2">
        <f>YEAR(B2081)</f>
        <v>2025</v>
      </c>
      <c r="O2081" t="str">
        <f>INDEX(Agences!$C:$C,MATCH(F2081,Agences!$A:$A,0))</f>
        <v>Sud-Ouest</v>
      </c>
      <c r="P2081" t="str">
        <f>INDEX(Produits!$C:$C,MATCH(H2081,Produits!$A:$A,0))</f>
        <v>Maintenance</v>
      </c>
      <c r="Q2081" s="3">
        <f>I2081*INDEX(Produits!$E:$E,MATCH(H2081,Produits!$A:$A,0))</f>
        <v>82.8</v>
      </c>
      <c r="R2081" s="3">
        <f>L2081-Q2081</f>
        <v>97.2</v>
      </c>
      <c r="S2081" s="2">
        <f>NETWORKDAYS(B2081,C2081)-1</f>
        <v>2</v>
      </c>
      <c r="T2081" s="1">
        <f>WORKDAY(B2081,5)</f>
        <v>45982</v>
      </c>
      <c r="U2081" t="b">
        <f>C2081&gt;T2081</f>
        <v>0</v>
      </c>
    </row>
    <row r="2082" spans="1:21" x14ac:dyDescent="0.25">
      <c r="A2082" t="s">
        <v>1453</v>
      </c>
      <c r="B2082" s="1">
        <v>45975</v>
      </c>
      <c r="C2082" s="1">
        <v>45979</v>
      </c>
      <c r="D2082" t="s">
        <v>416</v>
      </c>
      <c r="E2082" t="s">
        <v>61</v>
      </c>
      <c r="F2082" t="s">
        <v>62</v>
      </c>
      <c r="G2082" t="s">
        <v>68</v>
      </c>
      <c r="H2082" t="s">
        <v>237</v>
      </c>
      <c r="I2082" s="2">
        <v>1</v>
      </c>
      <c r="J2082" s="3">
        <v>890</v>
      </c>
      <c r="K2082" s="4">
        <v>0.05</v>
      </c>
      <c r="L2082" s="3">
        <v>845.5</v>
      </c>
      <c r="M2082" t="b">
        <v>1</v>
      </c>
      <c r="N2082" s="2">
        <f>YEAR(B2082)</f>
        <v>2025</v>
      </c>
      <c r="O2082" t="str">
        <f>INDEX(Agences!$C:$C,MATCH(F2082,Agences!$A:$A,0))</f>
        <v>Méditerranée</v>
      </c>
      <c r="P2082" t="str">
        <f>INDEX(Produits!$C:$C,MATCH(H2082,Produits!$A:$A,0))</f>
        <v>Mobilier</v>
      </c>
      <c r="Q2082" s="3">
        <f>I2082*INDEX(Produits!$E:$E,MATCH(H2082,Produits!$A:$A,0))</f>
        <v>596.3</v>
      </c>
      <c r="R2082" s="3">
        <f>L2082-Q2082</f>
        <v>249.20000000000005</v>
      </c>
      <c r="S2082" s="2">
        <f>NETWORKDAYS(B2082,C2082)-1</f>
        <v>2</v>
      </c>
      <c r="T2082" s="1">
        <f>WORKDAY(B2082,5)</f>
        <v>45982</v>
      </c>
      <c r="U2082" t="b">
        <f>C2082&gt;T2082</f>
        <v>0</v>
      </c>
    </row>
    <row r="2083" spans="1:21" x14ac:dyDescent="0.25">
      <c r="A2083" t="s">
        <v>1453</v>
      </c>
      <c r="B2083" s="1">
        <v>45975</v>
      </c>
      <c r="C2083" s="1">
        <v>45979</v>
      </c>
      <c r="D2083" t="s">
        <v>416</v>
      </c>
      <c r="E2083" t="s">
        <v>61</v>
      </c>
      <c r="F2083" t="s">
        <v>62</v>
      </c>
      <c r="G2083" t="s">
        <v>68</v>
      </c>
      <c r="H2083" t="s">
        <v>51</v>
      </c>
      <c r="I2083" s="2">
        <v>3</v>
      </c>
      <c r="J2083" s="3">
        <v>180</v>
      </c>
      <c r="K2083" s="4">
        <v>0</v>
      </c>
      <c r="L2083" s="3">
        <v>540</v>
      </c>
      <c r="M2083" t="b">
        <v>1</v>
      </c>
      <c r="N2083" s="2">
        <f>YEAR(B2083)</f>
        <v>2025</v>
      </c>
      <c r="O2083" t="str">
        <f>INDEX(Agences!$C:$C,MATCH(F2083,Agences!$A:$A,0))</f>
        <v>Méditerranée</v>
      </c>
      <c r="P2083" t="str">
        <f>INDEX(Produits!$C:$C,MATCH(H2083,Produits!$A:$A,0))</f>
        <v>Maintenance</v>
      </c>
      <c r="Q2083" s="3">
        <f>I2083*INDEX(Produits!$E:$E,MATCH(H2083,Produits!$A:$A,0))</f>
        <v>248.39999999999998</v>
      </c>
      <c r="R2083" s="3">
        <f>L2083-Q2083</f>
        <v>291.6</v>
      </c>
      <c r="S2083" s="2">
        <f>NETWORKDAYS(B2083,C2083)-1</f>
        <v>2</v>
      </c>
      <c r="T2083" s="1">
        <f>WORKDAY(B2083,5)</f>
        <v>45982</v>
      </c>
      <c r="U2083" t="b">
        <f>C2083&gt;T2083</f>
        <v>0</v>
      </c>
    </row>
    <row r="2084" spans="1:21" x14ac:dyDescent="0.25">
      <c r="A2084" t="s">
        <v>1453</v>
      </c>
      <c r="B2084" s="1">
        <v>45975</v>
      </c>
      <c r="C2084" s="1">
        <v>45979</v>
      </c>
      <c r="D2084" t="s">
        <v>416</v>
      </c>
      <c r="E2084" t="s">
        <v>61</v>
      </c>
      <c r="F2084" t="s">
        <v>62</v>
      </c>
      <c r="G2084" t="s">
        <v>68</v>
      </c>
      <c r="H2084" t="s">
        <v>35</v>
      </c>
      <c r="I2084" s="2">
        <v>5</v>
      </c>
      <c r="J2084" s="3">
        <v>79</v>
      </c>
      <c r="K2084" s="4">
        <v>0.05</v>
      </c>
      <c r="L2084" s="3">
        <v>375.25</v>
      </c>
      <c r="M2084" t="b">
        <v>1</v>
      </c>
      <c r="N2084" s="2">
        <f>YEAR(B2084)</f>
        <v>2025</v>
      </c>
      <c r="O2084" t="str">
        <f>INDEX(Agences!$C:$C,MATCH(F2084,Agences!$A:$A,0))</f>
        <v>Méditerranée</v>
      </c>
      <c r="P2084" t="str">
        <f>INDEX(Produits!$C:$C,MATCH(H2084,Produits!$A:$A,0))</f>
        <v>Mobilier</v>
      </c>
      <c r="Q2084" s="3">
        <f>I2084*INDEX(Produits!$E:$E,MATCH(H2084,Produits!$A:$A,0))</f>
        <v>233.05</v>
      </c>
      <c r="R2084" s="3">
        <f>L2084-Q2084</f>
        <v>142.2</v>
      </c>
      <c r="S2084" s="2">
        <f>NETWORKDAYS(B2084,C2084)-1</f>
        <v>2</v>
      </c>
      <c r="T2084" s="1">
        <f>WORKDAY(B2084,5)</f>
        <v>45982</v>
      </c>
      <c r="U2084" t="b">
        <f>C2084&gt;T2084</f>
        <v>0</v>
      </c>
    </row>
    <row r="2085" spans="1:21" x14ac:dyDescent="0.25">
      <c r="A2085" t="s">
        <v>1453</v>
      </c>
      <c r="B2085" s="1">
        <v>45975</v>
      </c>
      <c r="C2085" s="1">
        <v>45979</v>
      </c>
      <c r="D2085" t="s">
        <v>416</v>
      </c>
      <c r="E2085" t="s">
        <v>61</v>
      </c>
      <c r="F2085" t="s">
        <v>62</v>
      </c>
      <c r="G2085" t="s">
        <v>68</v>
      </c>
      <c r="H2085" t="s">
        <v>319</v>
      </c>
      <c r="I2085" s="2">
        <v>2</v>
      </c>
      <c r="J2085" s="3">
        <v>289</v>
      </c>
      <c r="K2085" s="4">
        <v>0.1</v>
      </c>
      <c r="L2085" s="3">
        <v>520.2</v>
      </c>
      <c r="M2085" t="b">
        <v>1</v>
      </c>
      <c r="N2085" s="2">
        <f>YEAR(B2085)</f>
        <v>2025</v>
      </c>
      <c r="O2085" t="str">
        <f>INDEX(Agences!$C:$C,MATCH(F2085,Agences!$A:$A,0))</f>
        <v>Méditerranée</v>
      </c>
      <c r="P2085" t="str">
        <f>INDEX(Produits!$C:$C,MATCH(H2085,Produits!$A:$A,0))</f>
        <v>Informatique</v>
      </c>
      <c r="Q2085" s="3">
        <f>I2085*INDEX(Produits!$E:$E,MATCH(H2085,Produits!$A:$A,0))</f>
        <v>427.72</v>
      </c>
      <c r="R2085" s="3">
        <f>L2085-Q2085</f>
        <v>92.48000000000002</v>
      </c>
      <c r="S2085" s="2">
        <f>NETWORKDAYS(B2085,C2085)-1</f>
        <v>2</v>
      </c>
      <c r="T2085" s="1">
        <f>WORKDAY(B2085,5)</f>
        <v>45982</v>
      </c>
      <c r="U2085" t="b">
        <f>C2085&gt;T2085</f>
        <v>0</v>
      </c>
    </row>
    <row r="2086" spans="1:21" x14ac:dyDescent="0.25">
      <c r="A2086" t="s">
        <v>1454</v>
      </c>
      <c r="B2086" s="1">
        <v>45974</v>
      </c>
      <c r="C2086" s="1">
        <v>45978</v>
      </c>
      <c r="D2086" t="s">
        <v>1455</v>
      </c>
      <c r="E2086" t="s">
        <v>191</v>
      </c>
      <c r="F2086" t="s">
        <v>62</v>
      </c>
      <c r="G2086" t="s">
        <v>68</v>
      </c>
      <c r="H2086" t="s">
        <v>79</v>
      </c>
      <c r="I2086" s="2">
        <v>10</v>
      </c>
      <c r="J2086" s="3">
        <v>14.9</v>
      </c>
      <c r="K2086" s="4">
        <v>0</v>
      </c>
      <c r="L2086" s="3">
        <v>149</v>
      </c>
      <c r="M2086" t="b">
        <v>1</v>
      </c>
      <c r="N2086" s="2">
        <f>YEAR(B2086)</f>
        <v>2025</v>
      </c>
      <c r="O2086" t="str">
        <f>INDEX(Agences!$C:$C,MATCH(F2086,Agences!$A:$A,0))</f>
        <v>Méditerranée</v>
      </c>
      <c r="P2086" t="str">
        <f>INDEX(Produits!$C:$C,MATCH(H2086,Produits!$A:$A,0))</f>
        <v>Fournitures</v>
      </c>
      <c r="Q2086" s="3">
        <f>I2086*INDEX(Produits!$E:$E,MATCH(H2086,Produits!$A:$A,0))</f>
        <v>80.5</v>
      </c>
      <c r="R2086" s="3">
        <f>L2086-Q2086</f>
        <v>68.5</v>
      </c>
      <c r="S2086" s="2">
        <f>NETWORKDAYS(B2086,C2086)-1</f>
        <v>2</v>
      </c>
      <c r="T2086" s="1">
        <f>WORKDAY(B2086,5)</f>
        <v>45981</v>
      </c>
      <c r="U2086" t="b">
        <f>C2086&gt;T2086</f>
        <v>0</v>
      </c>
    </row>
    <row r="2087" spans="1:21" x14ac:dyDescent="0.25">
      <c r="A2087" t="s">
        <v>1456</v>
      </c>
      <c r="B2087" s="1">
        <v>45974</v>
      </c>
      <c r="C2087" s="1">
        <v>45978</v>
      </c>
      <c r="D2087" t="s">
        <v>134</v>
      </c>
      <c r="E2087" t="s">
        <v>45</v>
      </c>
      <c r="F2087" t="s">
        <v>46</v>
      </c>
      <c r="G2087" t="s">
        <v>47</v>
      </c>
      <c r="H2087" t="s">
        <v>42</v>
      </c>
      <c r="I2087" s="2">
        <v>1</v>
      </c>
      <c r="J2087" s="3">
        <v>55</v>
      </c>
      <c r="K2087" s="4">
        <v>0.08</v>
      </c>
      <c r="L2087" s="3">
        <v>50.6</v>
      </c>
      <c r="M2087" t="b">
        <v>1</v>
      </c>
      <c r="N2087" s="2">
        <f>YEAR(B2087)</f>
        <v>2025</v>
      </c>
      <c r="O2087" t="str">
        <f>INDEX(Agences!$C:$C,MATCH(F2087,Agences!$A:$A,0))</f>
        <v>Est</v>
      </c>
      <c r="P2087" t="str">
        <f>INDEX(Produits!$C:$C,MATCH(H2087,Produits!$A:$A,0))</f>
        <v>Maintenance</v>
      </c>
      <c r="Q2087" s="3">
        <f>I2087*INDEX(Produits!$E:$E,MATCH(H2087,Produits!$A:$A,0))</f>
        <v>24.75</v>
      </c>
      <c r="R2087" s="3">
        <f>L2087-Q2087</f>
        <v>25.85</v>
      </c>
      <c r="S2087" s="2">
        <f>NETWORKDAYS(B2087,C2087)-1</f>
        <v>2</v>
      </c>
      <c r="T2087" s="1">
        <f>WORKDAY(B2087,5)</f>
        <v>45981</v>
      </c>
      <c r="U2087" t="b">
        <f>C2087&gt;T2087</f>
        <v>0</v>
      </c>
    </row>
    <row r="2088" spans="1:21" x14ac:dyDescent="0.25">
      <c r="A2088" t="s">
        <v>1456</v>
      </c>
      <c r="B2088" s="1">
        <v>45974</v>
      </c>
      <c r="C2088" s="1">
        <v>45978</v>
      </c>
      <c r="D2088" t="s">
        <v>134</v>
      </c>
      <c r="E2088" t="s">
        <v>45</v>
      </c>
      <c r="F2088" t="s">
        <v>46</v>
      </c>
      <c r="G2088" t="s">
        <v>47</v>
      </c>
      <c r="H2088" t="s">
        <v>162</v>
      </c>
      <c r="I2088" s="2">
        <v>7</v>
      </c>
      <c r="J2088" s="3">
        <v>289</v>
      </c>
      <c r="K2088" s="4">
        <v>0.05</v>
      </c>
      <c r="L2088" s="3">
        <v>1921.85</v>
      </c>
      <c r="M2088" t="b">
        <v>1</v>
      </c>
      <c r="N2088" s="2">
        <f>YEAR(B2088)</f>
        <v>2025</v>
      </c>
      <c r="O2088" t="str">
        <f>INDEX(Agences!$C:$C,MATCH(F2088,Agences!$A:$A,0))</f>
        <v>Est</v>
      </c>
      <c r="P2088" t="str">
        <f>INDEX(Produits!$C:$C,MATCH(H2088,Produits!$A:$A,0))</f>
        <v>Mobilier</v>
      </c>
      <c r="Q2088" s="3">
        <f>I2088*INDEX(Produits!$E:$E,MATCH(H2088,Produits!$A:$A,0))</f>
        <v>1355.4099999999999</v>
      </c>
      <c r="R2088" s="3">
        <f>L2088-Q2088</f>
        <v>566.44</v>
      </c>
      <c r="S2088" s="2">
        <f>NETWORKDAYS(B2088,C2088)-1</f>
        <v>2</v>
      </c>
      <c r="T2088" s="1">
        <f>WORKDAY(B2088,5)</f>
        <v>45981</v>
      </c>
      <c r="U2088" t="b">
        <f>C2088&gt;T2088</f>
        <v>0</v>
      </c>
    </row>
    <row r="2089" spans="1:21" x14ac:dyDescent="0.25">
      <c r="A2089" t="s">
        <v>1456</v>
      </c>
      <c r="B2089" s="1">
        <v>45974</v>
      </c>
      <c r="C2089" s="1">
        <v>45978</v>
      </c>
      <c r="D2089" t="s">
        <v>134</v>
      </c>
      <c r="E2089" t="s">
        <v>45</v>
      </c>
      <c r="F2089" t="s">
        <v>46</v>
      </c>
      <c r="G2089" t="s">
        <v>47</v>
      </c>
      <c r="H2089" t="s">
        <v>35</v>
      </c>
      <c r="I2089" s="2">
        <v>2</v>
      </c>
      <c r="J2089" s="3">
        <v>79</v>
      </c>
      <c r="K2089" s="4">
        <v>0.1</v>
      </c>
      <c r="L2089" s="3">
        <v>142.2</v>
      </c>
      <c r="M2089" t="b">
        <v>1</v>
      </c>
      <c r="N2089" s="2">
        <f>YEAR(B2089)</f>
        <v>2025</v>
      </c>
      <c r="O2089" t="str">
        <f>INDEX(Agences!$C:$C,MATCH(F2089,Agences!$A:$A,0))</f>
        <v>Est</v>
      </c>
      <c r="P2089" t="str">
        <f>INDEX(Produits!$C:$C,MATCH(H2089,Produits!$A:$A,0))</f>
        <v>Mobilier</v>
      </c>
      <c r="Q2089" s="3">
        <f>I2089*INDEX(Produits!$E:$E,MATCH(H2089,Produits!$A:$A,0))</f>
        <v>93.22</v>
      </c>
      <c r="R2089" s="3">
        <f>L2089-Q2089</f>
        <v>48.97999999999999</v>
      </c>
      <c r="S2089" s="2">
        <f>NETWORKDAYS(B2089,C2089)-1</f>
        <v>2</v>
      </c>
      <c r="T2089" s="1">
        <f>WORKDAY(B2089,5)</f>
        <v>45981</v>
      </c>
      <c r="U2089" t="b">
        <f>C2089&gt;T2089</f>
        <v>0</v>
      </c>
    </row>
    <row r="2090" spans="1:21" x14ac:dyDescent="0.25">
      <c r="A2090" t="s">
        <v>1457</v>
      </c>
      <c r="B2090" s="1">
        <v>45974</v>
      </c>
      <c r="C2090" s="1">
        <v>45978</v>
      </c>
      <c r="D2090" t="s">
        <v>773</v>
      </c>
      <c r="E2090" t="s">
        <v>229</v>
      </c>
      <c r="F2090" t="s">
        <v>55</v>
      </c>
      <c r="G2090" t="s">
        <v>195</v>
      </c>
      <c r="H2090" t="s">
        <v>27</v>
      </c>
      <c r="I2090" s="2">
        <v>1</v>
      </c>
      <c r="J2090" s="3">
        <v>310</v>
      </c>
      <c r="K2090" s="4">
        <v>0</v>
      </c>
      <c r="L2090" s="3">
        <v>310</v>
      </c>
      <c r="M2090" t="b">
        <v>1</v>
      </c>
      <c r="N2090" s="2">
        <f>YEAR(B2090)</f>
        <v>2025</v>
      </c>
      <c r="O2090" t="str">
        <f>INDEX(Agences!$C:$C,MATCH(F2090,Agences!$A:$A,0))</f>
        <v>Est</v>
      </c>
      <c r="P2090" t="str">
        <f>INDEX(Produits!$C:$C,MATCH(H2090,Produits!$A:$A,0))</f>
        <v>Mobilier</v>
      </c>
      <c r="Q2090" s="3">
        <f>I2090*INDEX(Produits!$E:$E,MATCH(H2090,Produits!$A:$A,0))</f>
        <v>186</v>
      </c>
      <c r="R2090" s="3">
        <f>L2090-Q2090</f>
        <v>124</v>
      </c>
      <c r="S2090" s="2">
        <f>NETWORKDAYS(B2090,C2090)-1</f>
        <v>2</v>
      </c>
      <c r="T2090" s="1">
        <f>WORKDAY(B2090,5)</f>
        <v>45981</v>
      </c>
      <c r="U2090" t="b">
        <f>C2090&gt;T2090</f>
        <v>0</v>
      </c>
    </row>
    <row r="2091" spans="1:21" x14ac:dyDescent="0.25">
      <c r="A2091" t="s">
        <v>1457</v>
      </c>
      <c r="B2091" s="1">
        <v>45974</v>
      </c>
      <c r="C2091" s="1">
        <v>45978</v>
      </c>
      <c r="D2091" t="s">
        <v>773</v>
      </c>
      <c r="E2091" t="s">
        <v>229</v>
      </c>
      <c r="F2091" t="s">
        <v>55</v>
      </c>
      <c r="G2091" t="s">
        <v>195</v>
      </c>
      <c r="H2091" t="s">
        <v>57</v>
      </c>
      <c r="I2091" s="2">
        <v>2</v>
      </c>
      <c r="J2091" s="3">
        <v>149</v>
      </c>
      <c r="K2091" s="4">
        <v>0</v>
      </c>
      <c r="L2091" s="3">
        <v>298</v>
      </c>
      <c r="M2091" t="b">
        <v>1</v>
      </c>
      <c r="N2091" s="2">
        <f>YEAR(B2091)</f>
        <v>2025</v>
      </c>
      <c r="O2091" t="str">
        <f>INDEX(Agences!$C:$C,MATCH(F2091,Agences!$A:$A,0))</f>
        <v>Est</v>
      </c>
      <c r="P2091" t="str">
        <f>INDEX(Produits!$C:$C,MATCH(H2091,Produits!$A:$A,0))</f>
        <v>Informatique</v>
      </c>
      <c r="Q2091" s="3">
        <f>I2091*INDEX(Produits!$E:$E,MATCH(H2091,Produits!$A:$A,0))</f>
        <v>229.46</v>
      </c>
      <c r="R2091" s="3">
        <f>L2091-Q2091</f>
        <v>68.53999999999999</v>
      </c>
      <c r="S2091" s="2">
        <f>NETWORKDAYS(B2091,C2091)-1</f>
        <v>2</v>
      </c>
      <c r="T2091" s="1">
        <f>WORKDAY(B2091,5)</f>
        <v>45981</v>
      </c>
      <c r="U2091" t="b">
        <f>C2091&gt;T2091</f>
        <v>0</v>
      </c>
    </row>
    <row r="2092" spans="1:21" x14ac:dyDescent="0.25">
      <c r="A2092" t="s">
        <v>1457</v>
      </c>
      <c r="B2092" s="1">
        <v>45974</v>
      </c>
      <c r="C2092" s="1">
        <v>45978</v>
      </c>
      <c r="D2092" t="s">
        <v>773</v>
      </c>
      <c r="E2092" t="s">
        <v>229</v>
      </c>
      <c r="F2092" t="s">
        <v>55</v>
      </c>
      <c r="G2092" t="s">
        <v>195</v>
      </c>
      <c r="H2092" t="s">
        <v>205</v>
      </c>
      <c r="I2092" s="2">
        <v>1</v>
      </c>
      <c r="J2092" s="3">
        <v>359</v>
      </c>
      <c r="K2092" s="4">
        <v>0</v>
      </c>
      <c r="L2092" s="3">
        <v>359</v>
      </c>
      <c r="M2092" t="b">
        <v>1</v>
      </c>
      <c r="N2092" s="2">
        <f>YEAR(B2092)</f>
        <v>2025</v>
      </c>
      <c r="O2092" t="str">
        <f>INDEX(Agences!$C:$C,MATCH(F2092,Agences!$A:$A,0))</f>
        <v>Est</v>
      </c>
      <c r="P2092" t="str">
        <f>INDEX(Produits!$C:$C,MATCH(H2092,Produits!$A:$A,0))</f>
        <v>Mobilier</v>
      </c>
      <c r="Q2092" s="3">
        <f>I2092*INDEX(Produits!$E:$E,MATCH(H2092,Produits!$A:$A,0))</f>
        <v>204.63</v>
      </c>
      <c r="R2092" s="3">
        <f>L2092-Q2092</f>
        <v>154.37</v>
      </c>
      <c r="S2092" s="2">
        <f>NETWORKDAYS(B2092,C2092)-1</f>
        <v>2</v>
      </c>
      <c r="T2092" s="1">
        <f>WORKDAY(B2092,5)</f>
        <v>45981</v>
      </c>
      <c r="U2092" t="b">
        <f>C2092&gt;T2092</f>
        <v>0</v>
      </c>
    </row>
    <row r="2093" spans="1:21" x14ac:dyDescent="0.25">
      <c r="A2093" t="s">
        <v>1458</v>
      </c>
      <c r="B2093" s="1">
        <v>45973</v>
      </c>
      <c r="C2093" s="1">
        <v>45974</v>
      </c>
      <c r="D2093" t="s">
        <v>865</v>
      </c>
      <c r="E2093" t="s">
        <v>23</v>
      </c>
      <c r="F2093" t="s">
        <v>24</v>
      </c>
      <c r="G2093" t="s">
        <v>116</v>
      </c>
      <c r="H2093" t="s">
        <v>112</v>
      </c>
      <c r="I2093" s="2">
        <v>1</v>
      </c>
      <c r="J2093" s="3">
        <v>129</v>
      </c>
      <c r="K2093" s="4">
        <v>0</v>
      </c>
      <c r="L2093" s="3">
        <v>129</v>
      </c>
      <c r="M2093" t="b">
        <v>1</v>
      </c>
      <c r="N2093" s="2">
        <f>YEAR(B2093)</f>
        <v>2025</v>
      </c>
      <c r="O2093" t="str">
        <f>INDEX(Agences!$C:$C,MATCH(F2093,Agences!$A:$A,0))</f>
        <v>Nord</v>
      </c>
      <c r="P2093" t="str">
        <f>INDEX(Produits!$C:$C,MATCH(H2093,Produits!$A:$A,0))</f>
        <v>Mobilier</v>
      </c>
      <c r="Q2093" s="3">
        <f>I2093*INDEX(Produits!$E:$E,MATCH(H2093,Produits!$A:$A,0))</f>
        <v>86.43</v>
      </c>
      <c r="R2093" s="3">
        <f>L2093-Q2093</f>
        <v>42.56999999999999</v>
      </c>
      <c r="S2093" s="2">
        <f>NETWORKDAYS(B2093,C2093)-1</f>
        <v>1</v>
      </c>
      <c r="T2093" s="1">
        <f>WORKDAY(B2093,5)</f>
        <v>45980</v>
      </c>
      <c r="U2093" t="b">
        <f>C2093&gt;T2093</f>
        <v>0</v>
      </c>
    </row>
    <row r="2094" spans="1:21" x14ac:dyDescent="0.25">
      <c r="A2094" t="s">
        <v>1458</v>
      </c>
      <c r="B2094" s="1">
        <v>45973</v>
      </c>
      <c r="C2094" s="1">
        <v>45974</v>
      </c>
      <c r="D2094" t="s">
        <v>865</v>
      </c>
      <c r="E2094" t="s">
        <v>23</v>
      </c>
      <c r="F2094" t="s">
        <v>24</v>
      </c>
      <c r="G2094" t="s">
        <v>116</v>
      </c>
      <c r="H2094" t="s">
        <v>48</v>
      </c>
      <c r="I2094" s="2">
        <v>5</v>
      </c>
      <c r="J2094" s="3">
        <v>165</v>
      </c>
      <c r="K2094" s="4">
        <v>0.05</v>
      </c>
      <c r="L2094" s="3">
        <v>783.75</v>
      </c>
      <c r="M2094" t="b">
        <v>1</v>
      </c>
      <c r="N2094" s="2">
        <f>YEAR(B2094)</f>
        <v>2025</v>
      </c>
      <c r="O2094" t="str">
        <f>INDEX(Agences!$C:$C,MATCH(F2094,Agences!$A:$A,0))</f>
        <v>Nord</v>
      </c>
      <c r="P2094" t="str">
        <f>INDEX(Produits!$C:$C,MATCH(H2094,Produits!$A:$A,0))</f>
        <v>Mobilier</v>
      </c>
      <c r="Q2094" s="3">
        <f>I2094*INDEX(Produits!$E:$E,MATCH(H2094,Produits!$A:$A,0))</f>
        <v>536.25</v>
      </c>
      <c r="R2094" s="3">
        <f>L2094-Q2094</f>
        <v>247.5</v>
      </c>
      <c r="S2094" s="2">
        <f>NETWORKDAYS(B2094,C2094)-1</f>
        <v>1</v>
      </c>
      <c r="T2094" s="1">
        <f>WORKDAY(B2094,5)</f>
        <v>45980</v>
      </c>
      <c r="U2094" t="b">
        <f>C2094&gt;T2094</f>
        <v>0</v>
      </c>
    </row>
    <row r="2095" spans="1:21" x14ac:dyDescent="0.25">
      <c r="A2095" t="s">
        <v>1458</v>
      </c>
      <c r="B2095" s="1">
        <v>45973</v>
      </c>
      <c r="C2095" s="1">
        <v>45974</v>
      </c>
      <c r="D2095" t="s">
        <v>865</v>
      </c>
      <c r="E2095" t="s">
        <v>23</v>
      </c>
      <c r="F2095" t="s">
        <v>24</v>
      </c>
      <c r="G2095" t="s">
        <v>116</v>
      </c>
      <c r="H2095" t="s">
        <v>42</v>
      </c>
      <c r="I2095" s="2">
        <v>1</v>
      </c>
      <c r="J2095" s="3">
        <v>55</v>
      </c>
      <c r="K2095" s="4">
        <v>0</v>
      </c>
      <c r="L2095" s="3">
        <v>55</v>
      </c>
      <c r="M2095" t="b">
        <v>1</v>
      </c>
      <c r="N2095" s="2">
        <f>YEAR(B2095)</f>
        <v>2025</v>
      </c>
      <c r="O2095" t="str">
        <f>INDEX(Agences!$C:$C,MATCH(F2095,Agences!$A:$A,0))</f>
        <v>Nord</v>
      </c>
      <c r="P2095" t="str">
        <f>INDEX(Produits!$C:$C,MATCH(H2095,Produits!$A:$A,0))</f>
        <v>Maintenance</v>
      </c>
      <c r="Q2095" s="3">
        <f>I2095*INDEX(Produits!$E:$E,MATCH(H2095,Produits!$A:$A,0))</f>
        <v>24.75</v>
      </c>
      <c r="R2095" s="3">
        <f>L2095-Q2095</f>
        <v>30.25</v>
      </c>
      <c r="S2095" s="2">
        <f>NETWORKDAYS(B2095,C2095)-1</f>
        <v>1</v>
      </c>
      <c r="T2095" s="1">
        <f>WORKDAY(B2095,5)</f>
        <v>45980</v>
      </c>
      <c r="U2095" t="b">
        <f>C2095&gt;T2095</f>
        <v>0</v>
      </c>
    </row>
    <row r="2096" spans="1:21" x14ac:dyDescent="0.25">
      <c r="A2096" t="s">
        <v>1458</v>
      </c>
      <c r="B2096" s="1">
        <v>45973</v>
      </c>
      <c r="C2096" s="1">
        <v>45974</v>
      </c>
      <c r="D2096" t="s">
        <v>865</v>
      </c>
      <c r="E2096" t="s">
        <v>23</v>
      </c>
      <c r="F2096" t="s">
        <v>24</v>
      </c>
      <c r="G2096" t="s">
        <v>116</v>
      </c>
      <c r="H2096" t="s">
        <v>49</v>
      </c>
      <c r="I2096" s="2">
        <v>1</v>
      </c>
      <c r="J2096" s="3">
        <v>120</v>
      </c>
      <c r="K2096" s="4">
        <v>0</v>
      </c>
      <c r="L2096" s="3">
        <v>120</v>
      </c>
      <c r="M2096" t="b">
        <v>1</v>
      </c>
      <c r="N2096" s="2">
        <f>YEAR(B2096)</f>
        <v>2025</v>
      </c>
      <c r="O2096" t="str">
        <f>INDEX(Agences!$C:$C,MATCH(F2096,Agences!$A:$A,0))</f>
        <v>Nord</v>
      </c>
      <c r="P2096" t="str">
        <f>INDEX(Produits!$C:$C,MATCH(H2096,Produits!$A:$A,0))</f>
        <v>Maintenance</v>
      </c>
      <c r="Q2096" s="3">
        <f>I2096*INDEX(Produits!$E:$E,MATCH(H2096,Produits!$A:$A,0))</f>
        <v>55.2</v>
      </c>
      <c r="R2096" s="3">
        <f>L2096-Q2096</f>
        <v>64.8</v>
      </c>
      <c r="S2096" s="2">
        <f>NETWORKDAYS(B2096,C2096)-1</f>
        <v>1</v>
      </c>
      <c r="T2096" s="1">
        <f>WORKDAY(B2096,5)</f>
        <v>45980</v>
      </c>
      <c r="U2096" t="b">
        <f>C2096&gt;T2096</f>
        <v>0</v>
      </c>
    </row>
    <row r="2097" spans="1:21" x14ac:dyDescent="0.25">
      <c r="A2097" t="s">
        <v>1458</v>
      </c>
      <c r="B2097" s="1">
        <v>45973</v>
      </c>
      <c r="C2097" s="1">
        <v>45974</v>
      </c>
      <c r="D2097" t="s">
        <v>865</v>
      </c>
      <c r="E2097" t="s">
        <v>23</v>
      </c>
      <c r="F2097" t="s">
        <v>24</v>
      </c>
      <c r="G2097" t="s">
        <v>116</v>
      </c>
      <c r="H2097" t="s">
        <v>50</v>
      </c>
      <c r="I2097" s="2">
        <v>1</v>
      </c>
      <c r="J2097" s="3">
        <v>69</v>
      </c>
      <c r="K2097" s="4">
        <v>0</v>
      </c>
      <c r="L2097" s="3">
        <v>69</v>
      </c>
      <c r="M2097" t="b">
        <v>1</v>
      </c>
      <c r="N2097" s="2">
        <f>YEAR(B2097)</f>
        <v>2025</v>
      </c>
      <c r="O2097" t="str">
        <f>INDEX(Agences!$C:$C,MATCH(F2097,Agences!$A:$A,0))</f>
        <v>Nord</v>
      </c>
      <c r="P2097" t="str">
        <f>INDEX(Produits!$C:$C,MATCH(H2097,Produits!$A:$A,0))</f>
        <v>Informatique</v>
      </c>
      <c r="Q2097" s="3">
        <f>I2097*INDEX(Produits!$E:$E,MATCH(H2097,Produits!$A:$A,0))</f>
        <v>54.51</v>
      </c>
      <c r="R2097" s="3">
        <f>L2097-Q2097</f>
        <v>14.490000000000002</v>
      </c>
      <c r="S2097" s="2">
        <f>NETWORKDAYS(B2097,C2097)-1</f>
        <v>1</v>
      </c>
      <c r="T2097" s="1">
        <f>WORKDAY(B2097,5)</f>
        <v>45980</v>
      </c>
      <c r="U2097" t="b">
        <f>C2097&gt;T2097</f>
        <v>0</v>
      </c>
    </row>
    <row r="2098" spans="1:21" x14ac:dyDescent="0.25">
      <c r="A2098" t="s">
        <v>1459</v>
      </c>
      <c r="B2098" s="1">
        <v>45973</v>
      </c>
      <c r="C2098" s="1">
        <v>45974</v>
      </c>
      <c r="D2098" t="s">
        <v>1320</v>
      </c>
      <c r="E2098" t="s">
        <v>172</v>
      </c>
      <c r="F2098" t="s">
        <v>99</v>
      </c>
      <c r="G2098" t="s">
        <v>210</v>
      </c>
      <c r="H2098" t="s">
        <v>42</v>
      </c>
      <c r="I2098" s="2">
        <v>2</v>
      </c>
      <c r="J2098" s="3">
        <v>55</v>
      </c>
      <c r="K2098" s="4">
        <v>0</v>
      </c>
      <c r="L2098" s="3">
        <v>110</v>
      </c>
      <c r="M2098" t="b">
        <v>1</v>
      </c>
      <c r="N2098" s="2">
        <f>YEAR(B2098)</f>
        <v>2025</v>
      </c>
      <c r="O2098" t="str">
        <f>INDEX(Agences!$C:$C,MATCH(F2098,Agences!$A:$A,0))</f>
        <v>Nord</v>
      </c>
      <c r="P2098" t="str">
        <f>INDEX(Produits!$C:$C,MATCH(H2098,Produits!$A:$A,0))</f>
        <v>Maintenance</v>
      </c>
      <c r="Q2098" s="3">
        <f>I2098*INDEX(Produits!$E:$E,MATCH(H2098,Produits!$A:$A,0))</f>
        <v>49.5</v>
      </c>
      <c r="R2098" s="3">
        <f>L2098-Q2098</f>
        <v>60.5</v>
      </c>
      <c r="S2098" s="2">
        <f>NETWORKDAYS(B2098,C2098)-1</f>
        <v>1</v>
      </c>
      <c r="T2098" s="1">
        <f>WORKDAY(B2098,5)</f>
        <v>45980</v>
      </c>
      <c r="U2098" t="b">
        <f>C2098&gt;T2098</f>
        <v>0</v>
      </c>
    </row>
    <row r="2099" spans="1:21" x14ac:dyDescent="0.25">
      <c r="A2099" t="s">
        <v>1459</v>
      </c>
      <c r="B2099" s="1">
        <v>45973</v>
      </c>
      <c r="C2099" s="1">
        <v>45974</v>
      </c>
      <c r="D2099" t="s">
        <v>1320</v>
      </c>
      <c r="E2099" t="s">
        <v>172</v>
      </c>
      <c r="F2099" t="s">
        <v>99</v>
      </c>
      <c r="G2099" t="s">
        <v>210</v>
      </c>
      <c r="H2099" t="s">
        <v>237</v>
      </c>
      <c r="I2099" s="2">
        <v>2</v>
      </c>
      <c r="J2099" s="3">
        <v>890</v>
      </c>
      <c r="K2099" s="4">
        <v>0.1</v>
      </c>
      <c r="L2099" s="3">
        <v>1602</v>
      </c>
      <c r="M2099" t="b">
        <v>1</v>
      </c>
      <c r="N2099" s="2">
        <f>YEAR(B2099)</f>
        <v>2025</v>
      </c>
      <c r="O2099" t="str">
        <f>INDEX(Agences!$C:$C,MATCH(F2099,Agences!$A:$A,0))</f>
        <v>Nord</v>
      </c>
      <c r="P2099" t="str">
        <f>INDEX(Produits!$C:$C,MATCH(H2099,Produits!$A:$A,0))</f>
        <v>Mobilier</v>
      </c>
      <c r="Q2099" s="3">
        <f>I2099*INDEX(Produits!$E:$E,MATCH(H2099,Produits!$A:$A,0))</f>
        <v>1192.6</v>
      </c>
      <c r="R2099" s="3">
        <f>L2099-Q2099</f>
        <v>409.4000000000001</v>
      </c>
      <c r="S2099" s="2">
        <f>NETWORKDAYS(B2099,C2099)-1</f>
        <v>1</v>
      </c>
      <c r="T2099" s="1">
        <f>WORKDAY(B2099,5)</f>
        <v>45980</v>
      </c>
      <c r="U2099" t="b">
        <f>C2099&gt;T2099</f>
        <v>0</v>
      </c>
    </row>
    <row r="2100" spans="1:21" x14ac:dyDescent="0.25">
      <c r="A2100" t="s">
        <v>1459</v>
      </c>
      <c r="B2100" s="1">
        <v>45973</v>
      </c>
      <c r="C2100" s="1">
        <v>45974</v>
      </c>
      <c r="D2100" t="s">
        <v>1320</v>
      </c>
      <c r="E2100" t="s">
        <v>172</v>
      </c>
      <c r="F2100" t="s">
        <v>99</v>
      </c>
      <c r="G2100" t="s">
        <v>210</v>
      </c>
      <c r="H2100" t="s">
        <v>78</v>
      </c>
      <c r="I2100" s="2">
        <v>1</v>
      </c>
      <c r="J2100" s="3">
        <v>1390</v>
      </c>
      <c r="K2100" s="4">
        <v>0</v>
      </c>
      <c r="L2100" s="3">
        <v>1390</v>
      </c>
      <c r="M2100" t="b">
        <v>1</v>
      </c>
      <c r="N2100" s="2">
        <f>YEAR(B2100)</f>
        <v>2025</v>
      </c>
      <c r="O2100" t="str">
        <f>INDEX(Agences!$C:$C,MATCH(F2100,Agences!$A:$A,0))</f>
        <v>Nord</v>
      </c>
      <c r="P2100" t="str">
        <f>INDEX(Produits!$C:$C,MATCH(H2100,Produits!$A:$A,0))</f>
        <v>Informatique</v>
      </c>
      <c r="Q2100" s="3">
        <f>I2100*INDEX(Produits!$E:$E,MATCH(H2100,Produits!$A:$A,0))</f>
        <v>1125.9</v>
      </c>
      <c r="R2100" s="3">
        <f>L2100-Q2100</f>
        <v>264.0999999999999</v>
      </c>
      <c r="S2100" s="2">
        <f>NETWORKDAYS(B2100,C2100)-1</f>
        <v>1</v>
      </c>
      <c r="T2100" s="1">
        <f>WORKDAY(B2100,5)</f>
        <v>45980</v>
      </c>
      <c r="U2100" t="b">
        <f>C2100&gt;T2100</f>
        <v>0</v>
      </c>
    </row>
    <row r="2101" spans="1:21" x14ac:dyDescent="0.25">
      <c r="A2101" t="s">
        <v>1460</v>
      </c>
      <c r="B2101" s="1">
        <v>45973</v>
      </c>
      <c r="C2101" s="1">
        <v>45978</v>
      </c>
      <c r="D2101" t="s">
        <v>1411</v>
      </c>
      <c r="E2101" t="s">
        <v>333</v>
      </c>
      <c r="F2101" t="s">
        <v>138</v>
      </c>
      <c r="G2101" t="s">
        <v>139</v>
      </c>
      <c r="H2101" t="s">
        <v>107</v>
      </c>
      <c r="I2101" s="2">
        <v>3</v>
      </c>
      <c r="J2101" s="3">
        <v>99</v>
      </c>
      <c r="K2101" s="4">
        <v>0</v>
      </c>
      <c r="L2101" s="3">
        <v>297</v>
      </c>
      <c r="M2101" t="b">
        <v>1</v>
      </c>
      <c r="N2101" s="2">
        <f>YEAR(B2101)</f>
        <v>2025</v>
      </c>
      <c r="O2101" t="str">
        <f>INDEX(Agences!$C:$C,MATCH(F2101,Agences!$A:$A,0))</f>
        <v>Île-de-France</v>
      </c>
      <c r="P2101" t="str">
        <f>INDEX(Produits!$C:$C,MATCH(H2101,Produits!$A:$A,0))</f>
        <v>Informatique</v>
      </c>
      <c r="Q2101" s="3">
        <f>I2101*INDEX(Produits!$E:$E,MATCH(H2101,Produits!$A:$A,0))</f>
        <v>225.71999999999997</v>
      </c>
      <c r="R2101" s="3">
        <f>L2101-Q2101</f>
        <v>71.28000000000003</v>
      </c>
      <c r="S2101" s="2">
        <f>NETWORKDAYS(B2101,C2101)-1</f>
        <v>3</v>
      </c>
      <c r="T2101" s="1">
        <f>WORKDAY(B2101,5)</f>
        <v>45980</v>
      </c>
      <c r="U2101" t="b">
        <f>C2101&gt;T2101</f>
        <v>0</v>
      </c>
    </row>
    <row r="2102" spans="1:21" x14ac:dyDescent="0.25">
      <c r="A2102" t="s">
        <v>1460</v>
      </c>
      <c r="B2102" s="1">
        <v>45973</v>
      </c>
      <c r="C2102" s="1">
        <v>45978</v>
      </c>
      <c r="D2102" t="s">
        <v>1411</v>
      </c>
      <c r="E2102" t="s">
        <v>333</v>
      </c>
      <c r="F2102" t="s">
        <v>138</v>
      </c>
      <c r="G2102" t="s">
        <v>139</v>
      </c>
      <c r="H2102" t="s">
        <v>49</v>
      </c>
      <c r="I2102" s="2">
        <v>1</v>
      </c>
      <c r="J2102" s="3">
        <v>120</v>
      </c>
      <c r="K2102" s="4">
        <v>0</v>
      </c>
      <c r="L2102" s="3">
        <v>120</v>
      </c>
      <c r="M2102" t="b">
        <v>1</v>
      </c>
      <c r="N2102" s="2">
        <f>YEAR(B2102)</f>
        <v>2025</v>
      </c>
      <c r="O2102" t="str">
        <f>INDEX(Agences!$C:$C,MATCH(F2102,Agences!$A:$A,0))</f>
        <v>Île-de-France</v>
      </c>
      <c r="P2102" t="str">
        <f>INDEX(Produits!$C:$C,MATCH(H2102,Produits!$A:$A,0))</f>
        <v>Maintenance</v>
      </c>
      <c r="Q2102" s="3">
        <f>I2102*INDEX(Produits!$E:$E,MATCH(H2102,Produits!$A:$A,0))</f>
        <v>55.2</v>
      </c>
      <c r="R2102" s="3">
        <f>L2102-Q2102</f>
        <v>64.8</v>
      </c>
      <c r="S2102" s="2">
        <f>NETWORKDAYS(B2102,C2102)-1</f>
        <v>3</v>
      </c>
      <c r="T2102" s="1">
        <f>WORKDAY(B2102,5)</f>
        <v>45980</v>
      </c>
      <c r="U2102" t="b">
        <f>C2102&gt;T2102</f>
        <v>0</v>
      </c>
    </row>
    <row r="2103" spans="1:21" x14ac:dyDescent="0.25">
      <c r="A2103" t="s">
        <v>1461</v>
      </c>
      <c r="B2103" s="1">
        <v>45973</v>
      </c>
      <c r="C2103" s="1">
        <v>45978</v>
      </c>
      <c r="D2103" t="s">
        <v>1105</v>
      </c>
      <c r="E2103" t="s">
        <v>339</v>
      </c>
      <c r="F2103" t="s">
        <v>31</v>
      </c>
      <c r="G2103" t="s">
        <v>375</v>
      </c>
      <c r="H2103" t="s">
        <v>83</v>
      </c>
      <c r="I2103" s="2">
        <v>2</v>
      </c>
      <c r="J2103" s="3">
        <v>49</v>
      </c>
      <c r="K2103" s="4">
        <v>0.08</v>
      </c>
      <c r="L2103" s="3">
        <v>90.16</v>
      </c>
      <c r="M2103" t="b">
        <v>1</v>
      </c>
      <c r="N2103" s="2">
        <f>YEAR(B2103)</f>
        <v>2025</v>
      </c>
      <c r="O2103" t="str">
        <f>INDEX(Agences!$C:$C,MATCH(F2103,Agences!$A:$A,0))</f>
        <v>Ouest</v>
      </c>
      <c r="P2103" t="str">
        <f>INDEX(Produits!$C:$C,MATCH(H2103,Produits!$A:$A,0))</f>
        <v>Mobilier</v>
      </c>
      <c r="Q2103" s="3">
        <f>I2103*INDEX(Produits!$E:$E,MATCH(H2103,Produits!$A:$A,0))</f>
        <v>56.84</v>
      </c>
      <c r="R2103" s="3">
        <f>L2103-Q2103</f>
        <v>33.31999999999999</v>
      </c>
      <c r="S2103" s="2">
        <f>NETWORKDAYS(B2103,C2103)-1</f>
        <v>3</v>
      </c>
      <c r="T2103" s="1">
        <f>WORKDAY(B2103,5)</f>
        <v>45980</v>
      </c>
      <c r="U2103" t="b">
        <f>C2103&gt;T2103</f>
        <v>0</v>
      </c>
    </row>
    <row r="2104" spans="1:21" x14ac:dyDescent="0.25">
      <c r="A2104" t="s">
        <v>1461</v>
      </c>
      <c r="B2104" s="1">
        <v>45973</v>
      </c>
      <c r="C2104" s="1">
        <v>45978</v>
      </c>
      <c r="D2104" t="s">
        <v>1105</v>
      </c>
      <c r="E2104" t="s">
        <v>339</v>
      </c>
      <c r="F2104" t="s">
        <v>31</v>
      </c>
      <c r="G2104" t="s">
        <v>375</v>
      </c>
      <c r="H2104" t="s">
        <v>42</v>
      </c>
      <c r="I2104" s="2">
        <v>1</v>
      </c>
      <c r="J2104" s="3">
        <v>55</v>
      </c>
      <c r="K2104" s="4">
        <v>0</v>
      </c>
      <c r="L2104" s="3">
        <v>55</v>
      </c>
      <c r="M2104" t="b">
        <v>1</v>
      </c>
      <c r="N2104" s="2">
        <f>YEAR(B2104)</f>
        <v>2025</v>
      </c>
      <c r="O2104" t="str">
        <f>INDEX(Agences!$C:$C,MATCH(F2104,Agences!$A:$A,0))</f>
        <v>Ouest</v>
      </c>
      <c r="P2104" t="str">
        <f>INDEX(Produits!$C:$C,MATCH(H2104,Produits!$A:$A,0))</f>
        <v>Maintenance</v>
      </c>
      <c r="Q2104" s="3">
        <f>I2104*INDEX(Produits!$E:$E,MATCH(H2104,Produits!$A:$A,0))</f>
        <v>24.75</v>
      </c>
      <c r="R2104" s="3">
        <f>L2104-Q2104</f>
        <v>30.25</v>
      </c>
      <c r="S2104" s="2">
        <f>NETWORKDAYS(B2104,C2104)-1</f>
        <v>3</v>
      </c>
      <c r="T2104" s="1">
        <f>WORKDAY(B2104,5)</f>
        <v>45980</v>
      </c>
      <c r="U2104" t="b">
        <f>C2104&gt;T2104</f>
        <v>0</v>
      </c>
    </row>
    <row r="2105" spans="1:21" x14ac:dyDescent="0.25">
      <c r="A2105" t="s">
        <v>1462</v>
      </c>
      <c r="B2105" s="1">
        <v>45973</v>
      </c>
      <c r="C2105" s="1">
        <v>45975</v>
      </c>
      <c r="D2105" t="s">
        <v>1389</v>
      </c>
      <c r="E2105" t="s">
        <v>242</v>
      </c>
      <c r="F2105" t="s">
        <v>94</v>
      </c>
      <c r="G2105" t="s">
        <v>154</v>
      </c>
      <c r="H2105" t="s">
        <v>107</v>
      </c>
      <c r="I2105" s="2">
        <v>1</v>
      </c>
      <c r="J2105" s="3">
        <v>99</v>
      </c>
      <c r="K2105" s="4">
        <v>0</v>
      </c>
      <c r="L2105" s="3">
        <v>99</v>
      </c>
      <c r="M2105" t="b">
        <v>1</v>
      </c>
      <c r="N2105" s="2">
        <f>YEAR(B2105)</f>
        <v>2025</v>
      </c>
      <c r="O2105" t="str">
        <f>INDEX(Agences!$C:$C,MATCH(F2105,Agences!$A:$A,0))</f>
        <v>Méditerranée</v>
      </c>
      <c r="P2105" t="str">
        <f>INDEX(Produits!$C:$C,MATCH(H2105,Produits!$A:$A,0))</f>
        <v>Informatique</v>
      </c>
      <c r="Q2105" s="3">
        <f>I2105*INDEX(Produits!$E:$E,MATCH(H2105,Produits!$A:$A,0))</f>
        <v>75.24</v>
      </c>
      <c r="R2105" s="3">
        <f>L2105-Q2105</f>
        <v>23.760000000000005</v>
      </c>
      <c r="S2105" s="2">
        <f>NETWORKDAYS(B2105,C2105)-1</f>
        <v>2</v>
      </c>
      <c r="T2105" s="1">
        <f>WORKDAY(B2105,5)</f>
        <v>45980</v>
      </c>
      <c r="U2105" t="b">
        <f>C2105&gt;T2105</f>
        <v>0</v>
      </c>
    </row>
    <row r="2106" spans="1:21" x14ac:dyDescent="0.25">
      <c r="A2106" t="s">
        <v>1463</v>
      </c>
      <c r="B2106" s="1">
        <v>45972</v>
      </c>
      <c r="C2106" s="1">
        <v>45978</v>
      </c>
      <c r="D2106" t="s">
        <v>1411</v>
      </c>
      <c r="E2106" t="s">
        <v>333</v>
      </c>
      <c r="F2106" t="s">
        <v>138</v>
      </c>
      <c r="G2106" t="s">
        <v>220</v>
      </c>
      <c r="H2106" t="s">
        <v>83</v>
      </c>
      <c r="I2106" s="2">
        <v>2</v>
      </c>
      <c r="J2106" s="3">
        <v>49</v>
      </c>
      <c r="K2106" s="4">
        <v>0.1</v>
      </c>
      <c r="L2106" s="3">
        <v>88.2</v>
      </c>
      <c r="M2106" t="b">
        <v>1</v>
      </c>
      <c r="N2106" s="2">
        <f>YEAR(B2106)</f>
        <v>2025</v>
      </c>
      <c r="O2106" t="str">
        <f>INDEX(Agences!$C:$C,MATCH(F2106,Agences!$A:$A,0))</f>
        <v>Île-de-France</v>
      </c>
      <c r="P2106" t="str">
        <f>INDEX(Produits!$C:$C,MATCH(H2106,Produits!$A:$A,0))</f>
        <v>Mobilier</v>
      </c>
      <c r="Q2106" s="3">
        <f>I2106*INDEX(Produits!$E:$E,MATCH(H2106,Produits!$A:$A,0))</f>
        <v>56.84</v>
      </c>
      <c r="R2106" s="3">
        <f>L2106-Q2106</f>
        <v>31.36</v>
      </c>
      <c r="S2106" s="2">
        <f>NETWORKDAYS(B2106,C2106)-1</f>
        <v>4</v>
      </c>
      <c r="T2106" s="1">
        <f>WORKDAY(B2106,5)</f>
        <v>45979</v>
      </c>
      <c r="U2106" t="b">
        <f>C2106&gt;T2106</f>
        <v>0</v>
      </c>
    </row>
    <row r="2107" spans="1:21" x14ac:dyDescent="0.25">
      <c r="A2107" t="s">
        <v>1464</v>
      </c>
      <c r="B2107" s="1">
        <v>45972</v>
      </c>
      <c r="C2107" s="1">
        <v>45974</v>
      </c>
      <c r="D2107" t="s">
        <v>321</v>
      </c>
      <c r="E2107" t="s">
        <v>38</v>
      </c>
      <c r="F2107" t="s">
        <v>39</v>
      </c>
      <c r="G2107" t="s">
        <v>131</v>
      </c>
      <c r="H2107" t="s">
        <v>64</v>
      </c>
      <c r="I2107" s="2">
        <v>5</v>
      </c>
      <c r="J2107" s="3">
        <v>16.8</v>
      </c>
      <c r="K2107" s="4">
        <v>0</v>
      </c>
      <c r="L2107" s="3">
        <v>84</v>
      </c>
      <c r="M2107" t="b">
        <v>1</v>
      </c>
      <c r="N2107" s="2">
        <f>YEAR(B2107)</f>
        <v>2025</v>
      </c>
      <c r="O2107" t="str">
        <f>INDEX(Agences!$C:$C,MATCH(F2107,Agences!$A:$A,0))</f>
        <v>Sud-Ouest</v>
      </c>
      <c r="P2107" t="str">
        <f>INDEX(Produits!$C:$C,MATCH(H2107,Produits!$A:$A,0))</f>
        <v>Fournitures</v>
      </c>
      <c r="Q2107" s="3">
        <f>I2107*INDEX(Produits!$E:$E,MATCH(H2107,Produits!$A:$A,0))</f>
        <v>43.7</v>
      </c>
      <c r="R2107" s="3">
        <f>L2107-Q2107</f>
        <v>40.3</v>
      </c>
      <c r="S2107" s="2">
        <f>NETWORKDAYS(B2107,C2107)-1</f>
        <v>2</v>
      </c>
      <c r="T2107" s="1">
        <f>WORKDAY(B2107,5)</f>
        <v>45979</v>
      </c>
      <c r="U2107" t="b">
        <f>C2107&gt;T2107</f>
        <v>0</v>
      </c>
    </row>
    <row r="2108" spans="1:21" x14ac:dyDescent="0.25">
      <c r="A2108" t="s">
        <v>1464</v>
      </c>
      <c r="B2108" s="1">
        <v>45972</v>
      </c>
      <c r="C2108" s="1">
        <v>45974</v>
      </c>
      <c r="D2108" t="s">
        <v>321</v>
      </c>
      <c r="E2108" t="s">
        <v>38</v>
      </c>
      <c r="F2108" t="s">
        <v>39</v>
      </c>
      <c r="G2108" t="s">
        <v>131</v>
      </c>
      <c r="H2108" t="s">
        <v>606</v>
      </c>
      <c r="I2108" s="2">
        <v>1</v>
      </c>
      <c r="J2108" s="3">
        <v>1150</v>
      </c>
      <c r="K2108" s="4">
        <v>0.05</v>
      </c>
      <c r="L2108" s="3">
        <v>1092.5</v>
      </c>
      <c r="M2108" t="b">
        <v>1</v>
      </c>
      <c r="N2108" s="2">
        <f>YEAR(B2108)</f>
        <v>2025</v>
      </c>
      <c r="O2108" t="str">
        <f>INDEX(Agences!$C:$C,MATCH(F2108,Agences!$A:$A,0))</f>
        <v>Sud-Ouest</v>
      </c>
      <c r="P2108" t="str">
        <f>INDEX(Produits!$C:$C,MATCH(H2108,Produits!$A:$A,0))</f>
        <v>Mobilier</v>
      </c>
      <c r="Q2108" s="3">
        <f>I2108*INDEX(Produits!$E:$E,MATCH(H2108,Produits!$A:$A,0))</f>
        <v>713</v>
      </c>
      <c r="R2108" s="3">
        <f>L2108-Q2108</f>
        <v>379.5</v>
      </c>
      <c r="S2108" s="2">
        <f>NETWORKDAYS(B2108,C2108)-1</f>
        <v>2</v>
      </c>
      <c r="T2108" s="1">
        <f>WORKDAY(B2108,5)</f>
        <v>45979</v>
      </c>
      <c r="U2108" t="b">
        <f>C2108&gt;T2108</f>
        <v>0</v>
      </c>
    </row>
    <row r="2109" spans="1:21" x14ac:dyDescent="0.25">
      <c r="A2109" t="s">
        <v>1465</v>
      </c>
      <c r="B2109" s="1">
        <v>45971</v>
      </c>
      <c r="C2109" s="1">
        <v>45973</v>
      </c>
      <c r="D2109" t="s">
        <v>675</v>
      </c>
      <c r="E2109" t="s">
        <v>98</v>
      </c>
      <c r="F2109" t="s">
        <v>99</v>
      </c>
      <c r="G2109" t="s">
        <v>265</v>
      </c>
      <c r="H2109" t="s">
        <v>26</v>
      </c>
      <c r="I2109" s="2">
        <v>1</v>
      </c>
      <c r="J2109" s="3">
        <v>290</v>
      </c>
      <c r="K2109" s="4">
        <v>0.05</v>
      </c>
      <c r="L2109" s="3">
        <v>275.5</v>
      </c>
      <c r="M2109" t="b">
        <v>1</v>
      </c>
      <c r="N2109" s="2">
        <f>YEAR(B2109)</f>
        <v>2025</v>
      </c>
      <c r="O2109" t="str">
        <f>INDEX(Agences!$C:$C,MATCH(F2109,Agences!$A:$A,0))</f>
        <v>Nord</v>
      </c>
      <c r="P2109" t="str">
        <f>INDEX(Produits!$C:$C,MATCH(H2109,Produits!$A:$A,0))</f>
        <v>Maintenance</v>
      </c>
      <c r="Q2109" s="3">
        <f>I2109*INDEX(Produits!$E:$E,MATCH(H2109,Produits!$A:$A,0))</f>
        <v>139.2</v>
      </c>
      <c r="R2109" s="3">
        <f>L2109-Q2109</f>
        <v>136.3</v>
      </c>
      <c r="S2109" s="2">
        <f>NETWORKDAYS(B2109,C2109)-1</f>
        <v>2</v>
      </c>
      <c r="T2109" s="1">
        <f>WORKDAY(B2109,5)</f>
        <v>45978</v>
      </c>
      <c r="U2109" t="b">
        <f>C2109&gt;T2109</f>
        <v>0</v>
      </c>
    </row>
    <row r="2110" spans="1:21" x14ac:dyDescent="0.25">
      <c r="A2110" t="s">
        <v>1465</v>
      </c>
      <c r="B2110" s="1">
        <v>45971</v>
      </c>
      <c r="C2110" s="1">
        <v>45973</v>
      </c>
      <c r="D2110" t="s">
        <v>675</v>
      </c>
      <c r="E2110" t="s">
        <v>98</v>
      </c>
      <c r="F2110" t="s">
        <v>99</v>
      </c>
      <c r="G2110" t="s">
        <v>265</v>
      </c>
      <c r="H2110" t="s">
        <v>50</v>
      </c>
      <c r="I2110" s="2">
        <v>2</v>
      </c>
      <c r="J2110" s="3">
        <v>69</v>
      </c>
      <c r="K2110" s="4">
        <v>0.05</v>
      </c>
      <c r="L2110" s="3">
        <v>131.1</v>
      </c>
      <c r="M2110" t="b">
        <v>1</v>
      </c>
      <c r="N2110" s="2">
        <f>YEAR(B2110)</f>
        <v>2025</v>
      </c>
      <c r="O2110" t="str">
        <f>INDEX(Agences!$C:$C,MATCH(F2110,Agences!$A:$A,0))</f>
        <v>Nord</v>
      </c>
      <c r="P2110" t="str">
        <f>INDEX(Produits!$C:$C,MATCH(H2110,Produits!$A:$A,0))</f>
        <v>Informatique</v>
      </c>
      <c r="Q2110" s="3">
        <f>I2110*INDEX(Produits!$E:$E,MATCH(H2110,Produits!$A:$A,0))</f>
        <v>109.02</v>
      </c>
      <c r="R2110" s="3">
        <f>L2110-Q2110</f>
        <v>22.08</v>
      </c>
      <c r="S2110" s="2">
        <f>NETWORKDAYS(B2110,C2110)-1</f>
        <v>2</v>
      </c>
      <c r="T2110" s="1">
        <f>WORKDAY(B2110,5)</f>
        <v>45978</v>
      </c>
      <c r="U2110" t="b">
        <f>C2110&gt;T2110</f>
        <v>0</v>
      </c>
    </row>
    <row r="2111" spans="1:21" x14ac:dyDescent="0.25">
      <c r="A2111" t="s">
        <v>1466</v>
      </c>
      <c r="B2111" s="1">
        <v>45971</v>
      </c>
      <c r="C2111" s="1">
        <v>45972</v>
      </c>
      <c r="D2111" t="s">
        <v>1467</v>
      </c>
      <c r="E2111" t="s">
        <v>194</v>
      </c>
      <c r="F2111" t="s">
        <v>55</v>
      </c>
      <c r="G2111" t="s">
        <v>56</v>
      </c>
      <c r="H2111" t="s">
        <v>196</v>
      </c>
      <c r="I2111" s="2">
        <v>5</v>
      </c>
      <c r="J2111" s="3">
        <v>18.5</v>
      </c>
      <c r="K2111" s="4">
        <v>0</v>
      </c>
      <c r="L2111" s="3">
        <v>92.5</v>
      </c>
      <c r="M2111" t="b">
        <v>1</v>
      </c>
      <c r="N2111" s="2">
        <f>YEAR(B2111)</f>
        <v>2025</v>
      </c>
      <c r="O2111" t="str">
        <f>INDEX(Agences!$C:$C,MATCH(F2111,Agences!$A:$A,0))</f>
        <v>Est</v>
      </c>
      <c r="P2111" t="str">
        <f>INDEX(Produits!$C:$C,MATCH(H2111,Produits!$A:$A,0))</f>
        <v>Fournitures</v>
      </c>
      <c r="Q2111" s="3">
        <f>I2111*INDEX(Produits!$E:$E,MATCH(H2111,Produits!$A:$A,0))</f>
        <v>47.199999999999996</v>
      </c>
      <c r="R2111" s="3">
        <f>L2111-Q2111</f>
        <v>45.300000000000004</v>
      </c>
      <c r="S2111" s="2">
        <f>NETWORKDAYS(B2111,C2111)-1</f>
        <v>1</v>
      </c>
      <c r="T2111" s="1">
        <f>WORKDAY(B2111,5)</f>
        <v>45978</v>
      </c>
      <c r="U2111" t="b">
        <f>C2111&gt;T2111</f>
        <v>0</v>
      </c>
    </row>
    <row r="2112" spans="1:21" x14ac:dyDescent="0.25">
      <c r="A2112" t="s">
        <v>1466</v>
      </c>
      <c r="B2112" s="1">
        <v>45971</v>
      </c>
      <c r="C2112" s="1">
        <v>45972</v>
      </c>
      <c r="D2112" t="s">
        <v>1467</v>
      </c>
      <c r="E2112" t="s">
        <v>194</v>
      </c>
      <c r="F2112" t="s">
        <v>55</v>
      </c>
      <c r="G2112" t="s">
        <v>56</v>
      </c>
      <c r="H2112" t="s">
        <v>49</v>
      </c>
      <c r="I2112" s="2">
        <v>1</v>
      </c>
      <c r="J2112" s="3">
        <v>120</v>
      </c>
      <c r="K2112" s="4">
        <v>0</v>
      </c>
      <c r="L2112" s="3">
        <v>120</v>
      </c>
      <c r="M2112" t="b">
        <v>1</v>
      </c>
      <c r="N2112" s="2">
        <f>YEAR(B2112)</f>
        <v>2025</v>
      </c>
      <c r="O2112" t="str">
        <f>INDEX(Agences!$C:$C,MATCH(F2112,Agences!$A:$A,0))</f>
        <v>Est</v>
      </c>
      <c r="P2112" t="str">
        <f>INDEX(Produits!$C:$C,MATCH(H2112,Produits!$A:$A,0))</f>
        <v>Maintenance</v>
      </c>
      <c r="Q2112" s="3">
        <f>I2112*INDEX(Produits!$E:$E,MATCH(H2112,Produits!$A:$A,0))</f>
        <v>55.2</v>
      </c>
      <c r="R2112" s="3">
        <f>L2112-Q2112</f>
        <v>64.8</v>
      </c>
      <c r="S2112" s="2">
        <f>NETWORKDAYS(B2112,C2112)-1</f>
        <v>1</v>
      </c>
      <c r="T2112" s="1">
        <f>WORKDAY(B2112,5)</f>
        <v>45978</v>
      </c>
      <c r="U2112" t="b">
        <f>C2112&gt;T2112</f>
        <v>0</v>
      </c>
    </row>
    <row r="2113" spans="1:21" x14ac:dyDescent="0.25">
      <c r="A2113" t="s">
        <v>1466</v>
      </c>
      <c r="B2113" s="1">
        <v>45971</v>
      </c>
      <c r="C2113" s="1">
        <v>45972</v>
      </c>
      <c r="D2113" t="s">
        <v>1467</v>
      </c>
      <c r="E2113" t="s">
        <v>194</v>
      </c>
      <c r="F2113" t="s">
        <v>55</v>
      </c>
      <c r="G2113" t="s">
        <v>56</v>
      </c>
      <c r="H2113" t="s">
        <v>51</v>
      </c>
      <c r="I2113" s="2">
        <v>1</v>
      </c>
      <c r="J2113" s="3">
        <v>180</v>
      </c>
      <c r="K2113" s="4">
        <v>0</v>
      </c>
      <c r="L2113" s="3">
        <v>180</v>
      </c>
      <c r="M2113" t="b">
        <v>1</v>
      </c>
      <c r="N2113" s="2">
        <f>YEAR(B2113)</f>
        <v>2025</v>
      </c>
      <c r="O2113" t="str">
        <f>INDEX(Agences!$C:$C,MATCH(F2113,Agences!$A:$A,0))</f>
        <v>Est</v>
      </c>
      <c r="P2113" t="str">
        <f>INDEX(Produits!$C:$C,MATCH(H2113,Produits!$A:$A,0))</f>
        <v>Maintenance</v>
      </c>
      <c r="Q2113" s="3">
        <f>I2113*INDEX(Produits!$E:$E,MATCH(H2113,Produits!$A:$A,0))</f>
        <v>82.8</v>
      </c>
      <c r="R2113" s="3">
        <f>L2113-Q2113</f>
        <v>97.2</v>
      </c>
      <c r="S2113" s="2">
        <f>NETWORKDAYS(B2113,C2113)-1</f>
        <v>1</v>
      </c>
      <c r="T2113" s="1">
        <f>WORKDAY(B2113,5)</f>
        <v>45978</v>
      </c>
      <c r="U2113" t="b">
        <f>C2113&gt;T2113</f>
        <v>0</v>
      </c>
    </row>
    <row r="2114" spans="1:21" x14ac:dyDescent="0.25">
      <c r="A2114" t="s">
        <v>1468</v>
      </c>
      <c r="B2114" s="1">
        <v>45968</v>
      </c>
      <c r="C2114" s="1">
        <v>45973</v>
      </c>
      <c r="D2114" t="s">
        <v>365</v>
      </c>
      <c r="E2114" t="s">
        <v>119</v>
      </c>
      <c r="F2114" t="s">
        <v>24</v>
      </c>
      <c r="G2114" t="s">
        <v>199</v>
      </c>
      <c r="H2114" t="s">
        <v>112</v>
      </c>
      <c r="I2114" s="2">
        <v>1</v>
      </c>
      <c r="J2114" s="3">
        <v>129</v>
      </c>
      <c r="K2114" s="4">
        <v>0</v>
      </c>
      <c r="L2114" s="3">
        <v>129</v>
      </c>
      <c r="M2114" t="b">
        <v>1</v>
      </c>
      <c r="N2114" s="2">
        <f>YEAR(B2114)</f>
        <v>2025</v>
      </c>
      <c r="O2114" t="str">
        <f>INDEX(Agences!$C:$C,MATCH(F2114,Agences!$A:$A,0))</f>
        <v>Nord</v>
      </c>
      <c r="P2114" t="str">
        <f>INDEX(Produits!$C:$C,MATCH(H2114,Produits!$A:$A,0))</f>
        <v>Mobilier</v>
      </c>
      <c r="Q2114" s="3">
        <f>I2114*INDEX(Produits!$E:$E,MATCH(H2114,Produits!$A:$A,0))</f>
        <v>86.43</v>
      </c>
      <c r="R2114" s="3">
        <f>L2114-Q2114</f>
        <v>42.56999999999999</v>
      </c>
      <c r="S2114" s="2">
        <f>NETWORKDAYS(B2114,C2114)-1</f>
        <v>3</v>
      </c>
      <c r="T2114" s="1">
        <f>WORKDAY(B2114,5)</f>
        <v>45975</v>
      </c>
      <c r="U2114" t="b">
        <f>C2114&gt;T2114</f>
        <v>0</v>
      </c>
    </row>
    <row r="2115" spans="1:21" x14ac:dyDescent="0.25">
      <c r="A2115" t="s">
        <v>1468</v>
      </c>
      <c r="B2115" s="1">
        <v>45968</v>
      </c>
      <c r="C2115" s="1">
        <v>45973</v>
      </c>
      <c r="D2115" t="s">
        <v>365</v>
      </c>
      <c r="E2115" t="s">
        <v>119</v>
      </c>
      <c r="F2115" t="s">
        <v>24</v>
      </c>
      <c r="G2115" t="s">
        <v>199</v>
      </c>
      <c r="H2115" t="s">
        <v>127</v>
      </c>
      <c r="I2115" s="2">
        <v>1</v>
      </c>
      <c r="J2115" s="3">
        <v>649</v>
      </c>
      <c r="K2115" s="4">
        <v>0.08</v>
      </c>
      <c r="L2115" s="3">
        <v>597.08</v>
      </c>
      <c r="M2115" t="b">
        <v>1</v>
      </c>
      <c r="N2115" s="2">
        <f>YEAR(B2115)</f>
        <v>2025</v>
      </c>
      <c r="O2115" t="str">
        <f>INDEX(Agences!$C:$C,MATCH(F2115,Agences!$A:$A,0))</f>
        <v>Nord</v>
      </c>
      <c r="P2115" t="str">
        <f>INDEX(Produits!$C:$C,MATCH(H2115,Produits!$A:$A,0))</f>
        <v>Informatique</v>
      </c>
      <c r="Q2115" s="3">
        <f>I2115*INDEX(Produits!$E:$E,MATCH(H2115,Produits!$A:$A,0))</f>
        <v>480.26</v>
      </c>
      <c r="R2115" s="3">
        <f>L2115-Q2115</f>
        <v>116.82000000000005</v>
      </c>
      <c r="S2115" s="2">
        <f>NETWORKDAYS(B2115,C2115)-1</f>
        <v>3</v>
      </c>
      <c r="T2115" s="1">
        <f>WORKDAY(B2115,5)</f>
        <v>45975</v>
      </c>
      <c r="U2115" t="b">
        <f>C2115&gt;T2115</f>
        <v>0</v>
      </c>
    </row>
    <row r="2116" spans="1:21" x14ac:dyDescent="0.25">
      <c r="A2116" t="s">
        <v>1469</v>
      </c>
      <c r="B2116" s="1">
        <v>45968</v>
      </c>
      <c r="C2116" s="1">
        <v>45972</v>
      </c>
      <c r="D2116" t="s">
        <v>1139</v>
      </c>
      <c r="E2116" t="s">
        <v>213</v>
      </c>
      <c r="F2116" t="s">
        <v>138</v>
      </c>
      <c r="G2116" t="s">
        <v>214</v>
      </c>
      <c r="H2116" t="s">
        <v>26</v>
      </c>
      <c r="I2116" s="2">
        <v>1</v>
      </c>
      <c r="J2116" s="3">
        <v>290</v>
      </c>
      <c r="K2116" s="4">
        <v>0</v>
      </c>
      <c r="L2116" s="3">
        <v>290</v>
      </c>
      <c r="M2116" t="b">
        <v>1</v>
      </c>
      <c r="N2116" s="2">
        <f>YEAR(B2116)</f>
        <v>2025</v>
      </c>
      <c r="O2116" t="str">
        <f>INDEX(Agences!$C:$C,MATCH(F2116,Agences!$A:$A,0))</f>
        <v>Île-de-France</v>
      </c>
      <c r="P2116" t="str">
        <f>INDEX(Produits!$C:$C,MATCH(H2116,Produits!$A:$A,0))</f>
        <v>Maintenance</v>
      </c>
      <c r="Q2116" s="3">
        <f>I2116*INDEX(Produits!$E:$E,MATCH(H2116,Produits!$A:$A,0))</f>
        <v>139.2</v>
      </c>
      <c r="R2116" s="3">
        <f>L2116-Q2116</f>
        <v>150.8</v>
      </c>
      <c r="S2116" s="2">
        <f>NETWORKDAYS(B2116,C2116)-1</f>
        <v>2</v>
      </c>
      <c r="T2116" s="1">
        <f>WORKDAY(B2116,5)</f>
        <v>45975</v>
      </c>
      <c r="U2116" t="b">
        <f>C2116&gt;T2116</f>
        <v>0</v>
      </c>
    </row>
    <row r="2117" spans="1:21" x14ac:dyDescent="0.25">
      <c r="A2117" t="s">
        <v>1469</v>
      </c>
      <c r="B2117" s="1">
        <v>45968</v>
      </c>
      <c r="C2117" s="1">
        <v>45972</v>
      </c>
      <c r="D2117" t="s">
        <v>1139</v>
      </c>
      <c r="E2117" t="s">
        <v>213</v>
      </c>
      <c r="F2117" t="s">
        <v>138</v>
      </c>
      <c r="G2117" t="s">
        <v>214</v>
      </c>
      <c r="H2117" t="s">
        <v>83</v>
      </c>
      <c r="I2117" s="2">
        <v>1</v>
      </c>
      <c r="J2117" s="3">
        <v>49</v>
      </c>
      <c r="K2117" s="4">
        <v>0</v>
      </c>
      <c r="L2117" s="3">
        <v>49</v>
      </c>
      <c r="M2117" t="b">
        <v>1</v>
      </c>
      <c r="N2117" s="2">
        <f>YEAR(B2117)</f>
        <v>2025</v>
      </c>
      <c r="O2117" t="str">
        <f>INDEX(Agences!$C:$C,MATCH(F2117,Agences!$A:$A,0))</f>
        <v>Île-de-France</v>
      </c>
      <c r="P2117" t="str">
        <f>INDEX(Produits!$C:$C,MATCH(H2117,Produits!$A:$A,0))</f>
        <v>Mobilier</v>
      </c>
      <c r="Q2117" s="3">
        <f>I2117*INDEX(Produits!$E:$E,MATCH(H2117,Produits!$A:$A,0))</f>
        <v>28.42</v>
      </c>
      <c r="R2117" s="3">
        <f>L2117-Q2117</f>
        <v>20.58</v>
      </c>
      <c r="S2117" s="2">
        <f>NETWORKDAYS(B2117,C2117)-1</f>
        <v>2</v>
      </c>
      <c r="T2117" s="1">
        <f>WORKDAY(B2117,5)</f>
        <v>45975</v>
      </c>
      <c r="U2117" t="b">
        <f>C2117&gt;T2117</f>
        <v>0</v>
      </c>
    </row>
    <row r="2118" spans="1:21" x14ac:dyDescent="0.25">
      <c r="A2118" t="s">
        <v>1470</v>
      </c>
      <c r="B2118" s="1">
        <v>45968</v>
      </c>
      <c r="C2118" s="1">
        <v>45972</v>
      </c>
      <c r="D2118" t="s">
        <v>74</v>
      </c>
      <c r="E2118" t="s">
        <v>75</v>
      </c>
      <c r="F2118" t="s">
        <v>76</v>
      </c>
      <c r="G2118" t="s">
        <v>77</v>
      </c>
      <c r="H2118" t="s">
        <v>42</v>
      </c>
      <c r="I2118" s="2">
        <v>1</v>
      </c>
      <c r="J2118" s="3">
        <v>55</v>
      </c>
      <c r="K2118" s="4">
        <v>0.05</v>
      </c>
      <c r="L2118" s="3">
        <v>52.25</v>
      </c>
      <c r="M2118" t="b">
        <v>1</v>
      </c>
      <c r="N2118" s="2">
        <f>YEAR(B2118)</f>
        <v>2025</v>
      </c>
      <c r="O2118" t="str">
        <f>INDEX(Agences!$C:$C,MATCH(F2118,Agences!$A:$A,0))</f>
        <v>Île-de-France</v>
      </c>
      <c r="P2118" t="str">
        <f>INDEX(Produits!$C:$C,MATCH(H2118,Produits!$A:$A,0))</f>
        <v>Maintenance</v>
      </c>
      <c r="Q2118" s="3">
        <f>I2118*INDEX(Produits!$E:$E,MATCH(H2118,Produits!$A:$A,0))</f>
        <v>24.75</v>
      </c>
      <c r="R2118" s="3">
        <f>L2118-Q2118</f>
        <v>27.5</v>
      </c>
      <c r="S2118" s="2">
        <f>NETWORKDAYS(B2118,C2118)-1</f>
        <v>2</v>
      </c>
      <c r="T2118" s="1">
        <f>WORKDAY(B2118,5)</f>
        <v>45975</v>
      </c>
      <c r="U2118" t="b">
        <f>C2118&gt;T2118</f>
        <v>0</v>
      </c>
    </row>
    <row r="2119" spans="1:21" x14ac:dyDescent="0.25">
      <c r="A2119" t="s">
        <v>1470</v>
      </c>
      <c r="B2119" s="1">
        <v>45968</v>
      </c>
      <c r="C2119" s="1">
        <v>45972</v>
      </c>
      <c r="D2119" t="s">
        <v>74</v>
      </c>
      <c r="E2119" t="s">
        <v>75</v>
      </c>
      <c r="F2119" t="s">
        <v>76</v>
      </c>
      <c r="G2119" t="s">
        <v>77</v>
      </c>
      <c r="H2119" t="s">
        <v>41</v>
      </c>
      <c r="I2119" s="2">
        <v>2</v>
      </c>
      <c r="J2119" s="3">
        <v>790</v>
      </c>
      <c r="K2119" s="4">
        <v>0</v>
      </c>
      <c r="L2119" s="3">
        <v>1580</v>
      </c>
      <c r="M2119" t="b">
        <v>1</v>
      </c>
      <c r="N2119" s="2">
        <f>YEAR(B2119)</f>
        <v>2025</v>
      </c>
      <c r="O2119" t="str">
        <f>INDEX(Agences!$C:$C,MATCH(F2119,Agences!$A:$A,0))</f>
        <v>Île-de-France</v>
      </c>
      <c r="P2119" t="str">
        <f>INDEX(Produits!$C:$C,MATCH(H2119,Produits!$A:$A,0))</f>
        <v>Informatique</v>
      </c>
      <c r="Q2119" s="3">
        <f>I2119*INDEX(Produits!$E:$E,MATCH(H2119,Produits!$A:$A,0))</f>
        <v>1153.4</v>
      </c>
      <c r="R2119" s="3">
        <f>L2119-Q2119</f>
        <v>426.5999999999999</v>
      </c>
      <c r="S2119" s="2">
        <f>NETWORKDAYS(B2119,C2119)-1</f>
        <v>2</v>
      </c>
      <c r="T2119" s="1">
        <f>WORKDAY(B2119,5)</f>
        <v>45975</v>
      </c>
      <c r="U2119" t="b">
        <f>C2119&gt;T2119</f>
        <v>0</v>
      </c>
    </row>
    <row r="2120" spans="1:21" x14ac:dyDescent="0.25">
      <c r="A2120" t="s">
        <v>1471</v>
      </c>
      <c r="B2120" s="1">
        <v>45968</v>
      </c>
      <c r="C2120" s="1">
        <v>45973</v>
      </c>
      <c r="D2120" t="s">
        <v>765</v>
      </c>
      <c r="E2120" t="s">
        <v>419</v>
      </c>
      <c r="F2120" t="s">
        <v>62</v>
      </c>
      <c r="G2120" t="s">
        <v>106</v>
      </c>
      <c r="H2120" t="s">
        <v>237</v>
      </c>
      <c r="I2120" s="2">
        <v>1</v>
      </c>
      <c r="J2120" s="3">
        <v>890</v>
      </c>
      <c r="K2120" s="4">
        <v>0.02</v>
      </c>
      <c r="L2120" s="3">
        <v>872.2</v>
      </c>
      <c r="M2120" t="b">
        <v>1</v>
      </c>
      <c r="N2120" s="2">
        <f>YEAR(B2120)</f>
        <v>2025</v>
      </c>
      <c r="O2120" t="str">
        <f>INDEX(Agences!$C:$C,MATCH(F2120,Agences!$A:$A,0))</f>
        <v>Méditerranée</v>
      </c>
      <c r="P2120" t="str">
        <f>INDEX(Produits!$C:$C,MATCH(H2120,Produits!$A:$A,0))</f>
        <v>Mobilier</v>
      </c>
      <c r="Q2120" s="3">
        <f>I2120*INDEX(Produits!$E:$E,MATCH(H2120,Produits!$A:$A,0))</f>
        <v>596.3</v>
      </c>
      <c r="R2120" s="3">
        <f>L2120-Q2120</f>
        <v>275.9000000000001</v>
      </c>
      <c r="S2120" s="2">
        <f>NETWORKDAYS(B2120,C2120)-1</f>
        <v>3</v>
      </c>
      <c r="T2120" s="1">
        <f>WORKDAY(B2120,5)</f>
        <v>45975</v>
      </c>
      <c r="U2120" t="b">
        <f>C2120&gt;T2120</f>
        <v>0</v>
      </c>
    </row>
    <row r="2121" spans="1:21" x14ac:dyDescent="0.25">
      <c r="A2121" t="s">
        <v>1471</v>
      </c>
      <c r="B2121" s="1">
        <v>45968</v>
      </c>
      <c r="C2121" s="1">
        <v>45973</v>
      </c>
      <c r="D2121" t="s">
        <v>765</v>
      </c>
      <c r="E2121" t="s">
        <v>419</v>
      </c>
      <c r="F2121" t="s">
        <v>62</v>
      </c>
      <c r="G2121" t="s">
        <v>106</v>
      </c>
      <c r="H2121" t="s">
        <v>90</v>
      </c>
      <c r="I2121" s="2">
        <v>10</v>
      </c>
      <c r="J2121" s="3">
        <v>22.9</v>
      </c>
      <c r="K2121" s="4">
        <v>0.05</v>
      </c>
      <c r="L2121" s="3">
        <v>217.55</v>
      </c>
      <c r="M2121" t="b">
        <v>1</v>
      </c>
      <c r="N2121" s="2">
        <f>YEAR(B2121)</f>
        <v>2025</v>
      </c>
      <c r="O2121" t="str">
        <f>INDEX(Agences!$C:$C,MATCH(F2121,Agences!$A:$A,0))</f>
        <v>Méditerranée</v>
      </c>
      <c r="P2121" t="str">
        <f>INDEX(Produits!$C:$C,MATCH(H2121,Produits!$A:$A,0))</f>
        <v>Fournitures</v>
      </c>
      <c r="Q2121" s="3">
        <f>I2121*INDEX(Produits!$E:$E,MATCH(H2121,Produits!$A:$A,0))</f>
        <v>128.2</v>
      </c>
      <c r="R2121" s="3">
        <f>L2121-Q2121</f>
        <v>89.35000000000002</v>
      </c>
      <c r="S2121" s="2">
        <f>NETWORKDAYS(B2121,C2121)-1</f>
        <v>3</v>
      </c>
      <c r="T2121" s="1">
        <f>WORKDAY(B2121,5)</f>
        <v>45975</v>
      </c>
      <c r="U2121" t="b">
        <f>C2121&gt;T2121</f>
        <v>0</v>
      </c>
    </row>
    <row r="2122" spans="1:21" x14ac:dyDescent="0.25">
      <c r="A2122" t="s">
        <v>1471</v>
      </c>
      <c r="B2122" s="1">
        <v>45968</v>
      </c>
      <c r="C2122" s="1">
        <v>45973</v>
      </c>
      <c r="D2122" t="s">
        <v>765</v>
      </c>
      <c r="E2122" t="s">
        <v>419</v>
      </c>
      <c r="F2122" t="s">
        <v>62</v>
      </c>
      <c r="G2122" t="s">
        <v>106</v>
      </c>
      <c r="H2122" t="s">
        <v>33</v>
      </c>
      <c r="I2122" s="2">
        <v>1</v>
      </c>
      <c r="J2122" s="3">
        <v>219</v>
      </c>
      <c r="K2122" s="4">
        <v>0</v>
      </c>
      <c r="L2122" s="3">
        <v>219</v>
      </c>
      <c r="M2122" t="b">
        <v>1</v>
      </c>
      <c r="N2122" s="2">
        <f>YEAR(B2122)</f>
        <v>2025</v>
      </c>
      <c r="O2122" t="str">
        <f>INDEX(Agences!$C:$C,MATCH(F2122,Agences!$A:$A,0))</f>
        <v>Méditerranée</v>
      </c>
      <c r="P2122" t="str">
        <f>INDEX(Produits!$C:$C,MATCH(H2122,Produits!$A:$A,0))</f>
        <v>Informatique</v>
      </c>
      <c r="Q2122" s="3">
        <f>I2122*INDEX(Produits!$E:$E,MATCH(H2122,Produits!$A:$A,0))</f>
        <v>179.58</v>
      </c>
      <c r="R2122" s="3">
        <f>L2122-Q2122</f>
        <v>39.41999999999999</v>
      </c>
      <c r="S2122" s="2">
        <f>NETWORKDAYS(B2122,C2122)-1</f>
        <v>3</v>
      </c>
      <c r="T2122" s="1">
        <f>WORKDAY(B2122,5)</f>
        <v>45975</v>
      </c>
      <c r="U2122" t="b">
        <f>C2122&gt;T2122</f>
        <v>0</v>
      </c>
    </row>
    <row r="2123" spans="1:21" x14ac:dyDescent="0.25">
      <c r="A2123" t="s">
        <v>1471</v>
      </c>
      <c r="B2123" s="1">
        <v>45968</v>
      </c>
      <c r="C2123" s="1">
        <v>45973</v>
      </c>
      <c r="D2123" t="s">
        <v>765</v>
      </c>
      <c r="E2123" t="s">
        <v>419</v>
      </c>
      <c r="F2123" t="s">
        <v>62</v>
      </c>
      <c r="G2123" t="s">
        <v>106</v>
      </c>
      <c r="H2123" t="s">
        <v>103</v>
      </c>
      <c r="I2123" s="2">
        <v>1</v>
      </c>
      <c r="J2123" s="3">
        <v>245</v>
      </c>
      <c r="K2123" s="4">
        <v>0</v>
      </c>
      <c r="L2123" s="3">
        <v>245</v>
      </c>
      <c r="M2123" t="b">
        <v>1</v>
      </c>
      <c r="N2123" s="2">
        <f>YEAR(B2123)</f>
        <v>2025</v>
      </c>
      <c r="O2123" t="str">
        <f>INDEX(Agences!$C:$C,MATCH(F2123,Agences!$A:$A,0))</f>
        <v>Méditerranée</v>
      </c>
      <c r="P2123" t="str">
        <f>INDEX(Produits!$C:$C,MATCH(H2123,Produits!$A:$A,0))</f>
        <v>Mobilier</v>
      </c>
      <c r="Q2123" s="3">
        <f>I2123*INDEX(Produits!$E:$E,MATCH(H2123,Produits!$A:$A,0))</f>
        <v>164.15</v>
      </c>
      <c r="R2123" s="3">
        <f>L2123-Q2123</f>
        <v>80.85</v>
      </c>
      <c r="S2123" s="2">
        <f>NETWORKDAYS(B2123,C2123)-1</f>
        <v>3</v>
      </c>
      <c r="T2123" s="1">
        <f>WORKDAY(B2123,5)</f>
        <v>45975</v>
      </c>
      <c r="U2123" t="b">
        <f>C2123&gt;T2123</f>
        <v>0</v>
      </c>
    </row>
    <row r="2124" spans="1:21" x14ac:dyDescent="0.25">
      <c r="A2124" t="s">
        <v>1472</v>
      </c>
      <c r="B2124" s="1">
        <v>45967</v>
      </c>
      <c r="C2124" s="1">
        <v>45973</v>
      </c>
      <c r="D2124" t="s">
        <v>1166</v>
      </c>
      <c r="E2124" t="s">
        <v>165</v>
      </c>
      <c r="F2124" t="s">
        <v>166</v>
      </c>
      <c r="G2124" t="s">
        <v>248</v>
      </c>
      <c r="H2124" t="s">
        <v>108</v>
      </c>
      <c r="I2124" s="2">
        <v>20</v>
      </c>
      <c r="J2124" s="3">
        <v>24.5</v>
      </c>
      <c r="K2124" s="4">
        <v>0.08</v>
      </c>
      <c r="L2124" s="3">
        <v>450.8</v>
      </c>
      <c r="M2124" t="b">
        <v>1</v>
      </c>
      <c r="N2124" s="2">
        <f>YEAR(B2124)</f>
        <v>2025</v>
      </c>
      <c r="O2124" t="str">
        <f>INDEX(Agences!$C:$C,MATCH(F2124,Agences!$A:$A,0))</f>
        <v>Ouest</v>
      </c>
      <c r="P2124" t="str">
        <f>INDEX(Produits!$C:$C,MATCH(H2124,Produits!$A:$A,0))</f>
        <v>Fournitures</v>
      </c>
      <c r="Q2124" s="3">
        <f>I2124*INDEX(Produits!$E:$E,MATCH(H2124,Produits!$A:$A,0))</f>
        <v>294</v>
      </c>
      <c r="R2124" s="3">
        <f>L2124-Q2124</f>
        <v>156.8</v>
      </c>
      <c r="S2124" s="2">
        <f>NETWORKDAYS(B2124,C2124)-1</f>
        <v>4</v>
      </c>
      <c r="T2124" s="1">
        <f>WORKDAY(B2124,5)</f>
        <v>45974</v>
      </c>
      <c r="U2124" t="b">
        <f>C2124&gt;T2124</f>
        <v>0</v>
      </c>
    </row>
    <row r="2125" spans="1:21" x14ac:dyDescent="0.25">
      <c r="A2125" t="s">
        <v>1472</v>
      </c>
      <c r="B2125" s="1">
        <v>45967</v>
      </c>
      <c r="C2125" s="1">
        <v>45973</v>
      </c>
      <c r="D2125" t="s">
        <v>1166</v>
      </c>
      <c r="E2125" t="s">
        <v>165</v>
      </c>
      <c r="F2125" t="s">
        <v>166</v>
      </c>
      <c r="G2125" t="s">
        <v>248</v>
      </c>
      <c r="H2125" t="s">
        <v>34</v>
      </c>
      <c r="I2125" s="2">
        <v>1</v>
      </c>
      <c r="J2125" s="3">
        <v>340</v>
      </c>
      <c r="K2125" s="4">
        <v>0</v>
      </c>
      <c r="L2125" s="3">
        <v>340</v>
      </c>
      <c r="M2125" t="b">
        <v>1</v>
      </c>
      <c r="N2125" s="2">
        <f>YEAR(B2125)</f>
        <v>2025</v>
      </c>
      <c r="O2125" t="str">
        <f>INDEX(Agences!$C:$C,MATCH(F2125,Agences!$A:$A,0))</f>
        <v>Ouest</v>
      </c>
      <c r="P2125" t="str">
        <f>INDEX(Produits!$C:$C,MATCH(H2125,Produits!$A:$A,0))</f>
        <v>Informatique</v>
      </c>
      <c r="Q2125" s="3">
        <f>I2125*INDEX(Produits!$E:$E,MATCH(H2125,Produits!$A:$A,0))</f>
        <v>275.4</v>
      </c>
      <c r="R2125" s="3">
        <f>L2125-Q2125</f>
        <v>64.60000000000002</v>
      </c>
      <c r="S2125" s="2">
        <f>NETWORKDAYS(B2125,C2125)-1</f>
        <v>4</v>
      </c>
      <c r="T2125" s="1">
        <f>WORKDAY(B2125,5)</f>
        <v>45974</v>
      </c>
      <c r="U2125" t="b">
        <f>C2125&gt;T2125</f>
        <v>0</v>
      </c>
    </row>
    <row r="2126" spans="1:21" x14ac:dyDescent="0.25">
      <c r="A2126" t="s">
        <v>1473</v>
      </c>
      <c r="B2126" s="1">
        <v>45966</v>
      </c>
      <c r="C2126" s="1">
        <v>45968</v>
      </c>
      <c r="D2126" t="s">
        <v>662</v>
      </c>
      <c r="E2126" t="s">
        <v>75</v>
      </c>
      <c r="F2126" t="s">
        <v>76</v>
      </c>
      <c r="G2126" t="s">
        <v>232</v>
      </c>
      <c r="H2126" t="s">
        <v>34</v>
      </c>
      <c r="I2126" s="2">
        <v>1</v>
      </c>
      <c r="J2126" s="3">
        <v>340</v>
      </c>
      <c r="K2126" s="4">
        <v>0.05</v>
      </c>
      <c r="L2126" s="3">
        <v>323</v>
      </c>
      <c r="M2126" t="b">
        <v>1</v>
      </c>
      <c r="N2126" s="2">
        <f>YEAR(B2126)</f>
        <v>2025</v>
      </c>
      <c r="O2126" t="str">
        <f>INDEX(Agences!$C:$C,MATCH(F2126,Agences!$A:$A,0))</f>
        <v>Île-de-France</v>
      </c>
      <c r="P2126" t="str">
        <f>INDEX(Produits!$C:$C,MATCH(H2126,Produits!$A:$A,0))</f>
        <v>Informatique</v>
      </c>
      <c r="Q2126" s="3">
        <f>I2126*INDEX(Produits!$E:$E,MATCH(H2126,Produits!$A:$A,0))</f>
        <v>275.4</v>
      </c>
      <c r="R2126" s="3">
        <f>L2126-Q2126</f>
        <v>47.60000000000002</v>
      </c>
      <c r="S2126" s="2">
        <f>NETWORKDAYS(B2126,C2126)-1</f>
        <v>2</v>
      </c>
      <c r="T2126" s="1">
        <f>WORKDAY(B2126,5)</f>
        <v>45973</v>
      </c>
      <c r="U2126" t="b">
        <f>C2126&gt;T2126</f>
        <v>0</v>
      </c>
    </row>
    <row r="2127" spans="1:21" x14ac:dyDescent="0.25">
      <c r="A2127" t="s">
        <v>1473</v>
      </c>
      <c r="B2127" s="1">
        <v>45966</v>
      </c>
      <c r="C2127" s="1">
        <v>45968</v>
      </c>
      <c r="D2127" t="s">
        <v>662</v>
      </c>
      <c r="E2127" t="s">
        <v>75</v>
      </c>
      <c r="F2127" t="s">
        <v>76</v>
      </c>
      <c r="G2127" t="s">
        <v>232</v>
      </c>
      <c r="H2127" t="s">
        <v>50</v>
      </c>
      <c r="I2127" s="2">
        <v>3</v>
      </c>
      <c r="J2127" s="3">
        <v>69</v>
      </c>
      <c r="K2127" s="4">
        <v>0.1</v>
      </c>
      <c r="L2127" s="3">
        <v>186.3</v>
      </c>
      <c r="M2127" t="b">
        <v>1</v>
      </c>
      <c r="N2127" s="2">
        <f>YEAR(B2127)</f>
        <v>2025</v>
      </c>
      <c r="O2127" t="str">
        <f>INDEX(Agences!$C:$C,MATCH(F2127,Agences!$A:$A,0))</f>
        <v>Île-de-France</v>
      </c>
      <c r="P2127" t="str">
        <f>INDEX(Produits!$C:$C,MATCH(H2127,Produits!$A:$A,0))</f>
        <v>Informatique</v>
      </c>
      <c r="Q2127" s="3">
        <f>I2127*INDEX(Produits!$E:$E,MATCH(H2127,Produits!$A:$A,0))</f>
        <v>163.53</v>
      </c>
      <c r="R2127" s="3">
        <f>L2127-Q2127</f>
        <v>22.77000000000001</v>
      </c>
      <c r="S2127" s="2">
        <f>NETWORKDAYS(B2127,C2127)-1</f>
        <v>2</v>
      </c>
      <c r="T2127" s="1">
        <f>WORKDAY(B2127,5)</f>
        <v>45973</v>
      </c>
      <c r="U2127" t="b">
        <f>C2127&gt;T2127</f>
        <v>0</v>
      </c>
    </row>
    <row r="2128" spans="1:21" x14ac:dyDescent="0.25">
      <c r="A2128" t="s">
        <v>1474</v>
      </c>
      <c r="B2128" s="1">
        <v>45966</v>
      </c>
      <c r="C2128" s="1">
        <v>45971</v>
      </c>
      <c r="D2128" t="s">
        <v>654</v>
      </c>
      <c r="E2128" t="s">
        <v>87</v>
      </c>
      <c r="F2128" t="s">
        <v>88</v>
      </c>
      <c r="G2128" t="s">
        <v>89</v>
      </c>
      <c r="H2128" t="s">
        <v>42</v>
      </c>
      <c r="I2128" s="2">
        <v>4</v>
      </c>
      <c r="J2128" s="3">
        <v>55</v>
      </c>
      <c r="K2128" s="4">
        <v>0</v>
      </c>
      <c r="L2128" s="3">
        <v>220</v>
      </c>
      <c r="M2128" t="b">
        <v>1</v>
      </c>
      <c r="N2128" s="2">
        <f>YEAR(B2128)</f>
        <v>2025</v>
      </c>
      <c r="O2128" t="str">
        <f>INDEX(Agences!$C:$C,MATCH(F2128,Agences!$A:$A,0))</f>
        <v>Sud-Ouest</v>
      </c>
      <c r="P2128" t="str">
        <f>INDEX(Produits!$C:$C,MATCH(H2128,Produits!$A:$A,0))</f>
        <v>Maintenance</v>
      </c>
      <c r="Q2128" s="3">
        <f>I2128*INDEX(Produits!$E:$E,MATCH(H2128,Produits!$A:$A,0))</f>
        <v>99</v>
      </c>
      <c r="R2128" s="3">
        <f>L2128-Q2128</f>
        <v>121</v>
      </c>
      <c r="S2128" s="2">
        <f>NETWORKDAYS(B2128,C2128)-1</f>
        <v>3</v>
      </c>
      <c r="T2128" s="1">
        <f>WORKDAY(B2128,5)</f>
        <v>45973</v>
      </c>
      <c r="U2128" t="b">
        <f>C2128&gt;T2128</f>
        <v>0</v>
      </c>
    </row>
    <row r="2129" spans="1:21" x14ac:dyDescent="0.25">
      <c r="A2129" t="s">
        <v>1474</v>
      </c>
      <c r="B2129" s="1">
        <v>45966</v>
      </c>
      <c r="C2129" s="1">
        <v>45971</v>
      </c>
      <c r="D2129" t="s">
        <v>654</v>
      </c>
      <c r="E2129" t="s">
        <v>87</v>
      </c>
      <c r="F2129" t="s">
        <v>88</v>
      </c>
      <c r="G2129" t="s">
        <v>89</v>
      </c>
      <c r="H2129" t="s">
        <v>83</v>
      </c>
      <c r="I2129" s="2">
        <v>3</v>
      </c>
      <c r="J2129" s="3">
        <v>49</v>
      </c>
      <c r="K2129" s="4">
        <v>0</v>
      </c>
      <c r="L2129" s="3">
        <v>147</v>
      </c>
      <c r="M2129" t="b">
        <v>1</v>
      </c>
      <c r="N2129" s="2">
        <f>YEAR(B2129)</f>
        <v>2025</v>
      </c>
      <c r="O2129" t="str">
        <f>INDEX(Agences!$C:$C,MATCH(F2129,Agences!$A:$A,0))</f>
        <v>Sud-Ouest</v>
      </c>
      <c r="P2129" t="str">
        <f>INDEX(Produits!$C:$C,MATCH(H2129,Produits!$A:$A,0))</f>
        <v>Mobilier</v>
      </c>
      <c r="Q2129" s="3">
        <f>I2129*INDEX(Produits!$E:$E,MATCH(H2129,Produits!$A:$A,0))</f>
        <v>85.26</v>
      </c>
      <c r="R2129" s="3">
        <f>L2129-Q2129</f>
        <v>61.739999999999995</v>
      </c>
      <c r="S2129" s="2">
        <f>NETWORKDAYS(B2129,C2129)-1</f>
        <v>3</v>
      </c>
      <c r="T2129" s="1">
        <f>WORKDAY(B2129,5)</f>
        <v>45973</v>
      </c>
      <c r="U2129" t="b">
        <f>C2129&gt;T2129</f>
        <v>0</v>
      </c>
    </row>
    <row r="2130" spans="1:21" x14ac:dyDescent="0.25">
      <c r="A2130" t="s">
        <v>1474</v>
      </c>
      <c r="B2130" s="1">
        <v>45966</v>
      </c>
      <c r="C2130" s="1">
        <v>45971</v>
      </c>
      <c r="D2130" t="s">
        <v>654</v>
      </c>
      <c r="E2130" t="s">
        <v>87</v>
      </c>
      <c r="F2130" t="s">
        <v>88</v>
      </c>
      <c r="G2130" t="s">
        <v>89</v>
      </c>
      <c r="H2130" t="s">
        <v>50</v>
      </c>
      <c r="I2130" s="2">
        <v>1</v>
      </c>
      <c r="J2130" s="3">
        <v>69</v>
      </c>
      <c r="K2130" s="4">
        <v>0.02</v>
      </c>
      <c r="L2130" s="3">
        <v>67.62</v>
      </c>
      <c r="M2130" t="b">
        <v>1</v>
      </c>
      <c r="N2130" s="2">
        <f>YEAR(B2130)</f>
        <v>2025</v>
      </c>
      <c r="O2130" t="str">
        <f>INDEX(Agences!$C:$C,MATCH(F2130,Agences!$A:$A,0))</f>
        <v>Sud-Ouest</v>
      </c>
      <c r="P2130" t="str">
        <f>INDEX(Produits!$C:$C,MATCH(H2130,Produits!$A:$A,0))</f>
        <v>Informatique</v>
      </c>
      <c r="Q2130" s="3">
        <f>I2130*INDEX(Produits!$E:$E,MATCH(H2130,Produits!$A:$A,0))</f>
        <v>54.51</v>
      </c>
      <c r="R2130" s="3">
        <f>L2130-Q2130</f>
        <v>13.110000000000007</v>
      </c>
      <c r="S2130" s="2">
        <f>NETWORKDAYS(B2130,C2130)-1</f>
        <v>3</v>
      </c>
      <c r="T2130" s="1">
        <f>WORKDAY(B2130,5)</f>
        <v>45973</v>
      </c>
      <c r="U2130" t="b">
        <f>C2130&gt;T2130</f>
        <v>0</v>
      </c>
    </row>
    <row r="2131" spans="1:21" x14ac:dyDescent="0.25">
      <c r="A2131" t="s">
        <v>1474</v>
      </c>
      <c r="B2131" s="1">
        <v>45966</v>
      </c>
      <c r="C2131" s="1">
        <v>45971</v>
      </c>
      <c r="D2131" t="s">
        <v>654</v>
      </c>
      <c r="E2131" t="s">
        <v>87</v>
      </c>
      <c r="F2131" t="s">
        <v>88</v>
      </c>
      <c r="G2131" t="s">
        <v>89</v>
      </c>
      <c r="H2131" t="s">
        <v>103</v>
      </c>
      <c r="I2131" s="2">
        <v>2</v>
      </c>
      <c r="J2131" s="3">
        <v>245</v>
      </c>
      <c r="K2131" s="4">
        <v>0</v>
      </c>
      <c r="L2131" s="3">
        <v>490</v>
      </c>
      <c r="M2131" t="b">
        <v>1</v>
      </c>
      <c r="N2131" s="2">
        <f>YEAR(B2131)</f>
        <v>2025</v>
      </c>
      <c r="O2131" t="str">
        <f>INDEX(Agences!$C:$C,MATCH(F2131,Agences!$A:$A,0))</f>
        <v>Sud-Ouest</v>
      </c>
      <c r="P2131" t="str">
        <f>INDEX(Produits!$C:$C,MATCH(H2131,Produits!$A:$A,0))</f>
        <v>Mobilier</v>
      </c>
      <c r="Q2131" s="3">
        <f>I2131*INDEX(Produits!$E:$E,MATCH(H2131,Produits!$A:$A,0))</f>
        <v>328.3</v>
      </c>
      <c r="R2131" s="3">
        <f>L2131-Q2131</f>
        <v>161.7</v>
      </c>
      <c r="S2131" s="2">
        <f>NETWORKDAYS(B2131,C2131)-1</f>
        <v>3</v>
      </c>
      <c r="T2131" s="1">
        <f>WORKDAY(B2131,5)</f>
        <v>45973</v>
      </c>
      <c r="U2131" t="b">
        <f>C2131&gt;T2131</f>
        <v>0</v>
      </c>
    </row>
    <row r="2132" spans="1:21" x14ac:dyDescent="0.25">
      <c r="A2132" t="s">
        <v>1474</v>
      </c>
      <c r="B2132" s="1">
        <v>45966</v>
      </c>
      <c r="C2132" s="1">
        <v>45971</v>
      </c>
      <c r="D2132" t="s">
        <v>654</v>
      </c>
      <c r="E2132" t="s">
        <v>87</v>
      </c>
      <c r="F2132" t="s">
        <v>88</v>
      </c>
      <c r="G2132" t="s">
        <v>89</v>
      </c>
      <c r="H2132" t="s">
        <v>162</v>
      </c>
      <c r="I2132" s="2">
        <v>2</v>
      </c>
      <c r="J2132" s="3">
        <v>289</v>
      </c>
      <c r="K2132" s="4">
        <v>0.05</v>
      </c>
      <c r="L2132" s="3">
        <v>549.1</v>
      </c>
      <c r="M2132" t="b">
        <v>1</v>
      </c>
      <c r="N2132" s="2">
        <f>YEAR(B2132)</f>
        <v>2025</v>
      </c>
      <c r="O2132" t="str">
        <f>INDEX(Agences!$C:$C,MATCH(F2132,Agences!$A:$A,0))</f>
        <v>Sud-Ouest</v>
      </c>
      <c r="P2132" t="str">
        <f>INDEX(Produits!$C:$C,MATCH(H2132,Produits!$A:$A,0))</f>
        <v>Mobilier</v>
      </c>
      <c r="Q2132" s="3">
        <f>I2132*INDEX(Produits!$E:$E,MATCH(H2132,Produits!$A:$A,0))</f>
        <v>387.26</v>
      </c>
      <c r="R2132" s="3">
        <f>L2132-Q2132</f>
        <v>161.84000000000003</v>
      </c>
      <c r="S2132" s="2">
        <f>NETWORKDAYS(B2132,C2132)-1</f>
        <v>3</v>
      </c>
      <c r="T2132" s="1">
        <f>WORKDAY(B2132,5)</f>
        <v>45973</v>
      </c>
      <c r="U2132" t="b">
        <f>C2132&gt;T2132</f>
        <v>0</v>
      </c>
    </row>
    <row r="2133" spans="1:21" x14ac:dyDescent="0.25">
      <c r="A2133" t="s">
        <v>1475</v>
      </c>
      <c r="B2133" s="1">
        <v>45966</v>
      </c>
      <c r="C2133" s="1">
        <v>45971</v>
      </c>
      <c r="D2133" t="s">
        <v>1476</v>
      </c>
      <c r="E2133" t="s">
        <v>45</v>
      </c>
      <c r="F2133" t="s">
        <v>46</v>
      </c>
      <c r="G2133" t="s">
        <v>47</v>
      </c>
      <c r="H2133" t="s">
        <v>90</v>
      </c>
      <c r="I2133" s="2">
        <v>10</v>
      </c>
      <c r="J2133" s="3">
        <v>22.9</v>
      </c>
      <c r="K2133" s="4">
        <v>0</v>
      </c>
      <c r="L2133" s="3">
        <v>229</v>
      </c>
      <c r="M2133" t="b">
        <v>1</v>
      </c>
      <c r="N2133" s="2">
        <f>YEAR(B2133)</f>
        <v>2025</v>
      </c>
      <c r="O2133" t="str">
        <f>INDEX(Agences!$C:$C,MATCH(F2133,Agences!$A:$A,0))</f>
        <v>Est</v>
      </c>
      <c r="P2133" t="str">
        <f>INDEX(Produits!$C:$C,MATCH(H2133,Produits!$A:$A,0))</f>
        <v>Fournitures</v>
      </c>
      <c r="Q2133" s="3">
        <f>I2133*INDEX(Produits!$E:$E,MATCH(H2133,Produits!$A:$A,0))</f>
        <v>128.2</v>
      </c>
      <c r="R2133" s="3">
        <f>L2133-Q2133</f>
        <v>100.80000000000001</v>
      </c>
      <c r="S2133" s="2">
        <f>NETWORKDAYS(B2133,C2133)-1</f>
        <v>3</v>
      </c>
      <c r="T2133" s="1">
        <f>WORKDAY(B2133,5)</f>
        <v>45973</v>
      </c>
      <c r="U2133" t="b">
        <f>C2133&gt;T2133</f>
        <v>0</v>
      </c>
    </row>
    <row r="2134" spans="1:21" x14ac:dyDescent="0.25">
      <c r="A2134" t="s">
        <v>1475</v>
      </c>
      <c r="B2134" s="1">
        <v>45966</v>
      </c>
      <c r="C2134" s="1">
        <v>45971</v>
      </c>
      <c r="D2134" t="s">
        <v>1476</v>
      </c>
      <c r="E2134" t="s">
        <v>45</v>
      </c>
      <c r="F2134" t="s">
        <v>46</v>
      </c>
      <c r="G2134" t="s">
        <v>47</v>
      </c>
      <c r="H2134" t="s">
        <v>196</v>
      </c>
      <c r="I2134" s="2">
        <v>5</v>
      </c>
      <c r="J2134" s="3">
        <v>18.5</v>
      </c>
      <c r="K2134" s="4">
        <v>0</v>
      </c>
      <c r="L2134" s="3">
        <v>92.5</v>
      </c>
      <c r="M2134" t="b">
        <v>1</v>
      </c>
      <c r="N2134" s="2">
        <f>YEAR(B2134)</f>
        <v>2025</v>
      </c>
      <c r="O2134" t="str">
        <f>INDEX(Agences!$C:$C,MATCH(F2134,Agences!$A:$A,0))</f>
        <v>Est</v>
      </c>
      <c r="P2134" t="str">
        <f>INDEX(Produits!$C:$C,MATCH(H2134,Produits!$A:$A,0))</f>
        <v>Fournitures</v>
      </c>
      <c r="Q2134" s="3">
        <f>I2134*INDEX(Produits!$E:$E,MATCH(H2134,Produits!$A:$A,0))</f>
        <v>47.199999999999996</v>
      </c>
      <c r="R2134" s="3">
        <f>L2134-Q2134</f>
        <v>45.300000000000004</v>
      </c>
      <c r="S2134" s="2">
        <f>NETWORKDAYS(B2134,C2134)-1</f>
        <v>3</v>
      </c>
      <c r="T2134" s="1">
        <f>WORKDAY(B2134,5)</f>
        <v>45973</v>
      </c>
      <c r="U2134" t="b">
        <f>C2134&gt;T2134</f>
        <v>0</v>
      </c>
    </row>
    <row r="2135" spans="1:21" x14ac:dyDescent="0.25">
      <c r="A2135" t="s">
        <v>1475</v>
      </c>
      <c r="B2135" s="1">
        <v>45966</v>
      </c>
      <c r="C2135" s="1">
        <v>45971</v>
      </c>
      <c r="D2135" t="s">
        <v>1476</v>
      </c>
      <c r="E2135" t="s">
        <v>45</v>
      </c>
      <c r="F2135" t="s">
        <v>46</v>
      </c>
      <c r="G2135" t="s">
        <v>47</v>
      </c>
      <c r="H2135" t="s">
        <v>84</v>
      </c>
      <c r="I2135" s="2">
        <v>1</v>
      </c>
      <c r="J2135" s="3">
        <v>420</v>
      </c>
      <c r="K2135" s="4">
        <v>0.05</v>
      </c>
      <c r="L2135" s="3">
        <v>399</v>
      </c>
      <c r="M2135" t="b">
        <v>1</v>
      </c>
      <c r="N2135" s="2">
        <f>YEAR(B2135)</f>
        <v>2025</v>
      </c>
      <c r="O2135" t="str">
        <f>INDEX(Agences!$C:$C,MATCH(F2135,Agences!$A:$A,0))</f>
        <v>Est</v>
      </c>
      <c r="P2135" t="str">
        <f>INDEX(Produits!$C:$C,MATCH(H2135,Produits!$A:$A,0))</f>
        <v>Mobilier</v>
      </c>
      <c r="Q2135" s="3">
        <f>I2135*INDEX(Produits!$E:$E,MATCH(H2135,Produits!$A:$A,0))</f>
        <v>243.6</v>
      </c>
      <c r="R2135" s="3">
        <f>L2135-Q2135</f>
        <v>155.4</v>
      </c>
      <c r="S2135" s="2">
        <f>NETWORKDAYS(B2135,C2135)-1</f>
        <v>3</v>
      </c>
      <c r="T2135" s="1">
        <f>WORKDAY(B2135,5)</f>
        <v>45973</v>
      </c>
      <c r="U2135" t="b">
        <f>C2135&gt;T2135</f>
        <v>0</v>
      </c>
    </row>
    <row r="2136" spans="1:21" x14ac:dyDescent="0.25">
      <c r="A2136" t="s">
        <v>1475</v>
      </c>
      <c r="B2136" s="1">
        <v>45966</v>
      </c>
      <c r="C2136" s="1">
        <v>45971</v>
      </c>
      <c r="D2136" t="s">
        <v>1476</v>
      </c>
      <c r="E2136" t="s">
        <v>45</v>
      </c>
      <c r="F2136" t="s">
        <v>46</v>
      </c>
      <c r="G2136" t="s">
        <v>47</v>
      </c>
      <c r="H2136" t="s">
        <v>123</v>
      </c>
      <c r="I2136" s="2">
        <v>10</v>
      </c>
      <c r="J2136" s="3">
        <v>39.9</v>
      </c>
      <c r="K2136" s="4">
        <v>0.02</v>
      </c>
      <c r="L2136" s="3">
        <v>391.02</v>
      </c>
      <c r="M2136" t="b">
        <v>1</v>
      </c>
      <c r="N2136" s="2">
        <f>YEAR(B2136)</f>
        <v>2025</v>
      </c>
      <c r="O2136" t="str">
        <f>INDEX(Agences!$C:$C,MATCH(F2136,Agences!$A:$A,0))</f>
        <v>Est</v>
      </c>
      <c r="P2136" t="str">
        <f>INDEX(Produits!$C:$C,MATCH(H2136,Produits!$A:$A,0))</f>
        <v>Fournitures</v>
      </c>
      <c r="Q2136" s="3">
        <f>I2136*INDEX(Produits!$E:$E,MATCH(H2136,Produits!$A:$A,0))</f>
        <v>223.4</v>
      </c>
      <c r="R2136" s="3">
        <f>L2136-Q2136</f>
        <v>167.61999999999998</v>
      </c>
      <c r="S2136" s="2">
        <f>NETWORKDAYS(B2136,C2136)-1</f>
        <v>3</v>
      </c>
      <c r="T2136" s="1">
        <f>WORKDAY(B2136,5)</f>
        <v>45973</v>
      </c>
      <c r="U2136" t="b">
        <f>C2136&gt;T2136</f>
        <v>0</v>
      </c>
    </row>
    <row r="2137" spans="1:21" x14ac:dyDescent="0.25">
      <c r="A2137" t="s">
        <v>1477</v>
      </c>
      <c r="B2137" s="1">
        <v>45966</v>
      </c>
      <c r="C2137" s="1">
        <v>45972</v>
      </c>
      <c r="D2137" t="s">
        <v>850</v>
      </c>
      <c r="E2137" t="s">
        <v>229</v>
      </c>
      <c r="F2137" t="s">
        <v>55</v>
      </c>
      <c r="G2137" t="s">
        <v>71</v>
      </c>
      <c r="H2137" t="s">
        <v>83</v>
      </c>
      <c r="I2137" s="2">
        <v>3</v>
      </c>
      <c r="J2137" s="3">
        <v>49</v>
      </c>
      <c r="K2137" s="4">
        <v>0.05</v>
      </c>
      <c r="L2137" s="3">
        <v>139.65</v>
      </c>
      <c r="M2137" t="b">
        <v>1</v>
      </c>
      <c r="N2137" s="2">
        <f>YEAR(B2137)</f>
        <v>2025</v>
      </c>
      <c r="O2137" t="str">
        <f>INDEX(Agences!$C:$C,MATCH(F2137,Agences!$A:$A,0))</f>
        <v>Est</v>
      </c>
      <c r="P2137" t="str">
        <f>INDEX(Produits!$C:$C,MATCH(H2137,Produits!$A:$A,0))</f>
        <v>Mobilier</v>
      </c>
      <c r="Q2137" s="3">
        <f>I2137*INDEX(Produits!$E:$E,MATCH(H2137,Produits!$A:$A,0))</f>
        <v>85.26</v>
      </c>
      <c r="R2137" s="3">
        <f>L2137-Q2137</f>
        <v>54.39</v>
      </c>
      <c r="S2137" s="2">
        <f>NETWORKDAYS(B2137,C2137)-1</f>
        <v>4</v>
      </c>
      <c r="T2137" s="1">
        <f>WORKDAY(B2137,5)</f>
        <v>45973</v>
      </c>
      <c r="U2137" t="b">
        <f>C2137&gt;T2137</f>
        <v>0</v>
      </c>
    </row>
    <row r="2138" spans="1:21" x14ac:dyDescent="0.25">
      <c r="A2138" t="s">
        <v>1477</v>
      </c>
      <c r="B2138" s="1">
        <v>45966</v>
      </c>
      <c r="C2138" s="1">
        <v>45972</v>
      </c>
      <c r="D2138" t="s">
        <v>850</v>
      </c>
      <c r="E2138" t="s">
        <v>229</v>
      </c>
      <c r="F2138" t="s">
        <v>55</v>
      </c>
      <c r="G2138" t="s">
        <v>71</v>
      </c>
      <c r="H2138" t="s">
        <v>27</v>
      </c>
      <c r="I2138" s="2">
        <v>1</v>
      </c>
      <c r="J2138" s="3">
        <v>310</v>
      </c>
      <c r="K2138" s="4">
        <v>0</v>
      </c>
      <c r="L2138" s="3">
        <v>310</v>
      </c>
      <c r="M2138" t="b">
        <v>1</v>
      </c>
      <c r="N2138" s="2">
        <f>YEAR(B2138)</f>
        <v>2025</v>
      </c>
      <c r="O2138" t="str">
        <f>INDEX(Agences!$C:$C,MATCH(F2138,Agences!$A:$A,0))</f>
        <v>Est</v>
      </c>
      <c r="P2138" t="str">
        <f>INDEX(Produits!$C:$C,MATCH(H2138,Produits!$A:$A,0))</f>
        <v>Mobilier</v>
      </c>
      <c r="Q2138" s="3">
        <f>I2138*INDEX(Produits!$E:$E,MATCH(H2138,Produits!$A:$A,0))</f>
        <v>186</v>
      </c>
      <c r="R2138" s="3">
        <f>L2138-Q2138</f>
        <v>124</v>
      </c>
      <c r="S2138" s="2">
        <f>NETWORKDAYS(B2138,C2138)-1</f>
        <v>4</v>
      </c>
      <c r="T2138" s="1">
        <f>WORKDAY(B2138,5)</f>
        <v>45973</v>
      </c>
      <c r="U2138" t="b">
        <f>C2138&gt;T2138</f>
        <v>0</v>
      </c>
    </row>
    <row r="2139" spans="1:21" x14ac:dyDescent="0.25">
      <c r="A2139" t="s">
        <v>1477</v>
      </c>
      <c r="B2139" s="1">
        <v>45966</v>
      </c>
      <c r="C2139" s="1">
        <v>45972</v>
      </c>
      <c r="D2139" t="s">
        <v>850</v>
      </c>
      <c r="E2139" t="s">
        <v>229</v>
      </c>
      <c r="F2139" t="s">
        <v>55</v>
      </c>
      <c r="G2139" t="s">
        <v>71</v>
      </c>
      <c r="H2139" t="s">
        <v>107</v>
      </c>
      <c r="I2139" s="2">
        <v>1</v>
      </c>
      <c r="J2139" s="3">
        <v>99</v>
      </c>
      <c r="K2139" s="4">
        <v>0</v>
      </c>
      <c r="L2139" s="3">
        <v>99</v>
      </c>
      <c r="M2139" t="b">
        <v>1</v>
      </c>
      <c r="N2139" s="2">
        <f>YEAR(B2139)</f>
        <v>2025</v>
      </c>
      <c r="O2139" t="str">
        <f>INDEX(Agences!$C:$C,MATCH(F2139,Agences!$A:$A,0))</f>
        <v>Est</v>
      </c>
      <c r="P2139" t="str">
        <f>INDEX(Produits!$C:$C,MATCH(H2139,Produits!$A:$A,0))</f>
        <v>Informatique</v>
      </c>
      <c r="Q2139" s="3">
        <f>I2139*INDEX(Produits!$E:$E,MATCH(H2139,Produits!$A:$A,0))</f>
        <v>75.24</v>
      </c>
      <c r="R2139" s="3">
        <f>L2139-Q2139</f>
        <v>23.760000000000005</v>
      </c>
      <c r="S2139" s="2">
        <f>NETWORKDAYS(B2139,C2139)-1</f>
        <v>4</v>
      </c>
      <c r="T2139" s="1">
        <f>WORKDAY(B2139,5)</f>
        <v>45973</v>
      </c>
      <c r="U2139" t="b">
        <f>C2139&gt;T2139</f>
        <v>0</v>
      </c>
    </row>
    <row r="2140" spans="1:21" x14ac:dyDescent="0.25">
      <c r="A2140" t="s">
        <v>1478</v>
      </c>
      <c r="B2140" s="1">
        <v>45965</v>
      </c>
      <c r="C2140" s="1">
        <v>45971</v>
      </c>
      <c r="D2140" t="s">
        <v>796</v>
      </c>
      <c r="E2140" t="s">
        <v>45</v>
      </c>
      <c r="F2140" t="s">
        <v>46</v>
      </c>
      <c r="G2140" t="s">
        <v>111</v>
      </c>
      <c r="H2140" t="s">
        <v>42</v>
      </c>
      <c r="I2140" s="2">
        <v>3</v>
      </c>
      <c r="J2140" s="3">
        <v>55</v>
      </c>
      <c r="K2140" s="4">
        <v>0</v>
      </c>
      <c r="L2140" s="3">
        <v>165</v>
      </c>
      <c r="M2140" t="b">
        <v>1</v>
      </c>
      <c r="N2140" s="2">
        <f>YEAR(B2140)</f>
        <v>2025</v>
      </c>
      <c r="O2140" t="str">
        <f>INDEX(Agences!$C:$C,MATCH(F2140,Agences!$A:$A,0))</f>
        <v>Est</v>
      </c>
      <c r="P2140" t="str">
        <f>INDEX(Produits!$C:$C,MATCH(H2140,Produits!$A:$A,0))</f>
        <v>Maintenance</v>
      </c>
      <c r="Q2140" s="3">
        <f>I2140*INDEX(Produits!$E:$E,MATCH(H2140,Produits!$A:$A,0))</f>
        <v>74.25</v>
      </c>
      <c r="R2140" s="3">
        <f>L2140-Q2140</f>
        <v>90.75</v>
      </c>
      <c r="S2140" s="2">
        <f>NETWORKDAYS(B2140,C2140)-1</f>
        <v>4</v>
      </c>
      <c r="T2140" s="1">
        <f>WORKDAY(B2140,5)</f>
        <v>45972</v>
      </c>
      <c r="U2140" t="b">
        <f>C2140&gt;T2140</f>
        <v>0</v>
      </c>
    </row>
    <row r="2141" spans="1:21" x14ac:dyDescent="0.25">
      <c r="A2141" t="s">
        <v>1478</v>
      </c>
      <c r="B2141" s="1">
        <v>45965</v>
      </c>
      <c r="C2141" s="1">
        <v>45971</v>
      </c>
      <c r="D2141" t="s">
        <v>796</v>
      </c>
      <c r="E2141" t="s">
        <v>45</v>
      </c>
      <c r="F2141" t="s">
        <v>46</v>
      </c>
      <c r="G2141" t="s">
        <v>111</v>
      </c>
      <c r="H2141" t="s">
        <v>64</v>
      </c>
      <c r="I2141" s="2">
        <v>5</v>
      </c>
      <c r="J2141" s="3">
        <v>16.8</v>
      </c>
      <c r="K2141" s="4">
        <v>0.08</v>
      </c>
      <c r="L2141" s="3">
        <v>77.28</v>
      </c>
      <c r="M2141" t="b">
        <v>1</v>
      </c>
      <c r="N2141" s="2">
        <f>YEAR(B2141)</f>
        <v>2025</v>
      </c>
      <c r="O2141" t="str">
        <f>INDEX(Agences!$C:$C,MATCH(F2141,Agences!$A:$A,0))</f>
        <v>Est</v>
      </c>
      <c r="P2141" t="str">
        <f>INDEX(Produits!$C:$C,MATCH(H2141,Produits!$A:$A,0))</f>
        <v>Fournitures</v>
      </c>
      <c r="Q2141" s="3">
        <f>I2141*INDEX(Produits!$E:$E,MATCH(H2141,Produits!$A:$A,0))</f>
        <v>43.7</v>
      </c>
      <c r="R2141" s="3">
        <f>L2141-Q2141</f>
        <v>33.58</v>
      </c>
      <c r="S2141" s="2">
        <f>NETWORKDAYS(B2141,C2141)-1</f>
        <v>4</v>
      </c>
      <c r="T2141" s="1">
        <f>WORKDAY(B2141,5)</f>
        <v>45972</v>
      </c>
      <c r="U2141" t="b">
        <f>C2141&gt;T2141</f>
        <v>0</v>
      </c>
    </row>
    <row r="2142" spans="1:21" x14ac:dyDescent="0.25">
      <c r="A2142" t="s">
        <v>1478</v>
      </c>
      <c r="B2142" s="1">
        <v>45965</v>
      </c>
      <c r="C2142" s="1">
        <v>45971</v>
      </c>
      <c r="D2142" t="s">
        <v>796</v>
      </c>
      <c r="E2142" t="s">
        <v>45</v>
      </c>
      <c r="F2142" t="s">
        <v>46</v>
      </c>
      <c r="G2142" t="s">
        <v>111</v>
      </c>
      <c r="H2142" t="s">
        <v>34</v>
      </c>
      <c r="I2142" s="2">
        <v>4</v>
      </c>
      <c r="J2142" s="3">
        <v>340</v>
      </c>
      <c r="K2142" s="4">
        <v>0.02</v>
      </c>
      <c r="L2142" s="3">
        <v>1332.8</v>
      </c>
      <c r="M2142" t="b">
        <v>1</v>
      </c>
      <c r="N2142" s="2">
        <f>YEAR(B2142)</f>
        <v>2025</v>
      </c>
      <c r="O2142" t="str">
        <f>INDEX(Agences!$C:$C,MATCH(F2142,Agences!$A:$A,0))</f>
        <v>Est</v>
      </c>
      <c r="P2142" t="str">
        <f>INDEX(Produits!$C:$C,MATCH(H2142,Produits!$A:$A,0))</f>
        <v>Informatique</v>
      </c>
      <c r="Q2142" s="3">
        <f>I2142*INDEX(Produits!$E:$E,MATCH(H2142,Produits!$A:$A,0))</f>
        <v>1101.6</v>
      </c>
      <c r="R2142" s="3">
        <f>L2142-Q2142</f>
        <v>231.20000000000005</v>
      </c>
      <c r="S2142" s="2">
        <f>NETWORKDAYS(B2142,C2142)-1</f>
        <v>4</v>
      </c>
      <c r="T2142" s="1">
        <f>WORKDAY(B2142,5)</f>
        <v>45972</v>
      </c>
      <c r="U2142" t="b">
        <f>C2142&gt;T2142</f>
        <v>0</v>
      </c>
    </row>
    <row r="2143" spans="1:21" x14ac:dyDescent="0.25">
      <c r="A2143" t="s">
        <v>1479</v>
      </c>
      <c r="B2143" s="1">
        <v>45964</v>
      </c>
      <c r="C2143" s="1">
        <v>45966</v>
      </c>
      <c r="D2143" t="s">
        <v>787</v>
      </c>
      <c r="E2143" t="s">
        <v>23</v>
      </c>
      <c r="F2143" t="s">
        <v>24</v>
      </c>
      <c r="G2143" t="s">
        <v>116</v>
      </c>
      <c r="H2143" t="s">
        <v>206</v>
      </c>
      <c r="I2143" s="2">
        <v>5</v>
      </c>
      <c r="J2143" s="3">
        <v>34</v>
      </c>
      <c r="K2143" s="4">
        <v>0</v>
      </c>
      <c r="L2143" s="3">
        <v>170</v>
      </c>
      <c r="M2143" t="b">
        <v>1</v>
      </c>
      <c r="N2143" s="2">
        <f>YEAR(B2143)</f>
        <v>2025</v>
      </c>
      <c r="O2143" t="str">
        <f>INDEX(Agences!$C:$C,MATCH(F2143,Agences!$A:$A,0))</f>
        <v>Nord</v>
      </c>
      <c r="P2143" t="str">
        <f>INDEX(Produits!$C:$C,MATCH(H2143,Produits!$A:$A,0))</f>
        <v>Fournitures</v>
      </c>
      <c r="Q2143" s="3">
        <f>I2143*INDEX(Produits!$E:$E,MATCH(H2143,Produits!$A:$A,0))</f>
        <v>96.89999999999999</v>
      </c>
      <c r="R2143" s="3">
        <f>L2143-Q2143</f>
        <v>73.10000000000001</v>
      </c>
      <c r="S2143" s="2">
        <f>NETWORKDAYS(B2143,C2143)-1</f>
        <v>2</v>
      </c>
      <c r="T2143" s="1">
        <f>WORKDAY(B2143,5)</f>
        <v>45971</v>
      </c>
      <c r="U2143" t="b">
        <f>C2143&gt;T2143</f>
        <v>0</v>
      </c>
    </row>
    <row r="2144" spans="1:21" x14ac:dyDescent="0.25">
      <c r="A2144" t="s">
        <v>1479</v>
      </c>
      <c r="B2144" s="1">
        <v>45964</v>
      </c>
      <c r="C2144" s="1">
        <v>45966</v>
      </c>
      <c r="D2144" t="s">
        <v>787</v>
      </c>
      <c r="E2144" t="s">
        <v>23</v>
      </c>
      <c r="F2144" t="s">
        <v>24</v>
      </c>
      <c r="G2144" t="s">
        <v>116</v>
      </c>
      <c r="H2144" t="s">
        <v>233</v>
      </c>
      <c r="I2144" s="2">
        <v>5</v>
      </c>
      <c r="J2144" s="3">
        <v>27.5</v>
      </c>
      <c r="K2144" s="4">
        <v>0.08</v>
      </c>
      <c r="L2144" s="3">
        <v>126.5</v>
      </c>
      <c r="M2144" t="b">
        <v>1</v>
      </c>
      <c r="N2144" s="2">
        <f>YEAR(B2144)</f>
        <v>2025</v>
      </c>
      <c r="O2144" t="str">
        <f>INDEX(Agences!$C:$C,MATCH(F2144,Agences!$A:$A,0))</f>
        <v>Nord</v>
      </c>
      <c r="P2144" t="str">
        <f>INDEX(Produits!$C:$C,MATCH(H2144,Produits!$A:$A,0))</f>
        <v>Fournitures</v>
      </c>
      <c r="Q2144" s="3">
        <f>I2144*INDEX(Produits!$E:$E,MATCH(H2144,Produits!$A:$A,0))</f>
        <v>77</v>
      </c>
      <c r="R2144" s="3">
        <f>L2144-Q2144</f>
        <v>49.5</v>
      </c>
      <c r="S2144" s="2">
        <f>NETWORKDAYS(B2144,C2144)-1</f>
        <v>2</v>
      </c>
      <c r="T2144" s="1">
        <f>WORKDAY(B2144,5)</f>
        <v>45971</v>
      </c>
      <c r="U2144" t="b">
        <f>C2144&gt;T2144</f>
        <v>0</v>
      </c>
    </row>
    <row r="2145" spans="1:21" x14ac:dyDescent="0.25">
      <c r="A2145" t="s">
        <v>1480</v>
      </c>
      <c r="B2145" s="1">
        <v>45964</v>
      </c>
      <c r="C2145" s="1">
        <v>45967</v>
      </c>
      <c r="D2145" t="s">
        <v>1481</v>
      </c>
      <c r="E2145" t="s">
        <v>75</v>
      </c>
      <c r="F2145" t="s">
        <v>76</v>
      </c>
      <c r="G2145" t="s">
        <v>232</v>
      </c>
      <c r="H2145" t="s">
        <v>49</v>
      </c>
      <c r="I2145" s="2">
        <v>1</v>
      </c>
      <c r="J2145" s="3">
        <v>120</v>
      </c>
      <c r="K2145" s="4">
        <v>0.08</v>
      </c>
      <c r="L2145" s="3">
        <v>110.4</v>
      </c>
      <c r="M2145" t="b">
        <v>1</v>
      </c>
      <c r="N2145" s="2">
        <f>YEAR(B2145)</f>
        <v>2025</v>
      </c>
      <c r="O2145" t="str">
        <f>INDEX(Agences!$C:$C,MATCH(F2145,Agences!$A:$A,0))</f>
        <v>Île-de-France</v>
      </c>
      <c r="P2145" t="str">
        <f>INDEX(Produits!$C:$C,MATCH(H2145,Produits!$A:$A,0))</f>
        <v>Maintenance</v>
      </c>
      <c r="Q2145" s="3">
        <f>I2145*INDEX(Produits!$E:$E,MATCH(H2145,Produits!$A:$A,0))</f>
        <v>55.2</v>
      </c>
      <c r="R2145" s="3">
        <f>L2145-Q2145</f>
        <v>55.2</v>
      </c>
      <c r="S2145" s="2">
        <f>NETWORKDAYS(B2145,C2145)-1</f>
        <v>3</v>
      </c>
      <c r="T2145" s="1">
        <f>WORKDAY(B2145,5)</f>
        <v>45971</v>
      </c>
      <c r="U2145" t="b">
        <f>C2145&gt;T2145</f>
        <v>0</v>
      </c>
    </row>
    <row r="2146" spans="1:21" x14ac:dyDescent="0.25">
      <c r="A2146" t="s">
        <v>1480</v>
      </c>
      <c r="B2146" s="1">
        <v>45964</v>
      </c>
      <c r="C2146" s="1">
        <v>45967</v>
      </c>
      <c r="D2146" t="s">
        <v>1481</v>
      </c>
      <c r="E2146" t="s">
        <v>75</v>
      </c>
      <c r="F2146" t="s">
        <v>76</v>
      </c>
      <c r="G2146" t="s">
        <v>232</v>
      </c>
      <c r="H2146" t="s">
        <v>196</v>
      </c>
      <c r="I2146" s="2">
        <v>5</v>
      </c>
      <c r="J2146" s="3">
        <v>18.5</v>
      </c>
      <c r="K2146" s="4">
        <v>0</v>
      </c>
      <c r="L2146" s="3">
        <v>92.5</v>
      </c>
      <c r="M2146" t="b">
        <v>1</v>
      </c>
      <c r="N2146" s="2">
        <f>YEAR(B2146)</f>
        <v>2025</v>
      </c>
      <c r="O2146" t="str">
        <f>INDEX(Agences!$C:$C,MATCH(F2146,Agences!$A:$A,0))</f>
        <v>Île-de-France</v>
      </c>
      <c r="P2146" t="str">
        <f>INDEX(Produits!$C:$C,MATCH(H2146,Produits!$A:$A,0))</f>
        <v>Fournitures</v>
      </c>
      <c r="Q2146" s="3">
        <f>I2146*INDEX(Produits!$E:$E,MATCH(H2146,Produits!$A:$A,0))</f>
        <v>47.199999999999996</v>
      </c>
      <c r="R2146" s="3">
        <f>L2146-Q2146</f>
        <v>45.300000000000004</v>
      </c>
      <c r="S2146" s="2">
        <f>NETWORKDAYS(B2146,C2146)-1</f>
        <v>3</v>
      </c>
      <c r="T2146" s="1">
        <f>WORKDAY(B2146,5)</f>
        <v>45971</v>
      </c>
      <c r="U2146" t="b">
        <f>C2146&gt;T2146</f>
        <v>0</v>
      </c>
    </row>
    <row r="2147" spans="1:21" x14ac:dyDescent="0.25">
      <c r="A2147" t="s">
        <v>1482</v>
      </c>
      <c r="B2147" s="1">
        <v>45964</v>
      </c>
      <c r="C2147" s="1">
        <v>45971</v>
      </c>
      <c r="D2147" t="s">
        <v>1399</v>
      </c>
      <c r="E2147" t="s">
        <v>270</v>
      </c>
      <c r="F2147" t="s">
        <v>76</v>
      </c>
      <c r="G2147" t="s">
        <v>232</v>
      </c>
      <c r="H2147" t="s">
        <v>58</v>
      </c>
      <c r="I2147" s="2">
        <v>2</v>
      </c>
      <c r="J2147" s="3">
        <v>649</v>
      </c>
      <c r="K2147" s="4">
        <v>0.1</v>
      </c>
      <c r="L2147" s="3">
        <v>1168.2</v>
      </c>
      <c r="M2147" t="b">
        <v>1</v>
      </c>
      <c r="N2147" s="2">
        <f>YEAR(B2147)</f>
        <v>2025</v>
      </c>
      <c r="O2147" t="str">
        <f>INDEX(Agences!$C:$C,MATCH(F2147,Agences!$A:$A,0))</f>
        <v>Île-de-France</v>
      </c>
      <c r="P2147" t="str">
        <f>INDEX(Produits!$C:$C,MATCH(H2147,Produits!$A:$A,0))</f>
        <v>Mobilier</v>
      </c>
      <c r="Q2147" s="3">
        <f>I2147*INDEX(Produits!$E:$E,MATCH(H2147,Produits!$A:$A,0))</f>
        <v>817.74</v>
      </c>
      <c r="R2147" s="3">
        <f>L2147-Q2147</f>
        <v>350.46000000000004</v>
      </c>
      <c r="S2147" s="2">
        <f>NETWORKDAYS(B2147,C2147)-1</f>
        <v>5</v>
      </c>
      <c r="T2147" s="1">
        <f>WORKDAY(B2147,5)</f>
        <v>45971</v>
      </c>
      <c r="U2147" t="b">
        <f>C2147&gt;T2147</f>
        <v>0</v>
      </c>
    </row>
    <row r="2148" spans="1:21" x14ac:dyDescent="0.25">
      <c r="A2148" t="s">
        <v>1483</v>
      </c>
      <c r="B2148" s="1">
        <v>45964</v>
      </c>
      <c r="C2148" s="1">
        <v>45966</v>
      </c>
      <c r="D2148" t="s">
        <v>178</v>
      </c>
      <c r="E2148" t="s">
        <v>165</v>
      </c>
      <c r="F2148" t="s">
        <v>166</v>
      </c>
      <c r="G2148" t="s">
        <v>248</v>
      </c>
      <c r="H2148" t="s">
        <v>48</v>
      </c>
      <c r="I2148" s="2">
        <v>2</v>
      </c>
      <c r="J2148" s="3">
        <v>165</v>
      </c>
      <c r="K2148" s="4">
        <v>0.08</v>
      </c>
      <c r="L2148" s="3">
        <v>303.6</v>
      </c>
      <c r="M2148" t="b">
        <v>1</v>
      </c>
      <c r="N2148" s="2">
        <f>YEAR(B2148)</f>
        <v>2025</v>
      </c>
      <c r="O2148" t="str">
        <f>INDEX(Agences!$C:$C,MATCH(F2148,Agences!$A:$A,0))</f>
        <v>Ouest</v>
      </c>
      <c r="P2148" t="str">
        <f>INDEX(Produits!$C:$C,MATCH(H2148,Produits!$A:$A,0))</f>
        <v>Mobilier</v>
      </c>
      <c r="Q2148" s="3">
        <f>I2148*INDEX(Produits!$E:$E,MATCH(H2148,Produits!$A:$A,0))</f>
        <v>214.5</v>
      </c>
      <c r="R2148" s="3">
        <f>L2148-Q2148</f>
        <v>89.10000000000002</v>
      </c>
      <c r="S2148" s="2">
        <f>NETWORKDAYS(B2148,C2148)-1</f>
        <v>2</v>
      </c>
      <c r="T2148" s="1">
        <f>WORKDAY(B2148,5)</f>
        <v>45971</v>
      </c>
      <c r="U2148" t="b">
        <f>C2148&gt;T2148</f>
        <v>0</v>
      </c>
    </row>
    <row r="2149" spans="1:21" x14ac:dyDescent="0.25">
      <c r="A2149" t="s">
        <v>1483</v>
      </c>
      <c r="B2149" s="1">
        <v>45964</v>
      </c>
      <c r="C2149" s="1">
        <v>45966</v>
      </c>
      <c r="D2149" t="s">
        <v>178</v>
      </c>
      <c r="E2149" t="s">
        <v>165</v>
      </c>
      <c r="F2149" t="s">
        <v>166</v>
      </c>
      <c r="G2149" t="s">
        <v>248</v>
      </c>
      <c r="H2149" t="s">
        <v>42</v>
      </c>
      <c r="I2149" s="2">
        <v>1</v>
      </c>
      <c r="J2149" s="3">
        <v>55</v>
      </c>
      <c r="K2149" s="4">
        <v>0.05</v>
      </c>
      <c r="L2149" s="3">
        <v>52.25</v>
      </c>
      <c r="M2149" t="b">
        <v>1</v>
      </c>
      <c r="N2149" s="2">
        <f>YEAR(B2149)</f>
        <v>2025</v>
      </c>
      <c r="O2149" t="str">
        <f>INDEX(Agences!$C:$C,MATCH(F2149,Agences!$A:$A,0))</f>
        <v>Ouest</v>
      </c>
      <c r="P2149" t="str">
        <f>INDEX(Produits!$C:$C,MATCH(H2149,Produits!$A:$A,0))</f>
        <v>Maintenance</v>
      </c>
      <c r="Q2149" s="3">
        <f>I2149*INDEX(Produits!$E:$E,MATCH(H2149,Produits!$A:$A,0))</f>
        <v>24.75</v>
      </c>
      <c r="R2149" s="3">
        <f>L2149-Q2149</f>
        <v>27.5</v>
      </c>
      <c r="S2149" s="2">
        <f>NETWORKDAYS(B2149,C2149)-1</f>
        <v>2</v>
      </c>
      <c r="T2149" s="1">
        <f>WORKDAY(B2149,5)</f>
        <v>45971</v>
      </c>
      <c r="U2149" t="b">
        <f>C2149&gt;T2149</f>
        <v>0</v>
      </c>
    </row>
    <row r="2150" spans="1:21" x14ac:dyDescent="0.25">
      <c r="A2150" t="s">
        <v>1483</v>
      </c>
      <c r="B2150" s="1">
        <v>45964</v>
      </c>
      <c r="C2150" s="1">
        <v>45966</v>
      </c>
      <c r="D2150" t="s">
        <v>178</v>
      </c>
      <c r="E2150" t="s">
        <v>165</v>
      </c>
      <c r="F2150" t="s">
        <v>166</v>
      </c>
      <c r="G2150" t="s">
        <v>248</v>
      </c>
      <c r="H2150" t="s">
        <v>49</v>
      </c>
      <c r="I2150" s="2">
        <v>1</v>
      </c>
      <c r="J2150" s="3">
        <v>120</v>
      </c>
      <c r="K2150" s="4">
        <v>0.05</v>
      </c>
      <c r="L2150" s="3">
        <v>114</v>
      </c>
      <c r="M2150" t="b">
        <v>1</v>
      </c>
      <c r="N2150" s="2">
        <f>YEAR(B2150)</f>
        <v>2025</v>
      </c>
      <c r="O2150" t="str">
        <f>INDEX(Agences!$C:$C,MATCH(F2150,Agences!$A:$A,0))</f>
        <v>Ouest</v>
      </c>
      <c r="P2150" t="str">
        <f>INDEX(Produits!$C:$C,MATCH(H2150,Produits!$A:$A,0))</f>
        <v>Maintenance</v>
      </c>
      <c r="Q2150" s="3">
        <f>I2150*INDEX(Produits!$E:$E,MATCH(H2150,Produits!$A:$A,0))</f>
        <v>55.2</v>
      </c>
      <c r="R2150" s="3">
        <f>L2150-Q2150</f>
        <v>58.8</v>
      </c>
      <c r="S2150" s="2">
        <f>NETWORKDAYS(B2150,C2150)-1</f>
        <v>2</v>
      </c>
      <c r="T2150" s="1">
        <f>WORKDAY(B2150,5)</f>
        <v>45971</v>
      </c>
      <c r="U2150" t="b">
        <f>C2150&gt;T2150</f>
        <v>0</v>
      </c>
    </row>
    <row r="2151" spans="1:21" x14ac:dyDescent="0.25">
      <c r="A2151" t="s">
        <v>1483</v>
      </c>
      <c r="B2151" s="1">
        <v>45964</v>
      </c>
      <c r="C2151" s="1">
        <v>45966</v>
      </c>
      <c r="D2151" t="s">
        <v>178</v>
      </c>
      <c r="E2151" t="s">
        <v>165</v>
      </c>
      <c r="F2151" t="s">
        <v>166</v>
      </c>
      <c r="G2151" t="s">
        <v>248</v>
      </c>
      <c r="H2151" t="s">
        <v>58</v>
      </c>
      <c r="I2151" s="2">
        <v>1</v>
      </c>
      <c r="J2151" s="3">
        <v>649</v>
      </c>
      <c r="K2151" s="4">
        <v>0.05</v>
      </c>
      <c r="L2151" s="3">
        <v>616.55</v>
      </c>
      <c r="M2151" t="b">
        <v>1</v>
      </c>
      <c r="N2151" s="2">
        <f>YEAR(B2151)</f>
        <v>2025</v>
      </c>
      <c r="O2151" t="str">
        <f>INDEX(Agences!$C:$C,MATCH(F2151,Agences!$A:$A,0))</f>
        <v>Ouest</v>
      </c>
      <c r="P2151" t="str">
        <f>INDEX(Produits!$C:$C,MATCH(H2151,Produits!$A:$A,0))</f>
        <v>Mobilier</v>
      </c>
      <c r="Q2151" s="3">
        <f>I2151*INDEX(Produits!$E:$E,MATCH(H2151,Produits!$A:$A,0))</f>
        <v>408.87</v>
      </c>
      <c r="R2151" s="3">
        <f>L2151-Q2151</f>
        <v>207.67999999999995</v>
      </c>
      <c r="S2151" s="2">
        <f>NETWORKDAYS(B2151,C2151)-1</f>
        <v>2</v>
      </c>
      <c r="T2151" s="1">
        <f>WORKDAY(B2151,5)</f>
        <v>45971</v>
      </c>
      <c r="U2151" t="b">
        <f>C2151&gt;T2151</f>
        <v>0</v>
      </c>
    </row>
    <row r="2152" spans="1:21" x14ac:dyDescent="0.25">
      <c r="A2152" t="s">
        <v>1483</v>
      </c>
      <c r="B2152" s="1">
        <v>45964</v>
      </c>
      <c r="C2152" s="1">
        <v>45966</v>
      </c>
      <c r="D2152" t="s">
        <v>178</v>
      </c>
      <c r="E2152" t="s">
        <v>165</v>
      </c>
      <c r="F2152" t="s">
        <v>166</v>
      </c>
      <c r="G2152" t="s">
        <v>248</v>
      </c>
      <c r="H2152" t="s">
        <v>26</v>
      </c>
      <c r="I2152" s="2">
        <v>1</v>
      </c>
      <c r="J2152" s="3">
        <v>290</v>
      </c>
      <c r="K2152" s="4">
        <v>0.02</v>
      </c>
      <c r="L2152" s="3">
        <v>284.2</v>
      </c>
      <c r="M2152" t="b">
        <v>1</v>
      </c>
      <c r="N2152" s="2">
        <f>YEAR(B2152)</f>
        <v>2025</v>
      </c>
      <c r="O2152" t="str">
        <f>INDEX(Agences!$C:$C,MATCH(F2152,Agences!$A:$A,0))</f>
        <v>Ouest</v>
      </c>
      <c r="P2152" t="str">
        <f>INDEX(Produits!$C:$C,MATCH(H2152,Produits!$A:$A,0))</f>
        <v>Maintenance</v>
      </c>
      <c r="Q2152" s="3">
        <f>I2152*INDEX(Produits!$E:$E,MATCH(H2152,Produits!$A:$A,0))</f>
        <v>139.2</v>
      </c>
      <c r="R2152" s="3">
        <f>L2152-Q2152</f>
        <v>145</v>
      </c>
      <c r="S2152" s="2">
        <f>NETWORKDAYS(B2152,C2152)-1</f>
        <v>2</v>
      </c>
      <c r="T2152" s="1">
        <f>WORKDAY(B2152,5)</f>
        <v>45971</v>
      </c>
      <c r="U2152" t="b">
        <f>C2152&gt;T2152</f>
        <v>0</v>
      </c>
    </row>
    <row r="2153" spans="1:21" x14ac:dyDescent="0.25">
      <c r="A2153" t="s">
        <v>1484</v>
      </c>
      <c r="B2153" s="1">
        <v>45964</v>
      </c>
      <c r="C2153" s="1">
        <v>45966</v>
      </c>
      <c r="D2153" t="s">
        <v>188</v>
      </c>
      <c r="E2153" t="s">
        <v>30</v>
      </c>
      <c r="F2153" t="s">
        <v>31</v>
      </c>
      <c r="G2153" t="s">
        <v>186</v>
      </c>
      <c r="H2153" t="s">
        <v>83</v>
      </c>
      <c r="I2153" s="2">
        <v>1</v>
      </c>
      <c r="J2153" s="3">
        <v>49</v>
      </c>
      <c r="K2153" s="4">
        <v>0.02</v>
      </c>
      <c r="L2153" s="3">
        <v>48.02</v>
      </c>
      <c r="M2153" t="b">
        <v>1</v>
      </c>
      <c r="N2153" s="2">
        <f>YEAR(B2153)</f>
        <v>2025</v>
      </c>
      <c r="O2153" t="str">
        <f>INDEX(Agences!$C:$C,MATCH(F2153,Agences!$A:$A,0))</f>
        <v>Ouest</v>
      </c>
      <c r="P2153" t="str">
        <f>INDEX(Produits!$C:$C,MATCH(H2153,Produits!$A:$A,0))</f>
        <v>Mobilier</v>
      </c>
      <c r="Q2153" s="3">
        <f>I2153*INDEX(Produits!$E:$E,MATCH(H2153,Produits!$A:$A,0))</f>
        <v>28.42</v>
      </c>
      <c r="R2153" s="3">
        <f>L2153-Q2153</f>
        <v>19.6</v>
      </c>
      <c r="S2153" s="2">
        <f>NETWORKDAYS(B2153,C2153)-1</f>
        <v>2</v>
      </c>
      <c r="T2153" s="1">
        <f>WORKDAY(B2153,5)</f>
        <v>45971</v>
      </c>
      <c r="U2153" t="b">
        <f>C2153&gt;T2153</f>
        <v>0</v>
      </c>
    </row>
    <row r="2154" spans="1:21" x14ac:dyDescent="0.25">
      <c r="A2154" t="s">
        <v>1484</v>
      </c>
      <c r="B2154" s="1">
        <v>45964</v>
      </c>
      <c r="C2154" s="1">
        <v>45966</v>
      </c>
      <c r="D2154" t="s">
        <v>188</v>
      </c>
      <c r="E2154" t="s">
        <v>30</v>
      </c>
      <c r="F2154" t="s">
        <v>31</v>
      </c>
      <c r="G2154" t="s">
        <v>186</v>
      </c>
      <c r="H2154" t="s">
        <v>161</v>
      </c>
      <c r="I2154" s="2">
        <v>5</v>
      </c>
      <c r="J2154" s="3">
        <v>32</v>
      </c>
      <c r="K2154" s="4">
        <v>0</v>
      </c>
      <c r="L2154" s="3">
        <v>160</v>
      </c>
      <c r="M2154" t="b">
        <v>1</v>
      </c>
      <c r="N2154" s="2">
        <f>YEAR(B2154)</f>
        <v>2025</v>
      </c>
      <c r="O2154" t="str">
        <f>INDEX(Agences!$C:$C,MATCH(F2154,Agences!$A:$A,0))</f>
        <v>Ouest</v>
      </c>
      <c r="P2154" t="str">
        <f>INDEX(Produits!$C:$C,MATCH(H2154,Produits!$A:$A,0))</f>
        <v>Fournitures</v>
      </c>
      <c r="Q2154" s="3">
        <f>I2154*INDEX(Produits!$E:$E,MATCH(H2154,Produits!$A:$A,0))</f>
        <v>88</v>
      </c>
      <c r="R2154" s="3">
        <f>L2154-Q2154</f>
        <v>72</v>
      </c>
      <c r="S2154" s="2">
        <f>NETWORKDAYS(B2154,C2154)-1</f>
        <v>2</v>
      </c>
      <c r="T2154" s="1">
        <f>WORKDAY(B2154,5)</f>
        <v>45971</v>
      </c>
      <c r="U2154" t="b">
        <f>C2154&gt;T2154</f>
        <v>0</v>
      </c>
    </row>
    <row r="2155" spans="1:21" x14ac:dyDescent="0.25">
      <c r="A2155" t="s">
        <v>1484</v>
      </c>
      <c r="B2155" s="1">
        <v>45964</v>
      </c>
      <c r="C2155" s="1">
        <v>45966</v>
      </c>
      <c r="D2155" t="s">
        <v>188</v>
      </c>
      <c r="E2155" t="s">
        <v>30</v>
      </c>
      <c r="F2155" t="s">
        <v>31</v>
      </c>
      <c r="G2155" t="s">
        <v>186</v>
      </c>
      <c r="H2155" t="s">
        <v>49</v>
      </c>
      <c r="I2155" s="2">
        <v>1</v>
      </c>
      <c r="J2155" s="3">
        <v>120</v>
      </c>
      <c r="K2155" s="4">
        <v>0.05</v>
      </c>
      <c r="L2155" s="3">
        <v>114</v>
      </c>
      <c r="M2155" t="b">
        <v>1</v>
      </c>
      <c r="N2155" s="2">
        <f>YEAR(B2155)</f>
        <v>2025</v>
      </c>
      <c r="O2155" t="str">
        <f>INDEX(Agences!$C:$C,MATCH(F2155,Agences!$A:$A,0))</f>
        <v>Ouest</v>
      </c>
      <c r="P2155" t="str">
        <f>INDEX(Produits!$C:$C,MATCH(H2155,Produits!$A:$A,0))</f>
        <v>Maintenance</v>
      </c>
      <c r="Q2155" s="3">
        <f>I2155*INDEX(Produits!$E:$E,MATCH(H2155,Produits!$A:$A,0))</f>
        <v>55.2</v>
      </c>
      <c r="R2155" s="3">
        <f>L2155-Q2155</f>
        <v>58.8</v>
      </c>
      <c r="S2155" s="2">
        <f>NETWORKDAYS(B2155,C2155)-1</f>
        <v>2</v>
      </c>
      <c r="T2155" s="1">
        <f>WORKDAY(B2155,5)</f>
        <v>45971</v>
      </c>
      <c r="U2155" t="b">
        <f>C2155&gt;T2155</f>
        <v>0</v>
      </c>
    </row>
    <row r="2156" spans="1:21" x14ac:dyDescent="0.25">
      <c r="A2156" t="s">
        <v>1484</v>
      </c>
      <c r="B2156" s="1">
        <v>45964</v>
      </c>
      <c r="C2156" s="1">
        <v>45966</v>
      </c>
      <c r="D2156" t="s">
        <v>188</v>
      </c>
      <c r="E2156" t="s">
        <v>30</v>
      </c>
      <c r="F2156" t="s">
        <v>31</v>
      </c>
      <c r="G2156" t="s">
        <v>186</v>
      </c>
      <c r="H2156" t="s">
        <v>319</v>
      </c>
      <c r="I2156" s="2">
        <v>3</v>
      </c>
      <c r="J2156" s="3">
        <v>289</v>
      </c>
      <c r="K2156" s="4">
        <v>0.02</v>
      </c>
      <c r="L2156" s="3">
        <v>849.66</v>
      </c>
      <c r="M2156" t="b">
        <v>1</v>
      </c>
      <c r="N2156" s="2">
        <f>YEAR(B2156)</f>
        <v>2025</v>
      </c>
      <c r="O2156" t="str">
        <f>INDEX(Agences!$C:$C,MATCH(F2156,Agences!$A:$A,0))</f>
        <v>Ouest</v>
      </c>
      <c r="P2156" t="str">
        <f>INDEX(Produits!$C:$C,MATCH(H2156,Produits!$A:$A,0))</f>
        <v>Informatique</v>
      </c>
      <c r="Q2156" s="3">
        <f>I2156*INDEX(Produits!$E:$E,MATCH(H2156,Produits!$A:$A,0))</f>
        <v>641.58</v>
      </c>
      <c r="R2156" s="3">
        <f>L2156-Q2156</f>
        <v>208.07999999999993</v>
      </c>
      <c r="S2156" s="2">
        <f>NETWORKDAYS(B2156,C2156)-1</f>
        <v>2</v>
      </c>
      <c r="T2156" s="1">
        <f>WORKDAY(B2156,5)</f>
        <v>45971</v>
      </c>
      <c r="U2156" t="b">
        <f>C2156&gt;T2156</f>
        <v>0</v>
      </c>
    </row>
    <row r="2157" spans="1:21" x14ac:dyDescent="0.25">
      <c r="A2157" t="s">
        <v>1485</v>
      </c>
      <c r="B2157" s="1">
        <v>45961</v>
      </c>
      <c r="C2157" s="1">
        <v>45965</v>
      </c>
      <c r="D2157" t="s">
        <v>361</v>
      </c>
      <c r="E2157" t="s">
        <v>165</v>
      </c>
      <c r="F2157" t="s">
        <v>166</v>
      </c>
      <c r="G2157" t="s">
        <v>167</v>
      </c>
      <c r="H2157" t="s">
        <v>51</v>
      </c>
      <c r="I2157" s="2">
        <v>1</v>
      </c>
      <c r="J2157" s="3">
        <v>180</v>
      </c>
      <c r="K2157" s="4">
        <v>0</v>
      </c>
      <c r="L2157" s="3">
        <v>180</v>
      </c>
      <c r="M2157" t="b">
        <v>1</v>
      </c>
      <c r="N2157" s="2">
        <f>YEAR(B2157)</f>
        <v>2025</v>
      </c>
      <c r="O2157" t="str">
        <f>INDEX(Agences!$C:$C,MATCH(F2157,Agences!$A:$A,0))</f>
        <v>Ouest</v>
      </c>
      <c r="P2157" t="str">
        <f>INDEX(Produits!$C:$C,MATCH(H2157,Produits!$A:$A,0))</f>
        <v>Maintenance</v>
      </c>
      <c r="Q2157" s="3">
        <f>I2157*INDEX(Produits!$E:$E,MATCH(H2157,Produits!$A:$A,0))</f>
        <v>82.8</v>
      </c>
      <c r="R2157" s="3">
        <f>L2157-Q2157</f>
        <v>97.2</v>
      </c>
      <c r="S2157" s="2">
        <f>NETWORKDAYS(B2157,C2157)-1</f>
        <v>2</v>
      </c>
      <c r="T2157" s="1">
        <f>WORKDAY(B2157,5)</f>
        <v>45968</v>
      </c>
      <c r="U2157" t="b">
        <f>C2157&gt;T2157</f>
        <v>0</v>
      </c>
    </row>
    <row r="2158" spans="1:21" x14ac:dyDescent="0.25">
      <c r="A2158" t="s">
        <v>1485</v>
      </c>
      <c r="B2158" s="1">
        <v>45961</v>
      </c>
      <c r="C2158" s="1">
        <v>45965</v>
      </c>
      <c r="D2158" t="s">
        <v>361</v>
      </c>
      <c r="E2158" t="s">
        <v>165</v>
      </c>
      <c r="F2158" t="s">
        <v>166</v>
      </c>
      <c r="G2158" t="s">
        <v>167</v>
      </c>
      <c r="H2158" t="s">
        <v>79</v>
      </c>
      <c r="I2158" s="2">
        <v>25</v>
      </c>
      <c r="J2158" s="3">
        <v>14.9</v>
      </c>
      <c r="K2158" s="4">
        <v>0.02</v>
      </c>
      <c r="L2158" s="3">
        <v>365.05</v>
      </c>
      <c r="M2158" t="b">
        <v>1</v>
      </c>
      <c r="N2158" s="2">
        <f>YEAR(B2158)</f>
        <v>2025</v>
      </c>
      <c r="O2158" t="str">
        <f>INDEX(Agences!$C:$C,MATCH(F2158,Agences!$A:$A,0))</f>
        <v>Ouest</v>
      </c>
      <c r="P2158" t="str">
        <f>INDEX(Produits!$C:$C,MATCH(H2158,Produits!$A:$A,0))</f>
        <v>Fournitures</v>
      </c>
      <c r="Q2158" s="3">
        <f>I2158*INDEX(Produits!$E:$E,MATCH(H2158,Produits!$A:$A,0))</f>
        <v>201.25000000000003</v>
      </c>
      <c r="R2158" s="3">
        <f>L2158-Q2158</f>
        <v>163.79999999999998</v>
      </c>
      <c r="S2158" s="2">
        <f>NETWORKDAYS(B2158,C2158)-1</f>
        <v>2</v>
      </c>
      <c r="T2158" s="1">
        <f>WORKDAY(B2158,5)</f>
        <v>45968</v>
      </c>
      <c r="U2158" t="b">
        <f>C2158&gt;T2158</f>
        <v>0</v>
      </c>
    </row>
    <row r="2159" spans="1:21" x14ac:dyDescent="0.25">
      <c r="A2159" t="s">
        <v>1486</v>
      </c>
      <c r="B2159" s="1">
        <v>45961</v>
      </c>
      <c r="C2159" s="1">
        <v>45966</v>
      </c>
      <c r="D2159" t="s">
        <v>977</v>
      </c>
      <c r="E2159" t="s">
        <v>336</v>
      </c>
      <c r="F2159" t="s">
        <v>166</v>
      </c>
      <c r="G2159" t="s">
        <v>179</v>
      </c>
      <c r="H2159" t="s">
        <v>79</v>
      </c>
      <c r="I2159" s="2">
        <v>10</v>
      </c>
      <c r="J2159" s="3">
        <v>14.9</v>
      </c>
      <c r="K2159" s="4">
        <v>0</v>
      </c>
      <c r="L2159" s="3">
        <v>149</v>
      </c>
      <c r="M2159" t="b">
        <v>1</v>
      </c>
      <c r="N2159" s="2">
        <f>YEAR(B2159)</f>
        <v>2025</v>
      </c>
      <c r="O2159" t="str">
        <f>INDEX(Agences!$C:$C,MATCH(F2159,Agences!$A:$A,0))</f>
        <v>Ouest</v>
      </c>
      <c r="P2159" t="str">
        <f>INDEX(Produits!$C:$C,MATCH(H2159,Produits!$A:$A,0))</f>
        <v>Fournitures</v>
      </c>
      <c r="Q2159" s="3">
        <f>I2159*INDEX(Produits!$E:$E,MATCH(H2159,Produits!$A:$A,0))</f>
        <v>80.5</v>
      </c>
      <c r="R2159" s="3">
        <f>L2159-Q2159</f>
        <v>68.5</v>
      </c>
      <c r="S2159" s="2">
        <f>NETWORKDAYS(B2159,C2159)-1</f>
        <v>3</v>
      </c>
      <c r="T2159" s="1">
        <f>WORKDAY(B2159,5)</f>
        <v>45968</v>
      </c>
      <c r="U2159" t="b">
        <f>C2159&gt;T2159</f>
        <v>0</v>
      </c>
    </row>
    <row r="2160" spans="1:21" x14ac:dyDescent="0.25">
      <c r="A2160" t="s">
        <v>1486</v>
      </c>
      <c r="B2160" s="1">
        <v>45961</v>
      </c>
      <c r="C2160" s="1">
        <v>45966</v>
      </c>
      <c r="D2160" t="s">
        <v>977</v>
      </c>
      <c r="E2160" t="s">
        <v>336</v>
      </c>
      <c r="F2160" t="s">
        <v>166</v>
      </c>
      <c r="G2160" t="s">
        <v>179</v>
      </c>
      <c r="H2160" t="s">
        <v>112</v>
      </c>
      <c r="I2160" s="2">
        <v>2</v>
      </c>
      <c r="J2160" s="3">
        <v>129</v>
      </c>
      <c r="K2160" s="4">
        <v>0.1</v>
      </c>
      <c r="L2160" s="3">
        <v>232.2</v>
      </c>
      <c r="M2160" t="b">
        <v>1</v>
      </c>
      <c r="N2160" s="2">
        <f>YEAR(B2160)</f>
        <v>2025</v>
      </c>
      <c r="O2160" t="str">
        <f>INDEX(Agences!$C:$C,MATCH(F2160,Agences!$A:$A,0))</f>
        <v>Ouest</v>
      </c>
      <c r="P2160" t="str">
        <f>INDEX(Produits!$C:$C,MATCH(H2160,Produits!$A:$A,0))</f>
        <v>Mobilier</v>
      </c>
      <c r="Q2160" s="3">
        <f>I2160*INDEX(Produits!$E:$E,MATCH(H2160,Produits!$A:$A,0))</f>
        <v>172.86</v>
      </c>
      <c r="R2160" s="3">
        <f>L2160-Q2160</f>
        <v>59.339999999999975</v>
      </c>
      <c r="S2160" s="2">
        <f>NETWORKDAYS(B2160,C2160)-1</f>
        <v>3</v>
      </c>
      <c r="T2160" s="1">
        <f>WORKDAY(B2160,5)</f>
        <v>45968</v>
      </c>
      <c r="U2160" t="b">
        <f>C2160&gt;T2160</f>
        <v>0</v>
      </c>
    </row>
    <row r="2161" spans="1:21" x14ac:dyDescent="0.25">
      <c r="A2161" t="s">
        <v>1487</v>
      </c>
      <c r="B2161" s="1">
        <v>45961</v>
      </c>
      <c r="C2161" s="1">
        <v>45966</v>
      </c>
      <c r="D2161" t="s">
        <v>381</v>
      </c>
      <c r="E2161" t="s">
        <v>157</v>
      </c>
      <c r="F2161" t="s">
        <v>46</v>
      </c>
      <c r="G2161" t="s">
        <v>47</v>
      </c>
      <c r="H2161" t="s">
        <v>319</v>
      </c>
      <c r="I2161" s="2">
        <v>1</v>
      </c>
      <c r="J2161" s="3">
        <v>289</v>
      </c>
      <c r="K2161" s="4">
        <v>0</v>
      </c>
      <c r="L2161" s="3">
        <v>289</v>
      </c>
      <c r="M2161" t="b">
        <v>1</v>
      </c>
      <c r="N2161" s="2">
        <f>YEAR(B2161)</f>
        <v>2025</v>
      </c>
      <c r="O2161" t="str">
        <f>INDEX(Agences!$C:$C,MATCH(F2161,Agences!$A:$A,0))</f>
        <v>Est</v>
      </c>
      <c r="P2161" t="str">
        <f>INDEX(Produits!$C:$C,MATCH(H2161,Produits!$A:$A,0))</f>
        <v>Informatique</v>
      </c>
      <c r="Q2161" s="3">
        <f>I2161*INDEX(Produits!$E:$E,MATCH(H2161,Produits!$A:$A,0))</f>
        <v>213.86</v>
      </c>
      <c r="R2161" s="3">
        <f>L2161-Q2161</f>
        <v>75.13999999999999</v>
      </c>
      <c r="S2161" s="2">
        <f>NETWORKDAYS(B2161,C2161)-1</f>
        <v>3</v>
      </c>
      <c r="T2161" s="1">
        <f>WORKDAY(B2161,5)</f>
        <v>45968</v>
      </c>
      <c r="U2161" t="b">
        <f>C2161&gt;T2161</f>
        <v>0</v>
      </c>
    </row>
    <row r="2162" spans="1:21" x14ac:dyDescent="0.25">
      <c r="A2162" t="s">
        <v>1488</v>
      </c>
      <c r="B2162" s="1">
        <v>45960</v>
      </c>
      <c r="C2162" s="1">
        <v>45964</v>
      </c>
      <c r="D2162" t="s">
        <v>1201</v>
      </c>
      <c r="E2162" t="s">
        <v>333</v>
      </c>
      <c r="F2162" t="s">
        <v>138</v>
      </c>
      <c r="G2162" t="s">
        <v>214</v>
      </c>
      <c r="H2162" t="s">
        <v>103</v>
      </c>
      <c r="I2162" s="2">
        <v>3</v>
      </c>
      <c r="J2162" s="3">
        <v>245</v>
      </c>
      <c r="K2162" s="4">
        <v>0</v>
      </c>
      <c r="L2162" s="3">
        <v>735</v>
      </c>
      <c r="M2162" t="b">
        <v>1</v>
      </c>
      <c r="N2162" s="2">
        <f>YEAR(B2162)</f>
        <v>2025</v>
      </c>
      <c r="O2162" t="str">
        <f>INDEX(Agences!$C:$C,MATCH(F2162,Agences!$A:$A,0))</f>
        <v>Île-de-France</v>
      </c>
      <c r="P2162" t="str">
        <f>INDEX(Produits!$C:$C,MATCH(H2162,Produits!$A:$A,0))</f>
        <v>Mobilier</v>
      </c>
      <c r="Q2162" s="3">
        <f>I2162*INDEX(Produits!$E:$E,MATCH(H2162,Produits!$A:$A,0))</f>
        <v>492.45000000000005</v>
      </c>
      <c r="R2162" s="3">
        <f>L2162-Q2162</f>
        <v>242.54999999999995</v>
      </c>
      <c r="S2162" s="2">
        <f>NETWORKDAYS(B2162,C2162)-1</f>
        <v>2</v>
      </c>
      <c r="T2162" s="1">
        <f>WORKDAY(B2162,5)</f>
        <v>45967</v>
      </c>
      <c r="U2162" t="b">
        <f>C2162&gt;T2162</f>
        <v>0</v>
      </c>
    </row>
    <row r="2163" spans="1:21" x14ac:dyDescent="0.25">
      <c r="A2163" t="s">
        <v>1488</v>
      </c>
      <c r="B2163" s="1">
        <v>45960</v>
      </c>
      <c r="C2163" s="1">
        <v>45964</v>
      </c>
      <c r="D2163" t="s">
        <v>1201</v>
      </c>
      <c r="E2163" t="s">
        <v>333</v>
      </c>
      <c r="F2163" t="s">
        <v>138</v>
      </c>
      <c r="G2163" t="s">
        <v>214</v>
      </c>
      <c r="H2163" t="s">
        <v>26</v>
      </c>
      <c r="I2163" s="2">
        <v>1</v>
      </c>
      <c r="J2163" s="3">
        <v>290</v>
      </c>
      <c r="K2163" s="4">
        <v>0.05</v>
      </c>
      <c r="L2163" s="3">
        <v>275.5</v>
      </c>
      <c r="M2163" t="b">
        <v>1</v>
      </c>
      <c r="N2163" s="2">
        <f>YEAR(B2163)</f>
        <v>2025</v>
      </c>
      <c r="O2163" t="str">
        <f>INDEX(Agences!$C:$C,MATCH(F2163,Agences!$A:$A,0))</f>
        <v>Île-de-France</v>
      </c>
      <c r="P2163" t="str">
        <f>INDEX(Produits!$C:$C,MATCH(H2163,Produits!$A:$A,0))</f>
        <v>Maintenance</v>
      </c>
      <c r="Q2163" s="3">
        <f>I2163*INDEX(Produits!$E:$E,MATCH(H2163,Produits!$A:$A,0))</f>
        <v>139.2</v>
      </c>
      <c r="R2163" s="3">
        <f>L2163-Q2163</f>
        <v>136.3</v>
      </c>
      <c r="S2163" s="2">
        <f>NETWORKDAYS(B2163,C2163)-1</f>
        <v>2</v>
      </c>
      <c r="T2163" s="1">
        <f>WORKDAY(B2163,5)</f>
        <v>45967</v>
      </c>
      <c r="U2163" t="b">
        <f>C2163&gt;T2163</f>
        <v>0</v>
      </c>
    </row>
    <row r="2164" spans="1:21" x14ac:dyDescent="0.25">
      <c r="A2164" t="s">
        <v>1488</v>
      </c>
      <c r="B2164" s="1">
        <v>45960</v>
      </c>
      <c r="C2164" s="1">
        <v>45964</v>
      </c>
      <c r="D2164" t="s">
        <v>1201</v>
      </c>
      <c r="E2164" t="s">
        <v>333</v>
      </c>
      <c r="F2164" t="s">
        <v>138</v>
      </c>
      <c r="G2164" t="s">
        <v>214</v>
      </c>
      <c r="H2164" t="s">
        <v>49</v>
      </c>
      <c r="I2164" s="2">
        <v>2</v>
      </c>
      <c r="J2164" s="3">
        <v>120</v>
      </c>
      <c r="K2164" s="4">
        <v>0</v>
      </c>
      <c r="L2164" s="3">
        <v>240</v>
      </c>
      <c r="M2164" t="b">
        <v>1</v>
      </c>
      <c r="N2164" s="2">
        <f>YEAR(B2164)</f>
        <v>2025</v>
      </c>
      <c r="O2164" t="str">
        <f>INDEX(Agences!$C:$C,MATCH(F2164,Agences!$A:$A,0))</f>
        <v>Île-de-France</v>
      </c>
      <c r="P2164" t="str">
        <f>INDEX(Produits!$C:$C,MATCH(H2164,Produits!$A:$A,0))</f>
        <v>Maintenance</v>
      </c>
      <c r="Q2164" s="3">
        <f>I2164*INDEX(Produits!$E:$E,MATCH(H2164,Produits!$A:$A,0))</f>
        <v>110.4</v>
      </c>
      <c r="R2164" s="3">
        <f>L2164-Q2164</f>
        <v>129.6</v>
      </c>
      <c r="S2164" s="2">
        <f>NETWORKDAYS(B2164,C2164)-1</f>
        <v>2</v>
      </c>
      <c r="T2164" s="1">
        <f>WORKDAY(B2164,5)</f>
        <v>45967</v>
      </c>
      <c r="U2164" t="b">
        <f>C2164&gt;T2164</f>
        <v>0</v>
      </c>
    </row>
    <row r="2165" spans="1:21" x14ac:dyDescent="0.25">
      <c r="A2165" t="s">
        <v>1488</v>
      </c>
      <c r="B2165" s="1">
        <v>45960</v>
      </c>
      <c r="C2165" s="1">
        <v>45964</v>
      </c>
      <c r="D2165" t="s">
        <v>1201</v>
      </c>
      <c r="E2165" t="s">
        <v>333</v>
      </c>
      <c r="F2165" t="s">
        <v>138</v>
      </c>
      <c r="G2165" t="s">
        <v>214</v>
      </c>
      <c r="H2165" t="s">
        <v>233</v>
      </c>
      <c r="I2165" s="2">
        <v>10</v>
      </c>
      <c r="J2165" s="3">
        <v>27.5</v>
      </c>
      <c r="K2165" s="4">
        <v>0.05</v>
      </c>
      <c r="L2165" s="3">
        <v>261.25</v>
      </c>
      <c r="M2165" t="b">
        <v>1</v>
      </c>
      <c r="N2165" s="2">
        <f>YEAR(B2165)</f>
        <v>2025</v>
      </c>
      <c r="O2165" t="str">
        <f>INDEX(Agences!$C:$C,MATCH(F2165,Agences!$A:$A,0))</f>
        <v>Île-de-France</v>
      </c>
      <c r="P2165" t="str">
        <f>INDEX(Produits!$C:$C,MATCH(H2165,Produits!$A:$A,0))</f>
        <v>Fournitures</v>
      </c>
      <c r="Q2165" s="3">
        <f>I2165*INDEX(Produits!$E:$E,MATCH(H2165,Produits!$A:$A,0))</f>
        <v>154</v>
      </c>
      <c r="R2165" s="3">
        <f>L2165-Q2165</f>
        <v>107.25</v>
      </c>
      <c r="S2165" s="2">
        <f>NETWORKDAYS(B2165,C2165)-1</f>
        <v>2</v>
      </c>
      <c r="T2165" s="1">
        <f>WORKDAY(B2165,5)</f>
        <v>45967</v>
      </c>
      <c r="U2165" t="b">
        <f>C2165&gt;T2165</f>
        <v>0</v>
      </c>
    </row>
    <row r="2166" spans="1:21" x14ac:dyDescent="0.25">
      <c r="A2166" t="s">
        <v>1488</v>
      </c>
      <c r="B2166" s="1">
        <v>45960</v>
      </c>
      <c r="C2166" s="1">
        <v>45964</v>
      </c>
      <c r="D2166" t="s">
        <v>1201</v>
      </c>
      <c r="E2166" t="s">
        <v>333</v>
      </c>
      <c r="F2166" t="s">
        <v>138</v>
      </c>
      <c r="G2166" t="s">
        <v>214</v>
      </c>
      <c r="H2166" t="s">
        <v>217</v>
      </c>
      <c r="I2166" s="2">
        <v>1</v>
      </c>
      <c r="J2166" s="3">
        <v>1090</v>
      </c>
      <c r="K2166" s="4">
        <v>0.05</v>
      </c>
      <c r="L2166" s="3">
        <v>1035.5</v>
      </c>
      <c r="M2166" t="b">
        <v>1</v>
      </c>
      <c r="N2166" s="2">
        <f>YEAR(B2166)</f>
        <v>2025</v>
      </c>
      <c r="O2166" t="str">
        <f>INDEX(Agences!$C:$C,MATCH(F2166,Agences!$A:$A,0))</f>
        <v>Île-de-France</v>
      </c>
      <c r="P2166" t="str">
        <f>INDEX(Produits!$C:$C,MATCH(H2166,Produits!$A:$A,0))</f>
        <v>Informatique</v>
      </c>
      <c r="Q2166" s="3">
        <f>I2166*INDEX(Produits!$E:$E,MATCH(H2166,Produits!$A:$A,0))</f>
        <v>817.5</v>
      </c>
      <c r="R2166" s="3">
        <f>L2166-Q2166</f>
        <v>218</v>
      </c>
      <c r="S2166" s="2">
        <f>NETWORKDAYS(B2166,C2166)-1</f>
        <v>2</v>
      </c>
      <c r="T2166" s="1">
        <f>WORKDAY(B2166,5)</f>
        <v>45967</v>
      </c>
      <c r="U2166" t="b">
        <f>C2166&gt;T2166</f>
        <v>0</v>
      </c>
    </row>
    <row r="2167" spans="1:21" x14ac:dyDescent="0.25">
      <c r="A2167" t="s">
        <v>1489</v>
      </c>
      <c r="B2167" s="1">
        <v>45960</v>
      </c>
      <c r="C2167" s="1">
        <v>45964</v>
      </c>
      <c r="D2167" t="s">
        <v>556</v>
      </c>
      <c r="E2167" t="s">
        <v>153</v>
      </c>
      <c r="F2167" t="s">
        <v>94</v>
      </c>
      <c r="G2167" t="s">
        <v>182</v>
      </c>
      <c r="H2167" t="s">
        <v>49</v>
      </c>
      <c r="I2167" s="2">
        <v>1</v>
      </c>
      <c r="J2167" s="3">
        <v>120</v>
      </c>
      <c r="K2167" s="4">
        <v>0</v>
      </c>
      <c r="L2167" s="3">
        <v>120</v>
      </c>
      <c r="M2167" t="b">
        <v>1</v>
      </c>
      <c r="N2167" s="2">
        <f>YEAR(B2167)</f>
        <v>2025</v>
      </c>
      <c r="O2167" t="str">
        <f>INDEX(Agences!$C:$C,MATCH(F2167,Agences!$A:$A,0))</f>
        <v>Méditerranée</v>
      </c>
      <c r="P2167" t="str">
        <f>INDEX(Produits!$C:$C,MATCH(H2167,Produits!$A:$A,0))</f>
        <v>Maintenance</v>
      </c>
      <c r="Q2167" s="3">
        <f>I2167*INDEX(Produits!$E:$E,MATCH(H2167,Produits!$A:$A,0))</f>
        <v>55.2</v>
      </c>
      <c r="R2167" s="3">
        <f>L2167-Q2167</f>
        <v>64.8</v>
      </c>
      <c r="S2167" s="2">
        <f>NETWORKDAYS(B2167,C2167)-1</f>
        <v>2</v>
      </c>
      <c r="T2167" s="1">
        <f>WORKDAY(B2167,5)</f>
        <v>45967</v>
      </c>
      <c r="U2167" t="b">
        <f>C2167&gt;T2167</f>
        <v>0</v>
      </c>
    </row>
    <row r="2168" spans="1:21" x14ac:dyDescent="0.25">
      <c r="A2168" t="s">
        <v>1489</v>
      </c>
      <c r="B2168" s="1">
        <v>45960</v>
      </c>
      <c r="C2168" s="1">
        <v>45964</v>
      </c>
      <c r="D2168" t="s">
        <v>556</v>
      </c>
      <c r="E2168" t="s">
        <v>153</v>
      </c>
      <c r="F2168" t="s">
        <v>94</v>
      </c>
      <c r="G2168" t="s">
        <v>182</v>
      </c>
      <c r="H2168" t="s">
        <v>196</v>
      </c>
      <c r="I2168" s="2">
        <v>15</v>
      </c>
      <c r="J2168" s="3">
        <v>18.5</v>
      </c>
      <c r="K2168" s="4">
        <v>0.05</v>
      </c>
      <c r="L2168" s="3">
        <v>263.63</v>
      </c>
      <c r="M2168" t="b">
        <v>1</v>
      </c>
      <c r="N2168" s="2">
        <f>YEAR(B2168)</f>
        <v>2025</v>
      </c>
      <c r="O2168" t="str">
        <f>INDEX(Agences!$C:$C,MATCH(F2168,Agences!$A:$A,0))</f>
        <v>Méditerranée</v>
      </c>
      <c r="P2168" t="str">
        <f>INDEX(Produits!$C:$C,MATCH(H2168,Produits!$A:$A,0))</f>
        <v>Fournitures</v>
      </c>
      <c r="Q2168" s="3">
        <f>I2168*INDEX(Produits!$E:$E,MATCH(H2168,Produits!$A:$A,0))</f>
        <v>141.6</v>
      </c>
      <c r="R2168" s="3">
        <f>L2168-Q2168</f>
        <v>122.03</v>
      </c>
      <c r="S2168" s="2">
        <f>NETWORKDAYS(B2168,C2168)-1</f>
        <v>2</v>
      </c>
      <c r="T2168" s="1">
        <f>WORKDAY(B2168,5)</f>
        <v>45967</v>
      </c>
      <c r="U2168" t="b">
        <f>C2168&gt;T2168</f>
        <v>0</v>
      </c>
    </row>
    <row r="2169" spans="1:21" x14ac:dyDescent="0.25">
      <c r="A2169" t="s">
        <v>1490</v>
      </c>
      <c r="B2169" s="1">
        <v>45959</v>
      </c>
      <c r="C2169" s="1">
        <v>45966</v>
      </c>
      <c r="D2169" t="s">
        <v>97</v>
      </c>
      <c r="E2169" t="s">
        <v>98</v>
      </c>
      <c r="F2169" t="s">
        <v>99</v>
      </c>
      <c r="G2169" t="s">
        <v>210</v>
      </c>
      <c r="H2169" t="s">
        <v>51</v>
      </c>
      <c r="I2169" s="2">
        <v>1</v>
      </c>
      <c r="J2169" s="3">
        <v>180</v>
      </c>
      <c r="K2169" s="4">
        <v>0.1</v>
      </c>
      <c r="L2169" s="3">
        <v>162</v>
      </c>
      <c r="M2169" t="b">
        <v>1</v>
      </c>
      <c r="N2169" s="2">
        <f>YEAR(B2169)</f>
        <v>2025</v>
      </c>
      <c r="O2169" t="str">
        <f>INDEX(Agences!$C:$C,MATCH(F2169,Agences!$A:$A,0))</f>
        <v>Nord</v>
      </c>
      <c r="P2169" t="str">
        <f>INDEX(Produits!$C:$C,MATCH(H2169,Produits!$A:$A,0))</f>
        <v>Maintenance</v>
      </c>
      <c r="Q2169" s="3">
        <f>I2169*INDEX(Produits!$E:$E,MATCH(H2169,Produits!$A:$A,0))</f>
        <v>82.8</v>
      </c>
      <c r="R2169" s="3">
        <f>L2169-Q2169</f>
        <v>79.2</v>
      </c>
      <c r="S2169" s="2">
        <f>NETWORKDAYS(B2169,C2169)-1</f>
        <v>5</v>
      </c>
      <c r="T2169" s="1">
        <f>WORKDAY(B2169,5)</f>
        <v>45966</v>
      </c>
      <c r="U2169" t="b">
        <f>C2169&gt;T2169</f>
        <v>0</v>
      </c>
    </row>
    <row r="2170" spans="1:21" x14ac:dyDescent="0.25">
      <c r="A2170" t="s">
        <v>1490</v>
      </c>
      <c r="B2170" s="1">
        <v>45959</v>
      </c>
      <c r="C2170" s="1">
        <v>45966</v>
      </c>
      <c r="D2170" t="s">
        <v>97</v>
      </c>
      <c r="E2170" t="s">
        <v>98</v>
      </c>
      <c r="F2170" t="s">
        <v>99</v>
      </c>
      <c r="G2170" t="s">
        <v>210</v>
      </c>
      <c r="H2170" t="s">
        <v>33</v>
      </c>
      <c r="I2170" s="2">
        <v>3</v>
      </c>
      <c r="J2170" s="3">
        <v>219</v>
      </c>
      <c r="K2170" s="4">
        <v>0.05</v>
      </c>
      <c r="L2170" s="3">
        <v>624.15</v>
      </c>
      <c r="M2170" t="b">
        <v>1</v>
      </c>
      <c r="N2170" s="2">
        <f>YEAR(B2170)</f>
        <v>2025</v>
      </c>
      <c r="O2170" t="str">
        <f>INDEX(Agences!$C:$C,MATCH(F2170,Agences!$A:$A,0))</f>
        <v>Nord</v>
      </c>
      <c r="P2170" t="str">
        <f>INDEX(Produits!$C:$C,MATCH(H2170,Produits!$A:$A,0))</f>
        <v>Informatique</v>
      </c>
      <c r="Q2170" s="3">
        <f>I2170*INDEX(Produits!$E:$E,MATCH(H2170,Produits!$A:$A,0))</f>
        <v>538.74</v>
      </c>
      <c r="R2170" s="3">
        <f>L2170-Q2170</f>
        <v>85.40999999999997</v>
      </c>
      <c r="S2170" s="2">
        <f>NETWORKDAYS(B2170,C2170)-1</f>
        <v>5</v>
      </c>
      <c r="T2170" s="1">
        <f>WORKDAY(B2170,5)</f>
        <v>45966</v>
      </c>
      <c r="U2170" t="b">
        <f>C2170&gt;T2170</f>
        <v>0</v>
      </c>
    </row>
    <row r="2171" spans="1:21" x14ac:dyDescent="0.25">
      <c r="A2171" t="s">
        <v>1490</v>
      </c>
      <c r="B2171" s="1">
        <v>45959</v>
      </c>
      <c r="C2171" s="1">
        <v>45966</v>
      </c>
      <c r="D2171" t="s">
        <v>97</v>
      </c>
      <c r="E2171" t="s">
        <v>98</v>
      </c>
      <c r="F2171" t="s">
        <v>99</v>
      </c>
      <c r="G2171" t="s">
        <v>210</v>
      </c>
      <c r="H2171" t="s">
        <v>83</v>
      </c>
      <c r="I2171" s="2">
        <v>1</v>
      </c>
      <c r="J2171" s="3">
        <v>49</v>
      </c>
      <c r="K2171" s="4">
        <v>0.02</v>
      </c>
      <c r="L2171" s="3">
        <v>48.02</v>
      </c>
      <c r="M2171" t="b">
        <v>1</v>
      </c>
      <c r="N2171" s="2">
        <f>YEAR(B2171)</f>
        <v>2025</v>
      </c>
      <c r="O2171" t="str">
        <f>INDEX(Agences!$C:$C,MATCH(F2171,Agences!$A:$A,0))</f>
        <v>Nord</v>
      </c>
      <c r="P2171" t="str">
        <f>INDEX(Produits!$C:$C,MATCH(H2171,Produits!$A:$A,0))</f>
        <v>Mobilier</v>
      </c>
      <c r="Q2171" s="3">
        <f>I2171*INDEX(Produits!$E:$E,MATCH(H2171,Produits!$A:$A,0))</f>
        <v>28.42</v>
      </c>
      <c r="R2171" s="3">
        <f>L2171-Q2171</f>
        <v>19.6</v>
      </c>
      <c r="S2171" s="2">
        <f>NETWORKDAYS(B2171,C2171)-1</f>
        <v>5</v>
      </c>
      <c r="T2171" s="1">
        <f>WORKDAY(B2171,5)</f>
        <v>45966</v>
      </c>
      <c r="U2171" t="b">
        <f>C2171&gt;T2171</f>
        <v>0</v>
      </c>
    </row>
    <row r="2172" spans="1:21" x14ac:dyDescent="0.25">
      <c r="A2172" t="s">
        <v>1490</v>
      </c>
      <c r="B2172" s="1">
        <v>45959</v>
      </c>
      <c r="C2172" s="1">
        <v>45966</v>
      </c>
      <c r="D2172" t="s">
        <v>97</v>
      </c>
      <c r="E2172" t="s">
        <v>98</v>
      </c>
      <c r="F2172" t="s">
        <v>99</v>
      </c>
      <c r="G2172" t="s">
        <v>210</v>
      </c>
      <c r="H2172" t="s">
        <v>26</v>
      </c>
      <c r="I2172" s="2">
        <v>1</v>
      </c>
      <c r="J2172" s="3">
        <v>290</v>
      </c>
      <c r="K2172" s="4">
        <v>0.02</v>
      </c>
      <c r="L2172" s="3">
        <v>284.2</v>
      </c>
      <c r="M2172" t="b">
        <v>1</v>
      </c>
      <c r="N2172" s="2">
        <f>YEAR(B2172)</f>
        <v>2025</v>
      </c>
      <c r="O2172" t="str">
        <f>INDEX(Agences!$C:$C,MATCH(F2172,Agences!$A:$A,0))</f>
        <v>Nord</v>
      </c>
      <c r="P2172" t="str">
        <f>INDEX(Produits!$C:$C,MATCH(H2172,Produits!$A:$A,0))</f>
        <v>Maintenance</v>
      </c>
      <c r="Q2172" s="3">
        <f>I2172*INDEX(Produits!$E:$E,MATCH(H2172,Produits!$A:$A,0))</f>
        <v>139.2</v>
      </c>
      <c r="R2172" s="3">
        <f>L2172-Q2172</f>
        <v>145</v>
      </c>
      <c r="S2172" s="2">
        <f>NETWORKDAYS(B2172,C2172)-1</f>
        <v>5</v>
      </c>
      <c r="T2172" s="1">
        <f>WORKDAY(B2172,5)</f>
        <v>45966</v>
      </c>
      <c r="U2172" t="b">
        <f>C2172&gt;T2172</f>
        <v>0</v>
      </c>
    </row>
    <row r="2173" spans="1:21" x14ac:dyDescent="0.25">
      <c r="A2173" t="s">
        <v>1491</v>
      </c>
      <c r="B2173" s="1">
        <v>45959</v>
      </c>
      <c r="C2173" s="1">
        <v>45961</v>
      </c>
      <c r="D2173" t="s">
        <v>1300</v>
      </c>
      <c r="E2173" t="s">
        <v>236</v>
      </c>
      <c r="F2173" t="s">
        <v>39</v>
      </c>
      <c r="G2173" t="s">
        <v>322</v>
      </c>
      <c r="H2173" t="s">
        <v>48</v>
      </c>
      <c r="I2173" s="2">
        <v>1</v>
      </c>
      <c r="J2173" s="3">
        <v>165</v>
      </c>
      <c r="K2173" s="4">
        <v>0</v>
      </c>
      <c r="L2173" s="3">
        <v>165</v>
      </c>
      <c r="M2173" t="b">
        <v>1</v>
      </c>
      <c r="N2173" s="2">
        <f>YEAR(B2173)</f>
        <v>2025</v>
      </c>
      <c r="O2173" t="str">
        <f>INDEX(Agences!$C:$C,MATCH(F2173,Agences!$A:$A,0))</f>
        <v>Sud-Ouest</v>
      </c>
      <c r="P2173" t="str">
        <f>INDEX(Produits!$C:$C,MATCH(H2173,Produits!$A:$A,0))</f>
        <v>Mobilier</v>
      </c>
      <c r="Q2173" s="3">
        <f>I2173*INDEX(Produits!$E:$E,MATCH(H2173,Produits!$A:$A,0))</f>
        <v>107.25</v>
      </c>
      <c r="R2173" s="3">
        <f>L2173-Q2173</f>
        <v>57.75</v>
      </c>
      <c r="S2173" s="2">
        <f>NETWORKDAYS(B2173,C2173)-1</f>
        <v>2</v>
      </c>
      <c r="T2173" s="1">
        <f>WORKDAY(B2173,5)</f>
        <v>45966</v>
      </c>
      <c r="U2173" t="b">
        <f>C2173&gt;T2173</f>
        <v>0</v>
      </c>
    </row>
    <row r="2174" spans="1:21" x14ac:dyDescent="0.25">
      <c r="A2174" t="s">
        <v>1492</v>
      </c>
      <c r="B2174" s="1">
        <v>45958</v>
      </c>
      <c r="C2174" s="1">
        <v>45961</v>
      </c>
      <c r="D2174" t="s">
        <v>1493</v>
      </c>
      <c r="E2174" t="s">
        <v>191</v>
      </c>
      <c r="F2174" t="s">
        <v>62</v>
      </c>
      <c r="G2174" t="s">
        <v>106</v>
      </c>
      <c r="H2174" t="s">
        <v>48</v>
      </c>
      <c r="I2174" s="2">
        <v>1</v>
      </c>
      <c r="J2174" s="3">
        <v>165</v>
      </c>
      <c r="K2174" s="4">
        <v>0</v>
      </c>
      <c r="L2174" s="3">
        <v>165</v>
      </c>
      <c r="M2174" t="b">
        <v>1</v>
      </c>
      <c r="N2174" s="2">
        <f>YEAR(B2174)</f>
        <v>2025</v>
      </c>
      <c r="O2174" t="str">
        <f>INDEX(Agences!$C:$C,MATCH(F2174,Agences!$A:$A,0))</f>
        <v>Méditerranée</v>
      </c>
      <c r="P2174" t="str">
        <f>INDEX(Produits!$C:$C,MATCH(H2174,Produits!$A:$A,0))</f>
        <v>Mobilier</v>
      </c>
      <c r="Q2174" s="3">
        <f>I2174*INDEX(Produits!$E:$E,MATCH(H2174,Produits!$A:$A,0))</f>
        <v>107.25</v>
      </c>
      <c r="R2174" s="3">
        <f>L2174-Q2174</f>
        <v>57.75</v>
      </c>
      <c r="S2174" s="2">
        <f>NETWORKDAYS(B2174,C2174)-1</f>
        <v>3</v>
      </c>
      <c r="T2174" s="1">
        <f>WORKDAY(B2174,5)</f>
        <v>45965</v>
      </c>
      <c r="U2174" t="b">
        <f>C2174&gt;T2174</f>
        <v>0</v>
      </c>
    </row>
    <row r="2175" spans="1:21" x14ac:dyDescent="0.25">
      <c r="A2175" t="s">
        <v>1494</v>
      </c>
      <c r="B2175" s="1">
        <v>45957</v>
      </c>
      <c r="C2175" s="1">
        <v>45964</v>
      </c>
      <c r="D2175" t="s">
        <v>1495</v>
      </c>
      <c r="E2175" t="s">
        <v>45</v>
      </c>
      <c r="F2175" t="s">
        <v>46</v>
      </c>
      <c r="G2175" t="s">
        <v>111</v>
      </c>
      <c r="H2175" t="s">
        <v>64</v>
      </c>
      <c r="I2175" s="2">
        <v>5</v>
      </c>
      <c r="J2175" s="3">
        <v>16.8</v>
      </c>
      <c r="K2175" s="4">
        <v>0.1</v>
      </c>
      <c r="L2175" s="3">
        <v>75.6</v>
      </c>
      <c r="M2175" t="b">
        <v>1</v>
      </c>
      <c r="N2175" s="2">
        <f>YEAR(B2175)</f>
        <v>2025</v>
      </c>
      <c r="O2175" t="str">
        <f>INDEX(Agences!$C:$C,MATCH(F2175,Agences!$A:$A,0))</f>
        <v>Est</v>
      </c>
      <c r="P2175" t="str">
        <f>INDEX(Produits!$C:$C,MATCH(H2175,Produits!$A:$A,0))</f>
        <v>Fournitures</v>
      </c>
      <c r="Q2175" s="3">
        <f>I2175*INDEX(Produits!$E:$E,MATCH(H2175,Produits!$A:$A,0))</f>
        <v>43.7</v>
      </c>
      <c r="R2175" s="3">
        <f>L2175-Q2175</f>
        <v>31.89999999999999</v>
      </c>
      <c r="S2175" s="2">
        <f>NETWORKDAYS(B2175,C2175)-1</f>
        <v>5</v>
      </c>
      <c r="T2175" s="1">
        <f>WORKDAY(B2175,5)</f>
        <v>45964</v>
      </c>
      <c r="U2175" t="b">
        <f>C2175&gt;T2175</f>
        <v>0</v>
      </c>
    </row>
    <row r="2176" spans="1:21" x14ac:dyDescent="0.25">
      <c r="A2176" t="s">
        <v>1494</v>
      </c>
      <c r="B2176" s="1">
        <v>45957</v>
      </c>
      <c r="C2176" s="1">
        <v>45964</v>
      </c>
      <c r="D2176" t="s">
        <v>1495</v>
      </c>
      <c r="E2176" t="s">
        <v>45</v>
      </c>
      <c r="F2176" t="s">
        <v>46</v>
      </c>
      <c r="G2176" t="s">
        <v>111</v>
      </c>
      <c r="H2176" t="s">
        <v>108</v>
      </c>
      <c r="I2176" s="2">
        <v>5</v>
      </c>
      <c r="J2176" s="3">
        <v>24.5</v>
      </c>
      <c r="K2176" s="4">
        <v>0.02</v>
      </c>
      <c r="L2176" s="3">
        <v>120.05</v>
      </c>
      <c r="M2176" t="b">
        <v>1</v>
      </c>
      <c r="N2176" s="2">
        <f>YEAR(B2176)</f>
        <v>2025</v>
      </c>
      <c r="O2176" t="str">
        <f>INDEX(Agences!$C:$C,MATCH(F2176,Agences!$A:$A,0))</f>
        <v>Est</v>
      </c>
      <c r="P2176" t="str">
        <f>INDEX(Produits!$C:$C,MATCH(H2176,Produits!$A:$A,0))</f>
        <v>Fournitures</v>
      </c>
      <c r="Q2176" s="3">
        <f>I2176*INDEX(Produits!$E:$E,MATCH(H2176,Produits!$A:$A,0))</f>
        <v>73.5</v>
      </c>
      <c r="R2176" s="3">
        <f>L2176-Q2176</f>
        <v>46.55</v>
      </c>
      <c r="S2176" s="2">
        <f>NETWORKDAYS(B2176,C2176)-1</f>
        <v>5</v>
      </c>
      <c r="T2176" s="1">
        <f>WORKDAY(B2176,5)</f>
        <v>45964</v>
      </c>
      <c r="U2176" t="b">
        <f>C2176&gt;T2176</f>
        <v>0</v>
      </c>
    </row>
    <row r="2177" spans="1:21" x14ac:dyDescent="0.25">
      <c r="A2177" t="s">
        <v>1496</v>
      </c>
      <c r="B2177" s="1">
        <v>45954</v>
      </c>
      <c r="C2177" s="1">
        <v>45957</v>
      </c>
      <c r="D2177" t="s">
        <v>869</v>
      </c>
      <c r="E2177" t="s">
        <v>175</v>
      </c>
      <c r="F2177" t="s">
        <v>76</v>
      </c>
      <c r="G2177" t="s">
        <v>77</v>
      </c>
      <c r="H2177" t="s">
        <v>26</v>
      </c>
      <c r="I2177" s="2">
        <v>2</v>
      </c>
      <c r="J2177" s="3">
        <v>290</v>
      </c>
      <c r="K2177" s="4">
        <v>0</v>
      </c>
      <c r="L2177" s="3">
        <v>580</v>
      </c>
      <c r="M2177" t="b">
        <v>1</v>
      </c>
      <c r="N2177" s="2">
        <f>YEAR(B2177)</f>
        <v>2025</v>
      </c>
      <c r="O2177" t="str">
        <f>INDEX(Agences!$C:$C,MATCH(F2177,Agences!$A:$A,0))</f>
        <v>Île-de-France</v>
      </c>
      <c r="P2177" t="str">
        <f>INDEX(Produits!$C:$C,MATCH(H2177,Produits!$A:$A,0))</f>
        <v>Maintenance</v>
      </c>
      <c r="Q2177" s="3">
        <f>I2177*INDEX(Produits!$E:$E,MATCH(H2177,Produits!$A:$A,0))</f>
        <v>278.4</v>
      </c>
      <c r="R2177" s="3">
        <f>L2177-Q2177</f>
        <v>301.6</v>
      </c>
      <c r="S2177" s="2">
        <f>NETWORKDAYS(B2177,C2177)-1</f>
        <v>1</v>
      </c>
      <c r="T2177" s="1">
        <f>WORKDAY(B2177,5)</f>
        <v>45961</v>
      </c>
      <c r="U2177" t="b">
        <f>C2177&gt;T2177</f>
        <v>0</v>
      </c>
    </row>
    <row r="2178" spans="1:21" x14ac:dyDescent="0.25">
      <c r="A2178" t="s">
        <v>1496</v>
      </c>
      <c r="B2178" s="1">
        <v>45954</v>
      </c>
      <c r="C2178" s="1">
        <v>45957</v>
      </c>
      <c r="D2178" t="s">
        <v>869</v>
      </c>
      <c r="E2178" t="s">
        <v>175</v>
      </c>
      <c r="F2178" t="s">
        <v>76</v>
      </c>
      <c r="G2178" t="s">
        <v>77</v>
      </c>
      <c r="H2178" t="s">
        <v>150</v>
      </c>
      <c r="I2178" s="2">
        <v>3</v>
      </c>
      <c r="J2178" s="3">
        <v>790</v>
      </c>
      <c r="K2178" s="4">
        <v>0.05</v>
      </c>
      <c r="L2178" s="3">
        <v>2251.5</v>
      </c>
      <c r="M2178" t="b">
        <v>1</v>
      </c>
      <c r="N2178" s="2">
        <f>YEAR(B2178)</f>
        <v>2025</v>
      </c>
      <c r="O2178" t="str">
        <f>INDEX(Agences!$C:$C,MATCH(F2178,Agences!$A:$A,0))</f>
        <v>Île-de-France</v>
      </c>
      <c r="P2178" t="str">
        <f>INDEX(Produits!$C:$C,MATCH(H2178,Produits!$A:$A,0))</f>
        <v>Informatique</v>
      </c>
      <c r="Q2178" s="3">
        <f>I2178*INDEX(Produits!$E:$E,MATCH(H2178,Produits!$A:$A,0))</f>
        <v>1753.8000000000002</v>
      </c>
      <c r="R2178" s="3">
        <f>L2178-Q2178</f>
        <v>497.6999999999998</v>
      </c>
      <c r="S2178" s="2">
        <f>NETWORKDAYS(B2178,C2178)-1</f>
        <v>1</v>
      </c>
      <c r="T2178" s="1">
        <f>WORKDAY(B2178,5)</f>
        <v>45961</v>
      </c>
      <c r="U2178" t="b">
        <f>C2178&gt;T2178</f>
        <v>0</v>
      </c>
    </row>
    <row r="2179" spans="1:21" x14ac:dyDescent="0.25">
      <c r="A2179" t="s">
        <v>1496</v>
      </c>
      <c r="B2179" s="1">
        <v>45954</v>
      </c>
      <c r="C2179" s="1">
        <v>45957</v>
      </c>
      <c r="D2179" t="s">
        <v>869</v>
      </c>
      <c r="E2179" t="s">
        <v>175</v>
      </c>
      <c r="F2179" t="s">
        <v>76</v>
      </c>
      <c r="G2179" t="s">
        <v>77</v>
      </c>
      <c r="H2179" t="s">
        <v>233</v>
      </c>
      <c r="I2179" s="2">
        <v>20</v>
      </c>
      <c r="J2179" s="3">
        <v>27.5</v>
      </c>
      <c r="K2179" s="4">
        <v>0.02</v>
      </c>
      <c r="L2179" s="3">
        <v>539</v>
      </c>
      <c r="M2179" t="b">
        <v>1</v>
      </c>
      <c r="N2179" s="2">
        <f>YEAR(B2179)</f>
        <v>2025</v>
      </c>
      <c r="O2179" t="str">
        <f>INDEX(Agences!$C:$C,MATCH(F2179,Agences!$A:$A,0))</f>
        <v>Île-de-France</v>
      </c>
      <c r="P2179" t="str">
        <f>INDEX(Produits!$C:$C,MATCH(H2179,Produits!$A:$A,0))</f>
        <v>Fournitures</v>
      </c>
      <c r="Q2179" s="3">
        <f>I2179*INDEX(Produits!$E:$E,MATCH(H2179,Produits!$A:$A,0))</f>
        <v>308</v>
      </c>
      <c r="R2179" s="3">
        <f>L2179-Q2179</f>
        <v>231</v>
      </c>
      <c r="S2179" s="2">
        <f>NETWORKDAYS(B2179,C2179)-1</f>
        <v>1</v>
      </c>
      <c r="T2179" s="1">
        <f>WORKDAY(B2179,5)</f>
        <v>45961</v>
      </c>
      <c r="U2179" t="b">
        <f>C2179&gt;T2179</f>
        <v>0</v>
      </c>
    </row>
    <row r="2180" spans="1:21" x14ac:dyDescent="0.25">
      <c r="A2180" t="s">
        <v>1496</v>
      </c>
      <c r="B2180" s="1">
        <v>45954</v>
      </c>
      <c r="C2180" s="1">
        <v>45957</v>
      </c>
      <c r="D2180" t="s">
        <v>869</v>
      </c>
      <c r="E2180" t="s">
        <v>175</v>
      </c>
      <c r="F2180" t="s">
        <v>76</v>
      </c>
      <c r="G2180" t="s">
        <v>77</v>
      </c>
      <c r="H2180" t="s">
        <v>196</v>
      </c>
      <c r="I2180" s="2">
        <v>5</v>
      </c>
      <c r="J2180" s="3">
        <v>18.5</v>
      </c>
      <c r="K2180" s="4">
        <v>0</v>
      </c>
      <c r="L2180" s="3">
        <v>92.5</v>
      </c>
      <c r="M2180" t="b">
        <v>1</v>
      </c>
      <c r="N2180" s="2">
        <f>YEAR(B2180)</f>
        <v>2025</v>
      </c>
      <c r="O2180" t="str">
        <f>INDEX(Agences!$C:$C,MATCH(F2180,Agences!$A:$A,0))</f>
        <v>Île-de-France</v>
      </c>
      <c r="P2180" t="str">
        <f>INDEX(Produits!$C:$C,MATCH(H2180,Produits!$A:$A,0))</f>
        <v>Fournitures</v>
      </c>
      <c r="Q2180" s="3">
        <f>I2180*INDEX(Produits!$E:$E,MATCH(H2180,Produits!$A:$A,0))</f>
        <v>47.199999999999996</v>
      </c>
      <c r="R2180" s="3">
        <f>L2180-Q2180</f>
        <v>45.300000000000004</v>
      </c>
      <c r="S2180" s="2">
        <f>NETWORKDAYS(B2180,C2180)-1</f>
        <v>1</v>
      </c>
      <c r="T2180" s="1">
        <f>WORKDAY(B2180,5)</f>
        <v>45961</v>
      </c>
      <c r="U2180" t="b">
        <f>C2180&gt;T2180</f>
        <v>0</v>
      </c>
    </row>
    <row r="2181" spans="1:21" x14ac:dyDescent="0.25">
      <c r="A2181" t="s">
        <v>1497</v>
      </c>
      <c r="B2181" s="1">
        <v>45954</v>
      </c>
      <c r="C2181" s="1">
        <v>45958</v>
      </c>
      <c r="D2181" t="s">
        <v>721</v>
      </c>
      <c r="E2181" t="s">
        <v>307</v>
      </c>
      <c r="F2181" t="s">
        <v>76</v>
      </c>
      <c r="G2181" t="s">
        <v>176</v>
      </c>
      <c r="H2181" t="s">
        <v>27</v>
      </c>
      <c r="I2181" s="2">
        <v>2</v>
      </c>
      <c r="J2181" s="3">
        <v>310</v>
      </c>
      <c r="K2181" s="4">
        <v>0.08</v>
      </c>
      <c r="L2181" s="3">
        <v>570.4</v>
      </c>
      <c r="M2181" t="b">
        <v>1</v>
      </c>
      <c r="N2181" s="2">
        <f>YEAR(B2181)</f>
        <v>2025</v>
      </c>
      <c r="O2181" t="str">
        <f>INDEX(Agences!$C:$C,MATCH(F2181,Agences!$A:$A,0))</f>
        <v>Île-de-France</v>
      </c>
      <c r="P2181" t="str">
        <f>INDEX(Produits!$C:$C,MATCH(H2181,Produits!$A:$A,0))</f>
        <v>Mobilier</v>
      </c>
      <c r="Q2181" s="3">
        <f>I2181*INDEX(Produits!$E:$E,MATCH(H2181,Produits!$A:$A,0))</f>
        <v>372</v>
      </c>
      <c r="R2181" s="3">
        <f>L2181-Q2181</f>
        <v>198.39999999999998</v>
      </c>
      <c r="S2181" s="2">
        <f>NETWORKDAYS(B2181,C2181)-1</f>
        <v>2</v>
      </c>
      <c r="T2181" s="1">
        <f>WORKDAY(B2181,5)</f>
        <v>45961</v>
      </c>
      <c r="U2181" t="b">
        <f>C2181&gt;T2181</f>
        <v>0</v>
      </c>
    </row>
    <row r="2182" spans="1:21" x14ac:dyDescent="0.25">
      <c r="A2182" t="s">
        <v>1497</v>
      </c>
      <c r="B2182" s="1">
        <v>45954</v>
      </c>
      <c r="C2182" s="1">
        <v>45958</v>
      </c>
      <c r="D2182" t="s">
        <v>721</v>
      </c>
      <c r="E2182" t="s">
        <v>307</v>
      </c>
      <c r="F2182" t="s">
        <v>76</v>
      </c>
      <c r="G2182" t="s">
        <v>176</v>
      </c>
      <c r="H2182" t="s">
        <v>48</v>
      </c>
      <c r="I2182" s="2">
        <v>1</v>
      </c>
      <c r="J2182" s="3">
        <v>165</v>
      </c>
      <c r="K2182" s="4">
        <v>0</v>
      </c>
      <c r="L2182" s="3">
        <v>165</v>
      </c>
      <c r="M2182" t="b">
        <v>1</v>
      </c>
      <c r="N2182" s="2">
        <f>YEAR(B2182)</f>
        <v>2025</v>
      </c>
      <c r="O2182" t="str">
        <f>INDEX(Agences!$C:$C,MATCH(F2182,Agences!$A:$A,0))</f>
        <v>Île-de-France</v>
      </c>
      <c r="P2182" t="str">
        <f>INDEX(Produits!$C:$C,MATCH(H2182,Produits!$A:$A,0))</f>
        <v>Mobilier</v>
      </c>
      <c r="Q2182" s="3">
        <f>I2182*INDEX(Produits!$E:$E,MATCH(H2182,Produits!$A:$A,0))</f>
        <v>107.25</v>
      </c>
      <c r="R2182" s="3">
        <f>L2182-Q2182</f>
        <v>57.75</v>
      </c>
      <c r="S2182" s="2">
        <f>NETWORKDAYS(B2182,C2182)-1</f>
        <v>2</v>
      </c>
      <c r="T2182" s="1">
        <f>WORKDAY(B2182,5)</f>
        <v>45961</v>
      </c>
      <c r="U2182" t="b">
        <f>C2182&gt;T2182</f>
        <v>0</v>
      </c>
    </row>
    <row r="2183" spans="1:21" x14ac:dyDescent="0.25">
      <c r="A2183" t="s">
        <v>1497</v>
      </c>
      <c r="B2183" s="1">
        <v>45954</v>
      </c>
      <c r="C2183" s="1">
        <v>45958</v>
      </c>
      <c r="D2183" t="s">
        <v>721</v>
      </c>
      <c r="E2183" t="s">
        <v>307</v>
      </c>
      <c r="F2183" t="s">
        <v>76</v>
      </c>
      <c r="G2183" t="s">
        <v>176</v>
      </c>
      <c r="H2183" t="s">
        <v>162</v>
      </c>
      <c r="I2183" s="2">
        <v>1</v>
      </c>
      <c r="J2183" s="3">
        <v>289</v>
      </c>
      <c r="K2183" s="4">
        <v>0.08</v>
      </c>
      <c r="L2183" s="3">
        <v>265.88</v>
      </c>
      <c r="M2183" t="b">
        <v>1</v>
      </c>
      <c r="N2183" s="2">
        <f>YEAR(B2183)</f>
        <v>2025</v>
      </c>
      <c r="O2183" t="str">
        <f>INDEX(Agences!$C:$C,MATCH(F2183,Agences!$A:$A,0))</f>
        <v>Île-de-France</v>
      </c>
      <c r="P2183" t="str">
        <f>INDEX(Produits!$C:$C,MATCH(H2183,Produits!$A:$A,0))</f>
        <v>Mobilier</v>
      </c>
      <c r="Q2183" s="3">
        <f>I2183*INDEX(Produits!$E:$E,MATCH(H2183,Produits!$A:$A,0))</f>
        <v>193.63</v>
      </c>
      <c r="R2183" s="3">
        <f>L2183-Q2183</f>
        <v>72.25</v>
      </c>
      <c r="S2183" s="2">
        <f>NETWORKDAYS(B2183,C2183)-1</f>
        <v>2</v>
      </c>
      <c r="T2183" s="1">
        <f>WORKDAY(B2183,5)</f>
        <v>45961</v>
      </c>
      <c r="U2183" t="b">
        <f>C2183&gt;T2183</f>
        <v>0</v>
      </c>
    </row>
    <row r="2184" spans="1:21" x14ac:dyDescent="0.25">
      <c r="A2184" t="s">
        <v>1497</v>
      </c>
      <c r="B2184" s="1">
        <v>45954</v>
      </c>
      <c r="C2184" s="1">
        <v>45958</v>
      </c>
      <c r="D2184" t="s">
        <v>721</v>
      </c>
      <c r="E2184" t="s">
        <v>307</v>
      </c>
      <c r="F2184" t="s">
        <v>76</v>
      </c>
      <c r="G2184" t="s">
        <v>176</v>
      </c>
      <c r="H2184" t="s">
        <v>42</v>
      </c>
      <c r="I2184" s="2">
        <v>1</v>
      </c>
      <c r="J2184" s="3">
        <v>55</v>
      </c>
      <c r="K2184" s="4">
        <v>0</v>
      </c>
      <c r="L2184" s="3">
        <v>55</v>
      </c>
      <c r="M2184" t="b">
        <v>1</v>
      </c>
      <c r="N2184" s="2">
        <f>YEAR(B2184)</f>
        <v>2025</v>
      </c>
      <c r="O2184" t="str">
        <f>INDEX(Agences!$C:$C,MATCH(F2184,Agences!$A:$A,0))</f>
        <v>Île-de-France</v>
      </c>
      <c r="P2184" t="str">
        <f>INDEX(Produits!$C:$C,MATCH(H2184,Produits!$A:$A,0))</f>
        <v>Maintenance</v>
      </c>
      <c r="Q2184" s="3">
        <f>I2184*INDEX(Produits!$E:$E,MATCH(H2184,Produits!$A:$A,0))</f>
        <v>24.75</v>
      </c>
      <c r="R2184" s="3">
        <f>L2184-Q2184</f>
        <v>30.25</v>
      </c>
      <c r="S2184" s="2">
        <f>NETWORKDAYS(B2184,C2184)-1</f>
        <v>2</v>
      </c>
      <c r="T2184" s="1">
        <f>WORKDAY(B2184,5)</f>
        <v>45961</v>
      </c>
      <c r="U2184" t="b">
        <f>C2184&gt;T2184</f>
        <v>0</v>
      </c>
    </row>
    <row r="2185" spans="1:21" x14ac:dyDescent="0.25">
      <c r="A2185" t="s">
        <v>1498</v>
      </c>
      <c r="B2185" s="1">
        <v>45954</v>
      </c>
      <c r="C2185" s="1">
        <v>45957</v>
      </c>
      <c r="D2185" t="s">
        <v>338</v>
      </c>
      <c r="E2185" t="s">
        <v>339</v>
      </c>
      <c r="F2185" t="s">
        <v>31</v>
      </c>
      <c r="G2185" t="s">
        <v>186</v>
      </c>
      <c r="H2185" t="s">
        <v>162</v>
      </c>
      <c r="I2185" s="2">
        <v>1</v>
      </c>
      <c r="J2185" s="3">
        <v>289</v>
      </c>
      <c r="K2185" s="4">
        <v>0</v>
      </c>
      <c r="L2185" s="3">
        <v>289</v>
      </c>
      <c r="M2185" t="b">
        <v>1</v>
      </c>
      <c r="N2185" s="2">
        <f>YEAR(B2185)</f>
        <v>2025</v>
      </c>
      <c r="O2185" t="str">
        <f>INDEX(Agences!$C:$C,MATCH(F2185,Agences!$A:$A,0))</f>
        <v>Ouest</v>
      </c>
      <c r="P2185" t="str">
        <f>INDEX(Produits!$C:$C,MATCH(H2185,Produits!$A:$A,0))</f>
        <v>Mobilier</v>
      </c>
      <c r="Q2185" s="3">
        <f>I2185*INDEX(Produits!$E:$E,MATCH(H2185,Produits!$A:$A,0))</f>
        <v>193.63</v>
      </c>
      <c r="R2185" s="3">
        <f>L2185-Q2185</f>
        <v>95.37</v>
      </c>
      <c r="S2185" s="2">
        <f>NETWORKDAYS(B2185,C2185)-1</f>
        <v>1</v>
      </c>
      <c r="T2185" s="1">
        <f>WORKDAY(B2185,5)</f>
        <v>45961</v>
      </c>
      <c r="U2185" t="b">
        <f>C2185&gt;T2185</f>
        <v>0</v>
      </c>
    </row>
    <row r="2186" spans="1:21" x14ac:dyDescent="0.25">
      <c r="A2186" t="s">
        <v>1498</v>
      </c>
      <c r="B2186" s="1">
        <v>45954</v>
      </c>
      <c r="C2186" s="1">
        <v>45957</v>
      </c>
      <c r="D2186" t="s">
        <v>338</v>
      </c>
      <c r="E2186" t="s">
        <v>339</v>
      </c>
      <c r="F2186" t="s">
        <v>31</v>
      </c>
      <c r="G2186" t="s">
        <v>186</v>
      </c>
      <c r="H2186" t="s">
        <v>48</v>
      </c>
      <c r="I2186" s="2">
        <v>2</v>
      </c>
      <c r="J2186" s="3">
        <v>165</v>
      </c>
      <c r="K2186" s="4">
        <v>0</v>
      </c>
      <c r="L2186" s="3">
        <v>330</v>
      </c>
      <c r="M2186" t="b">
        <v>1</v>
      </c>
      <c r="N2186" s="2">
        <f>YEAR(B2186)</f>
        <v>2025</v>
      </c>
      <c r="O2186" t="str">
        <f>INDEX(Agences!$C:$C,MATCH(F2186,Agences!$A:$A,0))</f>
        <v>Ouest</v>
      </c>
      <c r="P2186" t="str">
        <f>INDEX(Produits!$C:$C,MATCH(H2186,Produits!$A:$A,0))</f>
        <v>Mobilier</v>
      </c>
      <c r="Q2186" s="3">
        <f>I2186*INDEX(Produits!$E:$E,MATCH(H2186,Produits!$A:$A,0))</f>
        <v>214.5</v>
      </c>
      <c r="R2186" s="3">
        <f>L2186-Q2186</f>
        <v>115.5</v>
      </c>
      <c r="S2186" s="2">
        <f>NETWORKDAYS(B2186,C2186)-1</f>
        <v>1</v>
      </c>
      <c r="T2186" s="1">
        <f>WORKDAY(B2186,5)</f>
        <v>45961</v>
      </c>
      <c r="U2186" t="b">
        <f>C2186&gt;T2186</f>
        <v>0</v>
      </c>
    </row>
    <row r="2187" spans="1:21" x14ac:dyDescent="0.25">
      <c r="A2187" t="s">
        <v>1498</v>
      </c>
      <c r="B2187" s="1">
        <v>45954</v>
      </c>
      <c r="C2187" s="1">
        <v>45957</v>
      </c>
      <c r="D2187" t="s">
        <v>338</v>
      </c>
      <c r="E2187" t="s">
        <v>339</v>
      </c>
      <c r="F2187" t="s">
        <v>31</v>
      </c>
      <c r="G2187" t="s">
        <v>186</v>
      </c>
      <c r="H2187" t="s">
        <v>83</v>
      </c>
      <c r="I2187" s="2">
        <v>1</v>
      </c>
      <c r="J2187" s="3">
        <v>49</v>
      </c>
      <c r="K2187" s="4">
        <v>0</v>
      </c>
      <c r="L2187" s="3">
        <v>49</v>
      </c>
      <c r="M2187" t="b">
        <v>1</v>
      </c>
      <c r="N2187" s="2">
        <f>YEAR(B2187)</f>
        <v>2025</v>
      </c>
      <c r="O2187" t="str">
        <f>INDEX(Agences!$C:$C,MATCH(F2187,Agences!$A:$A,0))</f>
        <v>Ouest</v>
      </c>
      <c r="P2187" t="str">
        <f>INDEX(Produits!$C:$C,MATCH(H2187,Produits!$A:$A,0))</f>
        <v>Mobilier</v>
      </c>
      <c r="Q2187" s="3">
        <f>I2187*INDEX(Produits!$E:$E,MATCH(H2187,Produits!$A:$A,0))</f>
        <v>28.42</v>
      </c>
      <c r="R2187" s="3">
        <f>L2187-Q2187</f>
        <v>20.58</v>
      </c>
      <c r="S2187" s="2">
        <f>NETWORKDAYS(B2187,C2187)-1</f>
        <v>1</v>
      </c>
      <c r="T2187" s="1">
        <f>WORKDAY(B2187,5)</f>
        <v>45961</v>
      </c>
      <c r="U2187" t="b">
        <f>C2187&gt;T2187</f>
        <v>0</v>
      </c>
    </row>
    <row r="2188" spans="1:21" x14ac:dyDescent="0.25">
      <c r="A2188" t="s">
        <v>1499</v>
      </c>
      <c r="B2188" s="1">
        <v>45954</v>
      </c>
      <c r="C2188" s="1">
        <v>45958</v>
      </c>
      <c r="D2188" t="s">
        <v>1136</v>
      </c>
      <c r="E2188" t="s">
        <v>191</v>
      </c>
      <c r="F2188" t="s">
        <v>62</v>
      </c>
      <c r="G2188" t="s">
        <v>68</v>
      </c>
      <c r="H2188" t="s">
        <v>319</v>
      </c>
      <c r="I2188" s="2">
        <v>5</v>
      </c>
      <c r="J2188" s="3">
        <v>289</v>
      </c>
      <c r="K2188" s="4">
        <v>0.05</v>
      </c>
      <c r="L2188" s="3">
        <v>1372.75</v>
      </c>
      <c r="M2188" t="b">
        <v>1</v>
      </c>
      <c r="N2188" s="2">
        <f>YEAR(B2188)</f>
        <v>2025</v>
      </c>
      <c r="O2188" t="str">
        <f>INDEX(Agences!$C:$C,MATCH(F2188,Agences!$A:$A,0))</f>
        <v>Méditerranée</v>
      </c>
      <c r="P2188" t="str">
        <f>INDEX(Produits!$C:$C,MATCH(H2188,Produits!$A:$A,0))</f>
        <v>Informatique</v>
      </c>
      <c r="Q2188" s="3">
        <f>I2188*INDEX(Produits!$E:$E,MATCH(H2188,Produits!$A:$A,0))</f>
        <v>1069.3000000000002</v>
      </c>
      <c r="R2188" s="3">
        <f>L2188-Q2188</f>
        <v>303.4499999999998</v>
      </c>
      <c r="S2188" s="2">
        <f>NETWORKDAYS(B2188,C2188)-1</f>
        <v>2</v>
      </c>
      <c r="T2188" s="1">
        <f>WORKDAY(B2188,5)</f>
        <v>45961</v>
      </c>
      <c r="U2188" t="b">
        <f>C2188&gt;T2188</f>
        <v>0</v>
      </c>
    </row>
    <row r="2189" spans="1:21" x14ac:dyDescent="0.25">
      <c r="A2189" t="s">
        <v>1499</v>
      </c>
      <c r="B2189" s="1">
        <v>45954</v>
      </c>
      <c r="C2189" s="1">
        <v>45958</v>
      </c>
      <c r="D2189" t="s">
        <v>1136</v>
      </c>
      <c r="E2189" t="s">
        <v>191</v>
      </c>
      <c r="F2189" t="s">
        <v>62</v>
      </c>
      <c r="G2189" t="s">
        <v>68</v>
      </c>
      <c r="H2189" t="s">
        <v>79</v>
      </c>
      <c r="I2189" s="2">
        <v>15</v>
      </c>
      <c r="J2189" s="3">
        <v>14.9</v>
      </c>
      <c r="K2189" s="4">
        <v>0</v>
      </c>
      <c r="L2189" s="3">
        <v>223.5</v>
      </c>
      <c r="M2189" t="b">
        <v>1</v>
      </c>
      <c r="N2189" s="2">
        <f>YEAR(B2189)</f>
        <v>2025</v>
      </c>
      <c r="O2189" t="str">
        <f>INDEX(Agences!$C:$C,MATCH(F2189,Agences!$A:$A,0))</f>
        <v>Méditerranée</v>
      </c>
      <c r="P2189" t="str">
        <f>INDEX(Produits!$C:$C,MATCH(H2189,Produits!$A:$A,0))</f>
        <v>Fournitures</v>
      </c>
      <c r="Q2189" s="3">
        <f>I2189*INDEX(Produits!$E:$E,MATCH(H2189,Produits!$A:$A,0))</f>
        <v>120.75000000000001</v>
      </c>
      <c r="R2189" s="3">
        <f>L2189-Q2189</f>
        <v>102.74999999999999</v>
      </c>
      <c r="S2189" s="2">
        <f>NETWORKDAYS(B2189,C2189)-1</f>
        <v>2</v>
      </c>
      <c r="T2189" s="1">
        <f>WORKDAY(B2189,5)</f>
        <v>45961</v>
      </c>
      <c r="U2189" t="b">
        <f>C2189&gt;T2189</f>
        <v>0</v>
      </c>
    </row>
    <row r="2190" spans="1:21" x14ac:dyDescent="0.25">
      <c r="A2190" t="s">
        <v>1499</v>
      </c>
      <c r="B2190" s="1">
        <v>45954</v>
      </c>
      <c r="C2190" s="1">
        <v>45958</v>
      </c>
      <c r="D2190" t="s">
        <v>1136</v>
      </c>
      <c r="E2190" t="s">
        <v>191</v>
      </c>
      <c r="F2190" t="s">
        <v>62</v>
      </c>
      <c r="G2190" t="s">
        <v>68</v>
      </c>
      <c r="H2190" t="s">
        <v>112</v>
      </c>
      <c r="I2190" s="2">
        <v>7</v>
      </c>
      <c r="J2190" s="3">
        <v>129</v>
      </c>
      <c r="K2190" s="4">
        <v>0.05</v>
      </c>
      <c r="L2190" s="3">
        <v>857.85</v>
      </c>
      <c r="M2190" t="b">
        <v>1</v>
      </c>
      <c r="N2190" s="2">
        <f>YEAR(B2190)</f>
        <v>2025</v>
      </c>
      <c r="O2190" t="str">
        <f>INDEX(Agences!$C:$C,MATCH(F2190,Agences!$A:$A,0))</f>
        <v>Méditerranée</v>
      </c>
      <c r="P2190" t="str">
        <f>INDEX(Produits!$C:$C,MATCH(H2190,Produits!$A:$A,0))</f>
        <v>Mobilier</v>
      </c>
      <c r="Q2190" s="3">
        <f>I2190*INDEX(Produits!$E:$E,MATCH(H2190,Produits!$A:$A,0))</f>
        <v>605.01</v>
      </c>
      <c r="R2190" s="3">
        <f>L2190-Q2190</f>
        <v>252.84000000000003</v>
      </c>
      <c r="S2190" s="2">
        <f>NETWORKDAYS(B2190,C2190)-1</f>
        <v>2</v>
      </c>
      <c r="T2190" s="1">
        <f>WORKDAY(B2190,5)</f>
        <v>45961</v>
      </c>
      <c r="U2190" t="b">
        <f>C2190&gt;T2190</f>
        <v>0</v>
      </c>
    </row>
    <row r="2191" spans="1:21" x14ac:dyDescent="0.25">
      <c r="A2191" t="s">
        <v>1499</v>
      </c>
      <c r="B2191" s="1">
        <v>45954</v>
      </c>
      <c r="C2191" s="1">
        <v>45958</v>
      </c>
      <c r="D2191" t="s">
        <v>1136</v>
      </c>
      <c r="E2191" t="s">
        <v>191</v>
      </c>
      <c r="F2191" t="s">
        <v>62</v>
      </c>
      <c r="G2191" t="s">
        <v>68</v>
      </c>
      <c r="H2191" t="s">
        <v>72</v>
      </c>
      <c r="I2191" s="2">
        <v>3</v>
      </c>
      <c r="J2191" s="3">
        <v>179</v>
      </c>
      <c r="K2191" s="4">
        <v>0.02</v>
      </c>
      <c r="L2191" s="3">
        <v>526.26</v>
      </c>
      <c r="M2191" t="b">
        <v>1</v>
      </c>
      <c r="N2191" s="2">
        <f>YEAR(B2191)</f>
        <v>2025</v>
      </c>
      <c r="O2191" t="str">
        <f>INDEX(Agences!$C:$C,MATCH(F2191,Agences!$A:$A,0))</f>
        <v>Méditerranée</v>
      </c>
      <c r="P2191" t="str">
        <f>INDEX(Produits!$C:$C,MATCH(H2191,Produits!$A:$A,0))</f>
        <v>Informatique</v>
      </c>
      <c r="Q2191" s="3">
        <f>I2191*INDEX(Produits!$E:$E,MATCH(H2191,Produits!$A:$A,0))</f>
        <v>440.34000000000003</v>
      </c>
      <c r="R2191" s="3">
        <f>L2191-Q2191</f>
        <v>85.91999999999996</v>
      </c>
      <c r="S2191" s="2">
        <f>NETWORKDAYS(B2191,C2191)-1</f>
        <v>2</v>
      </c>
      <c r="T2191" s="1">
        <f>WORKDAY(B2191,5)</f>
        <v>45961</v>
      </c>
      <c r="U2191" t="b">
        <f>C2191&gt;T2191</f>
        <v>0</v>
      </c>
    </row>
    <row r="2192" spans="1:21" x14ac:dyDescent="0.25">
      <c r="A2192" t="s">
        <v>1499</v>
      </c>
      <c r="B2192" s="1">
        <v>45954</v>
      </c>
      <c r="C2192" s="1">
        <v>45958</v>
      </c>
      <c r="D2192" t="s">
        <v>1136</v>
      </c>
      <c r="E2192" t="s">
        <v>191</v>
      </c>
      <c r="F2192" t="s">
        <v>62</v>
      </c>
      <c r="G2192" t="s">
        <v>68</v>
      </c>
      <c r="H2192" t="s">
        <v>42</v>
      </c>
      <c r="I2192" s="2">
        <v>1</v>
      </c>
      <c r="J2192" s="3">
        <v>55</v>
      </c>
      <c r="K2192" s="4">
        <v>0</v>
      </c>
      <c r="L2192" s="3">
        <v>55</v>
      </c>
      <c r="M2192" t="b">
        <v>1</v>
      </c>
      <c r="N2192" s="2">
        <f>YEAR(B2192)</f>
        <v>2025</v>
      </c>
      <c r="O2192" t="str">
        <f>INDEX(Agences!$C:$C,MATCH(F2192,Agences!$A:$A,0))</f>
        <v>Méditerranée</v>
      </c>
      <c r="P2192" t="str">
        <f>INDEX(Produits!$C:$C,MATCH(H2192,Produits!$A:$A,0))</f>
        <v>Maintenance</v>
      </c>
      <c r="Q2192" s="3">
        <f>I2192*INDEX(Produits!$E:$E,MATCH(H2192,Produits!$A:$A,0))</f>
        <v>24.75</v>
      </c>
      <c r="R2192" s="3">
        <f>L2192-Q2192</f>
        <v>30.25</v>
      </c>
      <c r="S2192" s="2">
        <f>NETWORKDAYS(B2192,C2192)-1</f>
        <v>2</v>
      </c>
      <c r="T2192" s="1">
        <f>WORKDAY(B2192,5)</f>
        <v>45961</v>
      </c>
      <c r="U2192" t="b">
        <f>C2192&gt;T2192</f>
        <v>0</v>
      </c>
    </row>
    <row r="2193" spans="1:21" x14ac:dyDescent="0.25">
      <c r="A2193" t="s">
        <v>1500</v>
      </c>
      <c r="B2193" s="1">
        <v>45954</v>
      </c>
      <c r="C2193" s="1">
        <v>45961</v>
      </c>
      <c r="D2193" t="s">
        <v>418</v>
      </c>
      <c r="E2193" t="s">
        <v>419</v>
      </c>
      <c r="F2193" t="s">
        <v>62</v>
      </c>
      <c r="G2193" t="s">
        <v>68</v>
      </c>
      <c r="H2193" t="s">
        <v>33</v>
      </c>
      <c r="I2193" s="2">
        <v>1</v>
      </c>
      <c r="J2193" s="3">
        <v>219</v>
      </c>
      <c r="K2193" s="4">
        <v>0</v>
      </c>
      <c r="L2193" s="3">
        <v>219</v>
      </c>
      <c r="M2193" t="b">
        <v>1</v>
      </c>
      <c r="N2193" s="2">
        <f>YEAR(B2193)</f>
        <v>2025</v>
      </c>
      <c r="O2193" t="str">
        <f>INDEX(Agences!$C:$C,MATCH(F2193,Agences!$A:$A,0))</f>
        <v>Méditerranée</v>
      </c>
      <c r="P2193" t="str">
        <f>INDEX(Produits!$C:$C,MATCH(H2193,Produits!$A:$A,0))</f>
        <v>Informatique</v>
      </c>
      <c r="Q2193" s="3">
        <f>I2193*INDEX(Produits!$E:$E,MATCH(H2193,Produits!$A:$A,0))</f>
        <v>179.58</v>
      </c>
      <c r="R2193" s="3">
        <f>L2193-Q2193</f>
        <v>39.41999999999999</v>
      </c>
      <c r="S2193" s="2">
        <f>NETWORKDAYS(B2193,C2193)-1</f>
        <v>5</v>
      </c>
      <c r="T2193" s="1">
        <f>WORKDAY(B2193,5)</f>
        <v>45961</v>
      </c>
      <c r="U2193" t="b">
        <f>C2193&gt;T2193</f>
        <v>0</v>
      </c>
    </row>
    <row r="2194" spans="1:21" x14ac:dyDescent="0.25">
      <c r="A2194" t="s">
        <v>1500</v>
      </c>
      <c r="B2194" s="1">
        <v>45954</v>
      </c>
      <c r="C2194" s="1">
        <v>45961</v>
      </c>
      <c r="D2194" t="s">
        <v>418</v>
      </c>
      <c r="E2194" t="s">
        <v>419</v>
      </c>
      <c r="F2194" t="s">
        <v>62</v>
      </c>
      <c r="G2194" t="s">
        <v>68</v>
      </c>
      <c r="H2194" t="s">
        <v>237</v>
      </c>
      <c r="I2194" s="2">
        <v>1</v>
      </c>
      <c r="J2194" s="3">
        <v>890</v>
      </c>
      <c r="K2194" s="4">
        <v>0</v>
      </c>
      <c r="L2194" s="3">
        <v>890</v>
      </c>
      <c r="M2194" t="b">
        <v>1</v>
      </c>
      <c r="N2194" s="2">
        <f>YEAR(B2194)</f>
        <v>2025</v>
      </c>
      <c r="O2194" t="str">
        <f>INDEX(Agences!$C:$C,MATCH(F2194,Agences!$A:$A,0))</f>
        <v>Méditerranée</v>
      </c>
      <c r="P2194" t="str">
        <f>INDEX(Produits!$C:$C,MATCH(H2194,Produits!$A:$A,0))</f>
        <v>Mobilier</v>
      </c>
      <c r="Q2194" s="3">
        <f>I2194*INDEX(Produits!$E:$E,MATCH(H2194,Produits!$A:$A,0))</f>
        <v>596.3</v>
      </c>
      <c r="R2194" s="3">
        <f>L2194-Q2194</f>
        <v>293.70000000000005</v>
      </c>
      <c r="S2194" s="2">
        <f>NETWORKDAYS(B2194,C2194)-1</f>
        <v>5</v>
      </c>
      <c r="T2194" s="1">
        <f>WORKDAY(B2194,5)</f>
        <v>45961</v>
      </c>
      <c r="U2194" t="b">
        <f>C2194&gt;T2194</f>
        <v>0</v>
      </c>
    </row>
    <row r="2195" spans="1:21" x14ac:dyDescent="0.25">
      <c r="A2195" t="s">
        <v>1501</v>
      </c>
      <c r="B2195" s="1">
        <v>45954</v>
      </c>
      <c r="C2195" s="1">
        <v>45957</v>
      </c>
      <c r="D2195" t="s">
        <v>621</v>
      </c>
      <c r="E2195" t="s">
        <v>54</v>
      </c>
      <c r="F2195" t="s">
        <v>55</v>
      </c>
      <c r="G2195" t="s">
        <v>71</v>
      </c>
      <c r="H2195" t="s">
        <v>49</v>
      </c>
      <c r="I2195" s="2">
        <v>1</v>
      </c>
      <c r="J2195" s="3">
        <v>120</v>
      </c>
      <c r="K2195" s="4">
        <v>0.05</v>
      </c>
      <c r="L2195" s="3">
        <v>114</v>
      </c>
      <c r="M2195" t="b">
        <v>1</v>
      </c>
      <c r="N2195" s="2">
        <f>YEAR(B2195)</f>
        <v>2025</v>
      </c>
      <c r="O2195" t="str">
        <f>INDEX(Agences!$C:$C,MATCH(F2195,Agences!$A:$A,0))</f>
        <v>Est</v>
      </c>
      <c r="P2195" t="str">
        <f>INDEX(Produits!$C:$C,MATCH(H2195,Produits!$A:$A,0))</f>
        <v>Maintenance</v>
      </c>
      <c r="Q2195" s="3">
        <f>I2195*INDEX(Produits!$E:$E,MATCH(H2195,Produits!$A:$A,0))</f>
        <v>55.2</v>
      </c>
      <c r="R2195" s="3">
        <f>L2195-Q2195</f>
        <v>58.8</v>
      </c>
      <c r="S2195" s="2">
        <f>NETWORKDAYS(B2195,C2195)-1</f>
        <v>1</v>
      </c>
      <c r="T2195" s="1">
        <f>WORKDAY(B2195,5)</f>
        <v>45961</v>
      </c>
      <c r="U2195" t="b">
        <f>C2195&gt;T2195</f>
        <v>0</v>
      </c>
    </row>
    <row r="2196" spans="1:21" x14ac:dyDescent="0.25">
      <c r="A2196" t="s">
        <v>1502</v>
      </c>
      <c r="B2196" s="1">
        <v>45953</v>
      </c>
      <c r="C2196" s="1">
        <v>45957</v>
      </c>
      <c r="D2196" t="s">
        <v>815</v>
      </c>
      <c r="E2196" t="s">
        <v>119</v>
      </c>
      <c r="F2196" t="s">
        <v>24</v>
      </c>
      <c r="G2196" t="s">
        <v>116</v>
      </c>
      <c r="H2196" t="s">
        <v>83</v>
      </c>
      <c r="I2196" s="2">
        <v>2</v>
      </c>
      <c r="J2196" s="3">
        <v>49</v>
      </c>
      <c r="K2196" s="4">
        <v>0</v>
      </c>
      <c r="L2196" s="3">
        <v>98</v>
      </c>
      <c r="M2196" t="b">
        <v>1</v>
      </c>
      <c r="N2196" s="2">
        <f>YEAR(B2196)</f>
        <v>2025</v>
      </c>
      <c r="O2196" t="str">
        <f>INDEX(Agences!$C:$C,MATCH(F2196,Agences!$A:$A,0))</f>
        <v>Nord</v>
      </c>
      <c r="P2196" t="str">
        <f>INDEX(Produits!$C:$C,MATCH(H2196,Produits!$A:$A,0))</f>
        <v>Mobilier</v>
      </c>
      <c r="Q2196" s="3">
        <f>I2196*INDEX(Produits!$E:$E,MATCH(H2196,Produits!$A:$A,0))</f>
        <v>56.84</v>
      </c>
      <c r="R2196" s="3">
        <f>L2196-Q2196</f>
        <v>41.16</v>
      </c>
      <c r="S2196" s="2">
        <f>NETWORKDAYS(B2196,C2196)-1</f>
        <v>2</v>
      </c>
      <c r="T2196" s="1">
        <f>WORKDAY(B2196,5)</f>
        <v>45960</v>
      </c>
      <c r="U2196" t="b">
        <f>C2196&gt;T2196</f>
        <v>0</v>
      </c>
    </row>
    <row r="2197" spans="1:21" x14ac:dyDescent="0.25">
      <c r="A2197" t="s">
        <v>1502</v>
      </c>
      <c r="B2197" s="1">
        <v>45953</v>
      </c>
      <c r="C2197" s="1">
        <v>45957</v>
      </c>
      <c r="D2197" t="s">
        <v>815</v>
      </c>
      <c r="E2197" t="s">
        <v>119</v>
      </c>
      <c r="F2197" t="s">
        <v>24</v>
      </c>
      <c r="G2197" t="s">
        <v>116</v>
      </c>
      <c r="H2197" t="s">
        <v>26</v>
      </c>
      <c r="I2197" s="2">
        <v>1</v>
      </c>
      <c r="J2197" s="3">
        <v>290</v>
      </c>
      <c r="K2197" s="4">
        <v>0</v>
      </c>
      <c r="L2197" s="3">
        <v>290</v>
      </c>
      <c r="M2197" t="b">
        <v>1</v>
      </c>
      <c r="N2197" s="2">
        <f>YEAR(B2197)</f>
        <v>2025</v>
      </c>
      <c r="O2197" t="str">
        <f>INDEX(Agences!$C:$C,MATCH(F2197,Agences!$A:$A,0))</f>
        <v>Nord</v>
      </c>
      <c r="P2197" t="str">
        <f>INDEX(Produits!$C:$C,MATCH(H2197,Produits!$A:$A,0))</f>
        <v>Maintenance</v>
      </c>
      <c r="Q2197" s="3">
        <f>I2197*INDEX(Produits!$E:$E,MATCH(H2197,Produits!$A:$A,0))</f>
        <v>139.2</v>
      </c>
      <c r="R2197" s="3">
        <f>L2197-Q2197</f>
        <v>150.8</v>
      </c>
      <c r="S2197" s="2">
        <f>NETWORKDAYS(B2197,C2197)-1</f>
        <v>2</v>
      </c>
      <c r="T2197" s="1">
        <f>WORKDAY(B2197,5)</f>
        <v>45960</v>
      </c>
      <c r="U2197" t="b">
        <f>C2197&gt;T2197</f>
        <v>0</v>
      </c>
    </row>
    <row r="2198" spans="1:21" x14ac:dyDescent="0.25">
      <c r="A2198" t="s">
        <v>1502</v>
      </c>
      <c r="B2198" s="1">
        <v>45953</v>
      </c>
      <c r="C2198" s="1">
        <v>45957</v>
      </c>
      <c r="D2198" t="s">
        <v>815</v>
      </c>
      <c r="E2198" t="s">
        <v>119</v>
      </c>
      <c r="F2198" t="s">
        <v>24</v>
      </c>
      <c r="G2198" t="s">
        <v>116</v>
      </c>
      <c r="H2198" t="s">
        <v>42</v>
      </c>
      <c r="I2198" s="2">
        <v>1</v>
      </c>
      <c r="J2198" s="3">
        <v>55</v>
      </c>
      <c r="K2198" s="4">
        <v>0</v>
      </c>
      <c r="L2198" s="3">
        <v>55</v>
      </c>
      <c r="M2198" t="b">
        <v>1</v>
      </c>
      <c r="N2198" s="2">
        <f>YEAR(B2198)</f>
        <v>2025</v>
      </c>
      <c r="O2198" t="str">
        <f>INDEX(Agences!$C:$C,MATCH(F2198,Agences!$A:$A,0))</f>
        <v>Nord</v>
      </c>
      <c r="P2198" t="str">
        <f>INDEX(Produits!$C:$C,MATCH(H2198,Produits!$A:$A,0))</f>
        <v>Maintenance</v>
      </c>
      <c r="Q2198" s="3">
        <f>I2198*INDEX(Produits!$E:$E,MATCH(H2198,Produits!$A:$A,0))</f>
        <v>24.75</v>
      </c>
      <c r="R2198" s="3">
        <f>L2198-Q2198</f>
        <v>30.25</v>
      </c>
      <c r="S2198" s="2">
        <f>NETWORKDAYS(B2198,C2198)-1</f>
        <v>2</v>
      </c>
      <c r="T2198" s="1">
        <f>WORKDAY(B2198,5)</f>
        <v>45960</v>
      </c>
      <c r="U2198" t="b">
        <f>C2198&gt;T2198</f>
        <v>0</v>
      </c>
    </row>
    <row r="2199" spans="1:21" x14ac:dyDescent="0.25">
      <c r="A2199" t="s">
        <v>1502</v>
      </c>
      <c r="B2199" s="1">
        <v>45953</v>
      </c>
      <c r="C2199" s="1">
        <v>45957</v>
      </c>
      <c r="D2199" t="s">
        <v>815</v>
      </c>
      <c r="E2199" t="s">
        <v>119</v>
      </c>
      <c r="F2199" t="s">
        <v>24</v>
      </c>
      <c r="G2199" t="s">
        <v>116</v>
      </c>
      <c r="H2199" t="s">
        <v>161</v>
      </c>
      <c r="I2199" s="2">
        <v>15</v>
      </c>
      <c r="J2199" s="3">
        <v>32</v>
      </c>
      <c r="K2199" s="4">
        <v>0.02</v>
      </c>
      <c r="L2199" s="3">
        <v>470.4</v>
      </c>
      <c r="M2199" t="b">
        <v>1</v>
      </c>
      <c r="N2199" s="2">
        <f>YEAR(B2199)</f>
        <v>2025</v>
      </c>
      <c r="O2199" t="str">
        <f>INDEX(Agences!$C:$C,MATCH(F2199,Agences!$A:$A,0))</f>
        <v>Nord</v>
      </c>
      <c r="P2199" t="str">
        <f>INDEX(Produits!$C:$C,MATCH(H2199,Produits!$A:$A,0))</f>
        <v>Fournitures</v>
      </c>
      <c r="Q2199" s="3">
        <f>I2199*INDEX(Produits!$E:$E,MATCH(H2199,Produits!$A:$A,0))</f>
        <v>264</v>
      </c>
      <c r="R2199" s="3">
        <f>L2199-Q2199</f>
        <v>206.39999999999998</v>
      </c>
      <c r="S2199" s="2">
        <f>NETWORKDAYS(B2199,C2199)-1</f>
        <v>2</v>
      </c>
      <c r="T2199" s="1">
        <f>WORKDAY(B2199,5)</f>
        <v>45960</v>
      </c>
      <c r="U2199" t="b">
        <f>C2199&gt;T2199</f>
        <v>0</v>
      </c>
    </row>
    <row r="2200" spans="1:21" x14ac:dyDescent="0.25">
      <c r="A2200" t="s">
        <v>1503</v>
      </c>
      <c r="B2200" s="1">
        <v>45953</v>
      </c>
      <c r="C2200" s="1">
        <v>45957</v>
      </c>
      <c r="D2200" t="s">
        <v>552</v>
      </c>
      <c r="E2200" t="s">
        <v>137</v>
      </c>
      <c r="F2200" t="s">
        <v>138</v>
      </c>
      <c r="G2200" t="s">
        <v>139</v>
      </c>
      <c r="H2200" t="s">
        <v>42</v>
      </c>
      <c r="I2200" s="2">
        <v>2</v>
      </c>
      <c r="J2200" s="3">
        <v>55</v>
      </c>
      <c r="K2200" s="4">
        <v>0.02</v>
      </c>
      <c r="L2200" s="3">
        <v>107.8</v>
      </c>
      <c r="M2200" t="b">
        <v>1</v>
      </c>
      <c r="N2200" s="2">
        <f>YEAR(B2200)</f>
        <v>2025</v>
      </c>
      <c r="O2200" t="str">
        <f>INDEX(Agences!$C:$C,MATCH(F2200,Agences!$A:$A,0))</f>
        <v>Île-de-France</v>
      </c>
      <c r="P2200" t="str">
        <f>INDEX(Produits!$C:$C,MATCH(H2200,Produits!$A:$A,0))</f>
        <v>Maintenance</v>
      </c>
      <c r="Q2200" s="3">
        <f>I2200*INDEX(Produits!$E:$E,MATCH(H2200,Produits!$A:$A,0))</f>
        <v>49.5</v>
      </c>
      <c r="R2200" s="3">
        <f>L2200-Q2200</f>
        <v>58.3</v>
      </c>
      <c r="S2200" s="2">
        <f>NETWORKDAYS(B2200,C2200)-1</f>
        <v>2</v>
      </c>
      <c r="T2200" s="1">
        <f>WORKDAY(B2200,5)</f>
        <v>45960</v>
      </c>
      <c r="U2200" t="b">
        <f>C2200&gt;T2200</f>
        <v>0</v>
      </c>
    </row>
    <row r="2201" spans="1:21" x14ac:dyDescent="0.25">
      <c r="A2201" t="s">
        <v>1503</v>
      </c>
      <c r="B2201" s="1">
        <v>45953</v>
      </c>
      <c r="C2201" s="1">
        <v>45957</v>
      </c>
      <c r="D2201" t="s">
        <v>552</v>
      </c>
      <c r="E2201" t="s">
        <v>137</v>
      </c>
      <c r="F2201" t="s">
        <v>138</v>
      </c>
      <c r="G2201" t="s">
        <v>139</v>
      </c>
      <c r="H2201" t="s">
        <v>217</v>
      </c>
      <c r="I2201" s="2">
        <v>1</v>
      </c>
      <c r="J2201" s="3">
        <v>1090</v>
      </c>
      <c r="K2201" s="4">
        <v>0.08</v>
      </c>
      <c r="L2201" s="3">
        <v>1002.8</v>
      </c>
      <c r="M2201" t="b">
        <v>1</v>
      </c>
      <c r="N2201" s="2">
        <f>YEAR(B2201)</f>
        <v>2025</v>
      </c>
      <c r="O2201" t="str">
        <f>INDEX(Agences!$C:$C,MATCH(F2201,Agences!$A:$A,0))</f>
        <v>Île-de-France</v>
      </c>
      <c r="P2201" t="str">
        <f>INDEX(Produits!$C:$C,MATCH(H2201,Produits!$A:$A,0))</f>
        <v>Informatique</v>
      </c>
      <c r="Q2201" s="3">
        <f>I2201*INDEX(Produits!$E:$E,MATCH(H2201,Produits!$A:$A,0))</f>
        <v>817.5</v>
      </c>
      <c r="R2201" s="3">
        <f>L2201-Q2201</f>
        <v>185.29999999999995</v>
      </c>
      <c r="S2201" s="2">
        <f>NETWORKDAYS(B2201,C2201)-1</f>
        <v>2</v>
      </c>
      <c r="T2201" s="1">
        <f>WORKDAY(B2201,5)</f>
        <v>45960</v>
      </c>
      <c r="U2201" t="b">
        <f>C2201&gt;T2201</f>
        <v>0</v>
      </c>
    </row>
    <row r="2202" spans="1:21" x14ac:dyDescent="0.25">
      <c r="A2202" t="s">
        <v>1503</v>
      </c>
      <c r="B2202" s="1">
        <v>45953</v>
      </c>
      <c r="C2202" s="1">
        <v>45957</v>
      </c>
      <c r="D2202" t="s">
        <v>552</v>
      </c>
      <c r="E2202" t="s">
        <v>137</v>
      </c>
      <c r="F2202" t="s">
        <v>138</v>
      </c>
      <c r="G2202" t="s">
        <v>139</v>
      </c>
      <c r="H2202" t="s">
        <v>205</v>
      </c>
      <c r="I2202" s="2">
        <v>2</v>
      </c>
      <c r="J2202" s="3">
        <v>359</v>
      </c>
      <c r="K2202" s="4">
        <v>0.05</v>
      </c>
      <c r="L2202" s="3">
        <v>682.1</v>
      </c>
      <c r="M2202" t="b">
        <v>1</v>
      </c>
      <c r="N2202" s="2">
        <f>YEAR(B2202)</f>
        <v>2025</v>
      </c>
      <c r="O2202" t="str">
        <f>INDEX(Agences!$C:$C,MATCH(F2202,Agences!$A:$A,0))</f>
        <v>Île-de-France</v>
      </c>
      <c r="P2202" t="str">
        <f>INDEX(Produits!$C:$C,MATCH(H2202,Produits!$A:$A,0))</f>
        <v>Mobilier</v>
      </c>
      <c r="Q2202" s="3">
        <f>I2202*INDEX(Produits!$E:$E,MATCH(H2202,Produits!$A:$A,0))</f>
        <v>409.26</v>
      </c>
      <c r="R2202" s="3">
        <f>L2202-Q2202</f>
        <v>272.84000000000003</v>
      </c>
      <c r="S2202" s="2">
        <f>NETWORKDAYS(B2202,C2202)-1</f>
        <v>2</v>
      </c>
      <c r="T2202" s="1">
        <f>WORKDAY(B2202,5)</f>
        <v>45960</v>
      </c>
      <c r="U2202" t="b">
        <f>C2202&gt;T2202</f>
        <v>0</v>
      </c>
    </row>
    <row r="2203" spans="1:21" x14ac:dyDescent="0.25">
      <c r="A2203" t="s">
        <v>1504</v>
      </c>
      <c r="B2203" s="1">
        <v>45953</v>
      </c>
      <c r="C2203" s="1">
        <v>45954</v>
      </c>
      <c r="D2203" t="s">
        <v>982</v>
      </c>
      <c r="E2203" t="s">
        <v>339</v>
      </c>
      <c r="F2203" t="s">
        <v>31</v>
      </c>
      <c r="G2203" t="s">
        <v>32</v>
      </c>
      <c r="H2203" t="s">
        <v>26</v>
      </c>
      <c r="I2203" s="2">
        <v>1</v>
      </c>
      <c r="J2203" s="3">
        <v>290</v>
      </c>
      <c r="K2203" s="4">
        <v>0</v>
      </c>
      <c r="L2203" s="3">
        <v>290</v>
      </c>
      <c r="M2203" t="b">
        <v>1</v>
      </c>
      <c r="N2203" s="2">
        <f>YEAR(B2203)</f>
        <v>2025</v>
      </c>
      <c r="O2203" t="str">
        <f>INDEX(Agences!$C:$C,MATCH(F2203,Agences!$A:$A,0))</f>
        <v>Ouest</v>
      </c>
      <c r="P2203" t="str">
        <f>INDEX(Produits!$C:$C,MATCH(H2203,Produits!$A:$A,0))</f>
        <v>Maintenance</v>
      </c>
      <c r="Q2203" s="3">
        <f>I2203*INDEX(Produits!$E:$E,MATCH(H2203,Produits!$A:$A,0))</f>
        <v>139.2</v>
      </c>
      <c r="R2203" s="3">
        <f>L2203-Q2203</f>
        <v>150.8</v>
      </c>
      <c r="S2203" s="2">
        <f>NETWORKDAYS(B2203,C2203)-1</f>
        <v>1</v>
      </c>
      <c r="T2203" s="1">
        <f>WORKDAY(B2203,5)</f>
        <v>45960</v>
      </c>
      <c r="U2203" t="b">
        <f>C2203&gt;T2203</f>
        <v>0</v>
      </c>
    </row>
    <row r="2204" spans="1:21" x14ac:dyDescent="0.25">
      <c r="A2204" t="s">
        <v>1504</v>
      </c>
      <c r="B2204" s="1">
        <v>45953</v>
      </c>
      <c r="C2204" s="1">
        <v>45954</v>
      </c>
      <c r="D2204" t="s">
        <v>982</v>
      </c>
      <c r="E2204" t="s">
        <v>339</v>
      </c>
      <c r="F2204" t="s">
        <v>31</v>
      </c>
      <c r="G2204" t="s">
        <v>32</v>
      </c>
      <c r="H2204" t="s">
        <v>78</v>
      </c>
      <c r="I2204" s="2">
        <v>1</v>
      </c>
      <c r="J2204" s="3">
        <v>1390</v>
      </c>
      <c r="K2204" s="4">
        <v>0.05</v>
      </c>
      <c r="L2204" s="3">
        <v>1320.5</v>
      </c>
      <c r="M2204" t="b">
        <v>1</v>
      </c>
      <c r="N2204" s="2">
        <f>YEAR(B2204)</f>
        <v>2025</v>
      </c>
      <c r="O2204" t="str">
        <f>INDEX(Agences!$C:$C,MATCH(F2204,Agences!$A:$A,0))</f>
        <v>Ouest</v>
      </c>
      <c r="P2204" t="str">
        <f>INDEX(Produits!$C:$C,MATCH(H2204,Produits!$A:$A,0))</f>
        <v>Informatique</v>
      </c>
      <c r="Q2204" s="3">
        <f>I2204*INDEX(Produits!$E:$E,MATCH(H2204,Produits!$A:$A,0))</f>
        <v>1125.9</v>
      </c>
      <c r="R2204" s="3">
        <f>L2204-Q2204</f>
        <v>194.5999999999999</v>
      </c>
      <c r="S2204" s="2">
        <f>NETWORKDAYS(B2204,C2204)-1</f>
        <v>1</v>
      </c>
      <c r="T2204" s="1">
        <f>WORKDAY(B2204,5)</f>
        <v>45960</v>
      </c>
      <c r="U2204" t="b">
        <f>C2204&gt;T2204</f>
        <v>0</v>
      </c>
    </row>
    <row r="2205" spans="1:21" x14ac:dyDescent="0.25">
      <c r="A2205" t="s">
        <v>1504</v>
      </c>
      <c r="B2205" s="1">
        <v>45953</v>
      </c>
      <c r="C2205" s="1">
        <v>45954</v>
      </c>
      <c r="D2205" t="s">
        <v>982</v>
      </c>
      <c r="E2205" t="s">
        <v>339</v>
      </c>
      <c r="F2205" t="s">
        <v>31</v>
      </c>
      <c r="G2205" t="s">
        <v>32</v>
      </c>
      <c r="H2205" t="s">
        <v>51</v>
      </c>
      <c r="I2205" s="2">
        <v>1</v>
      </c>
      <c r="J2205" s="3">
        <v>180</v>
      </c>
      <c r="K2205" s="4">
        <v>0.05</v>
      </c>
      <c r="L2205" s="3">
        <v>171</v>
      </c>
      <c r="M2205" t="b">
        <v>1</v>
      </c>
      <c r="N2205" s="2">
        <f>YEAR(B2205)</f>
        <v>2025</v>
      </c>
      <c r="O2205" t="str">
        <f>INDEX(Agences!$C:$C,MATCH(F2205,Agences!$A:$A,0))</f>
        <v>Ouest</v>
      </c>
      <c r="P2205" t="str">
        <f>INDEX(Produits!$C:$C,MATCH(H2205,Produits!$A:$A,0))</f>
        <v>Maintenance</v>
      </c>
      <c r="Q2205" s="3">
        <f>I2205*INDEX(Produits!$E:$E,MATCH(H2205,Produits!$A:$A,0))</f>
        <v>82.8</v>
      </c>
      <c r="R2205" s="3">
        <f>L2205-Q2205</f>
        <v>88.2</v>
      </c>
      <c r="S2205" s="2">
        <f>NETWORKDAYS(B2205,C2205)-1</f>
        <v>1</v>
      </c>
      <c r="T2205" s="1">
        <f>WORKDAY(B2205,5)</f>
        <v>45960</v>
      </c>
      <c r="U2205" t="b">
        <f>C2205&gt;T2205</f>
        <v>0</v>
      </c>
    </row>
    <row r="2206" spans="1:21" x14ac:dyDescent="0.25">
      <c r="A2206" t="s">
        <v>1505</v>
      </c>
      <c r="B2206" s="1">
        <v>45953</v>
      </c>
      <c r="C2206" s="1">
        <v>45957</v>
      </c>
      <c r="D2206" t="s">
        <v>1506</v>
      </c>
      <c r="E2206" t="s">
        <v>339</v>
      </c>
      <c r="F2206" t="s">
        <v>31</v>
      </c>
      <c r="G2206" t="s">
        <v>186</v>
      </c>
      <c r="H2206" t="s">
        <v>48</v>
      </c>
      <c r="I2206" s="2">
        <v>3</v>
      </c>
      <c r="J2206" s="3">
        <v>165</v>
      </c>
      <c r="K2206" s="4">
        <v>0.05</v>
      </c>
      <c r="L2206" s="3">
        <v>470.25</v>
      </c>
      <c r="M2206" t="b">
        <v>1</v>
      </c>
      <c r="N2206" s="2">
        <f>YEAR(B2206)</f>
        <v>2025</v>
      </c>
      <c r="O2206" t="str">
        <f>INDEX(Agences!$C:$C,MATCH(F2206,Agences!$A:$A,0))</f>
        <v>Ouest</v>
      </c>
      <c r="P2206" t="str">
        <f>INDEX(Produits!$C:$C,MATCH(H2206,Produits!$A:$A,0))</f>
        <v>Mobilier</v>
      </c>
      <c r="Q2206" s="3">
        <f>I2206*INDEX(Produits!$E:$E,MATCH(H2206,Produits!$A:$A,0))</f>
        <v>321.75</v>
      </c>
      <c r="R2206" s="3">
        <f>L2206-Q2206</f>
        <v>148.5</v>
      </c>
      <c r="S2206" s="2">
        <f>NETWORKDAYS(B2206,C2206)-1</f>
        <v>2</v>
      </c>
      <c r="T2206" s="1">
        <f>WORKDAY(B2206,5)</f>
        <v>45960</v>
      </c>
      <c r="U2206" t="b">
        <f>C2206&gt;T2206</f>
        <v>0</v>
      </c>
    </row>
    <row r="2207" spans="1:21" x14ac:dyDescent="0.25">
      <c r="A2207" t="s">
        <v>1505</v>
      </c>
      <c r="B2207" s="1">
        <v>45953</v>
      </c>
      <c r="C2207" s="1">
        <v>45957</v>
      </c>
      <c r="D2207" t="s">
        <v>1506</v>
      </c>
      <c r="E2207" t="s">
        <v>339</v>
      </c>
      <c r="F2207" t="s">
        <v>31</v>
      </c>
      <c r="G2207" t="s">
        <v>186</v>
      </c>
      <c r="H2207" t="s">
        <v>112</v>
      </c>
      <c r="I2207" s="2">
        <v>1</v>
      </c>
      <c r="J2207" s="3">
        <v>129</v>
      </c>
      <c r="K2207" s="4">
        <v>0</v>
      </c>
      <c r="L2207" s="3">
        <v>129</v>
      </c>
      <c r="M2207" t="b">
        <v>1</v>
      </c>
      <c r="N2207" s="2">
        <f>YEAR(B2207)</f>
        <v>2025</v>
      </c>
      <c r="O2207" t="str">
        <f>INDEX(Agences!$C:$C,MATCH(F2207,Agences!$A:$A,0))</f>
        <v>Ouest</v>
      </c>
      <c r="P2207" t="str">
        <f>INDEX(Produits!$C:$C,MATCH(H2207,Produits!$A:$A,0))</f>
        <v>Mobilier</v>
      </c>
      <c r="Q2207" s="3">
        <f>I2207*INDEX(Produits!$E:$E,MATCH(H2207,Produits!$A:$A,0))</f>
        <v>86.43</v>
      </c>
      <c r="R2207" s="3">
        <f>L2207-Q2207</f>
        <v>42.56999999999999</v>
      </c>
      <c r="S2207" s="2">
        <f>NETWORKDAYS(B2207,C2207)-1</f>
        <v>2</v>
      </c>
      <c r="T2207" s="1">
        <f>WORKDAY(B2207,5)</f>
        <v>45960</v>
      </c>
      <c r="U2207" t="b">
        <f>C2207&gt;T2207</f>
        <v>0</v>
      </c>
    </row>
    <row r="2208" spans="1:21" x14ac:dyDescent="0.25">
      <c r="A2208" t="s">
        <v>1505</v>
      </c>
      <c r="B2208" s="1">
        <v>45953</v>
      </c>
      <c r="C2208" s="1">
        <v>45957</v>
      </c>
      <c r="D2208" t="s">
        <v>1506</v>
      </c>
      <c r="E2208" t="s">
        <v>339</v>
      </c>
      <c r="F2208" t="s">
        <v>31</v>
      </c>
      <c r="G2208" t="s">
        <v>186</v>
      </c>
      <c r="H2208" t="s">
        <v>58</v>
      </c>
      <c r="I2208" s="2">
        <v>1</v>
      </c>
      <c r="J2208" s="3">
        <v>649</v>
      </c>
      <c r="K2208" s="4">
        <v>0</v>
      </c>
      <c r="L2208" s="3">
        <v>649</v>
      </c>
      <c r="M2208" t="b">
        <v>1</v>
      </c>
      <c r="N2208" s="2">
        <f>YEAR(B2208)</f>
        <v>2025</v>
      </c>
      <c r="O2208" t="str">
        <f>INDEX(Agences!$C:$C,MATCH(F2208,Agences!$A:$A,0))</f>
        <v>Ouest</v>
      </c>
      <c r="P2208" t="str">
        <f>INDEX(Produits!$C:$C,MATCH(H2208,Produits!$A:$A,0))</f>
        <v>Mobilier</v>
      </c>
      <c r="Q2208" s="3">
        <f>I2208*INDEX(Produits!$E:$E,MATCH(H2208,Produits!$A:$A,0))</f>
        <v>408.87</v>
      </c>
      <c r="R2208" s="3">
        <f>L2208-Q2208</f>
        <v>240.13</v>
      </c>
      <c r="S2208" s="2">
        <f>NETWORKDAYS(B2208,C2208)-1</f>
        <v>2</v>
      </c>
      <c r="T2208" s="1">
        <f>WORKDAY(B2208,5)</f>
        <v>45960</v>
      </c>
      <c r="U2208" t="b">
        <f>C2208&gt;T2208</f>
        <v>0</v>
      </c>
    </row>
    <row r="2209" spans="1:21" x14ac:dyDescent="0.25">
      <c r="A2209" t="s">
        <v>1505</v>
      </c>
      <c r="B2209" s="1">
        <v>45953</v>
      </c>
      <c r="C2209" s="1">
        <v>45957</v>
      </c>
      <c r="D2209" t="s">
        <v>1506</v>
      </c>
      <c r="E2209" t="s">
        <v>339</v>
      </c>
      <c r="F2209" t="s">
        <v>31</v>
      </c>
      <c r="G2209" t="s">
        <v>186</v>
      </c>
      <c r="H2209" t="s">
        <v>196</v>
      </c>
      <c r="I2209" s="2">
        <v>5</v>
      </c>
      <c r="J2209" s="3">
        <v>18.5</v>
      </c>
      <c r="K2209" s="4">
        <v>0</v>
      </c>
      <c r="L2209" s="3">
        <v>92.5</v>
      </c>
      <c r="M2209" t="b">
        <v>1</v>
      </c>
      <c r="N2209" s="2">
        <f>YEAR(B2209)</f>
        <v>2025</v>
      </c>
      <c r="O2209" t="str">
        <f>INDEX(Agences!$C:$C,MATCH(F2209,Agences!$A:$A,0))</f>
        <v>Ouest</v>
      </c>
      <c r="P2209" t="str">
        <f>INDEX(Produits!$C:$C,MATCH(H2209,Produits!$A:$A,0))</f>
        <v>Fournitures</v>
      </c>
      <c r="Q2209" s="3">
        <f>I2209*INDEX(Produits!$E:$E,MATCH(H2209,Produits!$A:$A,0))</f>
        <v>47.199999999999996</v>
      </c>
      <c r="R2209" s="3">
        <f>L2209-Q2209</f>
        <v>45.300000000000004</v>
      </c>
      <c r="S2209" s="2">
        <f>NETWORKDAYS(B2209,C2209)-1</f>
        <v>2</v>
      </c>
      <c r="T2209" s="1">
        <f>WORKDAY(B2209,5)</f>
        <v>45960</v>
      </c>
      <c r="U2209" t="b">
        <f>C2209&gt;T2209</f>
        <v>0</v>
      </c>
    </row>
    <row r="2210" spans="1:21" x14ac:dyDescent="0.25">
      <c r="A2210" t="s">
        <v>1507</v>
      </c>
      <c r="B2210" s="1">
        <v>45953</v>
      </c>
      <c r="C2210" s="1">
        <v>45957</v>
      </c>
      <c r="D2210" t="s">
        <v>81</v>
      </c>
      <c r="E2210" t="s">
        <v>82</v>
      </c>
      <c r="F2210" t="s">
        <v>39</v>
      </c>
      <c r="G2210" t="s">
        <v>322</v>
      </c>
      <c r="H2210" t="s">
        <v>42</v>
      </c>
      <c r="I2210" s="2">
        <v>2</v>
      </c>
      <c r="J2210" s="3">
        <v>55</v>
      </c>
      <c r="K2210" s="4">
        <v>0.05</v>
      </c>
      <c r="L2210" s="3">
        <v>104.5</v>
      </c>
      <c r="M2210" t="b">
        <v>1</v>
      </c>
      <c r="N2210" s="2">
        <f>YEAR(B2210)</f>
        <v>2025</v>
      </c>
      <c r="O2210" t="str">
        <f>INDEX(Agences!$C:$C,MATCH(F2210,Agences!$A:$A,0))</f>
        <v>Sud-Ouest</v>
      </c>
      <c r="P2210" t="str">
        <f>INDEX(Produits!$C:$C,MATCH(H2210,Produits!$A:$A,0))</f>
        <v>Maintenance</v>
      </c>
      <c r="Q2210" s="3">
        <f>I2210*INDEX(Produits!$E:$E,MATCH(H2210,Produits!$A:$A,0))</f>
        <v>49.5</v>
      </c>
      <c r="R2210" s="3">
        <f>L2210-Q2210</f>
        <v>55</v>
      </c>
      <c r="S2210" s="2">
        <f>NETWORKDAYS(B2210,C2210)-1</f>
        <v>2</v>
      </c>
      <c r="T2210" s="1">
        <f>WORKDAY(B2210,5)</f>
        <v>45960</v>
      </c>
      <c r="U2210" t="b">
        <f>C2210&gt;T2210</f>
        <v>0</v>
      </c>
    </row>
    <row r="2211" spans="1:21" x14ac:dyDescent="0.25">
      <c r="A2211" t="s">
        <v>1507</v>
      </c>
      <c r="B2211" s="1">
        <v>45953</v>
      </c>
      <c r="C2211" s="1">
        <v>45957</v>
      </c>
      <c r="D2211" t="s">
        <v>81</v>
      </c>
      <c r="E2211" t="s">
        <v>82</v>
      </c>
      <c r="F2211" t="s">
        <v>39</v>
      </c>
      <c r="G2211" t="s">
        <v>322</v>
      </c>
      <c r="H2211" t="s">
        <v>83</v>
      </c>
      <c r="I2211" s="2">
        <v>1</v>
      </c>
      <c r="J2211" s="3">
        <v>49</v>
      </c>
      <c r="K2211" s="4">
        <v>0.02</v>
      </c>
      <c r="L2211" s="3">
        <v>48.02</v>
      </c>
      <c r="M2211" t="b">
        <v>1</v>
      </c>
      <c r="N2211" s="2">
        <f>YEAR(B2211)</f>
        <v>2025</v>
      </c>
      <c r="O2211" t="str">
        <f>INDEX(Agences!$C:$C,MATCH(F2211,Agences!$A:$A,0))</f>
        <v>Sud-Ouest</v>
      </c>
      <c r="P2211" t="str">
        <f>INDEX(Produits!$C:$C,MATCH(H2211,Produits!$A:$A,0))</f>
        <v>Mobilier</v>
      </c>
      <c r="Q2211" s="3">
        <f>I2211*INDEX(Produits!$E:$E,MATCH(H2211,Produits!$A:$A,0))</f>
        <v>28.42</v>
      </c>
      <c r="R2211" s="3">
        <f>L2211-Q2211</f>
        <v>19.6</v>
      </c>
      <c r="S2211" s="2">
        <f>NETWORKDAYS(B2211,C2211)-1</f>
        <v>2</v>
      </c>
      <c r="T2211" s="1">
        <f>WORKDAY(B2211,5)</f>
        <v>45960</v>
      </c>
      <c r="U2211" t="b">
        <f>C2211&gt;T2211</f>
        <v>0</v>
      </c>
    </row>
    <row r="2212" spans="1:21" x14ac:dyDescent="0.25">
      <c r="A2212" t="s">
        <v>1508</v>
      </c>
      <c r="B2212" s="1">
        <v>45952</v>
      </c>
      <c r="C2212" s="1">
        <v>45957</v>
      </c>
      <c r="D2212" t="s">
        <v>1098</v>
      </c>
      <c r="E2212" t="s">
        <v>122</v>
      </c>
      <c r="F2212" t="s">
        <v>24</v>
      </c>
      <c r="G2212" t="s">
        <v>199</v>
      </c>
      <c r="H2212" t="s">
        <v>34</v>
      </c>
      <c r="I2212" s="2">
        <v>6</v>
      </c>
      <c r="J2212" s="3">
        <v>340</v>
      </c>
      <c r="K2212" s="4">
        <v>0.08</v>
      </c>
      <c r="L2212" s="3">
        <v>1876.8</v>
      </c>
      <c r="M2212" t="b">
        <v>1</v>
      </c>
      <c r="N2212" s="2">
        <f>YEAR(B2212)</f>
        <v>2025</v>
      </c>
      <c r="O2212" t="str">
        <f>INDEX(Agences!$C:$C,MATCH(F2212,Agences!$A:$A,0))</f>
        <v>Nord</v>
      </c>
      <c r="P2212" t="str">
        <f>INDEX(Produits!$C:$C,MATCH(H2212,Produits!$A:$A,0))</f>
        <v>Informatique</v>
      </c>
      <c r="Q2212" s="3">
        <f>I2212*INDEX(Produits!$E:$E,MATCH(H2212,Produits!$A:$A,0))</f>
        <v>1652.3999999999999</v>
      </c>
      <c r="R2212" s="3">
        <f>L2212-Q2212</f>
        <v>224.4000000000001</v>
      </c>
      <c r="S2212" s="2">
        <f>NETWORKDAYS(B2212,C2212)-1</f>
        <v>3</v>
      </c>
      <c r="T2212" s="1">
        <f>WORKDAY(B2212,5)</f>
        <v>45959</v>
      </c>
      <c r="U2212" t="b">
        <f>C2212&gt;T2212</f>
        <v>0</v>
      </c>
    </row>
    <row r="2213" spans="1:21" x14ac:dyDescent="0.25">
      <c r="A2213" t="s">
        <v>1508</v>
      </c>
      <c r="B2213" s="1">
        <v>45952</v>
      </c>
      <c r="C2213" s="1">
        <v>45957</v>
      </c>
      <c r="D2213" t="s">
        <v>1098</v>
      </c>
      <c r="E2213" t="s">
        <v>122</v>
      </c>
      <c r="F2213" t="s">
        <v>24</v>
      </c>
      <c r="G2213" t="s">
        <v>199</v>
      </c>
      <c r="H2213" t="s">
        <v>35</v>
      </c>
      <c r="I2213" s="2">
        <v>1</v>
      </c>
      <c r="J2213" s="3">
        <v>79</v>
      </c>
      <c r="K2213" s="4">
        <v>0.05</v>
      </c>
      <c r="L2213" s="3">
        <v>75.05</v>
      </c>
      <c r="M2213" t="b">
        <v>1</v>
      </c>
      <c r="N2213" s="2">
        <f>YEAR(B2213)</f>
        <v>2025</v>
      </c>
      <c r="O2213" t="str">
        <f>INDEX(Agences!$C:$C,MATCH(F2213,Agences!$A:$A,0))</f>
        <v>Nord</v>
      </c>
      <c r="P2213" t="str">
        <f>INDEX(Produits!$C:$C,MATCH(H2213,Produits!$A:$A,0))</f>
        <v>Mobilier</v>
      </c>
      <c r="Q2213" s="3">
        <f>I2213*INDEX(Produits!$E:$E,MATCH(H2213,Produits!$A:$A,0))</f>
        <v>46.61</v>
      </c>
      <c r="R2213" s="3">
        <f>L2213-Q2213</f>
        <v>28.439999999999998</v>
      </c>
      <c r="S2213" s="2">
        <f>NETWORKDAYS(B2213,C2213)-1</f>
        <v>3</v>
      </c>
      <c r="T2213" s="1">
        <f>WORKDAY(B2213,5)</f>
        <v>45959</v>
      </c>
      <c r="U2213" t="b">
        <f>C2213&gt;T2213</f>
        <v>0</v>
      </c>
    </row>
    <row r="2214" spans="1:21" x14ac:dyDescent="0.25">
      <c r="A2214" t="s">
        <v>1508</v>
      </c>
      <c r="B2214" s="1">
        <v>45952</v>
      </c>
      <c r="C2214" s="1">
        <v>45957</v>
      </c>
      <c r="D2214" t="s">
        <v>1098</v>
      </c>
      <c r="E2214" t="s">
        <v>122</v>
      </c>
      <c r="F2214" t="s">
        <v>24</v>
      </c>
      <c r="G2214" t="s">
        <v>199</v>
      </c>
      <c r="H2214" t="s">
        <v>50</v>
      </c>
      <c r="I2214" s="2">
        <v>2</v>
      </c>
      <c r="J2214" s="3">
        <v>69</v>
      </c>
      <c r="K2214" s="4">
        <v>0</v>
      </c>
      <c r="L2214" s="3">
        <v>138</v>
      </c>
      <c r="M2214" t="b">
        <v>1</v>
      </c>
      <c r="N2214" s="2">
        <f>YEAR(B2214)</f>
        <v>2025</v>
      </c>
      <c r="O2214" t="str">
        <f>INDEX(Agences!$C:$C,MATCH(F2214,Agences!$A:$A,0))</f>
        <v>Nord</v>
      </c>
      <c r="P2214" t="str">
        <f>INDEX(Produits!$C:$C,MATCH(H2214,Produits!$A:$A,0))</f>
        <v>Informatique</v>
      </c>
      <c r="Q2214" s="3">
        <f>I2214*INDEX(Produits!$E:$E,MATCH(H2214,Produits!$A:$A,0))</f>
        <v>109.02</v>
      </c>
      <c r="R2214" s="3">
        <f>L2214-Q2214</f>
        <v>28.980000000000004</v>
      </c>
      <c r="S2214" s="2">
        <f>NETWORKDAYS(B2214,C2214)-1</f>
        <v>3</v>
      </c>
      <c r="T2214" s="1">
        <f>WORKDAY(B2214,5)</f>
        <v>45959</v>
      </c>
      <c r="U2214" t="b">
        <f>C2214&gt;T2214</f>
        <v>0</v>
      </c>
    </row>
    <row r="2215" spans="1:21" x14ac:dyDescent="0.25">
      <c r="A2215" t="s">
        <v>1508</v>
      </c>
      <c r="B2215" s="1">
        <v>45952</v>
      </c>
      <c r="C2215" s="1">
        <v>45957</v>
      </c>
      <c r="D2215" t="s">
        <v>1098</v>
      </c>
      <c r="E2215" t="s">
        <v>122</v>
      </c>
      <c r="F2215" t="s">
        <v>24</v>
      </c>
      <c r="G2215" t="s">
        <v>199</v>
      </c>
      <c r="H2215" t="s">
        <v>27</v>
      </c>
      <c r="I2215" s="2">
        <v>6</v>
      </c>
      <c r="J2215" s="3">
        <v>310</v>
      </c>
      <c r="K2215" s="4">
        <v>0.02</v>
      </c>
      <c r="L2215" s="3">
        <v>1822.8</v>
      </c>
      <c r="M2215" t="b">
        <v>1</v>
      </c>
      <c r="N2215" s="2">
        <f>YEAR(B2215)</f>
        <v>2025</v>
      </c>
      <c r="O2215" t="str">
        <f>INDEX(Agences!$C:$C,MATCH(F2215,Agences!$A:$A,0))</f>
        <v>Nord</v>
      </c>
      <c r="P2215" t="str">
        <f>INDEX(Produits!$C:$C,MATCH(H2215,Produits!$A:$A,0))</f>
        <v>Mobilier</v>
      </c>
      <c r="Q2215" s="3">
        <f>I2215*INDEX(Produits!$E:$E,MATCH(H2215,Produits!$A:$A,0))</f>
        <v>1116</v>
      </c>
      <c r="R2215" s="3">
        <f>L2215-Q2215</f>
        <v>706.8</v>
      </c>
      <c r="S2215" s="2">
        <f>NETWORKDAYS(B2215,C2215)-1</f>
        <v>3</v>
      </c>
      <c r="T2215" s="1">
        <f>WORKDAY(B2215,5)</f>
        <v>45959</v>
      </c>
      <c r="U2215" t="b">
        <f>C2215&gt;T2215</f>
        <v>0</v>
      </c>
    </row>
    <row r="2216" spans="1:21" x14ac:dyDescent="0.25">
      <c r="A2216" t="s">
        <v>1509</v>
      </c>
      <c r="B2216" s="1">
        <v>45951</v>
      </c>
      <c r="C2216" s="1">
        <v>45953</v>
      </c>
      <c r="D2216" t="s">
        <v>359</v>
      </c>
      <c r="E2216" t="s">
        <v>137</v>
      </c>
      <c r="F2216" t="s">
        <v>138</v>
      </c>
      <c r="G2216" t="s">
        <v>139</v>
      </c>
      <c r="H2216" t="s">
        <v>42</v>
      </c>
      <c r="I2216" s="2">
        <v>2</v>
      </c>
      <c r="J2216" s="3">
        <v>55</v>
      </c>
      <c r="K2216" s="4">
        <v>0</v>
      </c>
      <c r="L2216" s="3">
        <v>110</v>
      </c>
      <c r="M2216" t="b">
        <v>1</v>
      </c>
      <c r="N2216" s="2">
        <f>YEAR(B2216)</f>
        <v>2025</v>
      </c>
      <c r="O2216" t="str">
        <f>INDEX(Agences!$C:$C,MATCH(F2216,Agences!$A:$A,0))</f>
        <v>Île-de-France</v>
      </c>
      <c r="P2216" t="str">
        <f>INDEX(Produits!$C:$C,MATCH(H2216,Produits!$A:$A,0))</f>
        <v>Maintenance</v>
      </c>
      <c r="Q2216" s="3">
        <f>I2216*INDEX(Produits!$E:$E,MATCH(H2216,Produits!$A:$A,0))</f>
        <v>49.5</v>
      </c>
      <c r="R2216" s="3">
        <f>L2216-Q2216</f>
        <v>60.5</v>
      </c>
      <c r="S2216" s="2">
        <f>NETWORKDAYS(B2216,C2216)-1</f>
        <v>2</v>
      </c>
      <c r="T2216" s="1">
        <f>WORKDAY(B2216,5)</f>
        <v>45958</v>
      </c>
      <c r="U2216" t="b">
        <f>C2216&gt;T2216</f>
        <v>0</v>
      </c>
    </row>
    <row r="2217" spans="1:21" x14ac:dyDescent="0.25">
      <c r="A2217" t="s">
        <v>1509</v>
      </c>
      <c r="B2217" s="1">
        <v>45951</v>
      </c>
      <c r="C2217" s="1">
        <v>45953</v>
      </c>
      <c r="D2217" t="s">
        <v>359</v>
      </c>
      <c r="E2217" t="s">
        <v>137</v>
      </c>
      <c r="F2217" t="s">
        <v>138</v>
      </c>
      <c r="G2217" t="s">
        <v>139</v>
      </c>
      <c r="H2217" t="s">
        <v>50</v>
      </c>
      <c r="I2217" s="2">
        <v>2</v>
      </c>
      <c r="J2217" s="3">
        <v>69</v>
      </c>
      <c r="K2217" s="4">
        <v>0</v>
      </c>
      <c r="L2217" s="3">
        <v>138</v>
      </c>
      <c r="M2217" t="b">
        <v>1</v>
      </c>
      <c r="N2217" s="2">
        <f>YEAR(B2217)</f>
        <v>2025</v>
      </c>
      <c r="O2217" t="str">
        <f>INDEX(Agences!$C:$C,MATCH(F2217,Agences!$A:$A,0))</f>
        <v>Île-de-France</v>
      </c>
      <c r="P2217" t="str">
        <f>INDEX(Produits!$C:$C,MATCH(H2217,Produits!$A:$A,0))</f>
        <v>Informatique</v>
      </c>
      <c r="Q2217" s="3">
        <f>I2217*INDEX(Produits!$E:$E,MATCH(H2217,Produits!$A:$A,0))</f>
        <v>109.02</v>
      </c>
      <c r="R2217" s="3">
        <f>L2217-Q2217</f>
        <v>28.980000000000004</v>
      </c>
      <c r="S2217" s="2">
        <f>NETWORKDAYS(B2217,C2217)-1</f>
        <v>2</v>
      </c>
      <c r="T2217" s="1">
        <f>WORKDAY(B2217,5)</f>
        <v>45958</v>
      </c>
      <c r="U2217" t="b">
        <f>C2217&gt;T2217</f>
        <v>0</v>
      </c>
    </row>
    <row r="2218" spans="1:21" x14ac:dyDescent="0.25">
      <c r="A2218" t="s">
        <v>1510</v>
      </c>
      <c r="B2218" s="1">
        <v>45951</v>
      </c>
      <c r="C2218" s="1">
        <v>45954</v>
      </c>
      <c r="D2218" t="s">
        <v>1511</v>
      </c>
      <c r="E2218" t="s">
        <v>336</v>
      </c>
      <c r="F2218" t="s">
        <v>166</v>
      </c>
      <c r="G2218" t="s">
        <v>179</v>
      </c>
      <c r="H2218" t="s">
        <v>42</v>
      </c>
      <c r="I2218" s="2">
        <v>1</v>
      </c>
      <c r="J2218" s="3">
        <v>55</v>
      </c>
      <c r="K2218" s="4">
        <v>0.02</v>
      </c>
      <c r="L2218" s="3">
        <v>53.9</v>
      </c>
      <c r="M2218" t="b">
        <v>1</v>
      </c>
      <c r="N2218" s="2">
        <f>YEAR(B2218)</f>
        <v>2025</v>
      </c>
      <c r="O2218" t="str">
        <f>INDEX(Agences!$C:$C,MATCH(F2218,Agences!$A:$A,0))</f>
        <v>Ouest</v>
      </c>
      <c r="P2218" t="str">
        <f>INDEX(Produits!$C:$C,MATCH(H2218,Produits!$A:$A,0))</f>
        <v>Maintenance</v>
      </c>
      <c r="Q2218" s="3">
        <f>I2218*INDEX(Produits!$E:$E,MATCH(H2218,Produits!$A:$A,0))</f>
        <v>24.75</v>
      </c>
      <c r="R2218" s="3">
        <f>L2218-Q2218</f>
        <v>29.15</v>
      </c>
      <c r="S2218" s="2">
        <f>NETWORKDAYS(B2218,C2218)-1</f>
        <v>3</v>
      </c>
      <c r="T2218" s="1">
        <f>WORKDAY(B2218,5)</f>
        <v>45958</v>
      </c>
      <c r="U2218" t="b">
        <f>C2218&gt;T2218</f>
        <v>0</v>
      </c>
    </row>
    <row r="2219" spans="1:21" x14ac:dyDescent="0.25">
      <c r="A2219" t="s">
        <v>1512</v>
      </c>
      <c r="B2219" s="1">
        <v>45951</v>
      </c>
      <c r="C2219" s="1">
        <v>45958</v>
      </c>
      <c r="D2219" t="s">
        <v>309</v>
      </c>
      <c r="E2219" t="s">
        <v>256</v>
      </c>
      <c r="F2219" t="s">
        <v>88</v>
      </c>
      <c r="G2219" t="s">
        <v>142</v>
      </c>
      <c r="H2219" t="s">
        <v>42</v>
      </c>
      <c r="I2219" s="2">
        <v>2</v>
      </c>
      <c r="J2219" s="3">
        <v>55</v>
      </c>
      <c r="K2219" s="4">
        <v>0.08</v>
      </c>
      <c r="L2219" s="3">
        <v>101.2</v>
      </c>
      <c r="M2219" t="b">
        <v>1</v>
      </c>
      <c r="N2219" s="2">
        <f>YEAR(B2219)</f>
        <v>2025</v>
      </c>
      <c r="O2219" t="str">
        <f>INDEX(Agences!$C:$C,MATCH(F2219,Agences!$A:$A,0))</f>
        <v>Sud-Ouest</v>
      </c>
      <c r="P2219" t="str">
        <f>INDEX(Produits!$C:$C,MATCH(H2219,Produits!$A:$A,0))</f>
        <v>Maintenance</v>
      </c>
      <c r="Q2219" s="3">
        <f>I2219*INDEX(Produits!$E:$E,MATCH(H2219,Produits!$A:$A,0))</f>
        <v>49.5</v>
      </c>
      <c r="R2219" s="3">
        <f>L2219-Q2219</f>
        <v>51.7</v>
      </c>
      <c r="S2219" s="2">
        <f>NETWORKDAYS(B2219,C2219)-1</f>
        <v>5</v>
      </c>
      <c r="T2219" s="1">
        <f>WORKDAY(B2219,5)</f>
        <v>45958</v>
      </c>
      <c r="U2219" t="b">
        <f>C2219&gt;T2219</f>
        <v>0</v>
      </c>
    </row>
    <row r="2220" spans="1:21" x14ac:dyDescent="0.25">
      <c r="A2220" t="s">
        <v>1512</v>
      </c>
      <c r="B2220" s="1">
        <v>45951</v>
      </c>
      <c r="C2220" s="1">
        <v>45958</v>
      </c>
      <c r="D2220" t="s">
        <v>309</v>
      </c>
      <c r="E2220" t="s">
        <v>256</v>
      </c>
      <c r="F2220" t="s">
        <v>88</v>
      </c>
      <c r="G2220" t="s">
        <v>142</v>
      </c>
      <c r="H2220" t="s">
        <v>49</v>
      </c>
      <c r="I2220" s="2">
        <v>1</v>
      </c>
      <c r="J2220" s="3">
        <v>120</v>
      </c>
      <c r="K2220" s="4">
        <v>0</v>
      </c>
      <c r="L2220" s="3">
        <v>120</v>
      </c>
      <c r="M2220" t="b">
        <v>1</v>
      </c>
      <c r="N2220" s="2">
        <f>YEAR(B2220)</f>
        <v>2025</v>
      </c>
      <c r="O2220" t="str">
        <f>INDEX(Agences!$C:$C,MATCH(F2220,Agences!$A:$A,0))</f>
        <v>Sud-Ouest</v>
      </c>
      <c r="P2220" t="str">
        <f>INDEX(Produits!$C:$C,MATCH(H2220,Produits!$A:$A,0))</f>
        <v>Maintenance</v>
      </c>
      <c r="Q2220" s="3">
        <f>I2220*INDEX(Produits!$E:$E,MATCH(H2220,Produits!$A:$A,0))</f>
        <v>55.2</v>
      </c>
      <c r="R2220" s="3">
        <f>L2220-Q2220</f>
        <v>64.8</v>
      </c>
      <c r="S2220" s="2">
        <f>NETWORKDAYS(B2220,C2220)-1</f>
        <v>5</v>
      </c>
      <c r="T2220" s="1">
        <f>WORKDAY(B2220,5)</f>
        <v>45958</v>
      </c>
      <c r="U2220" t="b">
        <f>C2220&gt;T2220</f>
        <v>0</v>
      </c>
    </row>
    <row r="2221" spans="1:21" x14ac:dyDescent="0.25">
      <c r="A2221" t="s">
        <v>1513</v>
      </c>
      <c r="B2221" s="1">
        <v>45951</v>
      </c>
      <c r="C2221" s="1">
        <v>45953</v>
      </c>
      <c r="D2221" t="s">
        <v>597</v>
      </c>
      <c r="E2221" t="s">
        <v>153</v>
      </c>
      <c r="F2221" t="s">
        <v>94</v>
      </c>
      <c r="G2221" t="s">
        <v>154</v>
      </c>
      <c r="H2221" t="s">
        <v>35</v>
      </c>
      <c r="I2221" s="2">
        <v>3</v>
      </c>
      <c r="J2221" s="3">
        <v>79</v>
      </c>
      <c r="K2221" s="4">
        <v>0</v>
      </c>
      <c r="L2221" s="3">
        <v>237</v>
      </c>
      <c r="M2221" t="b">
        <v>1</v>
      </c>
      <c r="N2221" s="2">
        <f>YEAR(B2221)</f>
        <v>2025</v>
      </c>
      <c r="O2221" t="str">
        <f>INDEX(Agences!$C:$C,MATCH(F2221,Agences!$A:$A,0))</f>
        <v>Méditerranée</v>
      </c>
      <c r="P2221" t="str">
        <f>INDEX(Produits!$C:$C,MATCH(H2221,Produits!$A:$A,0))</f>
        <v>Mobilier</v>
      </c>
      <c r="Q2221" s="3">
        <f>I2221*INDEX(Produits!$E:$E,MATCH(H2221,Produits!$A:$A,0))</f>
        <v>139.82999999999998</v>
      </c>
      <c r="R2221" s="3">
        <f>L2221-Q2221</f>
        <v>97.17000000000002</v>
      </c>
      <c r="S2221" s="2">
        <f>NETWORKDAYS(B2221,C2221)-1</f>
        <v>2</v>
      </c>
      <c r="T2221" s="1">
        <f>WORKDAY(B2221,5)</f>
        <v>45958</v>
      </c>
      <c r="U2221" t="b">
        <f>C2221&gt;T2221</f>
        <v>0</v>
      </c>
    </row>
    <row r="2222" spans="1:21" x14ac:dyDescent="0.25">
      <c r="A2222" t="s">
        <v>1514</v>
      </c>
      <c r="B2222" s="1">
        <v>45951</v>
      </c>
      <c r="C2222" s="1">
        <v>45952</v>
      </c>
      <c r="D2222" t="s">
        <v>1515</v>
      </c>
      <c r="E2222" t="s">
        <v>194</v>
      </c>
      <c r="F2222" t="s">
        <v>55</v>
      </c>
      <c r="G2222" t="s">
        <v>71</v>
      </c>
      <c r="H2222" t="s">
        <v>606</v>
      </c>
      <c r="I2222" s="2">
        <v>1</v>
      </c>
      <c r="J2222" s="3">
        <v>1150</v>
      </c>
      <c r="K2222" s="4">
        <v>0.08</v>
      </c>
      <c r="L2222" s="3">
        <v>1058</v>
      </c>
      <c r="M2222" t="b">
        <v>1</v>
      </c>
      <c r="N2222" s="2">
        <f>YEAR(B2222)</f>
        <v>2025</v>
      </c>
      <c r="O2222" t="str">
        <f>INDEX(Agences!$C:$C,MATCH(F2222,Agences!$A:$A,0))</f>
        <v>Est</v>
      </c>
      <c r="P2222" t="str">
        <f>INDEX(Produits!$C:$C,MATCH(H2222,Produits!$A:$A,0))</f>
        <v>Mobilier</v>
      </c>
      <c r="Q2222" s="3">
        <f>I2222*INDEX(Produits!$E:$E,MATCH(H2222,Produits!$A:$A,0))</f>
        <v>713</v>
      </c>
      <c r="R2222" s="3">
        <f>L2222-Q2222</f>
        <v>345</v>
      </c>
      <c r="S2222" s="2">
        <f>NETWORKDAYS(B2222,C2222)-1</f>
        <v>1</v>
      </c>
      <c r="T2222" s="1">
        <f>WORKDAY(B2222,5)</f>
        <v>45958</v>
      </c>
      <c r="U2222" t="b">
        <f>C2222&gt;T2222</f>
        <v>0</v>
      </c>
    </row>
    <row r="2223" spans="1:21" x14ac:dyDescent="0.25">
      <c r="A2223" t="s">
        <v>1514</v>
      </c>
      <c r="B2223" s="1">
        <v>45951</v>
      </c>
      <c r="C2223" s="1">
        <v>45952</v>
      </c>
      <c r="D2223" t="s">
        <v>1515</v>
      </c>
      <c r="E2223" t="s">
        <v>194</v>
      </c>
      <c r="F2223" t="s">
        <v>55</v>
      </c>
      <c r="G2223" t="s">
        <v>71</v>
      </c>
      <c r="H2223" t="s">
        <v>127</v>
      </c>
      <c r="I2223" s="2">
        <v>1</v>
      </c>
      <c r="J2223" s="3">
        <v>649</v>
      </c>
      <c r="K2223" s="4">
        <v>0.02</v>
      </c>
      <c r="L2223" s="3">
        <v>636.02</v>
      </c>
      <c r="M2223" t="b">
        <v>1</v>
      </c>
      <c r="N2223" s="2">
        <f>YEAR(B2223)</f>
        <v>2025</v>
      </c>
      <c r="O2223" t="str">
        <f>INDEX(Agences!$C:$C,MATCH(F2223,Agences!$A:$A,0))</f>
        <v>Est</v>
      </c>
      <c r="P2223" t="str">
        <f>INDEX(Produits!$C:$C,MATCH(H2223,Produits!$A:$A,0))</f>
        <v>Informatique</v>
      </c>
      <c r="Q2223" s="3">
        <f>I2223*INDEX(Produits!$E:$E,MATCH(H2223,Produits!$A:$A,0))</f>
        <v>480.26</v>
      </c>
      <c r="R2223" s="3">
        <f>L2223-Q2223</f>
        <v>155.76</v>
      </c>
      <c r="S2223" s="2">
        <f>NETWORKDAYS(B2223,C2223)-1</f>
        <v>1</v>
      </c>
      <c r="T2223" s="1">
        <f>WORKDAY(B2223,5)</f>
        <v>45958</v>
      </c>
      <c r="U2223" t="b">
        <f>C2223&gt;T2223</f>
        <v>0</v>
      </c>
    </row>
    <row r="2224" spans="1:21" x14ac:dyDescent="0.25">
      <c r="A2224" t="s">
        <v>1514</v>
      </c>
      <c r="B2224" s="1">
        <v>45951</v>
      </c>
      <c r="C2224" s="1">
        <v>45952</v>
      </c>
      <c r="D2224" t="s">
        <v>1515</v>
      </c>
      <c r="E2224" t="s">
        <v>194</v>
      </c>
      <c r="F2224" t="s">
        <v>55</v>
      </c>
      <c r="G2224" t="s">
        <v>71</v>
      </c>
      <c r="H2224" t="s">
        <v>26</v>
      </c>
      <c r="I2224" s="2">
        <v>1</v>
      </c>
      <c r="J2224" s="3">
        <v>290</v>
      </c>
      <c r="K2224" s="4">
        <v>0</v>
      </c>
      <c r="L2224" s="3">
        <v>290</v>
      </c>
      <c r="M2224" t="b">
        <v>1</v>
      </c>
      <c r="N2224" s="2">
        <f>YEAR(B2224)</f>
        <v>2025</v>
      </c>
      <c r="O2224" t="str">
        <f>INDEX(Agences!$C:$C,MATCH(F2224,Agences!$A:$A,0))</f>
        <v>Est</v>
      </c>
      <c r="P2224" t="str">
        <f>INDEX(Produits!$C:$C,MATCH(H2224,Produits!$A:$A,0))</f>
        <v>Maintenance</v>
      </c>
      <c r="Q2224" s="3">
        <f>I2224*INDEX(Produits!$E:$E,MATCH(H2224,Produits!$A:$A,0))</f>
        <v>139.2</v>
      </c>
      <c r="R2224" s="3">
        <f>L2224-Q2224</f>
        <v>150.8</v>
      </c>
      <c r="S2224" s="2">
        <f>NETWORKDAYS(B2224,C2224)-1</f>
        <v>1</v>
      </c>
      <c r="T2224" s="1">
        <f>WORKDAY(B2224,5)</f>
        <v>45958</v>
      </c>
      <c r="U2224" t="b">
        <f>C2224&gt;T2224</f>
        <v>0</v>
      </c>
    </row>
    <row r="2225" spans="1:21" x14ac:dyDescent="0.25">
      <c r="A2225" t="s">
        <v>1516</v>
      </c>
      <c r="B2225" s="1">
        <v>45950</v>
      </c>
      <c r="C2225" s="1">
        <v>45952</v>
      </c>
      <c r="D2225" t="s">
        <v>1517</v>
      </c>
      <c r="E2225" t="s">
        <v>213</v>
      </c>
      <c r="F2225" t="s">
        <v>138</v>
      </c>
      <c r="G2225" t="s">
        <v>139</v>
      </c>
      <c r="H2225" t="s">
        <v>112</v>
      </c>
      <c r="I2225" s="2">
        <v>2</v>
      </c>
      <c r="J2225" s="3">
        <v>129</v>
      </c>
      <c r="K2225" s="4">
        <v>0</v>
      </c>
      <c r="L2225" s="3">
        <v>258</v>
      </c>
      <c r="M2225" t="b">
        <v>1</v>
      </c>
      <c r="N2225" s="2">
        <f>YEAR(B2225)</f>
        <v>2025</v>
      </c>
      <c r="O2225" t="str">
        <f>INDEX(Agences!$C:$C,MATCH(F2225,Agences!$A:$A,0))</f>
        <v>Île-de-France</v>
      </c>
      <c r="P2225" t="str">
        <f>INDEX(Produits!$C:$C,MATCH(H2225,Produits!$A:$A,0))</f>
        <v>Mobilier</v>
      </c>
      <c r="Q2225" s="3">
        <f>I2225*INDEX(Produits!$E:$E,MATCH(H2225,Produits!$A:$A,0))</f>
        <v>172.86</v>
      </c>
      <c r="R2225" s="3">
        <f>L2225-Q2225</f>
        <v>85.13999999999999</v>
      </c>
      <c r="S2225" s="2">
        <f>NETWORKDAYS(B2225,C2225)-1</f>
        <v>2</v>
      </c>
      <c r="T2225" s="1">
        <f>WORKDAY(B2225,5)</f>
        <v>45957</v>
      </c>
      <c r="U2225" t="b">
        <f>C2225&gt;T2225</f>
        <v>0</v>
      </c>
    </row>
    <row r="2226" spans="1:21" x14ac:dyDescent="0.25">
      <c r="A2226" t="s">
        <v>1518</v>
      </c>
      <c r="B2226" s="1">
        <v>45950</v>
      </c>
      <c r="C2226" s="1">
        <v>45954</v>
      </c>
      <c r="D2226" t="s">
        <v>1519</v>
      </c>
      <c r="E2226" t="s">
        <v>270</v>
      </c>
      <c r="F2226" t="s">
        <v>76</v>
      </c>
      <c r="G2226" t="s">
        <v>232</v>
      </c>
      <c r="H2226" t="s">
        <v>50</v>
      </c>
      <c r="I2226" s="2">
        <v>2</v>
      </c>
      <c r="J2226" s="3">
        <v>69</v>
      </c>
      <c r="K2226" s="4">
        <v>0</v>
      </c>
      <c r="L2226" s="3">
        <v>138</v>
      </c>
      <c r="M2226" t="b">
        <v>1</v>
      </c>
      <c r="N2226" s="2">
        <f>YEAR(B2226)</f>
        <v>2025</v>
      </c>
      <c r="O2226" t="str">
        <f>INDEX(Agences!$C:$C,MATCH(F2226,Agences!$A:$A,0))</f>
        <v>Île-de-France</v>
      </c>
      <c r="P2226" t="str">
        <f>INDEX(Produits!$C:$C,MATCH(H2226,Produits!$A:$A,0))</f>
        <v>Informatique</v>
      </c>
      <c r="Q2226" s="3">
        <f>I2226*INDEX(Produits!$E:$E,MATCH(H2226,Produits!$A:$A,0))</f>
        <v>109.02</v>
      </c>
      <c r="R2226" s="3">
        <f>L2226-Q2226</f>
        <v>28.980000000000004</v>
      </c>
      <c r="S2226" s="2">
        <f>NETWORKDAYS(B2226,C2226)-1</f>
        <v>4</v>
      </c>
      <c r="T2226" s="1">
        <f>WORKDAY(B2226,5)</f>
        <v>45957</v>
      </c>
      <c r="U2226" t="b">
        <f>C2226&gt;T2226</f>
        <v>0</v>
      </c>
    </row>
    <row r="2227" spans="1:21" x14ac:dyDescent="0.25">
      <c r="A2227" t="s">
        <v>1518</v>
      </c>
      <c r="B2227" s="1">
        <v>45950</v>
      </c>
      <c r="C2227" s="1">
        <v>45954</v>
      </c>
      <c r="D2227" t="s">
        <v>1519</v>
      </c>
      <c r="E2227" t="s">
        <v>270</v>
      </c>
      <c r="F2227" t="s">
        <v>76</v>
      </c>
      <c r="G2227" t="s">
        <v>232</v>
      </c>
      <c r="H2227" t="s">
        <v>103</v>
      </c>
      <c r="I2227" s="2">
        <v>1</v>
      </c>
      <c r="J2227" s="3">
        <v>245</v>
      </c>
      <c r="K2227" s="4">
        <v>0.05</v>
      </c>
      <c r="L2227" s="3">
        <v>232.75</v>
      </c>
      <c r="M2227" t="b">
        <v>1</v>
      </c>
      <c r="N2227" s="2">
        <f>YEAR(B2227)</f>
        <v>2025</v>
      </c>
      <c r="O2227" t="str">
        <f>INDEX(Agences!$C:$C,MATCH(F2227,Agences!$A:$A,0))</f>
        <v>Île-de-France</v>
      </c>
      <c r="P2227" t="str">
        <f>INDEX(Produits!$C:$C,MATCH(H2227,Produits!$A:$A,0))</f>
        <v>Mobilier</v>
      </c>
      <c r="Q2227" s="3">
        <f>I2227*INDEX(Produits!$E:$E,MATCH(H2227,Produits!$A:$A,0))</f>
        <v>164.15</v>
      </c>
      <c r="R2227" s="3">
        <f>L2227-Q2227</f>
        <v>68.6</v>
      </c>
      <c r="S2227" s="2">
        <f>NETWORKDAYS(B2227,C2227)-1</f>
        <v>4</v>
      </c>
      <c r="T2227" s="1">
        <f>WORKDAY(B2227,5)</f>
        <v>45957</v>
      </c>
      <c r="U2227" t="b">
        <f>C2227&gt;T2227</f>
        <v>0</v>
      </c>
    </row>
    <row r="2228" spans="1:21" x14ac:dyDescent="0.25">
      <c r="A2228" t="s">
        <v>1518</v>
      </c>
      <c r="B2228" s="1">
        <v>45950</v>
      </c>
      <c r="C2228" s="1">
        <v>45954</v>
      </c>
      <c r="D2228" t="s">
        <v>1519</v>
      </c>
      <c r="E2228" t="s">
        <v>270</v>
      </c>
      <c r="F2228" t="s">
        <v>76</v>
      </c>
      <c r="G2228" t="s">
        <v>232</v>
      </c>
      <c r="H2228" t="s">
        <v>42</v>
      </c>
      <c r="I2228" s="2">
        <v>1</v>
      </c>
      <c r="J2228" s="3">
        <v>55</v>
      </c>
      <c r="K2228" s="4">
        <v>0.05</v>
      </c>
      <c r="L2228" s="3">
        <v>52.25</v>
      </c>
      <c r="M2228" t="b">
        <v>1</v>
      </c>
      <c r="N2228" s="2">
        <f>YEAR(B2228)</f>
        <v>2025</v>
      </c>
      <c r="O2228" t="str">
        <f>INDEX(Agences!$C:$C,MATCH(F2228,Agences!$A:$A,0))</f>
        <v>Île-de-France</v>
      </c>
      <c r="P2228" t="str">
        <f>INDEX(Produits!$C:$C,MATCH(H2228,Produits!$A:$A,0))</f>
        <v>Maintenance</v>
      </c>
      <c r="Q2228" s="3">
        <f>I2228*INDEX(Produits!$E:$E,MATCH(H2228,Produits!$A:$A,0))</f>
        <v>24.75</v>
      </c>
      <c r="R2228" s="3">
        <f>L2228-Q2228</f>
        <v>27.5</v>
      </c>
      <c r="S2228" s="2">
        <f>NETWORKDAYS(B2228,C2228)-1</f>
        <v>4</v>
      </c>
      <c r="T2228" s="1">
        <f>WORKDAY(B2228,5)</f>
        <v>45957</v>
      </c>
      <c r="U2228" t="b">
        <f>C2228&gt;T2228</f>
        <v>0</v>
      </c>
    </row>
    <row r="2229" spans="1:21" x14ac:dyDescent="0.25">
      <c r="A2229" t="s">
        <v>1520</v>
      </c>
      <c r="B2229" s="1">
        <v>45950</v>
      </c>
      <c r="C2229" s="1">
        <v>45952</v>
      </c>
      <c r="D2229" t="s">
        <v>29</v>
      </c>
      <c r="E2229" t="s">
        <v>30</v>
      </c>
      <c r="F2229" t="s">
        <v>31</v>
      </c>
      <c r="G2229" t="s">
        <v>375</v>
      </c>
      <c r="H2229" t="s">
        <v>42</v>
      </c>
      <c r="I2229" s="2">
        <v>1</v>
      </c>
      <c r="J2229" s="3">
        <v>55</v>
      </c>
      <c r="K2229" s="4">
        <v>0.02</v>
      </c>
      <c r="L2229" s="3">
        <v>53.9</v>
      </c>
      <c r="M2229" t="b">
        <v>1</v>
      </c>
      <c r="N2229" s="2">
        <f>YEAR(B2229)</f>
        <v>2025</v>
      </c>
      <c r="O2229" t="str">
        <f>INDEX(Agences!$C:$C,MATCH(F2229,Agences!$A:$A,0))</f>
        <v>Ouest</v>
      </c>
      <c r="P2229" t="str">
        <f>INDEX(Produits!$C:$C,MATCH(H2229,Produits!$A:$A,0))</f>
        <v>Maintenance</v>
      </c>
      <c r="Q2229" s="3">
        <f>I2229*INDEX(Produits!$E:$E,MATCH(H2229,Produits!$A:$A,0))</f>
        <v>24.75</v>
      </c>
      <c r="R2229" s="3">
        <f>L2229-Q2229</f>
        <v>29.15</v>
      </c>
      <c r="S2229" s="2">
        <f>NETWORKDAYS(B2229,C2229)-1</f>
        <v>2</v>
      </c>
      <c r="T2229" s="1">
        <f>WORKDAY(B2229,5)</f>
        <v>45957</v>
      </c>
      <c r="U2229" t="b">
        <f>C2229&gt;T2229</f>
        <v>0</v>
      </c>
    </row>
    <row r="2230" spans="1:21" x14ac:dyDescent="0.25">
      <c r="A2230" t="s">
        <v>1520</v>
      </c>
      <c r="B2230" s="1">
        <v>45950</v>
      </c>
      <c r="C2230" s="1">
        <v>45952</v>
      </c>
      <c r="D2230" t="s">
        <v>29</v>
      </c>
      <c r="E2230" t="s">
        <v>30</v>
      </c>
      <c r="F2230" t="s">
        <v>31</v>
      </c>
      <c r="G2230" t="s">
        <v>375</v>
      </c>
      <c r="H2230" t="s">
        <v>107</v>
      </c>
      <c r="I2230" s="2">
        <v>2</v>
      </c>
      <c r="J2230" s="3">
        <v>99</v>
      </c>
      <c r="K2230" s="4">
        <v>0</v>
      </c>
      <c r="L2230" s="3">
        <v>198</v>
      </c>
      <c r="M2230" t="b">
        <v>1</v>
      </c>
      <c r="N2230" s="2">
        <f>YEAR(B2230)</f>
        <v>2025</v>
      </c>
      <c r="O2230" t="str">
        <f>INDEX(Agences!$C:$C,MATCH(F2230,Agences!$A:$A,0))</f>
        <v>Ouest</v>
      </c>
      <c r="P2230" t="str">
        <f>INDEX(Produits!$C:$C,MATCH(H2230,Produits!$A:$A,0))</f>
        <v>Informatique</v>
      </c>
      <c r="Q2230" s="3">
        <f>I2230*INDEX(Produits!$E:$E,MATCH(H2230,Produits!$A:$A,0))</f>
        <v>150.48</v>
      </c>
      <c r="R2230" s="3">
        <f>L2230-Q2230</f>
        <v>47.52000000000001</v>
      </c>
      <c r="S2230" s="2">
        <f>NETWORKDAYS(B2230,C2230)-1</f>
        <v>2</v>
      </c>
      <c r="T2230" s="1">
        <f>WORKDAY(B2230,5)</f>
        <v>45957</v>
      </c>
      <c r="U2230" t="b">
        <f>C2230&gt;T2230</f>
        <v>0</v>
      </c>
    </row>
    <row r="2231" spans="1:21" x14ac:dyDescent="0.25">
      <c r="A2231" t="s">
        <v>1520</v>
      </c>
      <c r="B2231" s="1">
        <v>45950</v>
      </c>
      <c r="C2231" s="1">
        <v>45952</v>
      </c>
      <c r="D2231" t="s">
        <v>29</v>
      </c>
      <c r="E2231" t="s">
        <v>30</v>
      </c>
      <c r="F2231" t="s">
        <v>31</v>
      </c>
      <c r="G2231" t="s">
        <v>375</v>
      </c>
      <c r="H2231" t="s">
        <v>72</v>
      </c>
      <c r="I2231" s="2">
        <v>1</v>
      </c>
      <c r="J2231" s="3">
        <v>179</v>
      </c>
      <c r="K2231" s="4">
        <v>0.05</v>
      </c>
      <c r="L2231" s="3">
        <v>170.05</v>
      </c>
      <c r="M2231" t="b">
        <v>1</v>
      </c>
      <c r="N2231" s="2">
        <f>YEAR(B2231)</f>
        <v>2025</v>
      </c>
      <c r="O2231" t="str">
        <f>INDEX(Agences!$C:$C,MATCH(F2231,Agences!$A:$A,0))</f>
        <v>Ouest</v>
      </c>
      <c r="P2231" t="str">
        <f>INDEX(Produits!$C:$C,MATCH(H2231,Produits!$A:$A,0))</f>
        <v>Informatique</v>
      </c>
      <c r="Q2231" s="3">
        <f>I2231*INDEX(Produits!$E:$E,MATCH(H2231,Produits!$A:$A,0))</f>
        <v>146.78</v>
      </c>
      <c r="R2231" s="3">
        <f>L2231-Q2231</f>
        <v>23.27000000000001</v>
      </c>
      <c r="S2231" s="2">
        <f>NETWORKDAYS(B2231,C2231)-1</f>
        <v>2</v>
      </c>
      <c r="T2231" s="1">
        <f>WORKDAY(B2231,5)</f>
        <v>45957</v>
      </c>
      <c r="U2231" t="b">
        <f>C2231&gt;T2231</f>
        <v>0</v>
      </c>
    </row>
    <row r="2232" spans="1:21" x14ac:dyDescent="0.25">
      <c r="A2232" t="s">
        <v>1520</v>
      </c>
      <c r="B2232" s="1">
        <v>45950</v>
      </c>
      <c r="C2232" s="1">
        <v>45952</v>
      </c>
      <c r="D2232" t="s">
        <v>29</v>
      </c>
      <c r="E2232" t="s">
        <v>30</v>
      </c>
      <c r="F2232" t="s">
        <v>31</v>
      </c>
      <c r="G2232" t="s">
        <v>375</v>
      </c>
      <c r="H2232" t="s">
        <v>79</v>
      </c>
      <c r="I2232" s="2">
        <v>25</v>
      </c>
      <c r="J2232" s="3">
        <v>14.9</v>
      </c>
      <c r="K2232" s="4">
        <v>0</v>
      </c>
      <c r="L2232" s="3">
        <v>372.5</v>
      </c>
      <c r="M2232" t="b">
        <v>1</v>
      </c>
      <c r="N2232" s="2">
        <f>YEAR(B2232)</f>
        <v>2025</v>
      </c>
      <c r="O2232" t="str">
        <f>INDEX(Agences!$C:$C,MATCH(F2232,Agences!$A:$A,0))</f>
        <v>Ouest</v>
      </c>
      <c r="P2232" t="str">
        <f>INDEX(Produits!$C:$C,MATCH(H2232,Produits!$A:$A,0))</f>
        <v>Fournitures</v>
      </c>
      <c r="Q2232" s="3">
        <f>I2232*INDEX(Produits!$E:$E,MATCH(H2232,Produits!$A:$A,0))</f>
        <v>201.25000000000003</v>
      </c>
      <c r="R2232" s="3">
        <f>L2232-Q2232</f>
        <v>171.24999999999997</v>
      </c>
      <c r="S2232" s="2">
        <f>NETWORKDAYS(B2232,C2232)-1</f>
        <v>2</v>
      </c>
      <c r="T2232" s="1">
        <f>WORKDAY(B2232,5)</f>
        <v>45957</v>
      </c>
      <c r="U2232" t="b">
        <f>C2232&gt;T2232</f>
        <v>0</v>
      </c>
    </row>
    <row r="2233" spans="1:21" x14ac:dyDescent="0.25">
      <c r="A2233" t="s">
        <v>1521</v>
      </c>
      <c r="B2233" s="1">
        <v>45950</v>
      </c>
      <c r="C2233" s="1">
        <v>45957</v>
      </c>
      <c r="D2233" t="s">
        <v>821</v>
      </c>
      <c r="E2233" t="s">
        <v>236</v>
      </c>
      <c r="F2233" t="s">
        <v>39</v>
      </c>
      <c r="G2233" t="s">
        <v>40</v>
      </c>
      <c r="H2233" t="s">
        <v>50</v>
      </c>
      <c r="I2233" s="2">
        <v>1</v>
      </c>
      <c r="J2233" s="3">
        <v>69</v>
      </c>
      <c r="K2233" s="4">
        <v>0</v>
      </c>
      <c r="L2233" s="3">
        <v>69</v>
      </c>
      <c r="M2233" t="b">
        <v>1</v>
      </c>
      <c r="N2233" s="2">
        <f>YEAR(B2233)</f>
        <v>2025</v>
      </c>
      <c r="O2233" t="str">
        <f>INDEX(Agences!$C:$C,MATCH(F2233,Agences!$A:$A,0))</f>
        <v>Sud-Ouest</v>
      </c>
      <c r="P2233" t="str">
        <f>INDEX(Produits!$C:$C,MATCH(H2233,Produits!$A:$A,0))</f>
        <v>Informatique</v>
      </c>
      <c r="Q2233" s="3">
        <f>I2233*INDEX(Produits!$E:$E,MATCH(H2233,Produits!$A:$A,0))</f>
        <v>54.51</v>
      </c>
      <c r="R2233" s="3">
        <f>L2233-Q2233</f>
        <v>14.490000000000002</v>
      </c>
      <c r="S2233" s="2">
        <f>NETWORKDAYS(B2233,C2233)-1</f>
        <v>5</v>
      </c>
      <c r="T2233" s="1">
        <f>WORKDAY(B2233,5)</f>
        <v>45957</v>
      </c>
      <c r="U2233" t="b">
        <f>C2233&gt;T2233</f>
        <v>0</v>
      </c>
    </row>
    <row r="2234" spans="1:21" x14ac:dyDescent="0.25">
      <c r="A2234" t="s">
        <v>1521</v>
      </c>
      <c r="B2234" s="1">
        <v>45950</v>
      </c>
      <c r="C2234" s="1">
        <v>45957</v>
      </c>
      <c r="D2234" t="s">
        <v>821</v>
      </c>
      <c r="E2234" t="s">
        <v>236</v>
      </c>
      <c r="F2234" t="s">
        <v>39</v>
      </c>
      <c r="G2234" t="s">
        <v>40</v>
      </c>
      <c r="H2234" t="s">
        <v>237</v>
      </c>
      <c r="I2234" s="2">
        <v>1</v>
      </c>
      <c r="J2234" s="3">
        <v>890</v>
      </c>
      <c r="K2234" s="4">
        <v>0.05</v>
      </c>
      <c r="L2234" s="3">
        <v>845.5</v>
      </c>
      <c r="M2234" t="b">
        <v>1</v>
      </c>
      <c r="N2234" s="2">
        <f>YEAR(B2234)</f>
        <v>2025</v>
      </c>
      <c r="O2234" t="str">
        <f>INDEX(Agences!$C:$C,MATCH(F2234,Agences!$A:$A,0))</f>
        <v>Sud-Ouest</v>
      </c>
      <c r="P2234" t="str">
        <f>INDEX(Produits!$C:$C,MATCH(H2234,Produits!$A:$A,0))</f>
        <v>Mobilier</v>
      </c>
      <c r="Q2234" s="3">
        <f>I2234*INDEX(Produits!$E:$E,MATCH(H2234,Produits!$A:$A,0))</f>
        <v>596.3</v>
      </c>
      <c r="R2234" s="3">
        <f>L2234-Q2234</f>
        <v>249.20000000000005</v>
      </c>
      <c r="S2234" s="2">
        <f>NETWORKDAYS(B2234,C2234)-1</f>
        <v>5</v>
      </c>
      <c r="T2234" s="1">
        <f>WORKDAY(B2234,5)</f>
        <v>45957</v>
      </c>
      <c r="U2234" t="b">
        <f>C2234&gt;T2234</f>
        <v>0</v>
      </c>
    </row>
    <row r="2235" spans="1:21" x14ac:dyDescent="0.25">
      <c r="A2235" t="s">
        <v>1521</v>
      </c>
      <c r="B2235" s="1">
        <v>45950</v>
      </c>
      <c r="C2235" s="1">
        <v>45957</v>
      </c>
      <c r="D2235" t="s">
        <v>821</v>
      </c>
      <c r="E2235" t="s">
        <v>236</v>
      </c>
      <c r="F2235" t="s">
        <v>39</v>
      </c>
      <c r="G2235" t="s">
        <v>40</v>
      </c>
      <c r="H2235" t="s">
        <v>108</v>
      </c>
      <c r="I2235" s="2">
        <v>5</v>
      </c>
      <c r="J2235" s="3">
        <v>24.5</v>
      </c>
      <c r="K2235" s="4">
        <v>0.05</v>
      </c>
      <c r="L2235" s="3">
        <v>116.38</v>
      </c>
      <c r="M2235" t="b">
        <v>1</v>
      </c>
      <c r="N2235" s="2">
        <f>YEAR(B2235)</f>
        <v>2025</v>
      </c>
      <c r="O2235" t="str">
        <f>INDEX(Agences!$C:$C,MATCH(F2235,Agences!$A:$A,0))</f>
        <v>Sud-Ouest</v>
      </c>
      <c r="P2235" t="str">
        <f>INDEX(Produits!$C:$C,MATCH(H2235,Produits!$A:$A,0))</f>
        <v>Fournitures</v>
      </c>
      <c r="Q2235" s="3">
        <f>I2235*INDEX(Produits!$E:$E,MATCH(H2235,Produits!$A:$A,0))</f>
        <v>73.5</v>
      </c>
      <c r="R2235" s="3">
        <f>L2235-Q2235</f>
        <v>42.879999999999995</v>
      </c>
      <c r="S2235" s="2">
        <f>NETWORKDAYS(B2235,C2235)-1</f>
        <v>5</v>
      </c>
      <c r="T2235" s="1">
        <f>WORKDAY(B2235,5)</f>
        <v>45957</v>
      </c>
      <c r="U2235" t="b">
        <f>C2235&gt;T2235</f>
        <v>0</v>
      </c>
    </row>
    <row r="2236" spans="1:21" x14ac:dyDescent="0.25">
      <c r="A2236" t="s">
        <v>1522</v>
      </c>
      <c r="B2236" s="1">
        <v>45947</v>
      </c>
      <c r="C2236" s="1">
        <v>45952</v>
      </c>
      <c r="D2236" t="s">
        <v>899</v>
      </c>
      <c r="E2236" t="s">
        <v>122</v>
      </c>
      <c r="F2236" t="s">
        <v>24</v>
      </c>
      <c r="G2236" t="s">
        <v>116</v>
      </c>
      <c r="H2236" t="s">
        <v>64</v>
      </c>
      <c r="I2236" s="2">
        <v>5</v>
      </c>
      <c r="J2236" s="3">
        <v>16.8</v>
      </c>
      <c r="K2236" s="4">
        <v>0.05</v>
      </c>
      <c r="L2236" s="3">
        <v>79.8</v>
      </c>
      <c r="M2236" t="b">
        <v>1</v>
      </c>
      <c r="N2236" s="2">
        <f>YEAR(B2236)</f>
        <v>2025</v>
      </c>
      <c r="O2236" t="str">
        <f>INDEX(Agences!$C:$C,MATCH(F2236,Agences!$A:$A,0))</f>
        <v>Nord</v>
      </c>
      <c r="P2236" t="str">
        <f>INDEX(Produits!$C:$C,MATCH(H2236,Produits!$A:$A,0))</f>
        <v>Fournitures</v>
      </c>
      <c r="Q2236" s="3">
        <f>I2236*INDEX(Produits!$E:$E,MATCH(H2236,Produits!$A:$A,0))</f>
        <v>43.7</v>
      </c>
      <c r="R2236" s="3">
        <f>L2236-Q2236</f>
        <v>36.099999999999994</v>
      </c>
      <c r="S2236" s="2">
        <f>NETWORKDAYS(B2236,C2236)-1</f>
        <v>3</v>
      </c>
      <c r="T2236" s="1">
        <f>WORKDAY(B2236,5)</f>
        <v>45954</v>
      </c>
      <c r="U2236" t="b">
        <f>C2236&gt;T2236</f>
        <v>0</v>
      </c>
    </row>
    <row r="2237" spans="1:21" x14ac:dyDescent="0.25">
      <c r="A2237" t="s">
        <v>1522</v>
      </c>
      <c r="B2237" s="1">
        <v>45947</v>
      </c>
      <c r="C2237" s="1">
        <v>45952</v>
      </c>
      <c r="D2237" t="s">
        <v>899</v>
      </c>
      <c r="E2237" t="s">
        <v>122</v>
      </c>
      <c r="F2237" t="s">
        <v>24</v>
      </c>
      <c r="G2237" t="s">
        <v>116</v>
      </c>
      <c r="H2237" t="s">
        <v>50</v>
      </c>
      <c r="I2237" s="2">
        <v>1</v>
      </c>
      <c r="J2237" s="3">
        <v>69</v>
      </c>
      <c r="K2237" s="4">
        <v>0.02</v>
      </c>
      <c r="L2237" s="3">
        <v>67.62</v>
      </c>
      <c r="M2237" t="b">
        <v>1</v>
      </c>
      <c r="N2237" s="2">
        <f>YEAR(B2237)</f>
        <v>2025</v>
      </c>
      <c r="O2237" t="str">
        <f>INDEX(Agences!$C:$C,MATCH(F2237,Agences!$A:$A,0))</f>
        <v>Nord</v>
      </c>
      <c r="P2237" t="str">
        <f>INDEX(Produits!$C:$C,MATCH(H2237,Produits!$A:$A,0))</f>
        <v>Informatique</v>
      </c>
      <c r="Q2237" s="3">
        <f>I2237*INDEX(Produits!$E:$E,MATCH(H2237,Produits!$A:$A,0))</f>
        <v>54.51</v>
      </c>
      <c r="R2237" s="3">
        <f>L2237-Q2237</f>
        <v>13.110000000000007</v>
      </c>
      <c r="S2237" s="2">
        <f>NETWORKDAYS(B2237,C2237)-1</f>
        <v>3</v>
      </c>
      <c r="T2237" s="1">
        <f>WORKDAY(B2237,5)</f>
        <v>45954</v>
      </c>
      <c r="U2237" t="b">
        <f>C2237&gt;T2237</f>
        <v>0</v>
      </c>
    </row>
    <row r="2238" spans="1:21" x14ac:dyDescent="0.25">
      <c r="A2238" t="s">
        <v>1522</v>
      </c>
      <c r="B2238" s="1">
        <v>45947</v>
      </c>
      <c r="C2238" s="1">
        <v>45952</v>
      </c>
      <c r="D2238" t="s">
        <v>899</v>
      </c>
      <c r="E2238" t="s">
        <v>122</v>
      </c>
      <c r="F2238" t="s">
        <v>24</v>
      </c>
      <c r="G2238" t="s">
        <v>116</v>
      </c>
      <c r="H2238" t="s">
        <v>26</v>
      </c>
      <c r="I2238" s="2">
        <v>1</v>
      </c>
      <c r="J2238" s="3">
        <v>290</v>
      </c>
      <c r="K2238" s="4">
        <v>0.05</v>
      </c>
      <c r="L2238" s="3">
        <v>275.5</v>
      </c>
      <c r="M2238" t="b">
        <v>1</v>
      </c>
      <c r="N2238" s="2">
        <f>YEAR(B2238)</f>
        <v>2025</v>
      </c>
      <c r="O2238" t="str">
        <f>INDEX(Agences!$C:$C,MATCH(F2238,Agences!$A:$A,0))</f>
        <v>Nord</v>
      </c>
      <c r="P2238" t="str">
        <f>INDEX(Produits!$C:$C,MATCH(H2238,Produits!$A:$A,0))</f>
        <v>Maintenance</v>
      </c>
      <c r="Q2238" s="3">
        <f>I2238*INDEX(Produits!$E:$E,MATCH(H2238,Produits!$A:$A,0))</f>
        <v>139.2</v>
      </c>
      <c r="R2238" s="3">
        <f>L2238-Q2238</f>
        <v>136.3</v>
      </c>
      <c r="S2238" s="2">
        <f>NETWORKDAYS(B2238,C2238)-1</f>
        <v>3</v>
      </c>
      <c r="T2238" s="1">
        <f>WORKDAY(B2238,5)</f>
        <v>45954</v>
      </c>
      <c r="U2238" t="b">
        <f>C2238&gt;T2238</f>
        <v>0</v>
      </c>
    </row>
    <row r="2239" spans="1:21" x14ac:dyDescent="0.25">
      <c r="A2239" t="s">
        <v>1522</v>
      </c>
      <c r="B2239" s="1">
        <v>45947</v>
      </c>
      <c r="C2239" s="1">
        <v>45952</v>
      </c>
      <c r="D2239" t="s">
        <v>899</v>
      </c>
      <c r="E2239" t="s">
        <v>122</v>
      </c>
      <c r="F2239" t="s">
        <v>24</v>
      </c>
      <c r="G2239" t="s">
        <v>116</v>
      </c>
      <c r="H2239" t="s">
        <v>48</v>
      </c>
      <c r="I2239" s="2">
        <v>2</v>
      </c>
      <c r="J2239" s="3">
        <v>165</v>
      </c>
      <c r="K2239" s="4">
        <v>0.05</v>
      </c>
      <c r="L2239" s="3">
        <v>313.5</v>
      </c>
      <c r="M2239" t="b">
        <v>1</v>
      </c>
      <c r="N2239" s="2">
        <f>YEAR(B2239)</f>
        <v>2025</v>
      </c>
      <c r="O2239" t="str">
        <f>INDEX(Agences!$C:$C,MATCH(F2239,Agences!$A:$A,0))</f>
        <v>Nord</v>
      </c>
      <c r="P2239" t="str">
        <f>INDEX(Produits!$C:$C,MATCH(H2239,Produits!$A:$A,0))</f>
        <v>Mobilier</v>
      </c>
      <c r="Q2239" s="3">
        <f>I2239*INDEX(Produits!$E:$E,MATCH(H2239,Produits!$A:$A,0))</f>
        <v>214.5</v>
      </c>
      <c r="R2239" s="3">
        <f>L2239-Q2239</f>
        <v>99</v>
      </c>
      <c r="S2239" s="2">
        <f>NETWORKDAYS(B2239,C2239)-1</f>
        <v>3</v>
      </c>
      <c r="T2239" s="1">
        <f>WORKDAY(B2239,5)</f>
        <v>45954</v>
      </c>
      <c r="U2239" t="b">
        <f>C2239&gt;T2239</f>
        <v>0</v>
      </c>
    </row>
    <row r="2240" spans="1:21" x14ac:dyDescent="0.25">
      <c r="A2240" t="s">
        <v>1523</v>
      </c>
      <c r="B2240" s="1">
        <v>45947</v>
      </c>
      <c r="C2240" s="1">
        <v>45952</v>
      </c>
      <c r="D2240" t="s">
        <v>1318</v>
      </c>
      <c r="E2240" t="s">
        <v>209</v>
      </c>
      <c r="F2240" t="s">
        <v>99</v>
      </c>
      <c r="G2240" t="s">
        <v>210</v>
      </c>
      <c r="H2240" t="s">
        <v>112</v>
      </c>
      <c r="I2240" s="2">
        <v>2</v>
      </c>
      <c r="J2240" s="3">
        <v>129</v>
      </c>
      <c r="K2240" s="4">
        <v>0.05</v>
      </c>
      <c r="L2240" s="3">
        <v>245.1</v>
      </c>
      <c r="M2240" t="b">
        <v>1</v>
      </c>
      <c r="N2240" s="2">
        <f>YEAR(B2240)</f>
        <v>2025</v>
      </c>
      <c r="O2240" t="str">
        <f>INDEX(Agences!$C:$C,MATCH(F2240,Agences!$A:$A,0))</f>
        <v>Nord</v>
      </c>
      <c r="P2240" t="str">
        <f>INDEX(Produits!$C:$C,MATCH(H2240,Produits!$A:$A,0))</f>
        <v>Mobilier</v>
      </c>
      <c r="Q2240" s="3">
        <f>I2240*INDEX(Produits!$E:$E,MATCH(H2240,Produits!$A:$A,0))</f>
        <v>172.86</v>
      </c>
      <c r="R2240" s="3">
        <f>L2240-Q2240</f>
        <v>72.23999999999998</v>
      </c>
      <c r="S2240" s="2">
        <f>NETWORKDAYS(B2240,C2240)-1</f>
        <v>3</v>
      </c>
      <c r="T2240" s="1">
        <f>WORKDAY(B2240,5)</f>
        <v>45954</v>
      </c>
      <c r="U2240" t="b">
        <f>C2240&gt;T2240</f>
        <v>0</v>
      </c>
    </row>
    <row r="2241" spans="1:21" x14ac:dyDescent="0.25">
      <c r="A2241" t="s">
        <v>1524</v>
      </c>
      <c r="B2241" s="1">
        <v>45947</v>
      </c>
      <c r="C2241" s="1">
        <v>45952</v>
      </c>
      <c r="D2241" t="s">
        <v>1419</v>
      </c>
      <c r="E2241" t="s">
        <v>38</v>
      </c>
      <c r="F2241" t="s">
        <v>39</v>
      </c>
      <c r="G2241" t="s">
        <v>131</v>
      </c>
      <c r="H2241" t="s">
        <v>42</v>
      </c>
      <c r="I2241" s="2">
        <v>1</v>
      </c>
      <c r="J2241" s="3">
        <v>55</v>
      </c>
      <c r="K2241" s="4">
        <v>0</v>
      </c>
      <c r="L2241" s="3">
        <v>55</v>
      </c>
      <c r="M2241" t="b">
        <v>1</v>
      </c>
      <c r="N2241" s="2">
        <f>YEAR(B2241)</f>
        <v>2025</v>
      </c>
      <c r="O2241" t="str">
        <f>INDEX(Agences!$C:$C,MATCH(F2241,Agences!$A:$A,0))</f>
        <v>Sud-Ouest</v>
      </c>
      <c r="P2241" t="str">
        <f>INDEX(Produits!$C:$C,MATCH(H2241,Produits!$A:$A,0))</f>
        <v>Maintenance</v>
      </c>
      <c r="Q2241" s="3">
        <f>I2241*INDEX(Produits!$E:$E,MATCH(H2241,Produits!$A:$A,0))</f>
        <v>24.75</v>
      </c>
      <c r="R2241" s="3">
        <f>L2241-Q2241</f>
        <v>30.25</v>
      </c>
      <c r="S2241" s="2">
        <f>NETWORKDAYS(B2241,C2241)-1</f>
        <v>3</v>
      </c>
      <c r="T2241" s="1">
        <f>WORKDAY(B2241,5)</f>
        <v>45954</v>
      </c>
      <c r="U2241" t="b">
        <f>C2241&gt;T2241</f>
        <v>0</v>
      </c>
    </row>
    <row r="2242" spans="1:21" x14ac:dyDescent="0.25">
      <c r="A2242" t="s">
        <v>1525</v>
      </c>
      <c r="B2242" s="1">
        <v>45946</v>
      </c>
      <c r="C2242" s="1">
        <v>45952</v>
      </c>
      <c r="D2242" t="s">
        <v>367</v>
      </c>
      <c r="E2242" t="s">
        <v>175</v>
      </c>
      <c r="F2242" t="s">
        <v>76</v>
      </c>
      <c r="G2242" t="s">
        <v>77</v>
      </c>
      <c r="H2242" t="s">
        <v>50</v>
      </c>
      <c r="I2242" s="2">
        <v>1</v>
      </c>
      <c r="J2242" s="3">
        <v>69</v>
      </c>
      <c r="K2242" s="4">
        <v>0</v>
      </c>
      <c r="L2242" s="3">
        <v>69</v>
      </c>
      <c r="M2242" t="b">
        <v>1</v>
      </c>
      <c r="N2242" s="2">
        <f>YEAR(B2242)</f>
        <v>2025</v>
      </c>
      <c r="O2242" t="str">
        <f>INDEX(Agences!$C:$C,MATCH(F2242,Agences!$A:$A,0))</f>
        <v>Île-de-France</v>
      </c>
      <c r="P2242" t="str">
        <f>INDEX(Produits!$C:$C,MATCH(H2242,Produits!$A:$A,0))</f>
        <v>Informatique</v>
      </c>
      <c r="Q2242" s="3">
        <f>I2242*INDEX(Produits!$E:$E,MATCH(H2242,Produits!$A:$A,0))</f>
        <v>54.51</v>
      </c>
      <c r="R2242" s="3">
        <f>L2242-Q2242</f>
        <v>14.490000000000002</v>
      </c>
      <c r="S2242" s="2">
        <f>NETWORKDAYS(B2242,C2242)-1</f>
        <v>4</v>
      </c>
      <c r="T2242" s="1">
        <f>WORKDAY(B2242,5)</f>
        <v>45953</v>
      </c>
      <c r="U2242" t="b">
        <f>C2242&gt;T2242</f>
        <v>0</v>
      </c>
    </row>
    <row r="2243" spans="1:21" x14ac:dyDescent="0.25">
      <c r="A2243" t="s">
        <v>1525</v>
      </c>
      <c r="B2243" s="1">
        <v>45946</v>
      </c>
      <c r="C2243" s="1">
        <v>45952</v>
      </c>
      <c r="D2243" t="s">
        <v>367</v>
      </c>
      <c r="E2243" t="s">
        <v>175</v>
      </c>
      <c r="F2243" t="s">
        <v>76</v>
      </c>
      <c r="G2243" t="s">
        <v>77</v>
      </c>
      <c r="H2243" t="s">
        <v>42</v>
      </c>
      <c r="I2243" s="2">
        <v>2</v>
      </c>
      <c r="J2243" s="3">
        <v>55</v>
      </c>
      <c r="K2243" s="4">
        <v>0.02</v>
      </c>
      <c r="L2243" s="3">
        <v>107.8</v>
      </c>
      <c r="M2243" t="b">
        <v>1</v>
      </c>
      <c r="N2243" s="2">
        <f>YEAR(B2243)</f>
        <v>2025</v>
      </c>
      <c r="O2243" t="str">
        <f>INDEX(Agences!$C:$C,MATCH(F2243,Agences!$A:$A,0))</f>
        <v>Île-de-France</v>
      </c>
      <c r="P2243" t="str">
        <f>INDEX(Produits!$C:$C,MATCH(H2243,Produits!$A:$A,0))</f>
        <v>Maintenance</v>
      </c>
      <c r="Q2243" s="3">
        <f>I2243*INDEX(Produits!$E:$E,MATCH(H2243,Produits!$A:$A,0))</f>
        <v>49.5</v>
      </c>
      <c r="R2243" s="3">
        <f>L2243-Q2243</f>
        <v>58.3</v>
      </c>
      <c r="S2243" s="2">
        <f>NETWORKDAYS(B2243,C2243)-1</f>
        <v>4</v>
      </c>
      <c r="T2243" s="1">
        <f>WORKDAY(B2243,5)</f>
        <v>45953</v>
      </c>
      <c r="U2243" t="b">
        <f>C2243&gt;T2243</f>
        <v>0</v>
      </c>
    </row>
    <row r="2244" spans="1:21" x14ac:dyDescent="0.25">
      <c r="A2244" t="s">
        <v>1525</v>
      </c>
      <c r="B2244" s="1">
        <v>45946</v>
      </c>
      <c r="C2244" s="1">
        <v>45952</v>
      </c>
      <c r="D2244" t="s">
        <v>367</v>
      </c>
      <c r="E2244" t="s">
        <v>175</v>
      </c>
      <c r="F2244" t="s">
        <v>76</v>
      </c>
      <c r="G2244" t="s">
        <v>77</v>
      </c>
      <c r="H2244" t="s">
        <v>107</v>
      </c>
      <c r="I2244" s="2">
        <v>2</v>
      </c>
      <c r="J2244" s="3">
        <v>99</v>
      </c>
      <c r="K2244" s="4">
        <v>0</v>
      </c>
      <c r="L2244" s="3">
        <v>198</v>
      </c>
      <c r="M2244" t="b">
        <v>1</v>
      </c>
      <c r="N2244" s="2">
        <f>YEAR(B2244)</f>
        <v>2025</v>
      </c>
      <c r="O2244" t="str">
        <f>INDEX(Agences!$C:$C,MATCH(F2244,Agences!$A:$A,0))</f>
        <v>Île-de-France</v>
      </c>
      <c r="P2244" t="str">
        <f>INDEX(Produits!$C:$C,MATCH(H2244,Produits!$A:$A,0))</f>
        <v>Informatique</v>
      </c>
      <c r="Q2244" s="3">
        <f>I2244*INDEX(Produits!$E:$E,MATCH(H2244,Produits!$A:$A,0))</f>
        <v>150.48</v>
      </c>
      <c r="R2244" s="3">
        <f>L2244-Q2244</f>
        <v>47.52000000000001</v>
      </c>
      <c r="S2244" s="2">
        <f>NETWORKDAYS(B2244,C2244)-1</f>
        <v>4</v>
      </c>
      <c r="T2244" s="1">
        <f>WORKDAY(B2244,5)</f>
        <v>45953</v>
      </c>
      <c r="U2244" t="b">
        <f>C2244&gt;T2244</f>
        <v>0</v>
      </c>
    </row>
    <row r="2245" spans="1:21" x14ac:dyDescent="0.25">
      <c r="A2245" t="s">
        <v>1526</v>
      </c>
      <c r="B2245" s="1">
        <v>45945</v>
      </c>
      <c r="C2245" s="1">
        <v>45950</v>
      </c>
      <c r="D2245" t="s">
        <v>1278</v>
      </c>
      <c r="E2245" t="s">
        <v>172</v>
      </c>
      <c r="F2245" t="s">
        <v>99</v>
      </c>
      <c r="G2245" t="s">
        <v>100</v>
      </c>
      <c r="H2245" t="s">
        <v>84</v>
      </c>
      <c r="I2245" s="2">
        <v>2</v>
      </c>
      <c r="J2245" s="3">
        <v>420</v>
      </c>
      <c r="K2245" s="4">
        <v>0</v>
      </c>
      <c r="L2245" s="3">
        <v>840</v>
      </c>
      <c r="M2245" t="b">
        <v>1</v>
      </c>
      <c r="N2245" s="2">
        <f>YEAR(B2245)</f>
        <v>2025</v>
      </c>
      <c r="O2245" t="str">
        <f>INDEX(Agences!$C:$C,MATCH(F2245,Agences!$A:$A,0))</f>
        <v>Nord</v>
      </c>
      <c r="P2245" t="str">
        <f>INDEX(Produits!$C:$C,MATCH(H2245,Produits!$A:$A,0))</f>
        <v>Mobilier</v>
      </c>
      <c r="Q2245" s="3">
        <f>I2245*INDEX(Produits!$E:$E,MATCH(H2245,Produits!$A:$A,0))</f>
        <v>487.2</v>
      </c>
      <c r="R2245" s="3">
        <f>L2245-Q2245</f>
        <v>352.8</v>
      </c>
      <c r="S2245" s="2">
        <f>NETWORKDAYS(B2245,C2245)-1</f>
        <v>3</v>
      </c>
      <c r="T2245" s="1">
        <f>WORKDAY(B2245,5)</f>
        <v>45952</v>
      </c>
      <c r="U2245" t="b">
        <f>C2245&gt;T2245</f>
        <v>0</v>
      </c>
    </row>
    <row r="2246" spans="1:21" x14ac:dyDescent="0.25">
      <c r="A2246" t="s">
        <v>1526</v>
      </c>
      <c r="B2246" s="1">
        <v>45945</v>
      </c>
      <c r="C2246" s="1">
        <v>45950</v>
      </c>
      <c r="D2246" t="s">
        <v>1278</v>
      </c>
      <c r="E2246" t="s">
        <v>172</v>
      </c>
      <c r="F2246" t="s">
        <v>99</v>
      </c>
      <c r="G2246" t="s">
        <v>100</v>
      </c>
      <c r="H2246" t="s">
        <v>90</v>
      </c>
      <c r="I2246" s="2">
        <v>10</v>
      </c>
      <c r="J2246" s="3">
        <v>22.9</v>
      </c>
      <c r="K2246" s="4">
        <v>0.08</v>
      </c>
      <c r="L2246" s="3">
        <v>210.68</v>
      </c>
      <c r="M2246" t="b">
        <v>1</v>
      </c>
      <c r="N2246" s="2">
        <f>YEAR(B2246)</f>
        <v>2025</v>
      </c>
      <c r="O2246" t="str">
        <f>INDEX(Agences!$C:$C,MATCH(F2246,Agences!$A:$A,0))</f>
        <v>Nord</v>
      </c>
      <c r="P2246" t="str">
        <f>INDEX(Produits!$C:$C,MATCH(H2246,Produits!$A:$A,0))</f>
        <v>Fournitures</v>
      </c>
      <c r="Q2246" s="3">
        <f>I2246*INDEX(Produits!$E:$E,MATCH(H2246,Produits!$A:$A,0))</f>
        <v>128.2</v>
      </c>
      <c r="R2246" s="3">
        <f>L2246-Q2246</f>
        <v>82.48000000000002</v>
      </c>
      <c r="S2246" s="2">
        <f>NETWORKDAYS(B2246,C2246)-1</f>
        <v>3</v>
      </c>
      <c r="T2246" s="1">
        <f>WORKDAY(B2246,5)</f>
        <v>45952</v>
      </c>
      <c r="U2246" t="b">
        <f>C2246&gt;T2246</f>
        <v>0</v>
      </c>
    </row>
    <row r="2247" spans="1:21" x14ac:dyDescent="0.25">
      <c r="A2247" t="s">
        <v>1527</v>
      </c>
      <c r="B2247" s="1">
        <v>45945</v>
      </c>
      <c r="C2247" s="1">
        <v>45950</v>
      </c>
      <c r="D2247" t="s">
        <v>1246</v>
      </c>
      <c r="E2247" t="s">
        <v>213</v>
      </c>
      <c r="F2247" t="s">
        <v>138</v>
      </c>
      <c r="G2247" t="s">
        <v>139</v>
      </c>
      <c r="H2247" t="s">
        <v>35</v>
      </c>
      <c r="I2247" s="2">
        <v>2</v>
      </c>
      <c r="J2247" s="3">
        <v>79</v>
      </c>
      <c r="K2247" s="4">
        <v>0.08</v>
      </c>
      <c r="L2247" s="3">
        <v>145.36</v>
      </c>
      <c r="M2247" t="b">
        <v>1</v>
      </c>
      <c r="N2247" s="2">
        <f>YEAR(B2247)</f>
        <v>2025</v>
      </c>
      <c r="O2247" t="str">
        <f>INDEX(Agences!$C:$C,MATCH(F2247,Agences!$A:$A,0))</f>
        <v>Île-de-France</v>
      </c>
      <c r="P2247" t="str">
        <f>INDEX(Produits!$C:$C,MATCH(H2247,Produits!$A:$A,0))</f>
        <v>Mobilier</v>
      </c>
      <c r="Q2247" s="3">
        <f>I2247*INDEX(Produits!$E:$E,MATCH(H2247,Produits!$A:$A,0))</f>
        <v>93.22</v>
      </c>
      <c r="R2247" s="3">
        <f>L2247-Q2247</f>
        <v>52.140000000000015</v>
      </c>
      <c r="S2247" s="2">
        <f>NETWORKDAYS(B2247,C2247)-1</f>
        <v>3</v>
      </c>
      <c r="T2247" s="1">
        <f>WORKDAY(B2247,5)</f>
        <v>45952</v>
      </c>
      <c r="U2247" t="b">
        <f>C2247&gt;T2247</f>
        <v>0</v>
      </c>
    </row>
    <row r="2248" spans="1:21" x14ac:dyDescent="0.25">
      <c r="A2248" t="s">
        <v>1527</v>
      </c>
      <c r="B2248" s="1">
        <v>45945</v>
      </c>
      <c r="C2248" s="1">
        <v>45950</v>
      </c>
      <c r="D2248" t="s">
        <v>1246</v>
      </c>
      <c r="E2248" t="s">
        <v>213</v>
      </c>
      <c r="F2248" t="s">
        <v>138</v>
      </c>
      <c r="G2248" t="s">
        <v>139</v>
      </c>
      <c r="H2248" t="s">
        <v>108</v>
      </c>
      <c r="I2248" s="2">
        <v>20</v>
      </c>
      <c r="J2248" s="3">
        <v>24.5</v>
      </c>
      <c r="K2248" s="4">
        <v>0.08</v>
      </c>
      <c r="L2248" s="3">
        <v>450.8</v>
      </c>
      <c r="M2248" t="b">
        <v>1</v>
      </c>
      <c r="N2248" s="2">
        <f>YEAR(B2248)</f>
        <v>2025</v>
      </c>
      <c r="O2248" t="str">
        <f>INDEX(Agences!$C:$C,MATCH(F2248,Agences!$A:$A,0))</f>
        <v>Île-de-France</v>
      </c>
      <c r="P2248" t="str">
        <f>INDEX(Produits!$C:$C,MATCH(H2248,Produits!$A:$A,0))</f>
        <v>Fournitures</v>
      </c>
      <c r="Q2248" s="3">
        <f>I2248*INDEX(Produits!$E:$E,MATCH(H2248,Produits!$A:$A,0))</f>
        <v>294</v>
      </c>
      <c r="R2248" s="3">
        <f>L2248-Q2248</f>
        <v>156.8</v>
      </c>
      <c r="S2248" s="2">
        <f>NETWORKDAYS(B2248,C2248)-1</f>
        <v>3</v>
      </c>
      <c r="T2248" s="1">
        <f>WORKDAY(B2248,5)</f>
        <v>45952</v>
      </c>
      <c r="U2248" t="b">
        <f>C2248&gt;T2248</f>
        <v>0</v>
      </c>
    </row>
    <row r="2249" spans="1:21" x14ac:dyDescent="0.25">
      <c r="A2249" t="s">
        <v>1528</v>
      </c>
      <c r="B2249" s="1">
        <v>45945</v>
      </c>
      <c r="C2249" s="1">
        <v>45950</v>
      </c>
      <c r="D2249" t="s">
        <v>1529</v>
      </c>
      <c r="E2249" t="s">
        <v>153</v>
      </c>
      <c r="F2249" t="s">
        <v>94</v>
      </c>
      <c r="G2249" t="s">
        <v>154</v>
      </c>
      <c r="H2249" t="s">
        <v>103</v>
      </c>
      <c r="I2249" s="2">
        <v>1</v>
      </c>
      <c r="J2249" s="3">
        <v>245</v>
      </c>
      <c r="K2249" s="4">
        <v>0.05</v>
      </c>
      <c r="L2249" s="3">
        <v>232.75</v>
      </c>
      <c r="M2249" t="b">
        <v>1</v>
      </c>
      <c r="N2249" s="2">
        <f>YEAR(B2249)</f>
        <v>2025</v>
      </c>
      <c r="O2249" t="str">
        <f>INDEX(Agences!$C:$C,MATCH(F2249,Agences!$A:$A,0))</f>
        <v>Méditerranée</v>
      </c>
      <c r="P2249" t="str">
        <f>INDEX(Produits!$C:$C,MATCH(H2249,Produits!$A:$A,0))</f>
        <v>Mobilier</v>
      </c>
      <c r="Q2249" s="3">
        <f>I2249*INDEX(Produits!$E:$E,MATCH(H2249,Produits!$A:$A,0))</f>
        <v>164.15</v>
      </c>
      <c r="R2249" s="3">
        <f>L2249-Q2249</f>
        <v>68.6</v>
      </c>
      <c r="S2249" s="2">
        <f>NETWORKDAYS(B2249,C2249)-1</f>
        <v>3</v>
      </c>
      <c r="T2249" s="1">
        <f>WORKDAY(B2249,5)</f>
        <v>45952</v>
      </c>
      <c r="U2249" t="b">
        <f>C2249&gt;T2249</f>
        <v>0</v>
      </c>
    </row>
    <row r="2250" spans="1:21" x14ac:dyDescent="0.25">
      <c r="A2250" t="s">
        <v>1528</v>
      </c>
      <c r="B2250" s="1">
        <v>45945</v>
      </c>
      <c r="C2250" s="1">
        <v>45950</v>
      </c>
      <c r="D2250" t="s">
        <v>1529</v>
      </c>
      <c r="E2250" t="s">
        <v>153</v>
      </c>
      <c r="F2250" t="s">
        <v>94</v>
      </c>
      <c r="G2250" t="s">
        <v>154</v>
      </c>
      <c r="H2250" t="s">
        <v>90</v>
      </c>
      <c r="I2250" s="2">
        <v>10</v>
      </c>
      <c r="J2250" s="3">
        <v>22.9</v>
      </c>
      <c r="K2250" s="4">
        <v>0.05</v>
      </c>
      <c r="L2250" s="3">
        <v>217.55</v>
      </c>
      <c r="M2250" t="b">
        <v>1</v>
      </c>
      <c r="N2250" s="2">
        <f>YEAR(B2250)</f>
        <v>2025</v>
      </c>
      <c r="O2250" t="str">
        <f>INDEX(Agences!$C:$C,MATCH(F2250,Agences!$A:$A,0))</f>
        <v>Méditerranée</v>
      </c>
      <c r="P2250" t="str">
        <f>INDEX(Produits!$C:$C,MATCH(H2250,Produits!$A:$A,0))</f>
        <v>Fournitures</v>
      </c>
      <c r="Q2250" s="3">
        <f>I2250*INDEX(Produits!$E:$E,MATCH(H2250,Produits!$A:$A,0))</f>
        <v>128.2</v>
      </c>
      <c r="R2250" s="3">
        <f>L2250-Q2250</f>
        <v>89.35000000000002</v>
      </c>
      <c r="S2250" s="2">
        <f>NETWORKDAYS(B2250,C2250)-1</f>
        <v>3</v>
      </c>
      <c r="T2250" s="1">
        <f>WORKDAY(B2250,5)</f>
        <v>45952</v>
      </c>
      <c r="U2250" t="b">
        <f>C2250&gt;T2250</f>
        <v>0</v>
      </c>
    </row>
    <row r="2251" spans="1:21" x14ac:dyDescent="0.25">
      <c r="A2251" t="s">
        <v>1530</v>
      </c>
      <c r="B2251" s="1">
        <v>45944</v>
      </c>
      <c r="C2251" s="1">
        <v>45947</v>
      </c>
      <c r="D2251" t="s">
        <v>1531</v>
      </c>
      <c r="E2251" t="s">
        <v>333</v>
      </c>
      <c r="F2251" t="s">
        <v>138</v>
      </c>
      <c r="G2251" t="s">
        <v>139</v>
      </c>
      <c r="H2251" t="s">
        <v>34</v>
      </c>
      <c r="I2251" s="2">
        <v>1</v>
      </c>
      <c r="J2251" s="3">
        <v>340</v>
      </c>
      <c r="K2251" s="4">
        <v>0.05</v>
      </c>
      <c r="L2251" s="3">
        <v>323</v>
      </c>
      <c r="M2251" t="b">
        <v>1</v>
      </c>
      <c r="N2251" s="2">
        <f>YEAR(B2251)</f>
        <v>2025</v>
      </c>
      <c r="O2251" t="str">
        <f>INDEX(Agences!$C:$C,MATCH(F2251,Agences!$A:$A,0))</f>
        <v>Île-de-France</v>
      </c>
      <c r="P2251" t="str">
        <f>INDEX(Produits!$C:$C,MATCH(H2251,Produits!$A:$A,0))</f>
        <v>Informatique</v>
      </c>
      <c r="Q2251" s="3">
        <f>I2251*INDEX(Produits!$E:$E,MATCH(H2251,Produits!$A:$A,0))</f>
        <v>275.4</v>
      </c>
      <c r="R2251" s="3">
        <f>L2251-Q2251</f>
        <v>47.60000000000002</v>
      </c>
      <c r="S2251" s="2">
        <f>NETWORKDAYS(B2251,C2251)-1</f>
        <v>3</v>
      </c>
      <c r="T2251" s="1">
        <f>WORKDAY(B2251,5)</f>
        <v>45951</v>
      </c>
      <c r="U2251" t="b">
        <f>C2251&gt;T2251</f>
        <v>0</v>
      </c>
    </row>
    <row r="2252" spans="1:21" x14ac:dyDescent="0.25">
      <c r="A2252" t="s">
        <v>1532</v>
      </c>
      <c r="B2252" s="1">
        <v>45944</v>
      </c>
      <c r="C2252" s="1">
        <v>45946</v>
      </c>
      <c r="D2252" t="s">
        <v>828</v>
      </c>
      <c r="E2252" t="s">
        <v>165</v>
      </c>
      <c r="F2252" t="s">
        <v>166</v>
      </c>
      <c r="G2252" t="s">
        <v>167</v>
      </c>
      <c r="H2252" t="s">
        <v>78</v>
      </c>
      <c r="I2252" s="2">
        <v>1</v>
      </c>
      <c r="J2252" s="3">
        <v>1390</v>
      </c>
      <c r="K2252" s="4">
        <v>0.08</v>
      </c>
      <c r="L2252" s="3">
        <v>1278.8</v>
      </c>
      <c r="M2252" t="b">
        <v>1</v>
      </c>
      <c r="N2252" s="2">
        <f>YEAR(B2252)</f>
        <v>2025</v>
      </c>
      <c r="O2252" t="str">
        <f>INDEX(Agences!$C:$C,MATCH(F2252,Agences!$A:$A,0))</f>
        <v>Ouest</v>
      </c>
      <c r="P2252" t="str">
        <f>INDEX(Produits!$C:$C,MATCH(H2252,Produits!$A:$A,0))</f>
        <v>Informatique</v>
      </c>
      <c r="Q2252" s="3">
        <f>I2252*INDEX(Produits!$E:$E,MATCH(H2252,Produits!$A:$A,0))</f>
        <v>1125.9</v>
      </c>
      <c r="R2252" s="3">
        <f>L2252-Q2252</f>
        <v>152.89999999999986</v>
      </c>
      <c r="S2252" s="2">
        <f>NETWORKDAYS(B2252,C2252)-1</f>
        <v>2</v>
      </c>
      <c r="T2252" s="1">
        <f>WORKDAY(B2252,5)</f>
        <v>45951</v>
      </c>
      <c r="U2252" t="b">
        <f>C2252&gt;T2252</f>
        <v>0</v>
      </c>
    </row>
    <row r="2253" spans="1:21" x14ac:dyDescent="0.25">
      <c r="A2253" t="s">
        <v>1532</v>
      </c>
      <c r="B2253" s="1">
        <v>45944</v>
      </c>
      <c r="C2253" s="1">
        <v>45946</v>
      </c>
      <c r="D2253" t="s">
        <v>828</v>
      </c>
      <c r="E2253" t="s">
        <v>165</v>
      </c>
      <c r="F2253" t="s">
        <v>166</v>
      </c>
      <c r="G2253" t="s">
        <v>167</v>
      </c>
      <c r="H2253" t="s">
        <v>48</v>
      </c>
      <c r="I2253" s="2">
        <v>4</v>
      </c>
      <c r="J2253" s="3">
        <v>165</v>
      </c>
      <c r="K2253" s="4">
        <v>0</v>
      </c>
      <c r="L2253" s="3">
        <v>660</v>
      </c>
      <c r="M2253" t="b">
        <v>1</v>
      </c>
      <c r="N2253" s="2">
        <f>YEAR(B2253)</f>
        <v>2025</v>
      </c>
      <c r="O2253" t="str">
        <f>INDEX(Agences!$C:$C,MATCH(F2253,Agences!$A:$A,0))</f>
        <v>Ouest</v>
      </c>
      <c r="P2253" t="str">
        <f>INDEX(Produits!$C:$C,MATCH(H2253,Produits!$A:$A,0))</f>
        <v>Mobilier</v>
      </c>
      <c r="Q2253" s="3">
        <f>I2253*INDEX(Produits!$E:$E,MATCH(H2253,Produits!$A:$A,0))</f>
        <v>429</v>
      </c>
      <c r="R2253" s="3">
        <f>L2253-Q2253</f>
        <v>231</v>
      </c>
      <c r="S2253" s="2">
        <f>NETWORKDAYS(B2253,C2253)-1</f>
        <v>2</v>
      </c>
      <c r="T2253" s="1">
        <f>WORKDAY(B2253,5)</f>
        <v>45951</v>
      </c>
      <c r="U2253" t="b">
        <f>C2253&gt;T2253</f>
        <v>0</v>
      </c>
    </row>
    <row r="2254" spans="1:21" x14ac:dyDescent="0.25">
      <c r="A2254" t="s">
        <v>1533</v>
      </c>
      <c r="B2254" s="1">
        <v>45944</v>
      </c>
      <c r="C2254" s="1">
        <v>45945</v>
      </c>
      <c r="D2254" t="s">
        <v>294</v>
      </c>
      <c r="E2254" t="s">
        <v>82</v>
      </c>
      <c r="F2254" t="s">
        <v>39</v>
      </c>
      <c r="G2254" t="s">
        <v>322</v>
      </c>
      <c r="H2254" t="s">
        <v>42</v>
      </c>
      <c r="I2254" s="2">
        <v>1</v>
      </c>
      <c r="J2254" s="3">
        <v>55</v>
      </c>
      <c r="K2254" s="4">
        <v>0</v>
      </c>
      <c r="L2254" s="3">
        <v>55</v>
      </c>
      <c r="M2254" t="b">
        <v>1</v>
      </c>
      <c r="N2254" s="2">
        <f>YEAR(B2254)</f>
        <v>2025</v>
      </c>
      <c r="O2254" t="str">
        <f>INDEX(Agences!$C:$C,MATCH(F2254,Agences!$A:$A,0))</f>
        <v>Sud-Ouest</v>
      </c>
      <c r="P2254" t="str">
        <f>INDEX(Produits!$C:$C,MATCH(H2254,Produits!$A:$A,0))</f>
        <v>Maintenance</v>
      </c>
      <c r="Q2254" s="3">
        <f>I2254*INDEX(Produits!$E:$E,MATCH(H2254,Produits!$A:$A,0))</f>
        <v>24.75</v>
      </c>
      <c r="R2254" s="3">
        <f>L2254-Q2254</f>
        <v>30.25</v>
      </c>
      <c r="S2254" s="2">
        <f>NETWORKDAYS(B2254,C2254)-1</f>
        <v>1</v>
      </c>
      <c r="T2254" s="1">
        <f>WORKDAY(B2254,5)</f>
        <v>45951</v>
      </c>
      <c r="U2254" t="b">
        <f>C2254&gt;T2254</f>
        <v>0</v>
      </c>
    </row>
    <row r="2255" spans="1:21" x14ac:dyDescent="0.25">
      <c r="A2255" t="s">
        <v>1534</v>
      </c>
      <c r="B2255" s="1">
        <v>45943</v>
      </c>
      <c r="C2255" s="1">
        <v>45947</v>
      </c>
      <c r="D2255" t="s">
        <v>1535</v>
      </c>
      <c r="E2255" t="s">
        <v>191</v>
      </c>
      <c r="F2255" t="s">
        <v>62</v>
      </c>
      <c r="G2255" t="s">
        <v>106</v>
      </c>
      <c r="H2255" t="s">
        <v>90</v>
      </c>
      <c r="I2255" s="2">
        <v>10</v>
      </c>
      <c r="J2255" s="3">
        <v>22.9</v>
      </c>
      <c r="K2255" s="4">
        <v>0</v>
      </c>
      <c r="L2255" s="3">
        <v>229</v>
      </c>
      <c r="M2255" t="b">
        <v>1</v>
      </c>
      <c r="N2255" s="2">
        <f>YEAR(B2255)</f>
        <v>2025</v>
      </c>
      <c r="O2255" t="str">
        <f>INDEX(Agences!$C:$C,MATCH(F2255,Agences!$A:$A,0))</f>
        <v>Méditerranée</v>
      </c>
      <c r="P2255" t="str">
        <f>INDEX(Produits!$C:$C,MATCH(H2255,Produits!$A:$A,0))</f>
        <v>Fournitures</v>
      </c>
      <c r="Q2255" s="3">
        <f>I2255*INDEX(Produits!$E:$E,MATCH(H2255,Produits!$A:$A,0))</f>
        <v>128.2</v>
      </c>
      <c r="R2255" s="3">
        <f>L2255-Q2255</f>
        <v>100.80000000000001</v>
      </c>
      <c r="S2255" s="2">
        <f>NETWORKDAYS(B2255,C2255)-1</f>
        <v>4</v>
      </c>
      <c r="T2255" s="1">
        <f>WORKDAY(B2255,5)</f>
        <v>45950</v>
      </c>
      <c r="U2255" t="b">
        <f>C2255&gt;T2255</f>
        <v>0</v>
      </c>
    </row>
    <row r="2256" spans="1:21" x14ac:dyDescent="0.25">
      <c r="A2256" t="s">
        <v>1534</v>
      </c>
      <c r="B2256" s="1">
        <v>45943</v>
      </c>
      <c r="C2256" s="1">
        <v>45947</v>
      </c>
      <c r="D2256" t="s">
        <v>1535</v>
      </c>
      <c r="E2256" t="s">
        <v>191</v>
      </c>
      <c r="F2256" t="s">
        <v>62</v>
      </c>
      <c r="G2256" t="s">
        <v>106</v>
      </c>
      <c r="H2256" t="s">
        <v>35</v>
      </c>
      <c r="I2256" s="2">
        <v>2</v>
      </c>
      <c r="J2256" s="3">
        <v>79</v>
      </c>
      <c r="K2256" s="4">
        <v>0</v>
      </c>
      <c r="L2256" s="3">
        <v>158</v>
      </c>
      <c r="M2256" t="b">
        <v>1</v>
      </c>
      <c r="N2256" s="2">
        <f>YEAR(B2256)</f>
        <v>2025</v>
      </c>
      <c r="O2256" t="str">
        <f>INDEX(Agences!$C:$C,MATCH(F2256,Agences!$A:$A,0))</f>
        <v>Méditerranée</v>
      </c>
      <c r="P2256" t="str">
        <f>INDEX(Produits!$C:$C,MATCH(H2256,Produits!$A:$A,0))</f>
        <v>Mobilier</v>
      </c>
      <c r="Q2256" s="3">
        <f>I2256*INDEX(Produits!$E:$E,MATCH(H2256,Produits!$A:$A,0))</f>
        <v>93.22</v>
      </c>
      <c r="R2256" s="3">
        <f>L2256-Q2256</f>
        <v>64.78</v>
      </c>
      <c r="S2256" s="2">
        <f>NETWORKDAYS(B2256,C2256)-1</f>
        <v>4</v>
      </c>
      <c r="T2256" s="1">
        <f>WORKDAY(B2256,5)</f>
        <v>45950</v>
      </c>
      <c r="U2256" t="b">
        <f>C2256&gt;T2256</f>
        <v>0</v>
      </c>
    </row>
    <row r="2257" spans="1:21" x14ac:dyDescent="0.25">
      <c r="A2257" t="s">
        <v>1534</v>
      </c>
      <c r="B2257" s="1">
        <v>45943</v>
      </c>
      <c r="C2257" s="1">
        <v>45947</v>
      </c>
      <c r="D2257" t="s">
        <v>1535</v>
      </c>
      <c r="E2257" t="s">
        <v>191</v>
      </c>
      <c r="F2257" t="s">
        <v>62</v>
      </c>
      <c r="G2257" t="s">
        <v>106</v>
      </c>
      <c r="H2257" t="s">
        <v>26</v>
      </c>
      <c r="I2257" s="2">
        <v>2</v>
      </c>
      <c r="J2257" s="3">
        <v>290</v>
      </c>
      <c r="K2257" s="4">
        <v>0.1</v>
      </c>
      <c r="L2257" s="3">
        <v>522</v>
      </c>
      <c r="M2257" t="b">
        <v>1</v>
      </c>
      <c r="N2257" s="2">
        <f>YEAR(B2257)</f>
        <v>2025</v>
      </c>
      <c r="O2257" t="str">
        <f>INDEX(Agences!$C:$C,MATCH(F2257,Agences!$A:$A,0))</f>
        <v>Méditerranée</v>
      </c>
      <c r="P2257" t="str">
        <f>INDEX(Produits!$C:$C,MATCH(H2257,Produits!$A:$A,0))</f>
        <v>Maintenance</v>
      </c>
      <c r="Q2257" s="3">
        <f>I2257*INDEX(Produits!$E:$E,MATCH(H2257,Produits!$A:$A,0))</f>
        <v>278.4</v>
      </c>
      <c r="R2257" s="3">
        <f>L2257-Q2257</f>
        <v>243.60000000000002</v>
      </c>
      <c r="S2257" s="2">
        <f>NETWORKDAYS(B2257,C2257)-1</f>
        <v>4</v>
      </c>
      <c r="T2257" s="1">
        <f>WORKDAY(B2257,5)</f>
        <v>45950</v>
      </c>
      <c r="U2257" t="b">
        <f>C2257&gt;T2257</f>
        <v>0</v>
      </c>
    </row>
    <row r="2258" spans="1:21" x14ac:dyDescent="0.25">
      <c r="A2258" t="s">
        <v>1536</v>
      </c>
      <c r="B2258" s="1">
        <v>45943</v>
      </c>
      <c r="C2258" s="1">
        <v>45944</v>
      </c>
      <c r="D2258" t="s">
        <v>228</v>
      </c>
      <c r="E2258" t="s">
        <v>229</v>
      </c>
      <c r="F2258" t="s">
        <v>55</v>
      </c>
      <c r="G2258" t="s">
        <v>195</v>
      </c>
      <c r="H2258" t="s">
        <v>72</v>
      </c>
      <c r="I2258" s="2">
        <v>1</v>
      </c>
      <c r="J2258" s="3">
        <v>179</v>
      </c>
      <c r="K2258" s="4">
        <v>0.1</v>
      </c>
      <c r="L2258" s="3">
        <v>161.1</v>
      </c>
      <c r="M2258" t="b">
        <v>1</v>
      </c>
      <c r="N2258" s="2">
        <f>YEAR(B2258)</f>
        <v>2025</v>
      </c>
      <c r="O2258" t="str">
        <f>INDEX(Agences!$C:$C,MATCH(F2258,Agences!$A:$A,0))</f>
        <v>Est</v>
      </c>
      <c r="P2258" t="str">
        <f>INDEX(Produits!$C:$C,MATCH(H2258,Produits!$A:$A,0))</f>
        <v>Informatique</v>
      </c>
      <c r="Q2258" s="3">
        <f>I2258*INDEX(Produits!$E:$E,MATCH(H2258,Produits!$A:$A,0))</f>
        <v>146.78</v>
      </c>
      <c r="R2258" s="3">
        <f>L2258-Q2258</f>
        <v>14.319999999999993</v>
      </c>
      <c r="S2258" s="2">
        <f>NETWORKDAYS(B2258,C2258)-1</f>
        <v>1</v>
      </c>
      <c r="T2258" s="1">
        <f>WORKDAY(B2258,5)</f>
        <v>45950</v>
      </c>
      <c r="U2258" t="b">
        <f>C2258&gt;T2258</f>
        <v>0</v>
      </c>
    </row>
    <row r="2259" spans="1:21" x14ac:dyDescent="0.25">
      <c r="A2259" t="s">
        <v>1536</v>
      </c>
      <c r="B2259" s="1">
        <v>45943</v>
      </c>
      <c r="C2259" s="1">
        <v>45944</v>
      </c>
      <c r="D2259" t="s">
        <v>228</v>
      </c>
      <c r="E2259" t="s">
        <v>229</v>
      </c>
      <c r="F2259" t="s">
        <v>55</v>
      </c>
      <c r="G2259" t="s">
        <v>195</v>
      </c>
      <c r="H2259" t="s">
        <v>50</v>
      </c>
      <c r="I2259" s="2">
        <v>3</v>
      </c>
      <c r="J2259" s="3">
        <v>69</v>
      </c>
      <c r="K2259" s="4">
        <v>0.1</v>
      </c>
      <c r="L2259" s="3">
        <v>186.3</v>
      </c>
      <c r="M2259" t="b">
        <v>1</v>
      </c>
      <c r="N2259" s="2">
        <f>YEAR(B2259)</f>
        <v>2025</v>
      </c>
      <c r="O2259" t="str">
        <f>INDEX(Agences!$C:$C,MATCH(F2259,Agences!$A:$A,0))</f>
        <v>Est</v>
      </c>
      <c r="P2259" t="str">
        <f>INDEX(Produits!$C:$C,MATCH(H2259,Produits!$A:$A,0))</f>
        <v>Informatique</v>
      </c>
      <c r="Q2259" s="3">
        <f>I2259*INDEX(Produits!$E:$E,MATCH(H2259,Produits!$A:$A,0))</f>
        <v>163.53</v>
      </c>
      <c r="R2259" s="3">
        <f>L2259-Q2259</f>
        <v>22.77000000000001</v>
      </c>
      <c r="S2259" s="2">
        <f>NETWORKDAYS(B2259,C2259)-1</f>
        <v>1</v>
      </c>
      <c r="T2259" s="1">
        <f>WORKDAY(B2259,5)</f>
        <v>45950</v>
      </c>
      <c r="U2259" t="b">
        <f>C2259&gt;T2259</f>
        <v>0</v>
      </c>
    </row>
    <row r="2260" spans="1:21" x14ac:dyDescent="0.25">
      <c r="A2260" t="s">
        <v>1536</v>
      </c>
      <c r="B2260" s="1">
        <v>45943</v>
      </c>
      <c r="C2260" s="1">
        <v>45944</v>
      </c>
      <c r="D2260" t="s">
        <v>228</v>
      </c>
      <c r="E2260" t="s">
        <v>229</v>
      </c>
      <c r="F2260" t="s">
        <v>55</v>
      </c>
      <c r="G2260" t="s">
        <v>195</v>
      </c>
      <c r="H2260" t="s">
        <v>161</v>
      </c>
      <c r="I2260" s="2">
        <v>10</v>
      </c>
      <c r="J2260" s="3">
        <v>32</v>
      </c>
      <c r="K2260" s="4">
        <v>0.1</v>
      </c>
      <c r="L2260" s="3">
        <v>288</v>
      </c>
      <c r="M2260" t="b">
        <v>1</v>
      </c>
      <c r="N2260" s="2">
        <f>YEAR(B2260)</f>
        <v>2025</v>
      </c>
      <c r="O2260" t="str">
        <f>INDEX(Agences!$C:$C,MATCH(F2260,Agences!$A:$A,0))</f>
        <v>Est</v>
      </c>
      <c r="P2260" t="str">
        <f>INDEX(Produits!$C:$C,MATCH(H2260,Produits!$A:$A,0))</f>
        <v>Fournitures</v>
      </c>
      <c r="Q2260" s="3">
        <f>I2260*INDEX(Produits!$E:$E,MATCH(H2260,Produits!$A:$A,0))</f>
        <v>176</v>
      </c>
      <c r="R2260" s="3">
        <f>L2260-Q2260</f>
        <v>112</v>
      </c>
      <c r="S2260" s="2">
        <f>NETWORKDAYS(B2260,C2260)-1</f>
        <v>1</v>
      </c>
      <c r="T2260" s="1">
        <f>WORKDAY(B2260,5)</f>
        <v>45950</v>
      </c>
      <c r="U2260" t="b">
        <f>C2260&gt;T2260</f>
        <v>0</v>
      </c>
    </row>
    <row r="2261" spans="1:21" x14ac:dyDescent="0.25">
      <c r="A2261" t="s">
        <v>1536</v>
      </c>
      <c r="B2261" s="1">
        <v>45943</v>
      </c>
      <c r="C2261" s="1">
        <v>45944</v>
      </c>
      <c r="D2261" t="s">
        <v>228</v>
      </c>
      <c r="E2261" t="s">
        <v>229</v>
      </c>
      <c r="F2261" t="s">
        <v>55</v>
      </c>
      <c r="G2261" t="s">
        <v>195</v>
      </c>
      <c r="H2261" t="s">
        <v>35</v>
      </c>
      <c r="I2261" s="2">
        <v>1</v>
      </c>
      <c r="J2261" s="3">
        <v>79</v>
      </c>
      <c r="K2261" s="4">
        <v>0.05</v>
      </c>
      <c r="L2261" s="3">
        <v>75.05</v>
      </c>
      <c r="M2261" t="b">
        <v>1</v>
      </c>
      <c r="N2261" s="2">
        <f>YEAR(B2261)</f>
        <v>2025</v>
      </c>
      <c r="O2261" t="str">
        <f>INDEX(Agences!$C:$C,MATCH(F2261,Agences!$A:$A,0))</f>
        <v>Est</v>
      </c>
      <c r="P2261" t="str">
        <f>INDEX(Produits!$C:$C,MATCH(H2261,Produits!$A:$A,0))</f>
        <v>Mobilier</v>
      </c>
      <c r="Q2261" s="3">
        <f>I2261*INDEX(Produits!$E:$E,MATCH(H2261,Produits!$A:$A,0))</f>
        <v>46.61</v>
      </c>
      <c r="R2261" s="3">
        <f>L2261-Q2261</f>
        <v>28.439999999999998</v>
      </c>
      <c r="S2261" s="2">
        <f>NETWORKDAYS(B2261,C2261)-1</f>
        <v>1</v>
      </c>
      <c r="T2261" s="1">
        <f>WORKDAY(B2261,5)</f>
        <v>45950</v>
      </c>
      <c r="U2261" t="b">
        <f>C2261&gt;T2261</f>
        <v>0</v>
      </c>
    </row>
    <row r="2262" spans="1:21" x14ac:dyDescent="0.25">
      <c r="A2262" t="s">
        <v>1536</v>
      </c>
      <c r="B2262" s="1">
        <v>45943</v>
      </c>
      <c r="C2262" s="1">
        <v>45944</v>
      </c>
      <c r="D2262" t="s">
        <v>228</v>
      </c>
      <c r="E2262" t="s">
        <v>229</v>
      </c>
      <c r="F2262" t="s">
        <v>55</v>
      </c>
      <c r="G2262" t="s">
        <v>195</v>
      </c>
      <c r="H2262" t="s">
        <v>57</v>
      </c>
      <c r="I2262" s="2">
        <v>1</v>
      </c>
      <c r="J2262" s="3">
        <v>149</v>
      </c>
      <c r="K2262" s="4">
        <v>0</v>
      </c>
      <c r="L2262" s="3">
        <v>149</v>
      </c>
      <c r="M2262" t="b">
        <v>1</v>
      </c>
      <c r="N2262" s="2">
        <f>YEAR(B2262)</f>
        <v>2025</v>
      </c>
      <c r="O2262" t="str">
        <f>INDEX(Agences!$C:$C,MATCH(F2262,Agences!$A:$A,0))</f>
        <v>Est</v>
      </c>
      <c r="P2262" t="str">
        <f>INDEX(Produits!$C:$C,MATCH(H2262,Produits!$A:$A,0))</f>
        <v>Informatique</v>
      </c>
      <c r="Q2262" s="3">
        <f>I2262*INDEX(Produits!$E:$E,MATCH(H2262,Produits!$A:$A,0))</f>
        <v>114.73</v>
      </c>
      <c r="R2262" s="3">
        <f>L2262-Q2262</f>
        <v>34.269999999999996</v>
      </c>
      <c r="S2262" s="2">
        <f>NETWORKDAYS(B2262,C2262)-1</f>
        <v>1</v>
      </c>
      <c r="T2262" s="1">
        <f>WORKDAY(B2262,5)</f>
        <v>45950</v>
      </c>
      <c r="U2262" t="b">
        <f>C2262&gt;T2262</f>
        <v>0</v>
      </c>
    </row>
    <row r="2263" spans="1:21" x14ac:dyDescent="0.25">
      <c r="A2263" t="s">
        <v>1537</v>
      </c>
      <c r="B2263" s="1">
        <v>45940</v>
      </c>
      <c r="C2263" s="1">
        <v>45943</v>
      </c>
      <c r="D2263" t="s">
        <v>675</v>
      </c>
      <c r="E2263" t="s">
        <v>98</v>
      </c>
      <c r="F2263" t="s">
        <v>99</v>
      </c>
      <c r="G2263" t="s">
        <v>210</v>
      </c>
      <c r="H2263" t="s">
        <v>35</v>
      </c>
      <c r="I2263" s="2">
        <v>3</v>
      </c>
      <c r="J2263" s="3">
        <v>79</v>
      </c>
      <c r="K2263" s="4">
        <v>0.05</v>
      </c>
      <c r="L2263" s="3">
        <v>225.15</v>
      </c>
      <c r="M2263" t="b">
        <v>1</v>
      </c>
      <c r="N2263" s="2">
        <f>YEAR(B2263)</f>
        <v>2025</v>
      </c>
      <c r="O2263" t="str">
        <f>INDEX(Agences!$C:$C,MATCH(F2263,Agences!$A:$A,0))</f>
        <v>Nord</v>
      </c>
      <c r="P2263" t="str">
        <f>INDEX(Produits!$C:$C,MATCH(H2263,Produits!$A:$A,0))</f>
        <v>Mobilier</v>
      </c>
      <c r="Q2263" s="3">
        <f>I2263*INDEX(Produits!$E:$E,MATCH(H2263,Produits!$A:$A,0))</f>
        <v>139.82999999999998</v>
      </c>
      <c r="R2263" s="3">
        <f>L2263-Q2263</f>
        <v>85.32000000000002</v>
      </c>
      <c r="S2263" s="2">
        <f>NETWORKDAYS(B2263,C2263)-1</f>
        <v>1</v>
      </c>
      <c r="T2263" s="1">
        <f>WORKDAY(B2263,5)</f>
        <v>45947</v>
      </c>
      <c r="U2263" t="b">
        <f>C2263&gt;T2263</f>
        <v>0</v>
      </c>
    </row>
    <row r="2264" spans="1:21" x14ac:dyDescent="0.25">
      <c r="A2264" t="s">
        <v>1537</v>
      </c>
      <c r="B2264" s="1">
        <v>45940</v>
      </c>
      <c r="C2264" s="1">
        <v>45943</v>
      </c>
      <c r="D2264" t="s">
        <v>675</v>
      </c>
      <c r="E2264" t="s">
        <v>98</v>
      </c>
      <c r="F2264" t="s">
        <v>99</v>
      </c>
      <c r="G2264" t="s">
        <v>210</v>
      </c>
      <c r="H2264" t="s">
        <v>41</v>
      </c>
      <c r="I2264" s="2">
        <v>1</v>
      </c>
      <c r="J2264" s="3">
        <v>790</v>
      </c>
      <c r="K2264" s="4">
        <v>0.05</v>
      </c>
      <c r="L2264" s="3">
        <v>750.5</v>
      </c>
      <c r="M2264" t="b">
        <v>1</v>
      </c>
      <c r="N2264" s="2">
        <f>YEAR(B2264)</f>
        <v>2025</v>
      </c>
      <c r="O2264" t="str">
        <f>INDEX(Agences!$C:$C,MATCH(F2264,Agences!$A:$A,0))</f>
        <v>Nord</v>
      </c>
      <c r="P2264" t="str">
        <f>INDEX(Produits!$C:$C,MATCH(H2264,Produits!$A:$A,0))</f>
        <v>Informatique</v>
      </c>
      <c r="Q2264" s="3">
        <f>I2264*INDEX(Produits!$E:$E,MATCH(H2264,Produits!$A:$A,0))</f>
        <v>576.7</v>
      </c>
      <c r="R2264" s="3">
        <f>L2264-Q2264</f>
        <v>173.79999999999995</v>
      </c>
      <c r="S2264" s="2">
        <f>NETWORKDAYS(B2264,C2264)-1</f>
        <v>1</v>
      </c>
      <c r="T2264" s="1">
        <f>WORKDAY(B2264,5)</f>
        <v>45947</v>
      </c>
      <c r="U2264" t="b">
        <f>C2264&gt;T2264</f>
        <v>0</v>
      </c>
    </row>
    <row r="2265" spans="1:21" x14ac:dyDescent="0.25">
      <c r="A2265" t="s">
        <v>1538</v>
      </c>
      <c r="B2265" s="1">
        <v>45940</v>
      </c>
      <c r="C2265" s="1">
        <v>45943</v>
      </c>
      <c r="D2265" t="s">
        <v>1370</v>
      </c>
      <c r="E2265" t="s">
        <v>175</v>
      </c>
      <c r="F2265" t="s">
        <v>76</v>
      </c>
      <c r="G2265" t="s">
        <v>77</v>
      </c>
      <c r="H2265" t="s">
        <v>64</v>
      </c>
      <c r="I2265" s="2">
        <v>10</v>
      </c>
      <c r="J2265" s="3">
        <v>16.8</v>
      </c>
      <c r="K2265" s="4">
        <v>0.08</v>
      </c>
      <c r="L2265" s="3">
        <v>154.56</v>
      </c>
      <c r="M2265" t="b">
        <v>1</v>
      </c>
      <c r="N2265" s="2">
        <f>YEAR(B2265)</f>
        <v>2025</v>
      </c>
      <c r="O2265" t="str">
        <f>INDEX(Agences!$C:$C,MATCH(F2265,Agences!$A:$A,0))</f>
        <v>Île-de-France</v>
      </c>
      <c r="P2265" t="str">
        <f>INDEX(Produits!$C:$C,MATCH(H2265,Produits!$A:$A,0))</f>
        <v>Fournitures</v>
      </c>
      <c r="Q2265" s="3">
        <f>I2265*INDEX(Produits!$E:$E,MATCH(H2265,Produits!$A:$A,0))</f>
        <v>87.4</v>
      </c>
      <c r="R2265" s="3">
        <f>L2265-Q2265</f>
        <v>67.16</v>
      </c>
      <c r="S2265" s="2">
        <f>NETWORKDAYS(B2265,C2265)-1</f>
        <v>1</v>
      </c>
      <c r="T2265" s="1">
        <f>WORKDAY(B2265,5)</f>
        <v>45947</v>
      </c>
      <c r="U2265" t="b">
        <f>C2265&gt;T2265</f>
        <v>0</v>
      </c>
    </row>
    <row r="2266" spans="1:21" x14ac:dyDescent="0.25">
      <c r="A2266" t="s">
        <v>1539</v>
      </c>
      <c r="B2266" s="1">
        <v>45940</v>
      </c>
      <c r="C2266" s="1">
        <v>45944</v>
      </c>
      <c r="D2266" t="s">
        <v>583</v>
      </c>
      <c r="E2266" t="s">
        <v>165</v>
      </c>
      <c r="F2266" t="s">
        <v>166</v>
      </c>
      <c r="G2266" t="s">
        <v>179</v>
      </c>
      <c r="H2266" t="s">
        <v>79</v>
      </c>
      <c r="I2266" s="2">
        <v>5</v>
      </c>
      <c r="J2266" s="3">
        <v>14.9</v>
      </c>
      <c r="K2266" s="4">
        <v>0.02</v>
      </c>
      <c r="L2266" s="3">
        <v>73.01</v>
      </c>
      <c r="M2266" t="b">
        <v>1</v>
      </c>
      <c r="N2266" s="2">
        <f>YEAR(B2266)</f>
        <v>2025</v>
      </c>
      <c r="O2266" t="str">
        <f>INDEX(Agences!$C:$C,MATCH(F2266,Agences!$A:$A,0))</f>
        <v>Ouest</v>
      </c>
      <c r="P2266" t="str">
        <f>INDEX(Produits!$C:$C,MATCH(H2266,Produits!$A:$A,0))</f>
        <v>Fournitures</v>
      </c>
      <c r="Q2266" s="3">
        <f>I2266*INDEX(Produits!$E:$E,MATCH(H2266,Produits!$A:$A,0))</f>
        <v>40.25</v>
      </c>
      <c r="R2266" s="3">
        <f>L2266-Q2266</f>
        <v>32.760000000000005</v>
      </c>
      <c r="S2266" s="2">
        <f>NETWORKDAYS(B2266,C2266)-1</f>
        <v>2</v>
      </c>
      <c r="T2266" s="1">
        <f>WORKDAY(B2266,5)</f>
        <v>45947</v>
      </c>
      <c r="U2266" t="b">
        <f>C2266&gt;T2266</f>
        <v>0</v>
      </c>
    </row>
    <row r="2267" spans="1:21" x14ac:dyDescent="0.25">
      <c r="A2267" t="s">
        <v>1539</v>
      </c>
      <c r="B2267" s="1">
        <v>45940</v>
      </c>
      <c r="C2267" s="1">
        <v>45944</v>
      </c>
      <c r="D2267" t="s">
        <v>583</v>
      </c>
      <c r="E2267" t="s">
        <v>165</v>
      </c>
      <c r="F2267" t="s">
        <v>166</v>
      </c>
      <c r="G2267" t="s">
        <v>179</v>
      </c>
      <c r="H2267" t="s">
        <v>48</v>
      </c>
      <c r="I2267" s="2">
        <v>7</v>
      </c>
      <c r="J2267" s="3">
        <v>165</v>
      </c>
      <c r="K2267" s="4">
        <v>0</v>
      </c>
      <c r="L2267" s="3">
        <v>1155</v>
      </c>
      <c r="M2267" t="b">
        <v>1</v>
      </c>
      <c r="N2267" s="2">
        <f>YEAR(B2267)</f>
        <v>2025</v>
      </c>
      <c r="O2267" t="str">
        <f>INDEX(Agences!$C:$C,MATCH(F2267,Agences!$A:$A,0))</f>
        <v>Ouest</v>
      </c>
      <c r="P2267" t="str">
        <f>INDEX(Produits!$C:$C,MATCH(H2267,Produits!$A:$A,0))</f>
        <v>Mobilier</v>
      </c>
      <c r="Q2267" s="3">
        <f>I2267*INDEX(Produits!$E:$E,MATCH(H2267,Produits!$A:$A,0))</f>
        <v>750.75</v>
      </c>
      <c r="R2267" s="3">
        <f>L2267-Q2267</f>
        <v>404.25</v>
      </c>
      <c r="S2267" s="2">
        <f>NETWORKDAYS(B2267,C2267)-1</f>
        <v>2</v>
      </c>
      <c r="T2267" s="1">
        <f>WORKDAY(B2267,5)</f>
        <v>45947</v>
      </c>
      <c r="U2267" t="b">
        <f>C2267&gt;T2267</f>
        <v>0</v>
      </c>
    </row>
    <row r="2268" spans="1:21" x14ac:dyDescent="0.25">
      <c r="A2268" t="s">
        <v>1540</v>
      </c>
      <c r="B2268" s="1">
        <v>45940</v>
      </c>
      <c r="C2268" s="1">
        <v>45945</v>
      </c>
      <c r="D2268" t="s">
        <v>1041</v>
      </c>
      <c r="E2268" t="s">
        <v>38</v>
      </c>
      <c r="F2268" t="s">
        <v>39</v>
      </c>
      <c r="G2268" t="s">
        <v>40</v>
      </c>
      <c r="H2268" t="s">
        <v>107</v>
      </c>
      <c r="I2268" s="2">
        <v>1</v>
      </c>
      <c r="J2268" s="3">
        <v>99</v>
      </c>
      <c r="K2268" s="4">
        <v>0</v>
      </c>
      <c r="L2268" s="3">
        <v>99</v>
      </c>
      <c r="M2268" t="b">
        <v>1</v>
      </c>
      <c r="N2268" s="2">
        <f>YEAR(B2268)</f>
        <v>2025</v>
      </c>
      <c r="O2268" t="str">
        <f>INDEX(Agences!$C:$C,MATCH(F2268,Agences!$A:$A,0))</f>
        <v>Sud-Ouest</v>
      </c>
      <c r="P2268" t="str">
        <f>INDEX(Produits!$C:$C,MATCH(H2268,Produits!$A:$A,0))</f>
        <v>Informatique</v>
      </c>
      <c r="Q2268" s="3">
        <f>I2268*INDEX(Produits!$E:$E,MATCH(H2268,Produits!$A:$A,0))</f>
        <v>75.24</v>
      </c>
      <c r="R2268" s="3">
        <f>L2268-Q2268</f>
        <v>23.760000000000005</v>
      </c>
      <c r="S2268" s="2">
        <f>NETWORKDAYS(B2268,C2268)-1</f>
        <v>3</v>
      </c>
      <c r="T2268" s="1">
        <f>WORKDAY(B2268,5)</f>
        <v>45947</v>
      </c>
      <c r="U2268" t="b">
        <f>C2268&gt;T2268</f>
        <v>0</v>
      </c>
    </row>
    <row r="2269" spans="1:21" x14ac:dyDescent="0.25">
      <c r="A2269" t="s">
        <v>1540</v>
      </c>
      <c r="B2269" s="1">
        <v>45940</v>
      </c>
      <c r="C2269" s="1">
        <v>45945</v>
      </c>
      <c r="D2269" t="s">
        <v>1041</v>
      </c>
      <c r="E2269" t="s">
        <v>38</v>
      </c>
      <c r="F2269" t="s">
        <v>39</v>
      </c>
      <c r="G2269" t="s">
        <v>40</v>
      </c>
      <c r="H2269" t="s">
        <v>35</v>
      </c>
      <c r="I2269" s="2">
        <v>1</v>
      </c>
      <c r="J2269" s="3">
        <v>79</v>
      </c>
      <c r="K2269" s="4">
        <v>0.05</v>
      </c>
      <c r="L2269" s="3">
        <v>75.05</v>
      </c>
      <c r="M2269" t="b">
        <v>1</v>
      </c>
      <c r="N2269" s="2">
        <f>YEAR(B2269)</f>
        <v>2025</v>
      </c>
      <c r="O2269" t="str">
        <f>INDEX(Agences!$C:$C,MATCH(F2269,Agences!$A:$A,0))</f>
        <v>Sud-Ouest</v>
      </c>
      <c r="P2269" t="str">
        <f>INDEX(Produits!$C:$C,MATCH(H2269,Produits!$A:$A,0))</f>
        <v>Mobilier</v>
      </c>
      <c r="Q2269" s="3">
        <f>I2269*INDEX(Produits!$E:$E,MATCH(H2269,Produits!$A:$A,0))</f>
        <v>46.61</v>
      </c>
      <c r="R2269" s="3">
        <f>L2269-Q2269</f>
        <v>28.439999999999998</v>
      </c>
      <c r="S2269" s="2">
        <f>NETWORKDAYS(B2269,C2269)-1</f>
        <v>3</v>
      </c>
      <c r="T2269" s="1">
        <f>WORKDAY(B2269,5)</f>
        <v>45947</v>
      </c>
      <c r="U2269" t="b">
        <f>C2269&gt;T2269</f>
        <v>0</v>
      </c>
    </row>
    <row r="2270" spans="1:21" x14ac:dyDescent="0.25">
      <c r="A2270" t="s">
        <v>1540</v>
      </c>
      <c r="B2270" s="1">
        <v>45940</v>
      </c>
      <c r="C2270" s="1">
        <v>45945</v>
      </c>
      <c r="D2270" t="s">
        <v>1041</v>
      </c>
      <c r="E2270" t="s">
        <v>38</v>
      </c>
      <c r="F2270" t="s">
        <v>39</v>
      </c>
      <c r="G2270" t="s">
        <v>40</v>
      </c>
      <c r="H2270" t="s">
        <v>34</v>
      </c>
      <c r="I2270" s="2">
        <v>6</v>
      </c>
      <c r="J2270" s="3">
        <v>340</v>
      </c>
      <c r="K2270" s="4">
        <v>0</v>
      </c>
      <c r="L2270" s="3">
        <v>2040</v>
      </c>
      <c r="M2270" t="b">
        <v>1</v>
      </c>
      <c r="N2270" s="2">
        <f>YEAR(B2270)</f>
        <v>2025</v>
      </c>
      <c r="O2270" t="str">
        <f>INDEX(Agences!$C:$C,MATCH(F2270,Agences!$A:$A,0))</f>
        <v>Sud-Ouest</v>
      </c>
      <c r="P2270" t="str">
        <f>INDEX(Produits!$C:$C,MATCH(H2270,Produits!$A:$A,0))</f>
        <v>Informatique</v>
      </c>
      <c r="Q2270" s="3">
        <f>I2270*INDEX(Produits!$E:$E,MATCH(H2270,Produits!$A:$A,0))</f>
        <v>1652.3999999999999</v>
      </c>
      <c r="R2270" s="3">
        <f>L2270-Q2270</f>
        <v>387.60000000000014</v>
      </c>
      <c r="S2270" s="2">
        <f>NETWORKDAYS(B2270,C2270)-1</f>
        <v>3</v>
      </c>
      <c r="T2270" s="1">
        <f>WORKDAY(B2270,5)</f>
        <v>45947</v>
      </c>
      <c r="U2270" t="b">
        <f>C2270&gt;T2270</f>
        <v>0</v>
      </c>
    </row>
    <row r="2271" spans="1:21" x14ac:dyDescent="0.25">
      <c r="A2271" t="s">
        <v>1540</v>
      </c>
      <c r="B2271" s="1">
        <v>45940</v>
      </c>
      <c r="C2271" s="1">
        <v>45945</v>
      </c>
      <c r="D2271" t="s">
        <v>1041</v>
      </c>
      <c r="E2271" t="s">
        <v>38</v>
      </c>
      <c r="F2271" t="s">
        <v>39</v>
      </c>
      <c r="G2271" t="s">
        <v>40</v>
      </c>
      <c r="H2271" t="s">
        <v>196</v>
      </c>
      <c r="I2271" s="2">
        <v>15</v>
      </c>
      <c r="J2271" s="3">
        <v>18.5</v>
      </c>
      <c r="K2271" s="4">
        <v>0</v>
      </c>
      <c r="L2271" s="3">
        <v>277.5</v>
      </c>
      <c r="M2271" t="b">
        <v>1</v>
      </c>
      <c r="N2271" s="2">
        <f>YEAR(B2271)</f>
        <v>2025</v>
      </c>
      <c r="O2271" t="str">
        <f>INDEX(Agences!$C:$C,MATCH(F2271,Agences!$A:$A,0))</f>
        <v>Sud-Ouest</v>
      </c>
      <c r="P2271" t="str">
        <f>INDEX(Produits!$C:$C,MATCH(H2271,Produits!$A:$A,0))</f>
        <v>Fournitures</v>
      </c>
      <c r="Q2271" s="3">
        <f>I2271*INDEX(Produits!$E:$E,MATCH(H2271,Produits!$A:$A,0))</f>
        <v>141.6</v>
      </c>
      <c r="R2271" s="3">
        <f>L2271-Q2271</f>
        <v>135.9</v>
      </c>
      <c r="S2271" s="2">
        <f>NETWORKDAYS(B2271,C2271)-1</f>
        <v>3</v>
      </c>
      <c r="T2271" s="1">
        <f>WORKDAY(B2271,5)</f>
        <v>45947</v>
      </c>
      <c r="U2271" t="b">
        <f>C2271&gt;T2271</f>
        <v>0</v>
      </c>
    </row>
    <row r="2272" spans="1:21" x14ac:dyDescent="0.25">
      <c r="A2272" t="s">
        <v>1541</v>
      </c>
      <c r="B2272" s="1">
        <v>45940</v>
      </c>
      <c r="C2272" s="1">
        <v>45946</v>
      </c>
      <c r="D2272" t="s">
        <v>902</v>
      </c>
      <c r="E2272" t="s">
        <v>225</v>
      </c>
      <c r="F2272" t="s">
        <v>88</v>
      </c>
      <c r="G2272" t="s">
        <v>226</v>
      </c>
      <c r="H2272" t="s">
        <v>112</v>
      </c>
      <c r="I2272" s="2">
        <v>1</v>
      </c>
      <c r="J2272" s="3">
        <v>129</v>
      </c>
      <c r="K2272" s="4">
        <v>0.05</v>
      </c>
      <c r="L2272" s="3">
        <v>122.55</v>
      </c>
      <c r="M2272" t="b">
        <v>1</v>
      </c>
      <c r="N2272" s="2">
        <f>YEAR(B2272)</f>
        <v>2025</v>
      </c>
      <c r="O2272" t="str">
        <f>INDEX(Agences!$C:$C,MATCH(F2272,Agences!$A:$A,0))</f>
        <v>Sud-Ouest</v>
      </c>
      <c r="P2272" t="str">
        <f>INDEX(Produits!$C:$C,MATCH(H2272,Produits!$A:$A,0))</f>
        <v>Mobilier</v>
      </c>
      <c r="Q2272" s="3">
        <f>I2272*INDEX(Produits!$E:$E,MATCH(H2272,Produits!$A:$A,0))</f>
        <v>86.43</v>
      </c>
      <c r="R2272" s="3">
        <f>L2272-Q2272</f>
        <v>36.11999999999999</v>
      </c>
      <c r="S2272" s="2">
        <f>NETWORKDAYS(B2272,C2272)-1</f>
        <v>4</v>
      </c>
      <c r="T2272" s="1">
        <f>WORKDAY(B2272,5)</f>
        <v>45947</v>
      </c>
      <c r="U2272" t="b">
        <f>C2272&gt;T2272</f>
        <v>0</v>
      </c>
    </row>
    <row r="2273" spans="1:21" x14ac:dyDescent="0.25">
      <c r="A2273" t="s">
        <v>1541</v>
      </c>
      <c r="B2273" s="1">
        <v>45940</v>
      </c>
      <c r="C2273" s="1">
        <v>45946</v>
      </c>
      <c r="D2273" t="s">
        <v>902</v>
      </c>
      <c r="E2273" t="s">
        <v>225</v>
      </c>
      <c r="F2273" t="s">
        <v>88</v>
      </c>
      <c r="G2273" t="s">
        <v>226</v>
      </c>
      <c r="H2273" t="s">
        <v>42</v>
      </c>
      <c r="I2273" s="2">
        <v>1</v>
      </c>
      <c r="J2273" s="3">
        <v>55</v>
      </c>
      <c r="K2273" s="4">
        <v>0</v>
      </c>
      <c r="L2273" s="3">
        <v>55</v>
      </c>
      <c r="M2273" t="b">
        <v>1</v>
      </c>
      <c r="N2273" s="2">
        <f>YEAR(B2273)</f>
        <v>2025</v>
      </c>
      <c r="O2273" t="str">
        <f>INDEX(Agences!$C:$C,MATCH(F2273,Agences!$A:$A,0))</f>
        <v>Sud-Ouest</v>
      </c>
      <c r="P2273" t="str">
        <f>INDEX(Produits!$C:$C,MATCH(H2273,Produits!$A:$A,0))</f>
        <v>Maintenance</v>
      </c>
      <c r="Q2273" s="3">
        <f>I2273*INDEX(Produits!$E:$E,MATCH(H2273,Produits!$A:$A,0))</f>
        <v>24.75</v>
      </c>
      <c r="R2273" s="3">
        <f>L2273-Q2273</f>
        <v>30.25</v>
      </c>
      <c r="S2273" s="2">
        <f>NETWORKDAYS(B2273,C2273)-1</f>
        <v>4</v>
      </c>
      <c r="T2273" s="1">
        <f>WORKDAY(B2273,5)</f>
        <v>45947</v>
      </c>
      <c r="U2273" t="b">
        <f>C2273&gt;T2273</f>
        <v>0</v>
      </c>
    </row>
    <row r="2274" spans="1:21" x14ac:dyDescent="0.25">
      <c r="A2274" t="s">
        <v>1541</v>
      </c>
      <c r="B2274" s="1">
        <v>45940</v>
      </c>
      <c r="C2274" s="1">
        <v>45946</v>
      </c>
      <c r="D2274" t="s">
        <v>902</v>
      </c>
      <c r="E2274" t="s">
        <v>225</v>
      </c>
      <c r="F2274" t="s">
        <v>88</v>
      </c>
      <c r="G2274" t="s">
        <v>226</v>
      </c>
      <c r="H2274" t="s">
        <v>103</v>
      </c>
      <c r="I2274" s="2">
        <v>2</v>
      </c>
      <c r="J2274" s="3">
        <v>245</v>
      </c>
      <c r="K2274" s="4">
        <v>0</v>
      </c>
      <c r="L2274" s="3">
        <v>490</v>
      </c>
      <c r="M2274" t="b">
        <v>1</v>
      </c>
      <c r="N2274" s="2">
        <f>YEAR(B2274)</f>
        <v>2025</v>
      </c>
      <c r="O2274" t="str">
        <f>INDEX(Agences!$C:$C,MATCH(F2274,Agences!$A:$A,0))</f>
        <v>Sud-Ouest</v>
      </c>
      <c r="P2274" t="str">
        <f>INDEX(Produits!$C:$C,MATCH(H2274,Produits!$A:$A,0))</f>
        <v>Mobilier</v>
      </c>
      <c r="Q2274" s="3">
        <f>I2274*INDEX(Produits!$E:$E,MATCH(H2274,Produits!$A:$A,0))</f>
        <v>328.3</v>
      </c>
      <c r="R2274" s="3">
        <f>L2274-Q2274</f>
        <v>161.7</v>
      </c>
      <c r="S2274" s="2">
        <f>NETWORKDAYS(B2274,C2274)-1</f>
        <v>4</v>
      </c>
      <c r="T2274" s="1">
        <f>WORKDAY(B2274,5)</f>
        <v>45947</v>
      </c>
      <c r="U2274" t="b">
        <f>C2274&gt;T2274</f>
        <v>0</v>
      </c>
    </row>
    <row r="2275" spans="1:21" x14ac:dyDescent="0.25">
      <c r="A2275" t="s">
        <v>1542</v>
      </c>
      <c r="B2275" s="1">
        <v>45940</v>
      </c>
      <c r="C2275" s="1">
        <v>45947</v>
      </c>
      <c r="D2275" t="s">
        <v>1543</v>
      </c>
      <c r="E2275" t="s">
        <v>225</v>
      </c>
      <c r="F2275" t="s">
        <v>88</v>
      </c>
      <c r="G2275" t="s">
        <v>226</v>
      </c>
      <c r="H2275" t="s">
        <v>72</v>
      </c>
      <c r="I2275" s="2">
        <v>1</v>
      </c>
      <c r="J2275" s="3">
        <v>179</v>
      </c>
      <c r="K2275" s="4">
        <v>0.02</v>
      </c>
      <c r="L2275" s="3">
        <v>175.42</v>
      </c>
      <c r="M2275" t="b">
        <v>1</v>
      </c>
      <c r="N2275" s="2">
        <f>YEAR(B2275)</f>
        <v>2025</v>
      </c>
      <c r="O2275" t="str">
        <f>INDEX(Agences!$C:$C,MATCH(F2275,Agences!$A:$A,0))</f>
        <v>Sud-Ouest</v>
      </c>
      <c r="P2275" t="str">
        <f>INDEX(Produits!$C:$C,MATCH(H2275,Produits!$A:$A,0))</f>
        <v>Informatique</v>
      </c>
      <c r="Q2275" s="3">
        <f>I2275*INDEX(Produits!$E:$E,MATCH(H2275,Produits!$A:$A,0))</f>
        <v>146.78</v>
      </c>
      <c r="R2275" s="3">
        <f>L2275-Q2275</f>
        <v>28.639999999999986</v>
      </c>
      <c r="S2275" s="2">
        <f>NETWORKDAYS(B2275,C2275)-1</f>
        <v>5</v>
      </c>
      <c r="T2275" s="1">
        <f>WORKDAY(B2275,5)</f>
        <v>45947</v>
      </c>
      <c r="U2275" t="b">
        <f>C2275&gt;T2275</f>
        <v>0</v>
      </c>
    </row>
    <row r="2276" spans="1:21" x14ac:dyDescent="0.25">
      <c r="A2276" t="s">
        <v>1542</v>
      </c>
      <c r="B2276" s="1">
        <v>45940</v>
      </c>
      <c r="C2276" s="1">
        <v>45947</v>
      </c>
      <c r="D2276" t="s">
        <v>1543</v>
      </c>
      <c r="E2276" t="s">
        <v>225</v>
      </c>
      <c r="F2276" t="s">
        <v>88</v>
      </c>
      <c r="G2276" t="s">
        <v>226</v>
      </c>
      <c r="H2276" t="s">
        <v>84</v>
      </c>
      <c r="I2276" s="2">
        <v>1</v>
      </c>
      <c r="J2276" s="3">
        <v>420</v>
      </c>
      <c r="K2276" s="4">
        <v>0</v>
      </c>
      <c r="L2276" s="3">
        <v>420</v>
      </c>
      <c r="M2276" t="b">
        <v>1</v>
      </c>
      <c r="N2276" s="2">
        <f>YEAR(B2276)</f>
        <v>2025</v>
      </c>
      <c r="O2276" t="str">
        <f>INDEX(Agences!$C:$C,MATCH(F2276,Agences!$A:$A,0))</f>
        <v>Sud-Ouest</v>
      </c>
      <c r="P2276" t="str">
        <f>INDEX(Produits!$C:$C,MATCH(H2276,Produits!$A:$A,0))</f>
        <v>Mobilier</v>
      </c>
      <c r="Q2276" s="3">
        <f>I2276*INDEX(Produits!$E:$E,MATCH(H2276,Produits!$A:$A,0))</f>
        <v>243.6</v>
      </c>
      <c r="R2276" s="3">
        <f>L2276-Q2276</f>
        <v>176.4</v>
      </c>
      <c r="S2276" s="2">
        <f>NETWORKDAYS(B2276,C2276)-1</f>
        <v>5</v>
      </c>
      <c r="T2276" s="1">
        <f>WORKDAY(B2276,5)</f>
        <v>45947</v>
      </c>
      <c r="U2276" t="b">
        <f>C2276&gt;T2276</f>
        <v>0</v>
      </c>
    </row>
    <row r="2277" spans="1:21" x14ac:dyDescent="0.25">
      <c r="A2277" t="s">
        <v>1544</v>
      </c>
      <c r="B2277" s="1">
        <v>45940</v>
      </c>
      <c r="C2277" s="1">
        <v>45945</v>
      </c>
      <c r="D2277" t="s">
        <v>1016</v>
      </c>
      <c r="E2277" t="s">
        <v>384</v>
      </c>
      <c r="F2277" t="s">
        <v>46</v>
      </c>
      <c r="G2277" t="s">
        <v>111</v>
      </c>
      <c r="H2277" t="s">
        <v>57</v>
      </c>
      <c r="I2277" s="2">
        <v>4</v>
      </c>
      <c r="J2277" s="3">
        <v>149</v>
      </c>
      <c r="K2277" s="4">
        <v>0</v>
      </c>
      <c r="L2277" s="3">
        <v>596</v>
      </c>
      <c r="M2277" t="b">
        <v>1</v>
      </c>
      <c r="N2277" s="2">
        <f>YEAR(B2277)</f>
        <v>2025</v>
      </c>
      <c r="O2277" t="str">
        <f>INDEX(Agences!$C:$C,MATCH(F2277,Agences!$A:$A,0))</f>
        <v>Est</v>
      </c>
      <c r="P2277" t="str">
        <f>INDEX(Produits!$C:$C,MATCH(H2277,Produits!$A:$A,0))</f>
        <v>Informatique</v>
      </c>
      <c r="Q2277" s="3">
        <f>I2277*INDEX(Produits!$E:$E,MATCH(H2277,Produits!$A:$A,0))</f>
        <v>458.92</v>
      </c>
      <c r="R2277" s="3">
        <f>L2277-Q2277</f>
        <v>137.07999999999998</v>
      </c>
      <c r="S2277" s="2">
        <f>NETWORKDAYS(B2277,C2277)-1</f>
        <v>3</v>
      </c>
      <c r="T2277" s="1">
        <f>WORKDAY(B2277,5)</f>
        <v>45947</v>
      </c>
      <c r="U2277" t="b">
        <f>C2277&gt;T2277</f>
        <v>0</v>
      </c>
    </row>
    <row r="2278" spans="1:21" x14ac:dyDescent="0.25">
      <c r="A2278" t="s">
        <v>1544</v>
      </c>
      <c r="B2278" s="1">
        <v>45940</v>
      </c>
      <c r="C2278" s="1">
        <v>45945</v>
      </c>
      <c r="D2278" t="s">
        <v>1016</v>
      </c>
      <c r="E2278" t="s">
        <v>384</v>
      </c>
      <c r="F2278" t="s">
        <v>46</v>
      </c>
      <c r="G2278" t="s">
        <v>111</v>
      </c>
      <c r="H2278" t="s">
        <v>150</v>
      </c>
      <c r="I2278" s="2">
        <v>2</v>
      </c>
      <c r="J2278" s="3">
        <v>790</v>
      </c>
      <c r="K2278" s="4">
        <v>0</v>
      </c>
      <c r="L2278" s="3">
        <v>1580</v>
      </c>
      <c r="M2278" t="b">
        <v>1</v>
      </c>
      <c r="N2278" s="2">
        <f>YEAR(B2278)</f>
        <v>2025</v>
      </c>
      <c r="O2278" t="str">
        <f>INDEX(Agences!$C:$C,MATCH(F2278,Agences!$A:$A,0))</f>
        <v>Est</v>
      </c>
      <c r="P2278" t="str">
        <f>INDEX(Produits!$C:$C,MATCH(H2278,Produits!$A:$A,0))</f>
        <v>Informatique</v>
      </c>
      <c r="Q2278" s="3">
        <f>I2278*INDEX(Produits!$E:$E,MATCH(H2278,Produits!$A:$A,0))</f>
        <v>1169.2</v>
      </c>
      <c r="R2278" s="3">
        <f>L2278-Q2278</f>
        <v>410.79999999999995</v>
      </c>
      <c r="S2278" s="2">
        <f>NETWORKDAYS(B2278,C2278)-1</f>
        <v>3</v>
      </c>
      <c r="T2278" s="1">
        <f>WORKDAY(B2278,5)</f>
        <v>45947</v>
      </c>
      <c r="U2278" t="b">
        <f>C2278&gt;T2278</f>
        <v>0</v>
      </c>
    </row>
    <row r="2279" spans="1:21" x14ac:dyDescent="0.25">
      <c r="A2279" t="s">
        <v>1544</v>
      </c>
      <c r="B2279" s="1">
        <v>45940</v>
      </c>
      <c r="C2279" s="1">
        <v>45945</v>
      </c>
      <c r="D2279" t="s">
        <v>1016</v>
      </c>
      <c r="E2279" t="s">
        <v>384</v>
      </c>
      <c r="F2279" t="s">
        <v>46</v>
      </c>
      <c r="G2279" t="s">
        <v>111</v>
      </c>
      <c r="H2279" t="s">
        <v>90</v>
      </c>
      <c r="I2279" s="2">
        <v>5</v>
      </c>
      <c r="J2279" s="3">
        <v>22.9</v>
      </c>
      <c r="K2279" s="4">
        <v>0.02</v>
      </c>
      <c r="L2279" s="3">
        <v>112.21</v>
      </c>
      <c r="M2279" t="b">
        <v>1</v>
      </c>
      <c r="N2279" s="2">
        <f>YEAR(B2279)</f>
        <v>2025</v>
      </c>
      <c r="O2279" t="str">
        <f>INDEX(Agences!$C:$C,MATCH(F2279,Agences!$A:$A,0))</f>
        <v>Est</v>
      </c>
      <c r="P2279" t="str">
        <f>INDEX(Produits!$C:$C,MATCH(H2279,Produits!$A:$A,0))</f>
        <v>Fournitures</v>
      </c>
      <c r="Q2279" s="3">
        <f>I2279*INDEX(Produits!$E:$E,MATCH(H2279,Produits!$A:$A,0))</f>
        <v>64.1</v>
      </c>
      <c r="R2279" s="3">
        <f>L2279-Q2279</f>
        <v>48.11</v>
      </c>
      <c r="S2279" s="2">
        <f>NETWORKDAYS(B2279,C2279)-1</f>
        <v>3</v>
      </c>
      <c r="T2279" s="1">
        <f>WORKDAY(B2279,5)</f>
        <v>45947</v>
      </c>
      <c r="U2279" t="b">
        <f>C2279&gt;T2279</f>
        <v>0</v>
      </c>
    </row>
    <row r="2280" spans="1:21" x14ac:dyDescent="0.25">
      <c r="A2280" t="s">
        <v>1544</v>
      </c>
      <c r="B2280" s="1">
        <v>45940</v>
      </c>
      <c r="C2280" s="1">
        <v>45945</v>
      </c>
      <c r="D2280" t="s">
        <v>1016</v>
      </c>
      <c r="E2280" t="s">
        <v>384</v>
      </c>
      <c r="F2280" t="s">
        <v>46</v>
      </c>
      <c r="G2280" t="s">
        <v>111</v>
      </c>
      <c r="H2280" t="s">
        <v>205</v>
      </c>
      <c r="I2280" s="2">
        <v>6</v>
      </c>
      <c r="J2280" s="3">
        <v>359</v>
      </c>
      <c r="K2280" s="4">
        <v>0.02</v>
      </c>
      <c r="L2280" s="3">
        <v>2110.92</v>
      </c>
      <c r="M2280" t="b">
        <v>1</v>
      </c>
      <c r="N2280" s="2">
        <f>YEAR(B2280)</f>
        <v>2025</v>
      </c>
      <c r="O2280" t="str">
        <f>INDEX(Agences!$C:$C,MATCH(F2280,Agences!$A:$A,0))</f>
        <v>Est</v>
      </c>
      <c r="P2280" t="str">
        <f>INDEX(Produits!$C:$C,MATCH(H2280,Produits!$A:$A,0))</f>
        <v>Mobilier</v>
      </c>
      <c r="Q2280" s="3">
        <f>I2280*INDEX(Produits!$E:$E,MATCH(H2280,Produits!$A:$A,0))</f>
        <v>1227.78</v>
      </c>
      <c r="R2280" s="3">
        <f>L2280-Q2280</f>
        <v>883.1400000000001</v>
      </c>
      <c r="S2280" s="2">
        <f>NETWORKDAYS(B2280,C2280)-1</f>
        <v>3</v>
      </c>
      <c r="T2280" s="1">
        <f>WORKDAY(B2280,5)</f>
        <v>45947</v>
      </c>
      <c r="U2280" t="b">
        <f>C2280&gt;T2280</f>
        <v>0</v>
      </c>
    </row>
    <row r="2281" spans="1:21" x14ac:dyDescent="0.25">
      <c r="A2281" t="s">
        <v>1545</v>
      </c>
      <c r="B2281" s="1">
        <v>45939</v>
      </c>
      <c r="C2281" s="1">
        <v>45945</v>
      </c>
      <c r="D2281" t="s">
        <v>477</v>
      </c>
      <c r="E2281" t="s">
        <v>122</v>
      </c>
      <c r="F2281" t="s">
        <v>24</v>
      </c>
      <c r="G2281" t="s">
        <v>116</v>
      </c>
      <c r="H2281" t="s">
        <v>64</v>
      </c>
      <c r="I2281" s="2">
        <v>5</v>
      </c>
      <c r="J2281" s="3">
        <v>16.8</v>
      </c>
      <c r="K2281" s="4">
        <v>0.02</v>
      </c>
      <c r="L2281" s="3">
        <v>82.32</v>
      </c>
      <c r="M2281" t="b">
        <v>1</v>
      </c>
      <c r="N2281" s="2">
        <f>YEAR(B2281)</f>
        <v>2025</v>
      </c>
      <c r="O2281" t="str">
        <f>INDEX(Agences!$C:$C,MATCH(F2281,Agences!$A:$A,0))</f>
        <v>Nord</v>
      </c>
      <c r="P2281" t="str">
        <f>INDEX(Produits!$C:$C,MATCH(H2281,Produits!$A:$A,0))</f>
        <v>Fournitures</v>
      </c>
      <c r="Q2281" s="3">
        <f>I2281*INDEX(Produits!$E:$E,MATCH(H2281,Produits!$A:$A,0))</f>
        <v>43.7</v>
      </c>
      <c r="R2281" s="3">
        <f>L2281-Q2281</f>
        <v>38.61999999999999</v>
      </c>
      <c r="S2281" s="2">
        <f>NETWORKDAYS(B2281,C2281)-1</f>
        <v>4</v>
      </c>
      <c r="T2281" s="1">
        <f>WORKDAY(B2281,5)</f>
        <v>45946</v>
      </c>
      <c r="U2281" t="b">
        <f>C2281&gt;T2281</f>
        <v>0</v>
      </c>
    </row>
    <row r="2282" spans="1:21" x14ac:dyDescent="0.25">
      <c r="A2282" t="s">
        <v>1546</v>
      </c>
      <c r="B2282" s="1">
        <v>45939</v>
      </c>
      <c r="C2282" s="1">
        <v>45940</v>
      </c>
      <c r="D2282" t="s">
        <v>164</v>
      </c>
      <c r="E2282" t="s">
        <v>165</v>
      </c>
      <c r="F2282" t="s">
        <v>166</v>
      </c>
      <c r="G2282" t="s">
        <v>179</v>
      </c>
      <c r="H2282" t="s">
        <v>107</v>
      </c>
      <c r="I2282" s="2">
        <v>2</v>
      </c>
      <c r="J2282" s="3">
        <v>99</v>
      </c>
      <c r="K2282" s="4">
        <v>0.02</v>
      </c>
      <c r="L2282" s="3">
        <v>194.04</v>
      </c>
      <c r="M2282" t="b">
        <v>1</v>
      </c>
      <c r="N2282" s="2">
        <f>YEAR(B2282)</f>
        <v>2025</v>
      </c>
      <c r="O2282" t="str">
        <f>INDEX(Agences!$C:$C,MATCH(F2282,Agences!$A:$A,0))</f>
        <v>Ouest</v>
      </c>
      <c r="P2282" t="str">
        <f>INDEX(Produits!$C:$C,MATCH(H2282,Produits!$A:$A,0))</f>
        <v>Informatique</v>
      </c>
      <c r="Q2282" s="3">
        <f>I2282*INDEX(Produits!$E:$E,MATCH(H2282,Produits!$A:$A,0))</f>
        <v>150.48</v>
      </c>
      <c r="R2282" s="3">
        <f>L2282-Q2282</f>
        <v>43.56</v>
      </c>
      <c r="S2282" s="2">
        <f>NETWORKDAYS(B2282,C2282)-1</f>
        <v>1</v>
      </c>
      <c r="T2282" s="1">
        <f>WORKDAY(B2282,5)</f>
        <v>45946</v>
      </c>
      <c r="U2282" t="b">
        <f>C2282&gt;T2282</f>
        <v>0</v>
      </c>
    </row>
    <row r="2283" spans="1:21" x14ac:dyDescent="0.25">
      <c r="A2283" t="s">
        <v>1546</v>
      </c>
      <c r="B2283" s="1">
        <v>45939</v>
      </c>
      <c r="C2283" s="1">
        <v>45940</v>
      </c>
      <c r="D2283" t="s">
        <v>164</v>
      </c>
      <c r="E2283" t="s">
        <v>165</v>
      </c>
      <c r="F2283" t="s">
        <v>166</v>
      </c>
      <c r="G2283" t="s">
        <v>179</v>
      </c>
      <c r="H2283" t="s">
        <v>51</v>
      </c>
      <c r="I2283" s="2">
        <v>1</v>
      </c>
      <c r="J2283" s="3">
        <v>180</v>
      </c>
      <c r="K2283" s="4">
        <v>0.05</v>
      </c>
      <c r="L2283" s="3">
        <v>171</v>
      </c>
      <c r="M2283" t="b">
        <v>1</v>
      </c>
      <c r="N2283" s="2">
        <f>YEAR(B2283)</f>
        <v>2025</v>
      </c>
      <c r="O2283" t="str">
        <f>INDEX(Agences!$C:$C,MATCH(F2283,Agences!$A:$A,0))</f>
        <v>Ouest</v>
      </c>
      <c r="P2283" t="str">
        <f>INDEX(Produits!$C:$C,MATCH(H2283,Produits!$A:$A,0))</f>
        <v>Maintenance</v>
      </c>
      <c r="Q2283" s="3">
        <f>I2283*INDEX(Produits!$E:$E,MATCH(H2283,Produits!$A:$A,0))</f>
        <v>82.8</v>
      </c>
      <c r="R2283" s="3">
        <f>L2283-Q2283</f>
        <v>88.2</v>
      </c>
      <c r="S2283" s="2">
        <f>NETWORKDAYS(B2283,C2283)-1</f>
        <v>1</v>
      </c>
      <c r="T2283" s="1">
        <f>WORKDAY(B2283,5)</f>
        <v>45946</v>
      </c>
      <c r="U2283" t="b">
        <f>C2283&gt;T2283</f>
        <v>0</v>
      </c>
    </row>
    <row r="2284" spans="1:21" x14ac:dyDescent="0.25">
      <c r="A2284" t="s">
        <v>1546</v>
      </c>
      <c r="B2284" s="1">
        <v>45939</v>
      </c>
      <c r="C2284" s="1">
        <v>45940</v>
      </c>
      <c r="D2284" t="s">
        <v>164</v>
      </c>
      <c r="E2284" t="s">
        <v>165</v>
      </c>
      <c r="F2284" t="s">
        <v>166</v>
      </c>
      <c r="G2284" t="s">
        <v>179</v>
      </c>
      <c r="H2284" t="s">
        <v>48</v>
      </c>
      <c r="I2284" s="2">
        <v>1</v>
      </c>
      <c r="J2284" s="3">
        <v>165</v>
      </c>
      <c r="K2284" s="4">
        <v>0.02</v>
      </c>
      <c r="L2284" s="3">
        <v>161.7</v>
      </c>
      <c r="M2284" t="b">
        <v>1</v>
      </c>
      <c r="N2284" s="2">
        <f>YEAR(B2284)</f>
        <v>2025</v>
      </c>
      <c r="O2284" t="str">
        <f>INDEX(Agences!$C:$C,MATCH(F2284,Agences!$A:$A,0))</f>
        <v>Ouest</v>
      </c>
      <c r="P2284" t="str">
        <f>INDEX(Produits!$C:$C,MATCH(H2284,Produits!$A:$A,0))</f>
        <v>Mobilier</v>
      </c>
      <c r="Q2284" s="3">
        <f>I2284*INDEX(Produits!$E:$E,MATCH(H2284,Produits!$A:$A,0))</f>
        <v>107.25</v>
      </c>
      <c r="R2284" s="3">
        <f>L2284-Q2284</f>
        <v>54.44999999999999</v>
      </c>
      <c r="S2284" s="2">
        <f>NETWORKDAYS(B2284,C2284)-1</f>
        <v>1</v>
      </c>
      <c r="T2284" s="1">
        <f>WORKDAY(B2284,5)</f>
        <v>45946</v>
      </c>
      <c r="U2284" t="b">
        <f>C2284&gt;T2284</f>
        <v>0</v>
      </c>
    </row>
    <row r="2285" spans="1:21" x14ac:dyDescent="0.25">
      <c r="A2285" t="s">
        <v>1546</v>
      </c>
      <c r="B2285" s="1">
        <v>45939</v>
      </c>
      <c r="C2285" s="1">
        <v>45940</v>
      </c>
      <c r="D2285" t="s">
        <v>164</v>
      </c>
      <c r="E2285" t="s">
        <v>165</v>
      </c>
      <c r="F2285" t="s">
        <v>166</v>
      </c>
      <c r="G2285" t="s">
        <v>179</v>
      </c>
      <c r="H2285" t="s">
        <v>42</v>
      </c>
      <c r="I2285" s="2">
        <v>3</v>
      </c>
      <c r="J2285" s="3">
        <v>55</v>
      </c>
      <c r="K2285" s="4">
        <v>0.02</v>
      </c>
      <c r="L2285" s="3">
        <v>161.7</v>
      </c>
      <c r="M2285" t="b">
        <v>1</v>
      </c>
      <c r="N2285" s="2">
        <f>YEAR(B2285)</f>
        <v>2025</v>
      </c>
      <c r="O2285" t="str">
        <f>INDEX(Agences!$C:$C,MATCH(F2285,Agences!$A:$A,0))</f>
        <v>Ouest</v>
      </c>
      <c r="P2285" t="str">
        <f>INDEX(Produits!$C:$C,MATCH(H2285,Produits!$A:$A,0))</f>
        <v>Maintenance</v>
      </c>
      <c r="Q2285" s="3">
        <f>I2285*INDEX(Produits!$E:$E,MATCH(H2285,Produits!$A:$A,0))</f>
        <v>74.25</v>
      </c>
      <c r="R2285" s="3">
        <f>L2285-Q2285</f>
        <v>87.44999999999999</v>
      </c>
      <c r="S2285" s="2">
        <f>NETWORKDAYS(B2285,C2285)-1</f>
        <v>1</v>
      </c>
      <c r="T2285" s="1">
        <f>WORKDAY(B2285,5)</f>
        <v>45946</v>
      </c>
      <c r="U2285" t="b">
        <f>C2285&gt;T2285</f>
        <v>0</v>
      </c>
    </row>
    <row r="2286" spans="1:21" x14ac:dyDescent="0.25">
      <c r="A2286" t="s">
        <v>1547</v>
      </c>
      <c r="B2286" s="1">
        <v>45939</v>
      </c>
      <c r="C2286" s="1">
        <v>45944</v>
      </c>
      <c r="D2286" t="s">
        <v>830</v>
      </c>
      <c r="E2286" t="s">
        <v>236</v>
      </c>
      <c r="F2286" t="s">
        <v>39</v>
      </c>
      <c r="G2286" t="s">
        <v>40</v>
      </c>
      <c r="H2286" t="s">
        <v>42</v>
      </c>
      <c r="I2286" s="2">
        <v>1</v>
      </c>
      <c r="J2286" s="3">
        <v>55</v>
      </c>
      <c r="K2286" s="4">
        <v>0</v>
      </c>
      <c r="L2286" s="3">
        <v>55</v>
      </c>
      <c r="M2286" t="b">
        <v>1</v>
      </c>
      <c r="N2286" s="2">
        <f>YEAR(B2286)</f>
        <v>2025</v>
      </c>
      <c r="O2286" t="str">
        <f>INDEX(Agences!$C:$C,MATCH(F2286,Agences!$A:$A,0))</f>
        <v>Sud-Ouest</v>
      </c>
      <c r="P2286" t="str">
        <f>INDEX(Produits!$C:$C,MATCH(H2286,Produits!$A:$A,0))</f>
        <v>Maintenance</v>
      </c>
      <c r="Q2286" s="3">
        <f>I2286*INDEX(Produits!$E:$E,MATCH(H2286,Produits!$A:$A,0))</f>
        <v>24.75</v>
      </c>
      <c r="R2286" s="3">
        <f>L2286-Q2286</f>
        <v>30.25</v>
      </c>
      <c r="S2286" s="2">
        <f>NETWORKDAYS(B2286,C2286)-1</f>
        <v>3</v>
      </c>
      <c r="T2286" s="1">
        <f>WORKDAY(B2286,5)</f>
        <v>45946</v>
      </c>
      <c r="U2286" t="b">
        <f>C2286&gt;T2286</f>
        <v>0</v>
      </c>
    </row>
    <row r="2287" spans="1:21" x14ac:dyDescent="0.25">
      <c r="A2287" t="s">
        <v>1547</v>
      </c>
      <c r="B2287" s="1">
        <v>45939</v>
      </c>
      <c r="C2287" s="1">
        <v>45944</v>
      </c>
      <c r="D2287" t="s">
        <v>830</v>
      </c>
      <c r="E2287" t="s">
        <v>236</v>
      </c>
      <c r="F2287" t="s">
        <v>39</v>
      </c>
      <c r="G2287" t="s">
        <v>40</v>
      </c>
      <c r="H2287" t="s">
        <v>51</v>
      </c>
      <c r="I2287" s="2">
        <v>2</v>
      </c>
      <c r="J2287" s="3">
        <v>180</v>
      </c>
      <c r="K2287" s="4">
        <v>0</v>
      </c>
      <c r="L2287" s="3">
        <v>360</v>
      </c>
      <c r="M2287" t="b">
        <v>1</v>
      </c>
      <c r="N2287" s="2">
        <f>YEAR(B2287)</f>
        <v>2025</v>
      </c>
      <c r="O2287" t="str">
        <f>INDEX(Agences!$C:$C,MATCH(F2287,Agences!$A:$A,0))</f>
        <v>Sud-Ouest</v>
      </c>
      <c r="P2287" t="str">
        <f>INDEX(Produits!$C:$C,MATCH(H2287,Produits!$A:$A,0))</f>
        <v>Maintenance</v>
      </c>
      <c r="Q2287" s="3">
        <f>I2287*INDEX(Produits!$E:$E,MATCH(H2287,Produits!$A:$A,0))</f>
        <v>165.6</v>
      </c>
      <c r="R2287" s="3">
        <f>L2287-Q2287</f>
        <v>194.4</v>
      </c>
      <c r="S2287" s="2">
        <f>NETWORKDAYS(B2287,C2287)-1</f>
        <v>3</v>
      </c>
      <c r="T2287" s="1">
        <f>WORKDAY(B2287,5)</f>
        <v>45946</v>
      </c>
      <c r="U2287" t="b">
        <f>C2287&gt;T2287</f>
        <v>0</v>
      </c>
    </row>
    <row r="2288" spans="1:21" x14ac:dyDescent="0.25">
      <c r="A2288" t="s">
        <v>1548</v>
      </c>
      <c r="B2288" s="1">
        <v>45939</v>
      </c>
      <c r="C2288" s="1">
        <v>45945</v>
      </c>
      <c r="D2288" t="s">
        <v>255</v>
      </c>
      <c r="E2288" t="s">
        <v>256</v>
      </c>
      <c r="F2288" t="s">
        <v>88</v>
      </c>
      <c r="G2288" t="s">
        <v>89</v>
      </c>
      <c r="H2288" t="s">
        <v>237</v>
      </c>
      <c r="I2288" s="2">
        <v>1</v>
      </c>
      <c r="J2288" s="3">
        <v>890</v>
      </c>
      <c r="K2288" s="4">
        <v>0.02</v>
      </c>
      <c r="L2288" s="3">
        <v>872.2</v>
      </c>
      <c r="M2288" t="b">
        <v>1</v>
      </c>
      <c r="N2288" s="2">
        <f>YEAR(B2288)</f>
        <v>2025</v>
      </c>
      <c r="O2288" t="str">
        <f>INDEX(Agences!$C:$C,MATCH(F2288,Agences!$A:$A,0))</f>
        <v>Sud-Ouest</v>
      </c>
      <c r="P2288" t="str">
        <f>INDEX(Produits!$C:$C,MATCH(H2288,Produits!$A:$A,0))</f>
        <v>Mobilier</v>
      </c>
      <c r="Q2288" s="3">
        <f>I2288*INDEX(Produits!$E:$E,MATCH(H2288,Produits!$A:$A,0))</f>
        <v>596.3</v>
      </c>
      <c r="R2288" s="3">
        <f>L2288-Q2288</f>
        <v>275.9000000000001</v>
      </c>
      <c r="S2288" s="2">
        <f>NETWORKDAYS(B2288,C2288)-1</f>
        <v>4</v>
      </c>
      <c r="T2288" s="1">
        <f>WORKDAY(B2288,5)</f>
        <v>45946</v>
      </c>
      <c r="U2288" t="b">
        <f>C2288&gt;T2288</f>
        <v>0</v>
      </c>
    </row>
    <row r="2289" spans="1:21" x14ac:dyDescent="0.25">
      <c r="A2289" t="s">
        <v>1548</v>
      </c>
      <c r="B2289" s="1">
        <v>45939</v>
      </c>
      <c r="C2289" s="1">
        <v>45945</v>
      </c>
      <c r="D2289" t="s">
        <v>255</v>
      </c>
      <c r="E2289" t="s">
        <v>256</v>
      </c>
      <c r="F2289" t="s">
        <v>88</v>
      </c>
      <c r="G2289" t="s">
        <v>89</v>
      </c>
      <c r="H2289" t="s">
        <v>42</v>
      </c>
      <c r="I2289" s="2">
        <v>1</v>
      </c>
      <c r="J2289" s="3">
        <v>55</v>
      </c>
      <c r="K2289" s="4">
        <v>0</v>
      </c>
      <c r="L2289" s="3">
        <v>55</v>
      </c>
      <c r="M2289" t="b">
        <v>1</v>
      </c>
      <c r="N2289" s="2">
        <f>YEAR(B2289)</f>
        <v>2025</v>
      </c>
      <c r="O2289" t="str">
        <f>INDEX(Agences!$C:$C,MATCH(F2289,Agences!$A:$A,0))</f>
        <v>Sud-Ouest</v>
      </c>
      <c r="P2289" t="str">
        <f>INDEX(Produits!$C:$C,MATCH(H2289,Produits!$A:$A,0))</f>
        <v>Maintenance</v>
      </c>
      <c r="Q2289" s="3">
        <f>I2289*INDEX(Produits!$E:$E,MATCH(H2289,Produits!$A:$A,0))</f>
        <v>24.75</v>
      </c>
      <c r="R2289" s="3">
        <f>L2289-Q2289</f>
        <v>30.25</v>
      </c>
      <c r="S2289" s="2">
        <f>NETWORKDAYS(B2289,C2289)-1</f>
        <v>4</v>
      </c>
      <c r="T2289" s="1">
        <f>WORKDAY(B2289,5)</f>
        <v>45946</v>
      </c>
      <c r="U2289" t="b">
        <f>C2289&gt;T2289</f>
        <v>0</v>
      </c>
    </row>
    <row r="2290" spans="1:21" x14ac:dyDescent="0.25">
      <c r="A2290" t="s">
        <v>1548</v>
      </c>
      <c r="B2290" s="1">
        <v>45939</v>
      </c>
      <c r="C2290" s="1">
        <v>45945</v>
      </c>
      <c r="D2290" t="s">
        <v>255</v>
      </c>
      <c r="E2290" t="s">
        <v>256</v>
      </c>
      <c r="F2290" t="s">
        <v>88</v>
      </c>
      <c r="G2290" t="s">
        <v>89</v>
      </c>
      <c r="H2290" t="s">
        <v>217</v>
      </c>
      <c r="I2290" s="2">
        <v>1</v>
      </c>
      <c r="J2290" s="3">
        <v>1090</v>
      </c>
      <c r="K2290" s="4">
        <v>0</v>
      </c>
      <c r="L2290" s="3">
        <v>1090</v>
      </c>
      <c r="M2290" t="b">
        <v>1</v>
      </c>
      <c r="N2290" s="2">
        <f>YEAR(B2290)</f>
        <v>2025</v>
      </c>
      <c r="O2290" t="str">
        <f>INDEX(Agences!$C:$C,MATCH(F2290,Agences!$A:$A,0))</f>
        <v>Sud-Ouest</v>
      </c>
      <c r="P2290" t="str">
        <f>INDEX(Produits!$C:$C,MATCH(H2290,Produits!$A:$A,0))</f>
        <v>Informatique</v>
      </c>
      <c r="Q2290" s="3">
        <f>I2290*INDEX(Produits!$E:$E,MATCH(H2290,Produits!$A:$A,0))</f>
        <v>817.5</v>
      </c>
      <c r="R2290" s="3">
        <f>L2290-Q2290</f>
        <v>272.5</v>
      </c>
      <c r="S2290" s="2">
        <f>NETWORKDAYS(B2290,C2290)-1</f>
        <v>4</v>
      </c>
      <c r="T2290" s="1">
        <f>WORKDAY(B2290,5)</f>
        <v>45946</v>
      </c>
      <c r="U2290" t="b">
        <f>C2290&gt;T2290</f>
        <v>0</v>
      </c>
    </row>
    <row r="2291" spans="1:21" x14ac:dyDescent="0.25">
      <c r="A2291" t="s">
        <v>1549</v>
      </c>
      <c r="B2291" s="1">
        <v>45939</v>
      </c>
      <c r="C2291" s="1">
        <v>45944</v>
      </c>
      <c r="D2291" t="s">
        <v>834</v>
      </c>
      <c r="E2291" t="s">
        <v>54</v>
      </c>
      <c r="F2291" t="s">
        <v>55</v>
      </c>
      <c r="G2291" t="s">
        <v>71</v>
      </c>
      <c r="H2291" t="s">
        <v>42</v>
      </c>
      <c r="I2291" s="2">
        <v>1</v>
      </c>
      <c r="J2291" s="3">
        <v>55</v>
      </c>
      <c r="K2291" s="4">
        <v>0</v>
      </c>
      <c r="L2291" s="3">
        <v>55</v>
      </c>
      <c r="M2291" t="b">
        <v>1</v>
      </c>
      <c r="N2291" s="2">
        <f>YEAR(B2291)</f>
        <v>2025</v>
      </c>
      <c r="O2291" t="str">
        <f>INDEX(Agences!$C:$C,MATCH(F2291,Agences!$A:$A,0))</f>
        <v>Est</v>
      </c>
      <c r="P2291" t="str">
        <f>INDEX(Produits!$C:$C,MATCH(H2291,Produits!$A:$A,0))</f>
        <v>Maintenance</v>
      </c>
      <c r="Q2291" s="3">
        <f>I2291*INDEX(Produits!$E:$E,MATCH(H2291,Produits!$A:$A,0))</f>
        <v>24.75</v>
      </c>
      <c r="R2291" s="3">
        <f>L2291-Q2291</f>
        <v>30.25</v>
      </c>
      <c r="S2291" s="2">
        <f>NETWORKDAYS(B2291,C2291)-1</f>
        <v>3</v>
      </c>
      <c r="T2291" s="1">
        <f>WORKDAY(B2291,5)</f>
        <v>45946</v>
      </c>
      <c r="U2291" t="b">
        <f>C2291&gt;T2291</f>
        <v>0</v>
      </c>
    </row>
    <row r="2292" spans="1:21" x14ac:dyDescent="0.25">
      <c r="A2292" t="s">
        <v>1549</v>
      </c>
      <c r="B2292" s="1">
        <v>45939</v>
      </c>
      <c r="C2292" s="1">
        <v>45944</v>
      </c>
      <c r="D2292" t="s">
        <v>834</v>
      </c>
      <c r="E2292" t="s">
        <v>54</v>
      </c>
      <c r="F2292" t="s">
        <v>55</v>
      </c>
      <c r="G2292" t="s">
        <v>71</v>
      </c>
      <c r="H2292" t="s">
        <v>27</v>
      </c>
      <c r="I2292" s="2">
        <v>1</v>
      </c>
      <c r="J2292" s="3">
        <v>310</v>
      </c>
      <c r="K2292" s="4">
        <v>0</v>
      </c>
      <c r="L2292" s="3">
        <v>310</v>
      </c>
      <c r="M2292" t="b">
        <v>1</v>
      </c>
      <c r="N2292" s="2">
        <f>YEAR(B2292)</f>
        <v>2025</v>
      </c>
      <c r="O2292" t="str">
        <f>INDEX(Agences!$C:$C,MATCH(F2292,Agences!$A:$A,0))</f>
        <v>Est</v>
      </c>
      <c r="P2292" t="str">
        <f>INDEX(Produits!$C:$C,MATCH(H2292,Produits!$A:$A,0))</f>
        <v>Mobilier</v>
      </c>
      <c r="Q2292" s="3">
        <f>I2292*INDEX(Produits!$E:$E,MATCH(H2292,Produits!$A:$A,0))</f>
        <v>186</v>
      </c>
      <c r="R2292" s="3">
        <f>L2292-Q2292</f>
        <v>124</v>
      </c>
      <c r="S2292" s="2">
        <f>NETWORKDAYS(B2292,C2292)-1</f>
        <v>3</v>
      </c>
      <c r="T2292" s="1">
        <f>WORKDAY(B2292,5)</f>
        <v>45946</v>
      </c>
      <c r="U2292" t="b">
        <f>C2292&gt;T2292</f>
        <v>0</v>
      </c>
    </row>
    <row r="2293" spans="1:21" x14ac:dyDescent="0.25">
      <c r="A2293" t="s">
        <v>1550</v>
      </c>
      <c r="B2293" s="1">
        <v>45939</v>
      </c>
      <c r="C2293" s="1">
        <v>45944</v>
      </c>
      <c r="D2293" t="s">
        <v>1195</v>
      </c>
      <c r="E2293" t="s">
        <v>229</v>
      </c>
      <c r="F2293" t="s">
        <v>55</v>
      </c>
      <c r="G2293" t="s">
        <v>195</v>
      </c>
      <c r="H2293" t="s">
        <v>33</v>
      </c>
      <c r="I2293" s="2">
        <v>2</v>
      </c>
      <c r="J2293" s="3">
        <v>219</v>
      </c>
      <c r="K2293" s="4">
        <v>0.02</v>
      </c>
      <c r="L2293" s="3">
        <v>429.24</v>
      </c>
      <c r="M2293" t="b">
        <v>1</v>
      </c>
      <c r="N2293" s="2">
        <f>YEAR(B2293)</f>
        <v>2025</v>
      </c>
      <c r="O2293" t="str">
        <f>INDEX(Agences!$C:$C,MATCH(F2293,Agences!$A:$A,0))</f>
        <v>Est</v>
      </c>
      <c r="P2293" t="str">
        <f>INDEX(Produits!$C:$C,MATCH(H2293,Produits!$A:$A,0))</f>
        <v>Informatique</v>
      </c>
      <c r="Q2293" s="3">
        <f>I2293*INDEX(Produits!$E:$E,MATCH(H2293,Produits!$A:$A,0))</f>
        <v>359.16</v>
      </c>
      <c r="R2293" s="3">
        <f>L2293-Q2293</f>
        <v>70.07999999999998</v>
      </c>
      <c r="S2293" s="2">
        <f>NETWORKDAYS(B2293,C2293)-1</f>
        <v>3</v>
      </c>
      <c r="T2293" s="1">
        <f>WORKDAY(B2293,5)</f>
        <v>45946</v>
      </c>
      <c r="U2293" t="b">
        <f>C2293&gt;T2293</f>
        <v>0</v>
      </c>
    </row>
    <row r="2294" spans="1:21" x14ac:dyDescent="0.25">
      <c r="A2294" t="s">
        <v>1551</v>
      </c>
      <c r="B2294" s="1">
        <v>45938</v>
      </c>
      <c r="C2294" s="1">
        <v>45945</v>
      </c>
      <c r="D2294" t="s">
        <v>125</v>
      </c>
      <c r="E2294" t="s">
        <v>126</v>
      </c>
      <c r="F2294" t="s">
        <v>99</v>
      </c>
      <c r="G2294" t="s">
        <v>265</v>
      </c>
      <c r="H2294" t="s">
        <v>90</v>
      </c>
      <c r="I2294" s="2">
        <v>10</v>
      </c>
      <c r="J2294" s="3">
        <v>22.9</v>
      </c>
      <c r="K2294" s="4">
        <v>0</v>
      </c>
      <c r="L2294" s="3">
        <v>229</v>
      </c>
      <c r="M2294" t="b">
        <v>1</v>
      </c>
      <c r="N2294" s="2">
        <f>YEAR(B2294)</f>
        <v>2025</v>
      </c>
      <c r="O2294" t="str">
        <f>INDEX(Agences!$C:$C,MATCH(F2294,Agences!$A:$A,0))</f>
        <v>Nord</v>
      </c>
      <c r="P2294" t="str">
        <f>INDEX(Produits!$C:$C,MATCH(H2294,Produits!$A:$A,0))</f>
        <v>Fournitures</v>
      </c>
      <c r="Q2294" s="3">
        <f>I2294*INDEX(Produits!$E:$E,MATCH(H2294,Produits!$A:$A,0))</f>
        <v>128.2</v>
      </c>
      <c r="R2294" s="3">
        <f>L2294-Q2294</f>
        <v>100.80000000000001</v>
      </c>
      <c r="S2294" s="2">
        <f>NETWORKDAYS(B2294,C2294)-1</f>
        <v>5</v>
      </c>
      <c r="T2294" s="1">
        <f>WORKDAY(B2294,5)</f>
        <v>45945</v>
      </c>
      <c r="U2294" t="b">
        <f>C2294&gt;T2294</f>
        <v>0</v>
      </c>
    </row>
    <row r="2295" spans="1:21" x14ac:dyDescent="0.25">
      <c r="A2295" t="s">
        <v>1551</v>
      </c>
      <c r="B2295" s="1">
        <v>45938</v>
      </c>
      <c r="C2295" s="1">
        <v>45945</v>
      </c>
      <c r="D2295" t="s">
        <v>125</v>
      </c>
      <c r="E2295" t="s">
        <v>126</v>
      </c>
      <c r="F2295" t="s">
        <v>99</v>
      </c>
      <c r="G2295" t="s">
        <v>265</v>
      </c>
      <c r="H2295" t="s">
        <v>84</v>
      </c>
      <c r="I2295" s="2">
        <v>1</v>
      </c>
      <c r="J2295" s="3">
        <v>420</v>
      </c>
      <c r="K2295" s="4">
        <v>0</v>
      </c>
      <c r="L2295" s="3">
        <v>420</v>
      </c>
      <c r="M2295" t="b">
        <v>1</v>
      </c>
      <c r="N2295" s="2">
        <f>YEAR(B2295)</f>
        <v>2025</v>
      </c>
      <c r="O2295" t="str">
        <f>INDEX(Agences!$C:$C,MATCH(F2295,Agences!$A:$A,0))</f>
        <v>Nord</v>
      </c>
      <c r="P2295" t="str">
        <f>INDEX(Produits!$C:$C,MATCH(H2295,Produits!$A:$A,0))</f>
        <v>Mobilier</v>
      </c>
      <c r="Q2295" s="3">
        <f>I2295*INDEX(Produits!$E:$E,MATCH(H2295,Produits!$A:$A,0))</f>
        <v>243.6</v>
      </c>
      <c r="R2295" s="3">
        <f>L2295-Q2295</f>
        <v>176.4</v>
      </c>
      <c r="S2295" s="2">
        <f>NETWORKDAYS(B2295,C2295)-1</f>
        <v>5</v>
      </c>
      <c r="T2295" s="1">
        <f>WORKDAY(B2295,5)</f>
        <v>45945</v>
      </c>
      <c r="U2295" t="b">
        <f>C2295&gt;T2295</f>
        <v>0</v>
      </c>
    </row>
    <row r="2296" spans="1:21" x14ac:dyDescent="0.25">
      <c r="A2296" t="s">
        <v>1551</v>
      </c>
      <c r="B2296" s="1">
        <v>45938</v>
      </c>
      <c r="C2296" s="1">
        <v>45945</v>
      </c>
      <c r="D2296" t="s">
        <v>125</v>
      </c>
      <c r="E2296" t="s">
        <v>126</v>
      </c>
      <c r="F2296" t="s">
        <v>99</v>
      </c>
      <c r="G2296" t="s">
        <v>265</v>
      </c>
      <c r="H2296" t="s">
        <v>50</v>
      </c>
      <c r="I2296" s="2">
        <v>1</v>
      </c>
      <c r="J2296" s="3">
        <v>69</v>
      </c>
      <c r="K2296" s="4">
        <v>0</v>
      </c>
      <c r="L2296" s="3">
        <v>69</v>
      </c>
      <c r="M2296" t="b">
        <v>1</v>
      </c>
      <c r="N2296" s="2">
        <f>YEAR(B2296)</f>
        <v>2025</v>
      </c>
      <c r="O2296" t="str">
        <f>INDEX(Agences!$C:$C,MATCH(F2296,Agences!$A:$A,0))</f>
        <v>Nord</v>
      </c>
      <c r="P2296" t="str">
        <f>INDEX(Produits!$C:$C,MATCH(H2296,Produits!$A:$A,0))</f>
        <v>Informatique</v>
      </c>
      <c r="Q2296" s="3">
        <f>I2296*INDEX(Produits!$E:$E,MATCH(H2296,Produits!$A:$A,0))</f>
        <v>54.51</v>
      </c>
      <c r="R2296" s="3">
        <f>L2296-Q2296</f>
        <v>14.490000000000002</v>
      </c>
      <c r="S2296" s="2">
        <f>NETWORKDAYS(B2296,C2296)-1</f>
        <v>5</v>
      </c>
      <c r="T2296" s="1">
        <f>WORKDAY(B2296,5)</f>
        <v>45945</v>
      </c>
      <c r="U2296" t="b">
        <f>C2296&gt;T2296</f>
        <v>0</v>
      </c>
    </row>
    <row r="2297" spans="1:21" x14ac:dyDescent="0.25">
      <c r="A2297" t="s">
        <v>1551</v>
      </c>
      <c r="B2297" s="1">
        <v>45938</v>
      </c>
      <c r="C2297" s="1">
        <v>45945</v>
      </c>
      <c r="D2297" t="s">
        <v>125</v>
      </c>
      <c r="E2297" t="s">
        <v>126</v>
      </c>
      <c r="F2297" t="s">
        <v>99</v>
      </c>
      <c r="G2297" t="s">
        <v>265</v>
      </c>
      <c r="H2297" t="s">
        <v>33</v>
      </c>
      <c r="I2297" s="2">
        <v>1</v>
      </c>
      <c r="J2297" s="3">
        <v>219</v>
      </c>
      <c r="K2297" s="4">
        <v>0.05</v>
      </c>
      <c r="L2297" s="3">
        <v>208.05</v>
      </c>
      <c r="M2297" t="b">
        <v>1</v>
      </c>
      <c r="N2297" s="2">
        <f>YEAR(B2297)</f>
        <v>2025</v>
      </c>
      <c r="O2297" t="str">
        <f>INDEX(Agences!$C:$C,MATCH(F2297,Agences!$A:$A,0))</f>
        <v>Nord</v>
      </c>
      <c r="P2297" t="str">
        <f>INDEX(Produits!$C:$C,MATCH(H2297,Produits!$A:$A,0))</f>
        <v>Informatique</v>
      </c>
      <c r="Q2297" s="3">
        <f>I2297*INDEX(Produits!$E:$E,MATCH(H2297,Produits!$A:$A,0))</f>
        <v>179.58</v>
      </c>
      <c r="R2297" s="3">
        <f>L2297-Q2297</f>
        <v>28.47</v>
      </c>
      <c r="S2297" s="2">
        <f>NETWORKDAYS(B2297,C2297)-1</f>
        <v>5</v>
      </c>
      <c r="T2297" s="1">
        <f>WORKDAY(B2297,5)</f>
        <v>45945</v>
      </c>
      <c r="U2297" t="b">
        <f>C2297&gt;T2297</f>
        <v>0</v>
      </c>
    </row>
    <row r="2298" spans="1:21" x14ac:dyDescent="0.25">
      <c r="A2298" t="s">
        <v>1551</v>
      </c>
      <c r="B2298" s="1">
        <v>45938</v>
      </c>
      <c r="C2298" s="1">
        <v>45945</v>
      </c>
      <c r="D2298" t="s">
        <v>125</v>
      </c>
      <c r="E2298" t="s">
        <v>126</v>
      </c>
      <c r="F2298" t="s">
        <v>99</v>
      </c>
      <c r="G2298" t="s">
        <v>265</v>
      </c>
      <c r="H2298" t="s">
        <v>83</v>
      </c>
      <c r="I2298" s="2">
        <v>1</v>
      </c>
      <c r="J2298" s="3">
        <v>49</v>
      </c>
      <c r="K2298" s="4">
        <v>0.05</v>
      </c>
      <c r="L2298" s="3">
        <v>46.55</v>
      </c>
      <c r="M2298" t="b">
        <v>1</v>
      </c>
      <c r="N2298" s="2">
        <f>YEAR(B2298)</f>
        <v>2025</v>
      </c>
      <c r="O2298" t="str">
        <f>INDEX(Agences!$C:$C,MATCH(F2298,Agences!$A:$A,0))</f>
        <v>Nord</v>
      </c>
      <c r="P2298" t="str">
        <f>INDEX(Produits!$C:$C,MATCH(H2298,Produits!$A:$A,0))</f>
        <v>Mobilier</v>
      </c>
      <c r="Q2298" s="3">
        <f>I2298*INDEX(Produits!$E:$E,MATCH(H2298,Produits!$A:$A,0))</f>
        <v>28.42</v>
      </c>
      <c r="R2298" s="3">
        <f>L2298-Q2298</f>
        <v>18.129999999999995</v>
      </c>
      <c r="S2298" s="2">
        <f>NETWORKDAYS(B2298,C2298)-1</f>
        <v>5</v>
      </c>
      <c r="T2298" s="1">
        <f>WORKDAY(B2298,5)</f>
        <v>45945</v>
      </c>
      <c r="U2298" t="b">
        <f>C2298&gt;T2298</f>
        <v>0</v>
      </c>
    </row>
    <row r="2299" spans="1:21" x14ac:dyDescent="0.25">
      <c r="A2299" t="s">
        <v>1552</v>
      </c>
      <c r="B2299" s="1">
        <v>45938</v>
      </c>
      <c r="C2299" s="1">
        <v>45943</v>
      </c>
      <c r="D2299" t="s">
        <v>160</v>
      </c>
      <c r="E2299" t="s">
        <v>137</v>
      </c>
      <c r="F2299" t="s">
        <v>138</v>
      </c>
      <c r="G2299" t="s">
        <v>214</v>
      </c>
      <c r="H2299" t="s">
        <v>79</v>
      </c>
      <c r="I2299" s="2">
        <v>5</v>
      </c>
      <c r="J2299" s="3">
        <v>14.9</v>
      </c>
      <c r="K2299" s="4">
        <v>0.1</v>
      </c>
      <c r="L2299" s="3">
        <v>67.05</v>
      </c>
      <c r="M2299" t="b">
        <v>1</v>
      </c>
      <c r="N2299" s="2">
        <f>YEAR(B2299)</f>
        <v>2025</v>
      </c>
      <c r="O2299" t="str">
        <f>INDEX(Agences!$C:$C,MATCH(F2299,Agences!$A:$A,0))</f>
        <v>Île-de-France</v>
      </c>
      <c r="P2299" t="str">
        <f>INDEX(Produits!$C:$C,MATCH(H2299,Produits!$A:$A,0))</f>
        <v>Fournitures</v>
      </c>
      <c r="Q2299" s="3">
        <f>I2299*INDEX(Produits!$E:$E,MATCH(H2299,Produits!$A:$A,0))</f>
        <v>40.25</v>
      </c>
      <c r="R2299" s="3">
        <f>L2299-Q2299</f>
        <v>26.799999999999997</v>
      </c>
      <c r="S2299" s="2">
        <f>NETWORKDAYS(B2299,C2299)-1</f>
        <v>3</v>
      </c>
      <c r="T2299" s="1">
        <f>WORKDAY(B2299,5)</f>
        <v>45945</v>
      </c>
      <c r="U2299" t="b">
        <f>C2299&gt;T2299</f>
        <v>0</v>
      </c>
    </row>
    <row r="2300" spans="1:21" x14ac:dyDescent="0.25">
      <c r="A2300" t="s">
        <v>1552</v>
      </c>
      <c r="B2300" s="1">
        <v>45938</v>
      </c>
      <c r="C2300" s="1">
        <v>45943</v>
      </c>
      <c r="D2300" t="s">
        <v>160</v>
      </c>
      <c r="E2300" t="s">
        <v>137</v>
      </c>
      <c r="F2300" t="s">
        <v>138</v>
      </c>
      <c r="G2300" t="s">
        <v>214</v>
      </c>
      <c r="H2300" t="s">
        <v>35</v>
      </c>
      <c r="I2300" s="2">
        <v>1</v>
      </c>
      <c r="J2300" s="3">
        <v>79</v>
      </c>
      <c r="K2300" s="4">
        <v>0</v>
      </c>
      <c r="L2300" s="3">
        <v>79</v>
      </c>
      <c r="M2300" t="b">
        <v>1</v>
      </c>
      <c r="N2300" s="2">
        <f>YEAR(B2300)</f>
        <v>2025</v>
      </c>
      <c r="O2300" t="str">
        <f>INDEX(Agences!$C:$C,MATCH(F2300,Agences!$A:$A,0))</f>
        <v>Île-de-France</v>
      </c>
      <c r="P2300" t="str">
        <f>INDEX(Produits!$C:$C,MATCH(H2300,Produits!$A:$A,0))</f>
        <v>Mobilier</v>
      </c>
      <c r="Q2300" s="3">
        <f>I2300*INDEX(Produits!$E:$E,MATCH(H2300,Produits!$A:$A,0))</f>
        <v>46.61</v>
      </c>
      <c r="R2300" s="3">
        <f>L2300-Q2300</f>
        <v>32.39</v>
      </c>
      <c r="S2300" s="2">
        <f>NETWORKDAYS(B2300,C2300)-1</f>
        <v>3</v>
      </c>
      <c r="T2300" s="1">
        <f>WORKDAY(B2300,5)</f>
        <v>45945</v>
      </c>
      <c r="U2300" t="b">
        <f>C2300&gt;T2300</f>
        <v>0</v>
      </c>
    </row>
    <row r="2301" spans="1:21" x14ac:dyDescent="0.25">
      <c r="A2301" t="s">
        <v>1552</v>
      </c>
      <c r="B2301" s="1">
        <v>45938</v>
      </c>
      <c r="C2301" s="1">
        <v>45943</v>
      </c>
      <c r="D2301" t="s">
        <v>160</v>
      </c>
      <c r="E2301" t="s">
        <v>137</v>
      </c>
      <c r="F2301" t="s">
        <v>138</v>
      </c>
      <c r="G2301" t="s">
        <v>214</v>
      </c>
      <c r="H2301" t="s">
        <v>42</v>
      </c>
      <c r="I2301" s="2">
        <v>1</v>
      </c>
      <c r="J2301" s="3">
        <v>55</v>
      </c>
      <c r="K2301" s="4">
        <v>0.1</v>
      </c>
      <c r="L2301" s="3">
        <v>49.5</v>
      </c>
      <c r="M2301" t="b">
        <v>1</v>
      </c>
      <c r="N2301" s="2">
        <f>YEAR(B2301)</f>
        <v>2025</v>
      </c>
      <c r="O2301" t="str">
        <f>INDEX(Agences!$C:$C,MATCH(F2301,Agences!$A:$A,0))</f>
        <v>Île-de-France</v>
      </c>
      <c r="P2301" t="str">
        <f>INDEX(Produits!$C:$C,MATCH(H2301,Produits!$A:$A,0))</f>
        <v>Maintenance</v>
      </c>
      <c r="Q2301" s="3">
        <f>I2301*INDEX(Produits!$E:$E,MATCH(H2301,Produits!$A:$A,0))</f>
        <v>24.75</v>
      </c>
      <c r="R2301" s="3">
        <f>L2301-Q2301</f>
        <v>24.75</v>
      </c>
      <c r="S2301" s="2">
        <f>NETWORKDAYS(B2301,C2301)-1</f>
        <v>3</v>
      </c>
      <c r="T2301" s="1">
        <f>WORKDAY(B2301,5)</f>
        <v>45945</v>
      </c>
      <c r="U2301" t="b">
        <f>C2301&gt;T2301</f>
        <v>0</v>
      </c>
    </row>
    <row r="2302" spans="1:21" x14ac:dyDescent="0.25">
      <c r="A2302" t="s">
        <v>1553</v>
      </c>
      <c r="B2302" s="1">
        <v>45938</v>
      </c>
      <c r="C2302" s="1">
        <v>45940</v>
      </c>
      <c r="D2302" t="s">
        <v>723</v>
      </c>
      <c r="E2302" t="s">
        <v>399</v>
      </c>
      <c r="F2302" t="s">
        <v>166</v>
      </c>
      <c r="G2302" t="s">
        <v>167</v>
      </c>
      <c r="H2302" t="s">
        <v>34</v>
      </c>
      <c r="I2302" s="2">
        <v>1</v>
      </c>
      <c r="J2302" s="3">
        <v>340</v>
      </c>
      <c r="K2302" s="4">
        <v>0</v>
      </c>
      <c r="L2302" s="3">
        <v>340</v>
      </c>
      <c r="M2302" t="b">
        <v>1</v>
      </c>
      <c r="N2302" s="2">
        <f>YEAR(B2302)</f>
        <v>2025</v>
      </c>
      <c r="O2302" t="str">
        <f>INDEX(Agences!$C:$C,MATCH(F2302,Agences!$A:$A,0))</f>
        <v>Ouest</v>
      </c>
      <c r="P2302" t="str">
        <f>INDEX(Produits!$C:$C,MATCH(H2302,Produits!$A:$A,0))</f>
        <v>Informatique</v>
      </c>
      <c r="Q2302" s="3">
        <f>I2302*INDEX(Produits!$E:$E,MATCH(H2302,Produits!$A:$A,0))</f>
        <v>275.4</v>
      </c>
      <c r="R2302" s="3">
        <f>L2302-Q2302</f>
        <v>64.60000000000002</v>
      </c>
      <c r="S2302" s="2">
        <f>NETWORKDAYS(B2302,C2302)-1</f>
        <v>2</v>
      </c>
      <c r="T2302" s="1">
        <f>WORKDAY(B2302,5)</f>
        <v>45945</v>
      </c>
      <c r="U2302" t="b">
        <f>C2302&gt;T2302</f>
        <v>0</v>
      </c>
    </row>
    <row r="2303" spans="1:21" x14ac:dyDescent="0.25">
      <c r="A2303" t="s">
        <v>1553</v>
      </c>
      <c r="B2303" s="1">
        <v>45938</v>
      </c>
      <c r="C2303" s="1">
        <v>45940</v>
      </c>
      <c r="D2303" t="s">
        <v>723</v>
      </c>
      <c r="E2303" t="s">
        <v>399</v>
      </c>
      <c r="F2303" t="s">
        <v>166</v>
      </c>
      <c r="G2303" t="s">
        <v>167</v>
      </c>
      <c r="H2303" t="s">
        <v>107</v>
      </c>
      <c r="I2303" s="2">
        <v>2</v>
      </c>
      <c r="J2303" s="3">
        <v>99</v>
      </c>
      <c r="K2303" s="4">
        <v>0</v>
      </c>
      <c r="L2303" s="3">
        <v>198</v>
      </c>
      <c r="M2303" t="b">
        <v>1</v>
      </c>
      <c r="N2303" s="2">
        <f>YEAR(B2303)</f>
        <v>2025</v>
      </c>
      <c r="O2303" t="str">
        <f>INDEX(Agences!$C:$C,MATCH(F2303,Agences!$A:$A,0))</f>
        <v>Ouest</v>
      </c>
      <c r="P2303" t="str">
        <f>INDEX(Produits!$C:$C,MATCH(H2303,Produits!$A:$A,0))</f>
        <v>Informatique</v>
      </c>
      <c r="Q2303" s="3">
        <f>I2303*INDEX(Produits!$E:$E,MATCH(H2303,Produits!$A:$A,0))</f>
        <v>150.48</v>
      </c>
      <c r="R2303" s="3">
        <f>L2303-Q2303</f>
        <v>47.52000000000001</v>
      </c>
      <c r="S2303" s="2">
        <f>NETWORKDAYS(B2303,C2303)-1</f>
        <v>2</v>
      </c>
      <c r="T2303" s="1">
        <f>WORKDAY(B2303,5)</f>
        <v>45945</v>
      </c>
      <c r="U2303" t="b">
        <f>C2303&gt;T2303</f>
        <v>0</v>
      </c>
    </row>
    <row r="2304" spans="1:21" x14ac:dyDescent="0.25">
      <c r="A2304" t="s">
        <v>1554</v>
      </c>
      <c r="B2304" s="1">
        <v>45938</v>
      </c>
      <c r="C2304" s="1">
        <v>45939</v>
      </c>
      <c r="D2304" t="s">
        <v>704</v>
      </c>
      <c r="E2304" t="s">
        <v>67</v>
      </c>
      <c r="F2304" t="s">
        <v>62</v>
      </c>
      <c r="G2304" t="s">
        <v>68</v>
      </c>
      <c r="H2304" t="s">
        <v>35</v>
      </c>
      <c r="I2304" s="2">
        <v>1</v>
      </c>
      <c r="J2304" s="3">
        <v>79</v>
      </c>
      <c r="K2304" s="4">
        <v>0.05</v>
      </c>
      <c r="L2304" s="3">
        <v>75.05</v>
      </c>
      <c r="M2304" t="b">
        <v>1</v>
      </c>
      <c r="N2304" s="2">
        <f>YEAR(B2304)</f>
        <v>2025</v>
      </c>
      <c r="O2304" t="str">
        <f>INDEX(Agences!$C:$C,MATCH(F2304,Agences!$A:$A,0))</f>
        <v>Méditerranée</v>
      </c>
      <c r="P2304" t="str">
        <f>INDEX(Produits!$C:$C,MATCH(H2304,Produits!$A:$A,0))</f>
        <v>Mobilier</v>
      </c>
      <c r="Q2304" s="3">
        <f>I2304*INDEX(Produits!$E:$E,MATCH(H2304,Produits!$A:$A,0))</f>
        <v>46.61</v>
      </c>
      <c r="R2304" s="3">
        <f>L2304-Q2304</f>
        <v>28.439999999999998</v>
      </c>
      <c r="S2304" s="2">
        <f>NETWORKDAYS(B2304,C2304)-1</f>
        <v>1</v>
      </c>
      <c r="T2304" s="1">
        <f>WORKDAY(B2304,5)</f>
        <v>45945</v>
      </c>
      <c r="U2304" t="b">
        <f>C2304&gt;T2304</f>
        <v>0</v>
      </c>
    </row>
    <row r="2305" spans="1:21" x14ac:dyDescent="0.25">
      <c r="A2305" t="s">
        <v>1555</v>
      </c>
      <c r="B2305" s="1">
        <v>45938</v>
      </c>
      <c r="C2305" s="1">
        <v>45943</v>
      </c>
      <c r="D2305" t="s">
        <v>241</v>
      </c>
      <c r="E2305" t="s">
        <v>242</v>
      </c>
      <c r="F2305" t="s">
        <v>94</v>
      </c>
      <c r="G2305" t="s">
        <v>154</v>
      </c>
      <c r="H2305" t="s">
        <v>35</v>
      </c>
      <c r="I2305" s="2">
        <v>1</v>
      </c>
      <c r="J2305" s="3">
        <v>79</v>
      </c>
      <c r="K2305" s="4">
        <v>0.08</v>
      </c>
      <c r="L2305" s="3">
        <v>72.68</v>
      </c>
      <c r="M2305" t="b">
        <v>1</v>
      </c>
      <c r="N2305" s="2">
        <f>YEAR(B2305)</f>
        <v>2025</v>
      </c>
      <c r="O2305" t="str">
        <f>INDEX(Agences!$C:$C,MATCH(F2305,Agences!$A:$A,0))</f>
        <v>Méditerranée</v>
      </c>
      <c r="P2305" t="str">
        <f>INDEX(Produits!$C:$C,MATCH(H2305,Produits!$A:$A,0))</f>
        <v>Mobilier</v>
      </c>
      <c r="Q2305" s="3">
        <f>I2305*INDEX(Produits!$E:$E,MATCH(H2305,Produits!$A:$A,0))</f>
        <v>46.61</v>
      </c>
      <c r="R2305" s="3">
        <f>L2305-Q2305</f>
        <v>26.070000000000007</v>
      </c>
      <c r="S2305" s="2">
        <f>NETWORKDAYS(B2305,C2305)-1</f>
        <v>3</v>
      </c>
      <c r="T2305" s="1">
        <f>WORKDAY(B2305,5)</f>
        <v>45945</v>
      </c>
      <c r="U2305" t="b">
        <f>C2305&gt;T2305</f>
        <v>0</v>
      </c>
    </row>
    <row r="2306" spans="1:21" x14ac:dyDescent="0.25">
      <c r="A2306" t="s">
        <v>1555</v>
      </c>
      <c r="B2306" s="1">
        <v>45938</v>
      </c>
      <c r="C2306" s="1">
        <v>45943</v>
      </c>
      <c r="D2306" t="s">
        <v>241</v>
      </c>
      <c r="E2306" t="s">
        <v>242</v>
      </c>
      <c r="F2306" t="s">
        <v>94</v>
      </c>
      <c r="G2306" t="s">
        <v>154</v>
      </c>
      <c r="H2306" t="s">
        <v>107</v>
      </c>
      <c r="I2306" s="2">
        <v>1</v>
      </c>
      <c r="J2306" s="3">
        <v>99</v>
      </c>
      <c r="K2306" s="4">
        <v>0.02</v>
      </c>
      <c r="L2306" s="3">
        <v>97.02</v>
      </c>
      <c r="M2306" t="b">
        <v>1</v>
      </c>
      <c r="N2306" s="2">
        <f>YEAR(B2306)</f>
        <v>2025</v>
      </c>
      <c r="O2306" t="str">
        <f>INDEX(Agences!$C:$C,MATCH(F2306,Agences!$A:$A,0))</f>
        <v>Méditerranée</v>
      </c>
      <c r="P2306" t="str">
        <f>INDEX(Produits!$C:$C,MATCH(H2306,Produits!$A:$A,0))</f>
        <v>Informatique</v>
      </c>
      <c r="Q2306" s="3">
        <f>I2306*INDEX(Produits!$E:$E,MATCH(H2306,Produits!$A:$A,0))</f>
        <v>75.24</v>
      </c>
      <c r="R2306" s="3">
        <f>L2306-Q2306</f>
        <v>21.78</v>
      </c>
      <c r="S2306" s="2">
        <f>NETWORKDAYS(B2306,C2306)-1</f>
        <v>3</v>
      </c>
      <c r="T2306" s="1">
        <f>WORKDAY(B2306,5)</f>
        <v>45945</v>
      </c>
      <c r="U2306" t="b">
        <f>C2306&gt;T2306</f>
        <v>0</v>
      </c>
    </row>
    <row r="2307" spans="1:21" x14ac:dyDescent="0.25">
      <c r="A2307" t="s">
        <v>1556</v>
      </c>
      <c r="B2307" s="1">
        <v>45938</v>
      </c>
      <c r="C2307" s="1">
        <v>45940</v>
      </c>
      <c r="D2307" t="s">
        <v>267</v>
      </c>
      <c r="E2307" t="s">
        <v>157</v>
      </c>
      <c r="F2307" t="s">
        <v>46</v>
      </c>
      <c r="G2307" t="s">
        <v>47</v>
      </c>
      <c r="H2307" t="s">
        <v>49</v>
      </c>
      <c r="I2307" s="2">
        <v>1</v>
      </c>
      <c r="J2307" s="3">
        <v>120</v>
      </c>
      <c r="K2307" s="4">
        <v>0.05</v>
      </c>
      <c r="L2307" s="3">
        <v>114</v>
      </c>
      <c r="M2307" t="b">
        <v>1</v>
      </c>
      <c r="N2307" s="2">
        <f>YEAR(B2307)</f>
        <v>2025</v>
      </c>
      <c r="O2307" t="str">
        <f>INDEX(Agences!$C:$C,MATCH(F2307,Agences!$A:$A,0))</f>
        <v>Est</v>
      </c>
      <c r="P2307" t="str">
        <f>INDEX(Produits!$C:$C,MATCH(H2307,Produits!$A:$A,0))</f>
        <v>Maintenance</v>
      </c>
      <c r="Q2307" s="3">
        <f>I2307*INDEX(Produits!$E:$E,MATCH(H2307,Produits!$A:$A,0))</f>
        <v>55.2</v>
      </c>
      <c r="R2307" s="3">
        <f>L2307-Q2307</f>
        <v>58.8</v>
      </c>
      <c r="S2307" s="2">
        <f>NETWORKDAYS(B2307,C2307)-1</f>
        <v>2</v>
      </c>
      <c r="T2307" s="1">
        <f>WORKDAY(B2307,5)</f>
        <v>45945</v>
      </c>
      <c r="U2307" t="b">
        <f>C2307&gt;T2307</f>
        <v>0</v>
      </c>
    </row>
    <row r="2308" spans="1:21" x14ac:dyDescent="0.25">
      <c r="A2308" t="s">
        <v>1556</v>
      </c>
      <c r="B2308" s="1">
        <v>45938</v>
      </c>
      <c r="C2308" s="1">
        <v>45940</v>
      </c>
      <c r="D2308" t="s">
        <v>267</v>
      </c>
      <c r="E2308" t="s">
        <v>157</v>
      </c>
      <c r="F2308" t="s">
        <v>46</v>
      </c>
      <c r="G2308" t="s">
        <v>47</v>
      </c>
      <c r="H2308" t="s">
        <v>108</v>
      </c>
      <c r="I2308" s="2">
        <v>15</v>
      </c>
      <c r="J2308" s="3">
        <v>24.5</v>
      </c>
      <c r="K2308" s="4">
        <v>0.02</v>
      </c>
      <c r="L2308" s="3">
        <v>360.15</v>
      </c>
      <c r="M2308" t="b">
        <v>1</v>
      </c>
      <c r="N2308" s="2">
        <f>YEAR(B2308)</f>
        <v>2025</v>
      </c>
      <c r="O2308" t="str">
        <f>INDEX(Agences!$C:$C,MATCH(F2308,Agences!$A:$A,0))</f>
        <v>Est</v>
      </c>
      <c r="P2308" t="str">
        <f>INDEX(Produits!$C:$C,MATCH(H2308,Produits!$A:$A,0))</f>
        <v>Fournitures</v>
      </c>
      <c r="Q2308" s="3">
        <f>I2308*INDEX(Produits!$E:$E,MATCH(H2308,Produits!$A:$A,0))</f>
        <v>220.5</v>
      </c>
      <c r="R2308" s="3">
        <f>L2308-Q2308</f>
        <v>139.64999999999998</v>
      </c>
      <c r="S2308" s="2">
        <f>NETWORKDAYS(B2308,C2308)-1</f>
        <v>2</v>
      </c>
      <c r="T2308" s="1">
        <f>WORKDAY(B2308,5)</f>
        <v>45945</v>
      </c>
      <c r="U2308" t="b">
        <f>C2308&gt;T2308</f>
        <v>0</v>
      </c>
    </row>
    <row r="2309" spans="1:21" x14ac:dyDescent="0.25">
      <c r="A2309" t="s">
        <v>1557</v>
      </c>
      <c r="B2309" s="1">
        <v>45937</v>
      </c>
      <c r="C2309" s="1">
        <v>45939</v>
      </c>
      <c r="D2309" t="s">
        <v>408</v>
      </c>
      <c r="E2309" t="s">
        <v>153</v>
      </c>
      <c r="F2309" t="s">
        <v>94</v>
      </c>
      <c r="G2309" t="s">
        <v>182</v>
      </c>
      <c r="H2309" t="s">
        <v>35</v>
      </c>
      <c r="I2309" s="2">
        <v>1</v>
      </c>
      <c r="J2309" s="3">
        <v>79</v>
      </c>
      <c r="K2309" s="4">
        <v>0.05</v>
      </c>
      <c r="L2309" s="3">
        <v>75.05</v>
      </c>
      <c r="M2309" t="b">
        <v>1</v>
      </c>
      <c r="N2309" s="2">
        <f>YEAR(B2309)</f>
        <v>2025</v>
      </c>
      <c r="O2309" t="str">
        <f>INDEX(Agences!$C:$C,MATCH(F2309,Agences!$A:$A,0))</f>
        <v>Méditerranée</v>
      </c>
      <c r="P2309" t="str">
        <f>INDEX(Produits!$C:$C,MATCH(H2309,Produits!$A:$A,0))</f>
        <v>Mobilier</v>
      </c>
      <c r="Q2309" s="3">
        <f>I2309*INDEX(Produits!$E:$E,MATCH(H2309,Produits!$A:$A,0))</f>
        <v>46.61</v>
      </c>
      <c r="R2309" s="3">
        <f>L2309-Q2309</f>
        <v>28.439999999999998</v>
      </c>
      <c r="S2309" s="2">
        <f>NETWORKDAYS(B2309,C2309)-1</f>
        <v>2</v>
      </c>
      <c r="T2309" s="1">
        <f>WORKDAY(B2309,5)</f>
        <v>45944</v>
      </c>
      <c r="U2309" t="b">
        <f>C2309&gt;T2309</f>
        <v>0</v>
      </c>
    </row>
    <row r="2310" spans="1:21" x14ac:dyDescent="0.25">
      <c r="A2310" t="s">
        <v>1557</v>
      </c>
      <c r="B2310" s="1">
        <v>45937</v>
      </c>
      <c r="C2310" s="1">
        <v>45939</v>
      </c>
      <c r="D2310" t="s">
        <v>408</v>
      </c>
      <c r="E2310" t="s">
        <v>153</v>
      </c>
      <c r="F2310" t="s">
        <v>94</v>
      </c>
      <c r="G2310" t="s">
        <v>182</v>
      </c>
      <c r="H2310" t="s">
        <v>606</v>
      </c>
      <c r="I2310" s="2">
        <v>1</v>
      </c>
      <c r="J2310" s="3">
        <v>1150</v>
      </c>
      <c r="K2310" s="4">
        <v>0.02</v>
      </c>
      <c r="L2310" s="3">
        <v>1127</v>
      </c>
      <c r="M2310" t="b">
        <v>1</v>
      </c>
      <c r="N2310" s="2">
        <f>YEAR(B2310)</f>
        <v>2025</v>
      </c>
      <c r="O2310" t="str">
        <f>INDEX(Agences!$C:$C,MATCH(F2310,Agences!$A:$A,0))</f>
        <v>Méditerranée</v>
      </c>
      <c r="P2310" t="str">
        <f>INDEX(Produits!$C:$C,MATCH(H2310,Produits!$A:$A,0))</f>
        <v>Mobilier</v>
      </c>
      <c r="Q2310" s="3">
        <f>I2310*INDEX(Produits!$E:$E,MATCH(H2310,Produits!$A:$A,0))</f>
        <v>713</v>
      </c>
      <c r="R2310" s="3">
        <f>L2310-Q2310</f>
        <v>414</v>
      </c>
      <c r="S2310" s="2">
        <f>NETWORKDAYS(B2310,C2310)-1</f>
        <v>2</v>
      </c>
      <c r="T2310" s="1">
        <f>WORKDAY(B2310,5)</f>
        <v>45944</v>
      </c>
      <c r="U2310" t="b">
        <f>C2310&gt;T2310</f>
        <v>0</v>
      </c>
    </row>
    <row r="2311" spans="1:21" x14ac:dyDescent="0.25">
      <c r="A2311" t="s">
        <v>1557</v>
      </c>
      <c r="B2311" s="1">
        <v>45937</v>
      </c>
      <c r="C2311" s="1">
        <v>45939</v>
      </c>
      <c r="D2311" t="s">
        <v>408</v>
      </c>
      <c r="E2311" t="s">
        <v>153</v>
      </c>
      <c r="F2311" t="s">
        <v>94</v>
      </c>
      <c r="G2311" t="s">
        <v>182</v>
      </c>
      <c r="H2311" t="s">
        <v>33</v>
      </c>
      <c r="I2311" s="2">
        <v>1</v>
      </c>
      <c r="J2311" s="3">
        <v>219</v>
      </c>
      <c r="K2311" s="4">
        <v>0.05</v>
      </c>
      <c r="L2311" s="3">
        <v>208.05</v>
      </c>
      <c r="M2311" t="b">
        <v>1</v>
      </c>
      <c r="N2311" s="2">
        <f>YEAR(B2311)</f>
        <v>2025</v>
      </c>
      <c r="O2311" t="str">
        <f>INDEX(Agences!$C:$C,MATCH(F2311,Agences!$A:$A,0))</f>
        <v>Méditerranée</v>
      </c>
      <c r="P2311" t="str">
        <f>INDEX(Produits!$C:$C,MATCH(H2311,Produits!$A:$A,0))</f>
        <v>Informatique</v>
      </c>
      <c r="Q2311" s="3">
        <f>I2311*INDEX(Produits!$E:$E,MATCH(H2311,Produits!$A:$A,0))</f>
        <v>179.58</v>
      </c>
      <c r="R2311" s="3">
        <f>L2311-Q2311</f>
        <v>28.47</v>
      </c>
      <c r="S2311" s="2">
        <f>NETWORKDAYS(B2311,C2311)-1</f>
        <v>2</v>
      </c>
      <c r="T2311" s="1">
        <f>WORKDAY(B2311,5)</f>
        <v>45944</v>
      </c>
      <c r="U2311" t="b">
        <f>C2311&gt;T2311</f>
        <v>0</v>
      </c>
    </row>
    <row r="2312" spans="1:21" x14ac:dyDescent="0.25">
      <c r="A2312" t="s">
        <v>1557</v>
      </c>
      <c r="B2312" s="1">
        <v>45937</v>
      </c>
      <c r="C2312" s="1">
        <v>45939</v>
      </c>
      <c r="D2312" t="s">
        <v>408</v>
      </c>
      <c r="E2312" t="s">
        <v>153</v>
      </c>
      <c r="F2312" t="s">
        <v>94</v>
      </c>
      <c r="G2312" t="s">
        <v>182</v>
      </c>
      <c r="H2312" t="s">
        <v>107</v>
      </c>
      <c r="I2312" s="2">
        <v>1</v>
      </c>
      <c r="J2312" s="3">
        <v>99</v>
      </c>
      <c r="K2312" s="4">
        <v>0.1</v>
      </c>
      <c r="L2312" s="3">
        <v>89.1</v>
      </c>
      <c r="M2312" t="b">
        <v>1</v>
      </c>
      <c r="N2312" s="2">
        <f>YEAR(B2312)</f>
        <v>2025</v>
      </c>
      <c r="O2312" t="str">
        <f>INDEX(Agences!$C:$C,MATCH(F2312,Agences!$A:$A,0))</f>
        <v>Méditerranée</v>
      </c>
      <c r="P2312" t="str">
        <f>INDEX(Produits!$C:$C,MATCH(H2312,Produits!$A:$A,0))</f>
        <v>Informatique</v>
      </c>
      <c r="Q2312" s="3">
        <f>I2312*INDEX(Produits!$E:$E,MATCH(H2312,Produits!$A:$A,0))</f>
        <v>75.24</v>
      </c>
      <c r="R2312" s="3">
        <f>L2312-Q2312</f>
        <v>13.86</v>
      </c>
      <c r="S2312" s="2">
        <f>NETWORKDAYS(B2312,C2312)-1</f>
        <v>2</v>
      </c>
      <c r="T2312" s="1">
        <f>WORKDAY(B2312,5)</f>
        <v>45944</v>
      </c>
      <c r="U2312" t="b">
        <f>C2312&gt;T2312</f>
        <v>0</v>
      </c>
    </row>
    <row r="2313" spans="1:21" x14ac:dyDescent="0.25">
      <c r="A2313" t="s">
        <v>1558</v>
      </c>
      <c r="B2313" s="1">
        <v>45937</v>
      </c>
      <c r="C2313" s="1">
        <v>45943</v>
      </c>
      <c r="D2313" t="s">
        <v>597</v>
      </c>
      <c r="E2313" t="s">
        <v>153</v>
      </c>
      <c r="F2313" t="s">
        <v>94</v>
      </c>
      <c r="G2313" t="s">
        <v>95</v>
      </c>
      <c r="H2313" t="s">
        <v>35</v>
      </c>
      <c r="I2313" s="2">
        <v>1</v>
      </c>
      <c r="J2313" s="3">
        <v>79</v>
      </c>
      <c r="K2313" s="4">
        <v>0.05</v>
      </c>
      <c r="L2313" s="3">
        <v>75.05</v>
      </c>
      <c r="M2313" t="b">
        <v>1</v>
      </c>
      <c r="N2313" s="2">
        <f>YEAR(B2313)</f>
        <v>2025</v>
      </c>
      <c r="O2313" t="str">
        <f>INDEX(Agences!$C:$C,MATCH(F2313,Agences!$A:$A,0))</f>
        <v>Méditerranée</v>
      </c>
      <c r="P2313" t="str">
        <f>INDEX(Produits!$C:$C,MATCH(H2313,Produits!$A:$A,0))</f>
        <v>Mobilier</v>
      </c>
      <c r="Q2313" s="3">
        <f>I2313*INDEX(Produits!$E:$E,MATCH(H2313,Produits!$A:$A,0))</f>
        <v>46.61</v>
      </c>
      <c r="R2313" s="3">
        <f>L2313-Q2313</f>
        <v>28.439999999999998</v>
      </c>
      <c r="S2313" s="2">
        <f>NETWORKDAYS(B2313,C2313)-1</f>
        <v>4</v>
      </c>
      <c r="T2313" s="1">
        <f>WORKDAY(B2313,5)</f>
        <v>45944</v>
      </c>
      <c r="U2313" t="b">
        <f>C2313&gt;T2313</f>
        <v>0</v>
      </c>
    </row>
    <row r="2314" spans="1:21" x14ac:dyDescent="0.25">
      <c r="A2314" t="s">
        <v>1558</v>
      </c>
      <c r="B2314" s="1">
        <v>45937</v>
      </c>
      <c r="C2314" s="1">
        <v>45943</v>
      </c>
      <c r="D2314" t="s">
        <v>597</v>
      </c>
      <c r="E2314" t="s">
        <v>153</v>
      </c>
      <c r="F2314" t="s">
        <v>94</v>
      </c>
      <c r="G2314" t="s">
        <v>95</v>
      </c>
      <c r="H2314" t="s">
        <v>49</v>
      </c>
      <c r="I2314" s="2">
        <v>3</v>
      </c>
      <c r="J2314" s="3">
        <v>120</v>
      </c>
      <c r="K2314" s="4">
        <v>0.05</v>
      </c>
      <c r="L2314" s="3">
        <v>342</v>
      </c>
      <c r="M2314" t="b">
        <v>1</v>
      </c>
      <c r="N2314" s="2">
        <f>YEAR(B2314)</f>
        <v>2025</v>
      </c>
      <c r="O2314" t="str">
        <f>INDEX(Agences!$C:$C,MATCH(F2314,Agences!$A:$A,0))</f>
        <v>Méditerranée</v>
      </c>
      <c r="P2314" t="str">
        <f>INDEX(Produits!$C:$C,MATCH(H2314,Produits!$A:$A,0))</f>
        <v>Maintenance</v>
      </c>
      <c r="Q2314" s="3">
        <f>I2314*INDEX(Produits!$E:$E,MATCH(H2314,Produits!$A:$A,0))</f>
        <v>165.60000000000002</v>
      </c>
      <c r="R2314" s="3">
        <f>L2314-Q2314</f>
        <v>176.39999999999998</v>
      </c>
      <c r="S2314" s="2">
        <f>NETWORKDAYS(B2314,C2314)-1</f>
        <v>4</v>
      </c>
      <c r="T2314" s="1">
        <f>WORKDAY(B2314,5)</f>
        <v>45944</v>
      </c>
      <c r="U2314" t="b">
        <f>C2314&gt;T2314</f>
        <v>0</v>
      </c>
    </row>
    <row r="2315" spans="1:21" x14ac:dyDescent="0.25">
      <c r="A2315" t="s">
        <v>1558</v>
      </c>
      <c r="B2315" s="1">
        <v>45937</v>
      </c>
      <c r="C2315" s="1">
        <v>45943</v>
      </c>
      <c r="D2315" t="s">
        <v>597</v>
      </c>
      <c r="E2315" t="s">
        <v>153</v>
      </c>
      <c r="F2315" t="s">
        <v>94</v>
      </c>
      <c r="G2315" t="s">
        <v>95</v>
      </c>
      <c r="H2315" t="s">
        <v>72</v>
      </c>
      <c r="I2315" s="2">
        <v>3</v>
      </c>
      <c r="J2315" s="3">
        <v>179</v>
      </c>
      <c r="K2315" s="4">
        <v>0.02</v>
      </c>
      <c r="L2315" s="3">
        <v>526.26</v>
      </c>
      <c r="M2315" t="b">
        <v>1</v>
      </c>
      <c r="N2315" s="2">
        <f>YEAR(B2315)</f>
        <v>2025</v>
      </c>
      <c r="O2315" t="str">
        <f>INDEX(Agences!$C:$C,MATCH(F2315,Agences!$A:$A,0))</f>
        <v>Méditerranée</v>
      </c>
      <c r="P2315" t="str">
        <f>INDEX(Produits!$C:$C,MATCH(H2315,Produits!$A:$A,0))</f>
        <v>Informatique</v>
      </c>
      <c r="Q2315" s="3">
        <f>I2315*INDEX(Produits!$E:$E,MATCH(H2315,Produits!$A:$A,0))</f>
        <v>440.34000000000003</v>
      </c>
      <c r="R2315" s="3">
        <f>L2315-Q2315</f>
        <v>85.91999999999996</v>
      </c>
      <c r="S2315" s="2">
        <f>NETWORKDAYS(B2315,C2315)-1</f>
        <v>4</v>
      </c>
      <c r="T2315" s="1">
        <f>WORKDAY(B2315,5)</f>
        <v>45944</v>
      </c>
      <c r="U2315" t="b">
        <f>C2315&gt;T2315</f>
        <v>0</v>
      </c>
    </row>
    <row r="2316" spans="1:21" x14ac:dyDescent="0.25">
      <c r="A2316" t="s">
        <v>1558</v>
      </c>
      <c r="B2316" s="1">
        <v>45937</v>
      </c>
      <c r="C2316" s="1">
        <v>45943</v>
      </c>
      <c r="D2316" t="s">
        <v>597</v>
      </c>
      <c r="E2316" t="s">
        <v>153</v>
      </c>
      <c r="F2316" t="s">
        <v>94</v>
      </c>
      <c r="G2316" t="s">
        <v>95</v>
      </c>
      <c r="H2316" t="s">
        <v>50</v>
      </c>
      <c r="I2316" s="2">
        <v>4</v>
      </c>
      <c r="J2316" s="3">
        <v>69</v>
      </c>
      <c r="K2316" s="4">
        <v>0.05</v>
      </c>
      <c r="L2316" s="3">
        <v>262.2</v>
      </c>
      <c r="M2316" t="b">
        <v>1</v>
      </c>
      <c r="N2316" s="2">
        <f>YEAR(B2316)</f>
        <v>2025</v>
      </c>
      <c r="O2316" t="str">
        <f>INDEX(Agences!$C:$C,MATCH(F2316,Agences!$A:$A,0))</f>
        <v>Méditerranée</v>
      </c>
      <c r="P2316" t="str">
        <f>INDEX(Produits!$C:$C,MATCH(H2316,Produits!$A:$A,0))</f>
        <v>Informatique</v>
      </c>
      <c r="Q2316" s="3">
        <f>I2316*INDEX(Produits!$E:$E,MATCH(H2316,Produits!$A:$A,0))</f>
        <v>218.04</v>
      </c>
      <c r="R2316" s="3">
        <f>L2316-Q2316</f>
        <v>44.16</v>
      </c>
      <c r="S2316" s="2">
        <f>NETWORKDAYS(B2316,C2316)-1</f>
        <v>4</v>
      </c>
      <c r="T2316" s="1">
        <f>WORKDAY(B2316,5)</f>
        <v>45944</v>
      </c>
      <c r="U2316" t="b">
        <f>C2316&gt;T2316</f>
        <v>0</v>
      </c>
    </row>
    <row r="2317" spans="1:21" x14ac:dyDescent="0.25">
      <c r="A2317" t="s">
        <v>1559</v>
      </c>
      <c r="B2317" s="1">
        <v>45936</v>
      </c>
      <c r="C2317" s="1">
        <v>45943</v>
      </c>
      <c r="D2317" t="s">
        <v>882</v>
      </c>
      <c r="E2317" t="s">
        <v>333</v>
      </c>
      <c r="F2317" t="s">
        <v>138</v>
      </c>
      <c r="G2317" t="s">
        <v>139</v>
      </c>
      <c r="H2317" t="s">
        <v>33</v>
      </c>
      <c r="I2317" s="2">
        <v>1</v>
      </c>
      <c r="J2317" s="3">
        <v>219</v>
      </c>
      <c r="K2317" s="4">
        <v>0</v>
      </c>
      <c r="L2317" s="3">
        <v>219</v>
      </c>
      <c r="M2317" t="b">
        <v>1</v>
      </c>
      <c r="N2317" s="2">
        <f>YEAR(B2317)</f>
        <v>2025</v>
      </c>
      <c r="O2317" t="str">
        <f>INDEX(Agences!$C:$C,MATCH(F2317,Agences!$A:$A,0))</f>
        <v>Île-de-France</v>
      </c>
      <c r="P2317" t="str">
        <f>INDEX(Produits!$C:$C,MATCH(H2317,Produits!$A:$A,0))</f>
        <v>Informatique</v>
      </c>
      <c r="Q2317" s="3">
        <f>I2317*INDEX(Produits!$E:$E,MATCH(H2317,Produits!$A:$A,0))</f>
        <v>179.58</v>
      </c>
      <c r="R2317" s="3">
        <f>L2317-Q2317</f>
        <v>39.41999999999999</v>
      </c>
      <c r="S2317" s="2">
        <f>NETWORKDAYS(B2317,C2317)-1</f>
        <v>5</v>
      </c>
      <c r="T2317" s="1">
        <f>WORKDAY(B2317,5)</f>
        <v>45943</v>
      </c>
      <c r="U2317" t="b">
        <f>C2317&gt;T2317</f>
        <v>0</v>
      </c>
    </row>
    <row r="2318" spans="1:21" x14ac:dyDescent="0.25">
      <c r="A2318" t="s">
        <v>1559</v>
      </c>
      <c r="B2318" s="1">
        <v>45936</v>
      </c>
      <c r="C2318" s="1">
        <v>45943</v>
      </c>
      <c r="D2318" t="s">
        <v>882</v>
      </c>
      <c r="E2318" t="s">
        <v>333</v>
      </c>
      <c r="F2318" t="s">
        <v>138</v>
      </c>
      <c r="G2318" t="s">
        <v>139</v>
      </c>
      <c r="H2318" t="s">
        <v>112</v>
      </c>
      <c r="I2318" s="2">
        <v>1</v>
      </c>
      <c r="J2318" s="3">
        <v>129</v>
      </c>
      <c r="K2318" s="4">
        <v>0.02</v>
      </c>
      <c r="L2318" s="3">
        <v>126.42</v>
      </c>
      <c r="M2318" t="b">
        <v>1</v>
      </c>
      <c r="N2318" s="2">
        <f>YEAR(B2318)</f>
        <v>2025</v>
      </c>
      <c r="O2318" t="str">
        <f>INDEX(Agences!$C:$C,MATCH(F2318,Agences!$A:$A,0))</f>
        <v>Île-de-France</v>
      </c>
      <c r="P2318" t="str">
        <f>INDEX(Produits!$C:$C,MATCH(H2318,Produits!$A:$A,0))</f>
        <v>Mobilier</v>
      </c>
      <c r="Q2318" s="3">
        <f>I2318*INDEX(Produits!$E:$E,MATCH(H2318,Produits!$A:$A,0))</f>
        <v>86.43</v>
      </c>
      <c r="R2318" s="3">
        <f>L2318-Q2318</f>
        <v>39.989999999999995</v>
      </c>
      <c r="S2318" s="2">
        <f>NETWORKDAYS(B2318,C2318)-1</f>
        <v>5</v>
      </c>
      <c r="T2318" s="1">
        <f>WORKDAY(B2318,5)</f>
        <v>45943</v>
      </c>
      <c r="U2318" t="b">
        <f>C2318&gt;T2318</f>
        <v>0</v>
      </c>
    </row>
    <row r="2319" spans="1:21" x14ac:dyDescent="0.25">
      <c r="A2319" t="s">
        <v>1560</v>
      </c>
      <c r="B2319" s="1">
        <v>45936</v>
      </c>
      <c r="C2319" s="1">
        <v>45940</v>
      </c>
      <c r="D2319" t="s">
        <v>908</v>
      </c>
      <c r="E2319" t="s">
        <v>30</v>
      </c>
      <c r="F2319" t="s">
        <v>31</v>
      </c>
      <c r="G2319" t="s">
        <v>32</v>
      </c>
      <c r="H2319" t="s">
        <v>50</v>
      </c>
      <c r="I2319" s="2">
        <v>1</v>
      </c>
      <c r="J2319" s="3">
        <v>69</v>
      </c>
      <c r="K2319" s="4">
        <v>0.02</v>
      </c>
      <c r="L2319" s="3">
        <v>67.62</v>
      </c>
      <c r="M2319" t="b">
        <v>1</v>
      </c>
      <c r="N2319" s="2">
        <f>YEAR(B2319)</f>
        <v>2025</v>
      </c>
      <c r="O2319" t="str">
        <f>INDEX(Agences!$C:$C,MATCH(F2319,Agences!$A:$A,0))</f>
        <v>Ouest</v>
      </c>
      <c r="P2319" t="str">
        <f>INDEX(Produits!$C:$C,MATCH(H2319,Produits!$A:$A,0))</f>
        <v>Informatique</v>
      </c>
      <c r="Q2319" s="3">
        <f>I2319*INDEX(Produits!$E:$E,MATCH(H2319,Produits!$A:$A,0))</f>
        <v>54.51</v>
      </c>
      <c r="R2319" s="3">
        <f>L2319-Q2319</f>
        <v>13.110000000000007</v>
      </c>
      <c r="S2319" s="2">
        <f>NETWORKDAYS(B2319,C2319)-1</f>
        <v>4</v>
      </c>
      <c r="T2319" s="1">
        <f>WORKDAY(B2319,5)</f>
        <v>45943</v>
      </c>
      <c r="U2319" t="b">
        <f>C2319&gt;T2319</f>
        <v>0</v>
      </c>
    </row>
    <row r="2320" spans="1:21" x14ac:dyDescent="0.25">
      <c r="A2320" t="s">
        <v>1561</v>
      </c>
      <c r="B2320" s="1">
        <v>45936</v>
      </c>
      <c r="C2320" s="1">
        <v>45939</v>
      </c>
      <c r="D2320" t="s">
        <v>666</v>
      </c>
      <c r="E2320" t="s">
        <v>225</v>
      </c>
      <c r="F2320" t="s">
        <v>88</v>
      </c>
      <c r="G2320" t="s">
        <v>89</v>
      </c>
      <c r="H2320" t="s">
        <v>103</v>
      </c>
      <c r="I2320" s="2">
        <v>1</v>
      </c>
      <c r="J2320" s="3">
        <v>245</v>
      </c>
      <c r="K2320" s="4">
        <v>0</v>
      </c>
      <c r="L2320" s="3">
        <v>245</v>
      </c>
      <c r="M2320" t="b">
        <v>1</v>
      </c>
      <c r="N2320" s="2">
        <f>YEAR(B2320)</f>
        <v>2025</v>
      </c>
      <c r="O2320" t="str">
        <f>INDEX(Agences!$C:$C,MATCH(F2320,Agences!$A:$A,0))</f>
        <v>Sud-Ouest</v>
      </c>
      <c r="P2320" t="str">
        <f>INDEX(Produits!$C:$C,MATCH(H2320,Produits!$A:$A,0))</f>
        <v>Mobilier</v>
      </c>
      <c r="Q2320" s="3">
        <f>I2320*INDEX(Produits!$E:$E,MATCH(H2320,Produits!$A:$A,0))</f>
        <v>164.15</v>
      </c>
      <c r="R2320" s="3">
        <f>L2320-Q2320</f>
        <v>80.85</v>
      </c>
      <c r="S2320" s="2">
        <f>NETWORKDAYS(B2320,C2320)-1</f>
        <v>3</v>
      </c>
      <c r="T2320" s="1">
        <f>WORKDAY(B2320,5)</f>
        <v>45943</v>
      </c>
      <c r="U2320" t="b">
        <f>C2320&gt;T2320</f>
        <v>0</v>
      </c>
    </row>
    <row r="2321" spans="1:21" x14ac:dyDescent="0.25">
      <c r="A2321" t="s">
        <v>1561</v>
      </c>
      <c r="B2321" s="1">
        <v>45936</v>
      </c>
      <c r="C2321" s="1">
        <v>45939</v>
      </c>
      <c r="D2321" t="s">
        <v>666</v>
      </c>
      <c r="E2321" t="s">
        <v>225</v>
      </c>
      <c r="F2321" t="s">
        <v>88</v>
      </c>
      <c r="G2321" t="s">
        <v>89</v>
      </c>
      <c r="H2321" t="s">
        <v>123</v>
      </c>
      <c r="I2321" s="2">
        <v>10</v>
      </c>
      <c r="J2321" s="3">
        <v>39.9</v>
      </c>
      <c r="K2321" s="4">
        <v>0</v>
      </c>
      <c r="L2321" s="3">
        <v>399</v>
      </c>
      <c r="M2321" t="b">
        <v>1</v>
      </c>
      <c r="N2321" s="2">
        <f>YEAR(B2321)</f>
        <v>2025</v>
      </c>
      <c r="O2321" t="str">
        <f>INDEX(Agences!$C:$C,MATCH(F2321,Agences!$A:$A,0))</f>
        <v>Sud-Ouest</v>
      </c>
      <c r="P2321" t="str">
        <f>INDEX(Produits!$C:$C,MATCH(H2321,Produits!$A:$A,0))</f>
        <v>Fournitures</v>
      </c>
      <c r="Q2321" s="3">
        <f>I2321*INDEX(Produits!$E:$E,MATCH(H2321,Produits!$A:$A,0))</f>
        <v>223.4</v>
      </c>
      <c r="R2321" s="3">
        <f>L2321-Q2321</f>
        <v>175.6</v>
      </c>
      <c r="S2321" s="2">
        <f>NETWORKDAYS(B2321,C2321)-1</f>
        <v>3</v>
      </c>
      <c r="T2321" s="1">
        <f>WORKDAY(B2321,5)</f>
        <v>45943</v>
      </c>
      <c r="U2321" t="b">
        <f>C2321&gt;T2321</f>
        <v>0</v>
      </c>
    </row>
    <row r="2322" spans="1:21" x14ac:dyDescent="0.25">
      <c r="A2322" t="s">
        <v>1561</v>
      </c>
      <c r="B2322" s="1">
        <v>45936</v>
      </c>
      <c r="C2322" s="1">
        <v>45939</v>
      </c>
      <c r="D2322" t="s">
        <v>666</v>
      </c>
      <c r="E2322" t="s">
        <v>225</v>
      </c>
      <c r="F2322" t="s">
        <v>88</v>
      </c>
      <c r="G2322" t="s">
        <v>89</v>
      </c>
      <c r="H2322" t="s">
        <v>57</v>
      </c>
      <c r="I2322" s="2">
        <v>4</v>
      </c>
      <c r="J2322" s="3">
        <v>149</v>
      </c>
      <c r="K2322" s="4">
        <v>0</v>
      </c>
      <c r="L2322" s="3">
        <v>596</v>
      </c>
      <c r="M2322" t="b">
        <v>1</v>
      </c>
      <c r="N2322" s="2">
        <f>YEAR(B2322)</f>
        <v>2025</v>
      </c>
      <c r="O2322" t="str">
        <f>INDEX(Agences!$C:$C,MATCH(F2322,Agences!$A:$A,0))</f>
        <v>Sud-Ouest</v>
      </c>
      <c r="P2322" t="str">
        <f>INDEX(Produits!$C:$C,MATCH(H2322,Produits!$A:$A,0))</f>
        <v>Informatique</v>
      </c>
      <c r="Q2322" s="3">
        <f>I2322*INDEX(Produits!$E:$E,MATCH(H2322,Produits!$A:$A,0))</f>
        <v>458.92</v>
      </c>
      <c r="R2322" s="3">
        <f>L2322-Q2322</f>
        <v>137.07999999999998</v>
      </c>
      <c r="S2322" s="2">
        <f>NETWORKDAYS(B2322,C2322)-1</f>
        <v>3</v>
      </c>
      <c r="T2322" s="1">
        <f>WORKDAY(B2322,5)</f>
        <v>45943</v>
      </c>
      <c r="U2322" t="b">
        <f>C2322&gt;T2322</f>
        <v>0</v>
      </c>
    </row>
    <row r="2323" spans="1:21" x14ac:dyDescent="0.25">
      <c r="A2323" t="s">
        <v>1561</v>
      </c>
      <c r="B2323" s="1">
        <v>45936</v>
      </c>
      <c r="C2323" s="1">
        <v>45939</v>
      </c>
      <c r="D2323" t="s">
        <v>666</v>
      </c>
      <c r="E2323" t="s">
        <v>225</v>
      </c>
      <c r="F2323" t="s">
        <v>88</v>
      </c>
      <c r="G2323" t="s">
        <v>89</v>
      </c>
      <c r="H2323" t="s">
        <v>35</v>
      </c>
      <c r="I2323" s="2">
        <v>1</v>
      </c>
      <c r="J2323" s="3">
        <v>79</v>
      </c>
      <c r="K2323" s="4">
        <v>0</v>
      </c>
      <c r="L2323" s="3">
        <v>79</v>
      </c>
      <c r="M2323" t="b">
        <v>1</v>
      </c>
      <c r="N2323" s="2">
        <f>YEAR(B2323)</f>
        <v>2025</v>
      </c>
      <c r="O2323" t="str">
        <f>INDEX(Agences!$C:$C,MATCH(F2323,Agences!$A:$A,0))</f>
        <v>Sud-Ouest</v>
      </c>
      <c r="P2323" t="str">
        <f>INDEX(Produits!$C:$C,MATCH(H2323,Produits!$A:$A,0))</f>
        <v>Mobilier</v>
      </c>
      <c r="Q2323" s="3">
        <f>I2323*INDEX(Produits!$E:$E,MATCH(H2323,Produits!$A:$A,0))</f>
        <v>46.61</v>
      </c>
      <c r="R2323" s="3">
        <f>L2323-Q2323</f>
        <v>32.39</v>
      </c>
      <c r="S2323" s="2">
        <f>NETWORKDAYS(B2323,C2323)-1</f>
        <v>3</v>
      </c>
      <c r="T2323" s="1">
        <f>WORKDAY(B2323,5)</f>
        <v>45943</v>
      </c>
      <c r="U2323" t="b">
        <f>C2323&gt;T2323</f>
        <v>0</v>
      </c>
    </row>
    <row r="2324" spans="1:21" x14ac:dyDescent="0.25">
      <c r="A2324" t="s">
        <v>1561</v>
      </c>
      <c r="B2324" s="1">
        <v>45936</v>
      </c>
      <c r="C2324" s="1">
        <v>45939</v>
      </c>
      <c r="D2324" t="s">
        <v>666</v>
      </c>
      <c r="E2324" t="s">
        <v>225</v>
      </c>
      <c r="F2324" t="s">
        <v>88</v>
      </c>
      <c r="G2324" t="s">
        <v>89</v>
      </c>
      <c r="H2324" t="s">
        <v>49</v>
      </c>
      <c r="I2324" s="2">
        <v>2</v>
      </c>
      <c r="J2324" s="3">
        <v>120</v>
      </c>
      <c r="K2324" s="4">
        <v>0</v>
      </c>
      <c r="L2324" s="3">
        <v>240</v>
      </c>
      <c r="M2324" t="b">
        <v>1</v>
      </c>
      <c r="N2324" s="2">
        <f>YEAR(B2324)</f>
        <v>2025</v>
      </c>
      <c r="O2324" t="str">
        <f>INDEX(Agences!$C:$C,MATCH(F2324,Agences!$A:$A,0))</f>
        <v>Sud-Ouest</v>
      </c>
      <c r="P2324" t="str">
        <f>INDEX(Produits!$C:$C,MATCH(H2324,Produits!$A:$A,0))</f>
        <v>Maintenance</v>
      </c>
      <c r="Q2324" s="3">
        <f>I2324*INDEX(Produits!$E:$E,MATCH(H2324,Produits!$A:$A,0))</f>
        <v>110.4</v>
      </c>
      <c r="R2324" s="3">
        <f>L2324-Q2324</f>
        <v>129.6</v>
      </c>
      <c r="S2324" s="2">
        <f>NETWORKDAYS(B2324,C2324)-1</f>
        <v>3</v>
      </c>
      <c r="T2324" s="1">
        <f>WORKDAY(B2324,5)</f>
        <v>45943</v>
      </c>
      <c r="U2324" t="b">
        <f>C2324&gt;T2324</f>
        <v>0</v>
      </c>
    </row>
    <row r="2325" spans="1:21" x14ac:dyDescent="0.25">
      <c r="A2325" t="s">
        <v>1562</v>
      </c>
      <c r="B2325" s="1">
        <v>45936</v>
      </c>
      <c r="C2325" s="1">
        <v>45938</v>
      </c>
      <c r="D2325" t="s">
        <v>575</v>
      </c>
      <c r="E2325" t="s">
        <v>61</v>
      </c>
      <c r="F2325" t="s">
        <v>62</v>
      </c>
      <c r="G2325" t="s">
        <v>63</v>
      </c>
      <c r="H2325" t="s">
        <v>48</v>
      </c>
      <c r="I2325" s="2">
        <v>1</v>
      </c>
      <c r="J2325" s="3">
        <v>165</v>
      </c>
      <c r="K2325" s="4">
        <v>0.08</v>
      </c>
      <c r="L2325" s="3">
        <v>151.8</v>
      </c>
      <c r="M2325" t="b">
        <v>1</v>
      </c>
      <c r="N2325" s="2">
        <f>YEAR(B2325)</f>
        <v>2025</v>
      </c>
      <c r="O2325" t="str">
        <f>INDEX(Agences!$C:$C,MATCH(F2325,Agences!$A:$A,0))</f>
        <v>Méditerranée</v>
      </c>
      <c r="P2325" t="str">
        <f>INDEX(Produits!$C:$C,MATCH(H2325,Produits!$A:$A,0))</f>
        <v>Mobilier</v>
      </c>
      <c r="Q2325" s="3">
        <f>I2325*INDEX(Produits!$E:$E,MATCH(H2325,Produits!$A:$A,0))</f>
        <v>107.25</v>
      </c>
      <c r="R2325" s="3">
        <f>L2325-Q2325</f>
        <v>44.55000000000001</v>
      </c>
      <c r="S2325" s="2">
        <f>NETWORKDAYS(B2325,C2325)-1</f>
        <v>2</v>
      </c>
      <c r="T2325" s="1">
        <f>WORKDAY(B2325,5)</f>
        <v>45943</v>
      </c>
      <c r="U2325" t="b">
        <f>C2325&gt;T2325</f>
        <v>0</v>
      </c>
    </row>
    <row r="2326" spans="1:21" x14ac:dyDescent="0.25">
      <c r="A2326" t="s">
        <v>1562</v>
      </c>
      <c r="B2326" s="1">
        <v>45936</v>
      </c>
      <c r="C2326" s="1">
        <v>45938</v>
      </c>
      <c r="D2326" t="s">
        <v>575</v>
      </c>
      <c r="E2326" t="s">
        <v>61</v>
      </c>
      <c r="F2326" t="s">
        <v>62</v>
      </c>
      <c r="G2326" t="s">
        <v>63</v>
      </c>
      <c r="H2326" t="s">
        <v>79</v>
      </c>
      <c r="I2326" s="2">
        <v>5</v>
      </c>
      <c r="J2326" s="3">
        <v>14.9</v>
      </c>
      <c r="K2326" s="4">
        <v>0</v>
      </c>
      <c r="L2326" s="3">
        <v>74.5</v>
      </c>
      <c r="M2326" t="b">
        <v>1</v>
      </c>
      <c r="N2326" s="2">
        <f>YEAR(B2326)</f>
        <v>2025</v>
      </c>
      <c r="O2326" t="str">
        <f>INDEX(Agences!$C:$C,MATCH(F2326,Agences!$A:$A,0))</f>
        <v>Méditerranée</v>
      </c>
      <c r="P2326" t="str">
        <f>INDEX(Produits!$C:$C,MATCH(H2326,Produits!$A:$A,0))</f>
        <v>Fournitures</v>
      </c>
      <c r="Q2326" s="3">
        <f>I2326*INDEX(Produits!$E:$E,MATCH(H2326,Produits!$A:$A,0))</f>
        <v>40.25</v>
      </c>
      <c r="R2326" s="3">
        <f>L2326-Q2326</f>
        <v>34.25</v>
      </c>
      <c r="S2326" s="2">
        <f>NETWORKDAYS(B2326,C2326)-1</f>
        <v>2</v>
      </c>
      <c r="T2326" s="1">
        <f>WORKDAY(B2326,5)</f>
        <v>45943</v>
      </c>
      <c r="U2326" t="b">
        <f>C2326&gt;T2326</f>
        <v>0</v>
      </c>
    </row>
    <row r="2327" spans="1:21" x14ac:dyDescent="0.25">
      <c r="A2327" t="s">
        <v>1562</v>
      </c>
      <c r="B2327" s="1">
        <v>45936</v>
      </c>
      <c r="C2327" s="1">
        <v>45938</v>
      </c>
      <c r="D2327" t="s">
        <v>575</v>
      </c>
      <c r="E2327" t="s">
        <v>61</v>
      </c>
      <c r="F2327" t="s">
        <v>62</v>
      </c>
      <c r="G2327" t="s">
        <v>63</v>
      </c>
      <c r="H2327" t="s">
        <v>90</v>
      </c>
      <c r="I2327" s="2">
        <v>5</v>
      </c>
      <c r="J2327" s="3">
        <v>22.9</v>
      </c>
      <c r="K2327" s="4">
        <v>0.02</v>
      </c>
      <c r="L2327" s="3">
        <v>112.21</v>
      </c>
      <c r="M2327" t="b">
        <v>1</v>
      </c>
      <c r="N2327" s="2">
        <f>YEAR(B2327)</f>
        <v>2025</v>
      </c>
      <c r="O2327" t="str">
        <f>INDEX(Agences!$C:$C,MATCH(F2327,Agences!$A:$A,0))</f>
        <v>Méditerranée</v>
      </c>
      <c r="P2327" t="str">
        <f>INDEX(Produits!$C:$C,MATCH(H2327,Produits!$A:$A,0))</f>
        <v>Fournitures</v>
      </c>
      <c r="Q2327" s="3">
        <f>I2327*INDEX(Produits!$E:$E,MATCH(H2327,Produits!$A:$A,0))</f>
        <v>64.1</v>
      </c>
      <c r="R2327" s="3">
        <f>L2327-Q2327</f>
        <v>48.11</v>
      </c>
      <c r="S2327" s="2">
        <f>NETWORKDAYS(B2327,C2327)-1</f>
        <v>2</v>
      </c>
      <c r="T2327" s="1">
        <f>WORKDAY(B2327,5)</f>
        <v>45943</v>
      </c>
      <c r="U2327" t="b">
        <f>C2327&gt;T2327</f>
        <v>0</v>
      </c>
    </row>
    <row r="2328" spans="1:21" x14ac:dyDescent="0.25">
      <c r="A2328" t="s">
        <v>1563</v>
      </c>
      <c r="B2328" s="1">
        <v>45932</v>
      </c>
      <c r="C2328" s="1">
        <v>45939</v>
      </c>
      <c r="D2328" t="s">
        <v>844</v>
      </c>
      <c r="E2328" t="s">
        <v>236</v>
      </c>
      <c r="F2328" t="s">
        <v>39</v>
      </c>
      <c r="G2328" t="s">
        <v>40</v>
      </c>
      <c r="H2328" t="s">
        <v>108</v>
      </c>
      <c r="I2328" s="2">
        <v>10</v>
      </c>
      <c r="J2328" s="3">
        <v>24.5</v>
      </c>
      <c r="K2328" s="4">
        <v>0.08</v>
      </c>
      <c r="L2328" s="3">
        <v>225.4</v>
      </c>
      <c r="M2328" t="b">
        <v>1</v>
      </c>
      <c r="N2328" s="2">
        <f>YEAR(B2328)</f>
        <v>2025</v>
      </c>
      <c r="O2328" t="str">
        <f>INDEX(Agences!$C:$C,MATCH(F2328,Agences!$A:$A,0))</f>
        <v>Sud-Ouest</v>
      </c>
      <c r="P2328" t="str">
        <f>INDEX(Produits!$C:$C,MATCH(H2328,Produits!$A:$A,0))</f>
        <v>Fournitures</v>
      </c>
      <c r="Q2328" s="3">
        <f>I2328*INDEX(Produits!$E:$E,MATCH(H2328,Produits!$A:$A,0))</f>
        <v>147</v>
      </c>
      <c r="R2328" s="3">
        <f>L2328-Q2328</f>
        <v>78.4</v>
      </c>
      <c r="S2328" s="2">
        <f>NETWORKDAYS(B2328,C2328)-1</f>
        <v>5</v>
      </c>
      <c r="T2328" s="1">
        <f>WORKDAY(B2328,5)</f>
        <v>45939</v>
      </c>
      <c r="U2328" t="b">
        <f>C2328&gt;T2328</f>
        <v>0</v>
      </c>
    </row>
    <row r="2329" spans="1:21" x14ac:dyDescent="0.25">
      <c r="A2329" t="s">
        <v>1563</v>
      </c>
      <c r="B2329" s="1">
        <v>45932</v>
      </c>
      <c r="C2329" s="1">
        <v>45939</v>
      </c>
      <c r="D2329" t="s">
        <v>844</v>
      </c>
      <c r="E2329" t="s">
        <v>236</v>
      </c>
      <c r="F2329" t="s">
        <v>39</v>
      </c>
      <c r="G2329" t="s">
        <v>40</v>
      </c>
      <c r="H2329" t="s">
        <v>606</v>
      </c>
      <c r="I2329" s="2">
        <v>1</v>
      </c>
      <c r="J2329" s="3">
        <v>1150</v>
      </c>
      <c r="K2329" s="4">
        <v>0.02</v>
      </c>
      <c r="L2329" s="3">
        <v>1127</v>
      </c>
      <c r="M2329" t="b">
        <v>1</v>
      </c>
      <c r="N2329" s="2">
        <f>YEAR(B2329)</f>
        <v>2025</v>
      </c>
      <c r="O2329" t="str">
        <f>INDEX(Agences!$C:$C,MATCH(F2329,Agences!$A:$A,0))</f>
        <v>Sud-Ouest</v>
      </c>
      <c r="P2329" t="str">
        <f>INDEX(Produits!$C:$C,MATCH(H2329,Produits!$A:$A,0))</f>
        <v>Mobilier</v>
      </c>
      <c r="Q2329" s="3">
        <f>I2329*INDEX(Produits!$E:$E,MATCH(H2329,Produits!$A:$A,0))</f>
        <v>713</v>
      </c>
      <c r="R2329" s="3">
        <f>L2329-Q2329</f>
        <v>414</v>
      </c>
      <c r="S2329" s="2">
        <f>NETWORKDAYS(B2329,C2329)-1</f>
        <v>5</v>
      </c>
      <c r="T2329" s="1">
        <f>WORKDAY(B2329,5)</f>
        <v>45939</v>
      </c>
      <c r="U2329" t="b">
        <f>C2329&gt;T2329</f>
        <v>0</v>
      </c>
    </row>
    <row r="2330" spans="1:21" x14ac:dyDescent="0.25">
      <c r="A2330" t="s">
        <v>1564</v>
      </c>
      <c r="B2330" s="1">
        <v>45932</v>
      </c>
      <c r="C2330" s="1">
        <v>45933</v>
      </c>
      <c r="D2330" t="s">
        <v>141</v>
      </c>
      <c r="E2330" t="s">
        <v>87</v>
      </c>
      <c r="F2330" t="s">
        <v>88</v>
      </c>
      <c r="G2330" t="s">
        <v>226</v>
      </c>
      <c r="H2330" t="s">
        <v>206</v>
      </c>
      <c r="I2330" s="2">
        <v>5</v>
      </c>
      <c r="J2330" s="3">
        <v>34</v>
      </c>
      <c r="K2330" s="4">
        <v>0</v>
      </c>
      <c r="L2330" s="3">
        <v>170</v>
      </c>
      <c r="M2330" t="b">
        <v>1</v>
      </c>
      <c r="N2330" s="2">
        <f>YEAR(B2330)</f>
        <v>2025</v>
      </c>
      <c r="O2330" t="str">
        <f>INDEX(Agences!$C:$C,MATCH(F2330,Agences!$A:$A,0))</f>
        <v>Sud-Ouest</v>
      </c>
      <c r="P2330" t="str">
        <f>INDEX(Produits!$C:$C,MATCH(H2330,Produits!$A:$A,0))</f>
        <v>Fournitures</v>
      </c>
      <c r="Q2330" s="3">
        <f>I2330*INDEX(Produits!$E:$E,MATCH(H2330,Produits!$A:$A,0))</f>
        <v>96.89999999999999</v>
      </c>
      <c r="R2330" s="3">
        <f>L2330-Q2330</f>
        <v>73.10000000000001</v>
      </c>
      <c r="S2330" s="2">
        <f>NETWORKDAYS(B2330,C2330)-1</f>
        <v>1</v>
      </c>
      <c r="T2330" s="1">
        <f>WORKDAY(B2330,5)</f>
        <v>45939</v>
      </c>
      <c r="U2330" t="b">
        <f>C2330&gt;T2330</f>
        <v>0</v>
      </c>
    </row>
    <row r="2331" spans="1:21" x14ac:dyDescent="0.25">
      <c r="A2331" t="s">
        <v>1564</v>
      </c>
      <c r="B2331" s="1">
        <v>45932</v>
      </c>
      <c r="C2331" s="1">
        <v>45933</v>
      </c>
      <c r="D2331" t="s">
        <v>141</v>
      </c>
      <c r="E2331" t="s">
        <v>87</v>
      </c>
      <c r="F2331" t="s">
        <v>88</v>
      </c>
      <c r="G2331" t="s">
        <v>226</v>
      </c>
      <c r="H2331" t="s">
        <v>33</v>
      </c>
      <c r="I2331" s="2">
        <v>1</v>
      </c>
      <c r="J2331" s="3">
        <v>219</v>
      </c>
      <c r="K2331" s="4">
        <v>0.02</v>
      </c>
      <c r="L2331" s="3">
        <v>214.62</v>
      </c>
      <c r="M2331" t="b">
        <v>1</v>
      </c>
      <c r="N2331" s="2">
        <f>YEAR(B2331)</f>
        <v>2025</v>
      </c>
      <c r="O2331" t="str">
        <f>INDEX(Agences!$C:$C,MATCH(F2331,Agences!$A:$A,0))</f>
        <v>Sud-Ouest</v>
      </c>
      <c r="P2331" t="str">
        <f>INDEX(Produits!$C:$C,MATCH(H2331,Produits!$A:$A,0))</f>
        <v>Informatique</v>
      </c>
      <c r="Q2331" s="3">
        <f>I2331*INDEX(Produits!$E:$E,MATCH(H2331,Produits!$A:$A,0))</f>
        <v>179.58</v>
      </c>
      <c r="R2331" s="3">
        <f>L2331-Q2331</f>
        <v>35.03999999999999</v>
      </c>
      <c r="S2331" s="2">
        <f>NETWORKDAYS(B2331,C2331)-1</f>
        <v>1</v>
      </c>
      <c r="T2331" s="1">
        <f>WORKDAY(B2331,5)</f>
        <v>45939</v>
      </c>
      <c r="U2331" t="b">
        <f>C2331&gt;T2331</f>
        <v>0</v>
      </c>
    </row>
    <row r="2332" spans="1:21" x14ac:dyDescent="0.25">
      <c r="A2332" t="s">
        <v>1565</v>
      </c>
      <c r="B2332" s="1">
        <v>45932</v>
      </c>
      <c r="C2332" s="1">
        <v>45938</v>
      </c>
      <c r="D2332" t="s">
        <v>1328</v>
      </c>
      <c r="E2332" t="s">
        <v>449</v>
      </c>
      <c r="F2332" t="s">
        <v>94</v>
      </c>
      <c r="G2332" t="s">
        <v>95</v>
      </c>
      <c r="H2332" t="s">
        <v>72</v>
      </c>
      <c r="I2332" s="2">
        <v>1</v>
      </c>
      <c r="J2332" s="3">
        <v>179</v>
      </c>
      <c r="K2332" s="4">
        <v>0</v>
      </c>
      <c r="L2332" s="3">
        <v>179</v>
      </c>
      <c r="M2332" t="b">
        <v>1</v>
      </c>
      <c r="N2332" s="2">
        <f>YEAR(B2332)</f>
        <v>2025</v>
      </c>
      <c r="O2332" t="str">
        <f>INDEX(Agences!$C:$C,MATCH(F2332,Agences!$A:$A,0))</f>
        <v>Méditerranée</v>
      </c>
      <c r="P2332" t="str">
        <f>INDEX(Produits!$C:$C,MATCH(H2332,Produits!$A:$A,0))</f>
        <v>Informatique</v>
      </c>
      <c r="Q2332" s="3">
        <f>I2332*INDEX(Produits!$E:$E,MATCH(H2332,Produits!$A:$A,0))</f>
        <v>146.78</v>
      </c>
      <c r="R2332" s="3">
        <f>L2332-Q2332</f>
        <v>32.22</v>
      </c>
      <c r="S2332" s="2">
        <f>NETWORKDAYS(B2332,C2332)-1</f>
        <v>4</v>
      </c>
      <c r="T2332" s="1">
        <f>WORKDAY(B2332,5)</f>
        <v>45939</v>
      </c>
      <c r="U2332" t="b">
        <f>C2332&gt;T2332</f>
        <v>0</v>
      </c>
    </row>
    <row r="2333" spans="1:21" x14ac:dyDescent="0.25">
      <c r="A2333" t="s">
        <v>1566</v>
      </c>
      <c r="B2333" s="1">
        <v>45931</v>
      </c>
      <c r="C2333" s="1">
        <v>45933</v>
      </c>
      <c r="D2333" t="s">
        <v>216</v>
      </c>
      <c r="E2333" t="s">
        <v>202</v>
      </c>
      <c r="F2333" t="s">
        <v>138</v>
      </c>
      <c r="G2333" t="s">
        <v>139</v>
      </c>
      <c r="H2333" t="s">
        <v>27</v>
      </c>
      <c r="I2333" s="2">
        <v>3</v>
      </c>
      <c r="J2333" s="3">
        <v>310</v>
      </c>
      <c r="K2333" s="4">
        <v>0.1</v>
      </c>
      <c r="L2333" s="3">
        <v>837</v>
      </c>
      <c r="M2333" t="b">
        <v>1</v>
      </c>
      <c r="N2333" s="2">
        <f>YEAR(B2333)</f>
        <v>2025</v>
      </c>
      <c r="O2333" t="str">
        <f>INDEX(Agences!$C:$C,MATCH(F2333,Agences!$A:$A,0))</f>
        <v>Île-de-France</v>
      </c>
      <c r="P2333" t="str">
        <f>INDEX(Produits!$C:$C,MATCH(H2333,Produits!$A:$A,0))</f>
        <v>Mobilier</v>
      </c>
      <c r="Q2333" s="3">
        <f>I2333*INDEX(Produits!$E:$E,MATCH(H2333,Produits!$A:$A,0))</f>
        <v>558</v>
      </c>
      <c r="R2333" s="3">
        <f>L2333-Q2333</f>
        <v>279</v>
      </c>
      <c r="S2333" s="2">
        <f>NETWORKDAYS(B2333,C2333)-1</f>
        <v>2</v>
      </c>
      <c r="T2333" s="1">
        <f>WORKDAY(B2333,5)</f>
        <v>45938</v>
      </c>
      <c r="U2333" t="b">
        <f>C2333&gt;T2333</f>
        <v>0</v>
      </c>
    </row>
    <row r="2334" spans="1:21" x14ac:dyDescent="0.25">
      <c r="A2334" t="s">
        <v>1566</v>
      </c>
      <c r="B2334" s="1">
        <v>45931</v>
      </c>
      <c r="C2334" s="1">
        <v>45933</v>
      </c>
      <c r="D2334" t="s">
        <v>216</v>
      </c>
      <c r="E2334" t="s">
        <v>202</v>
      </c>
      <c r="F2334" t="s">
        <v>138</v>
      </c>
      <c r="G2334" t="s">
        <v>139</v>
      </c>
      <c r="H2334" t="s">
        <v>35</v>
      </c>
      <c r="I2334" s="2">
        <v>1</v>
      </c>
      <c r="J2334" s="3">
        <v>79</v>
      </c>
      <c r="K2334" s="4">
        <v>0</v>
      </c>
      <c r="L2334" s="3">
        <v>79</v>
      </c>
      <c r="M2334" t="b">
        <v>1</v>
      </c>
      <c r="N2334" s="2">
        <f>YEAR(B2334)</f>
        <v>2025</v>
      </c>
      <c r="O2334" t="str">
        <f>INDEX(Agences!$C:$C,MATCH(F2334,Agences!$A:$A,0))</f>
        <v>Île-de-France</v>
      </c>
      <c r="P2334" t="str">
        <f>INDEX(Produits!$C:$C,MATCH(H2334,Produits!$A:$A,0))</f>
        <v>Mobilier</v>
      </c>
      <c r="Q2334" s="3">
        <f>I2334*INDEX(Produits!$E:$E,MATCH(H2334,Produits!$A:$A,0))</f>
        <v>46.61</v>
      </c>
      <c r="R2334" s="3">
        <f>L2334-Q2334</f>
        <v>32.39</v>
      </c>
      <c r="S2334" s="2">
        <f>NETWORKDAYS(B2334,C2334)-1</f>
        <v>2</v>
      </c>
      <c r="T2334" s="1">
        <f>WORKDAY(B2334,5)</f>
        <v>45938</v>
      </c>
      <c r="U2334" t="b">
        <f>C2334&gt;T2334</f>
        <v>0</v>
      </c>
    </row>
    <row r="2335" spans="1:21" x14ac:dyDescent="0.25">
      <c r="A2335" t="s">
        <v>1567</v>
      </c>
      <c r="B2335" s="1">
        <v>45931</v>
      </c>
      <c r="C2335" s="1">
        <v>45937</v>
      </c>
      <c r="D2335" t="s">
        <v>733</v>
      </c>
      <c r="E2335" t="s">
        <v>307</v>
      </c>
      <c r="F2335" t="s">
        <v>76</v>
      </c>
      <c r="G2335" t="s">
        <v>77</v>
      </c>
      <c r="H2335" t="s">
        <v>112</v>
      </c>
      <c r="I2335" s="2">
        <v>3</v>
      </c>
      <c r="J2335" s="3">
        <v>129</v>
      </c>
      <c r="K2335" s="4">
        <v>0</v>
      </c>
      <c r="L2335" s="3">
        <v>387</v>
      </c>
      <c r="M2335" t="b">
        <v>1</v>
      </c>
      <c r="N2335" s="2">
        <f>YEAR(B2335)</f>
        <v>2025</v>
      </c>
      <c r="O2335" t="str">
        <f>INDEX(Agences!$C:$C,MATCH(F2335,Agences!$A:$A,0))</f>
        <v>Île-de-France</v>
      </c>
      <c r="P2335" t="str">
        <f>INDEX(Produits!$C:$C,MATCH(H2335,Produits!$A:$A,0))</f>
        <v>Mobilier</v>
      </c>
      <c r="Q2335" s="3">
        <f>I2335*INDEX(Produits!$E:$E,MATCH(H2335,Produits!$A:$A,0))</f>
        <v>259.29</v>
      </c>
      <c r="R2335" s="3">
        <f>L2335-Q2335</f>
        <v>127.70999999999998</v>
      </c>
      <c r="S2335" s="2">
        <f>NETWORKDAYS(B2335,C2335)-1</f>
        <v>4</v>
      </c>
      <c r="T2335" s="1">
        <f>WORKDAY(B2335,5)</f>
        <v>45938</v>
      </c>
      <c r="U2335" t="b">
        <f>C2335&gt;T2335</f>
        <v>0</v>
      </c>
    </row>
    <row r="2336" spans="1:21" x14ac:dyDescent="0.25">
      <c r="A2336" t="s">
        <v>1567</v>
      </c>
      <c r="B2336" s="1">
        <v>45931</v>
      </c>
      <c r="C2336" s="1">
        <v>45937</v>
      </c>
      <c r="D2336" t="s">
        <v>733</v>
      </c>
      <c r="E2336" t="s">
        <v>307</v>
      </c>
      <c r="F2336" t="s">
        <v>76</v>
      </c>
      <c r="G2336" t="s">
        <v>77</v>
      </c>
      <c r="H2336" t="s">
        <v>84</v>
      </c>
      <c r="I2336" s="2">
        <v>3</v>
      </c>
      <c r="J2336" s="3">
        <v>420</v>
      </c>
      <c r="K2336" s="4">
        <v>0</v>
      </c>
      <c r="L2336" s="3">
        <v>1260</v>
      </c>
      <c r="M2336" t="b">
        <v>1</v>
      </c>
      <c r="N2336" s="2">
        <f>YEAR(B2336)</f>
        <v>2025</v>
      </c>
      <c r="O2336" t="str">
        <f>INDEX(Agences!$C:$C,MATCH(F2336,Agences!$A:$A,0))</f>
        <v>Île-de-France</v>
      </c>
      <c r="P2336" t="str">
        <f>INDEX(Produits!$C:$C,MATCH(H2336,Produits!$A:$A,0))</f>
        <v>Mobilier</v>
      </c>
      <c r="Q2336" s="3">
        <f>I2336*INDEX(Produits!$E:$E,MATCH(H2336,Produits!$A:$A,0))</f>
        <v>730.8</v>
      </c>
      <c r="R2336" s="3">
        <f>L2336-Q2336</f>
        <v>529.2</v>
      </c>
      <c r="S2336" s="2">
        <f>NETWORKDAYS(B2336,C2336)-1</f>
        <v>4</v>
      </c>
      <c r="T2336" s="1">
        <f>WORKDAY(B2336,5)</f>
        <v>45938</v>
      </c>
      <c r="U2336" t="b">
        <f>C2336&gt;T2336</f>
        <v>0</v>
      </c>
    </row>
    <row r="2337" spans="1:21" x14ac:dyDescent="0.25">
      <c r="A2337" t="s">
        <v>1568</v>
      </c>
      <c r="B2337" s="1">
        <v>45931</v>
      </c>
      <c r="C2337" s="1">
        <v>45937</v>
      </c>
      <c r="D2337" t="s">
        <v>467</v>
      </c>
      <c r="E2337" t="s">
        <v>157</v>
      </c>
      <c r="F2337" t="s">
        <v>46</v>
      </c>
      <c r="G2337" t="s">
        <v>158</v>
      </c>
      <c r="H2337" t="s">
        <v>50</v>
      </c>
      <c r="I2337" s="2">
        <v>3</v>
      </c>
      <c r="J2337" s="3">
        <v>69</v>
      </c>
      <c r="K2337" s="4">
        <v>0</v>
      </c>
      <c r="L2337" s="3">
        <v>207</v>
      </c>
      <c r="M2337" t="b">
        <v>1</v>
      </c>
      <c r="N2337" s="2">
        <f>YEAR(B2337)</f>
        <v>2025</v>
      </c>
      <c r="O2337" t="str">
        <f>INDEX(Agences!$C:$C,MATCH(F2337,Agences!$A:$A,0))</f>
        <v>Est</v>
      </c>
      <c r="P2337" t="str">
        <f>INDEX(Produits!$C:$C,MATCH(H2337,Produits!$A:$A,0))</f>
        <v>Informatique</v>
      </c>
      <c r="Q2337" s="3">
        <f>I2337*INDEX(Produits!$E:$E,MATCH(H2337,Produits!$A:$A,0))</f>
        <v>163.53</v>
      </c>
      <c r="R2337" s="3">
        <f>L2337-Q2337</f>
        <v>43.47</v>
      </c>
      <c r="S2337" s="2">
        <f>NETWORKDAYS(B2337,C2337)-1</f>
        <v>4</v>
      </c>
      <c r="T2337" s="1">
        <f>WORKDAY(B2337,5)</f>
        <v>45938</v>
      </c>
      <c r="U2337" t="b">
        <f>C2337&gt;T2337</f>
        <v>0</v>
      </c>
    </row>
    <row r="2338" spans="1:21" x14ac:dyDescent="0.25">
      <c r="A2338" t="s">
        <v>1568</v>
      </c>
      <c r="B2338" s="1">
        <v>45931</v>
      </c>
      <c r="C2338" s="1">
        <v>45937</v>
      </c>
      <c r="D2338" t="s">
        <v>467</v>
      </c>
      <c r="E2338" t="s">
        <v>157</v>
      </c>
      <c r="F2338" t="s">
        <v>46</v>
      </c>
      <c r="G2338" t="s">
        <v>158</v>
      </c>
      <c r="H2338" t="s">
        <v>132</v>
      </c>
      <c r="I2338" s="2">
        <v>1</v>
      </c>
      <c r="J2338" s="3">
        <v>650</v>
      </c>
      <c r="K2338" s="4">
        <v>0.1</v>
      </c>
      <c r="L2338" s="3">
        <v>585</v>
      </c>
      <c r="M2338" t="b">
        <v>1</v>
      </c>
      <c r="N2338" s="2">
        <f>YEAR(B2338)</f>
        <v>2025</v>
      </c>
      <c r="O2338" t="str">
        <f>INDEX(Agences!$C:$C,MATCH(F2338,Agences!$A:$A,0))</f>
        <v>Est</v>
      </c>
      <c r="P2338" t="str">
        <f>INDEX(Produits!$C:$C,MATCH(H2338,Produits!$A:$A,0))</f>
        <v>Maintenance</v>
      </c>
      <c r="Q2338" s="3">
        <f>I2338*INDEX(Produits!$E:$E,MATCH(H2338,Produits!$A:$A,0))</f>
        <v>273</v>
      </c>
      <c r="R2338" s="3">
        <f>L2338-Q2338</f>
        <v>312</v>
      </c>
      <c r="S2338" s="2">
        <f>NETWORKDAYS(B2338,C2338)-1</f>
        <v>4</v>
      </c>
      <c r="T2338" s="1">
        <f>WORKDAY(B2338,5)</f>
        <v>45938</v>
      </c>
      <c r="U2338" t="b">
        <f>C2338&gt;T2338</f>
        <v>0</v>
      </c>
    </row>
    <row r="2339" spans="1:21" x14ac:dyDescent="0.25">
      <c r="A2339" t="s">
        <v>1568</v>
      </c>
      <c r="B2339" s="1">
        <v>45931</v>
      </c>
      <c r="C2339" s="1">
        <v>45937</v>
      </c>
      <c r="D2339" t="s">
        <v>467</v>
      </c>
      <c r="E2339" t="s">
        <v>157</v>
      </c>
      <c r="F2339" t="s">
        <v>46</v>
      </c>
      <c r="G2339" t="s">
        <v>158</v>
      </c>
      <c r="H2339" t="s">
        <v>27</v>
      </c>
      <c r="I2339" s="2">
        <v>2</v>
      </c>
      <c r="J2339" s="3">
        <v>310</v>
      </c>
      <c r="K2339" s="4">
        <v>0.02</v>
      </c>
      <c r="L2339" s="3">
        <v>607.6</v>
      </c>
      <c r="M2339" t="b">
        <v>1</v>
      </c>
      <c r="N2339" s="2">
        <f>YEAR(B2339)</f>
        <v>2025</v>
      </c>
      <c r="O2339" t="str">
        <f>INDEX(Agences!$C:$C,MATCH(F2339,Agences!$A:$A,0))</f>
        <v>Est</v>
      </c>
      <c r="P2339" t="str">
        <f>INDEX(Produits!$C:$C,MATCH(H2339,Produits!$A:$A,0))</f>
        <v>Mobilier</v>
      </c>
      <c r="Q2339" s="3">
        <f>I2339*INDEX(Produits!$E:$E,MATCH(H2339,Produits!$A:$A,0))</f>
        <v>372</v>
      </c>
      <c r="R2339" s="3">
        <f>L2339-Q2339</f>
        <v>235.60000000000002</v>
      </c>
      <c r="S2339" s="2">
        <f>NETWORKDAYS(B2339,C2339)-1</f>
        <v>4</v>
      </c>
      <c r="T2339" s="1">
        <f>WORKDAY(B2339,5)</f>
        <v>45938</v>
      </c>
      <c r="U2339" t="b">
        <f>C2339&gt;T2339</f>
        <v>0</v>
      </c>
    </row>
    <row r="2340" spans="1:21" x14ac:dyDescent="0.25">
      <c r="A2340" t="s">
        <v>1569</v>
      </c>
      <c r="B2340" s="1">
        <v>45931</v>
      </c>
      <c r="C2340" s="1">
        <v>45933</v>
      </c>
      <c r="D2340" t="s">
        <v>1570</v>
      </c>
      <c r="E2340" t="s">
        <v>229</v>
      </c>
      <c r="F2340" t="s">
        <v>55</v>
      </c>
      <c r="G2340" t="s">
        <v>195</v>
      </c>
      <c r="H2340" t="s">
        <v>42</v>
      </c>
      <c r="I2340" s="2">
        <v>1</v>
      </c>
      <c r="J2340" s="3">
        <v>55</v>
      </c>
      <c r="K2340" s="4">
        <v>0.05</v>
      </c>
      <c r="L2340" s="3">
        <v>52.25</v>
      </c>
      <c r="M2340" t="b">
        <v>1</v>
      </c>
      <c r="N2340" s="2">
        <f>YEAR(B2340)</f>
        <v>2025</v>
      </c>
      <c r="O2340" t="str">
        <f>INDEX(Agences!$C:$C,MATCH(F2340,Agences!$A:$A,0))</f>
        <v>Est</v>
      </c>
      <c r="P2340" t="str">
        <f>INDEX(Produits!$C:$C,MATCH(H2340,Produits!$A:$A,0))</f>
        <v>Maintenance</v>
      </c>
      <c r="Q2340" s="3">
        <f>I2340*INDEX(Produits!$E:$E,MATCH(H2340,Produits!$A:$A,0))</f>
        <v>24.75</v>
      </c>
      <c r="R2340" s="3">
        <f>L2340-Q2340</f>
        <v>27.5</v>
      </c>
      <c r="S2340" s="2">
        <f>NETWORKDAYS(B2340,C2340)-1</f>
        <v>2</v>
      </c>
      <c r="T2340" s="1">
        <f>WORKDAY(B2340,5)</f>
        <v>45938</v>
      </c>
      <c r="U2340" t="b">
        <f>C2340&gt;T2340</f>
        <v>0</v>
      </c>
    </row>
    <row r="2341" spans="1:21" x14ac:dyDescent="0.25">
      <c r="A2341" t="s">
        <v>1569</v>
      </c>
      <c r="B2341" s="1">
        <v>45931</v>
      </c>
      <c r="C2341" s="1">
        <v>45933</v>
      </c>
      <c r="D2341" t="s">
        <v>1570</v>
      </c>
      <c r="E2341" t="s">
        <v>229</v>
      </c>
      <c r="F2341" t="s">
        <v>55</v>
      </c>
      <c r="G2341" t="s">
        <v>195</v>
      </c>
      <c r="H2341" t="s">
        <v>84</v>
      </c>
      <c r="I2341" s="2">
        <v>1</v>
      </c>
      <c r="J2341" s="3">
        <v>420</v>
      </c>
      <c r="K2341" s="4">
        <v>0.08</v>
      </c>
      <c r="L2341" s="3">
        <v>386.4</v>
      </c>
      <c r="M2341" t="b">
        <v>1</v>
      </c>
      <c r="N2341" s="2">
        <f>YEAR(B2341)</f>
        <v>2025</v>
      </c>
      <c r="O2341" t="str">
        <f>INDEX(Agences!$C:$C,MATCH(F2341,Agences!$A:$A,0))</f>
        <v>Est</v>
      </c>
      <c r="P2341" t="str">
        <f>INDEX(Produits!$C:$C,MATCH(H2341,Produits!$A:$A,0))</f>
        <v>Mobilier</v>
      </c>
      <c r="Q2341" s="3">
        <f>I2341*INDEX(Produits!$E:$E,MATCH(H2341,Produits!$A:$A,0))</f>
        <v>243.6</v>
      </c>
      <c r="R2341" s="3">
        <f>L2341-Q2341</f>
        <v>142.79999999999998</v>
      </c>
      <c r="S2341" s="2">
        <f>NETWORKDAYS(B2341,C2341)-1</f>
        <v>2</v>
      </c>
      <c r="T2341" s="1">
        <f>WORKDAY(B2341,5)</f>
        <v>45938</v>
      </c>
      <c r="U2341" t="b">
        <f>C2341&gt;T2341</f>
        <v>0</v>
      </c>
    </row>
    <row r="2342" spans="1:21" x14ac:dyDescent="0.25">
      <c r="A2342" t="s">
        <v>1569</v>
      </c>
      <c r="B2342" s="1">
        <v>45931</v>
      </c>
      <c r="C2342" s="1">
        <v>45933</v>
      </c>
      <c r="D2342" t="s">
        <v>1570</v>
      </c>
      <c r="E2342" t="s">
        <v>229</v>
      </c>
      <c r="F2342" t="s">
        <v>55</v>
      </c>
      <c r="G2342" t="s">
        <v>195</v>
      </c>
      <c r="H2342" t="s">
        <v>319</v>
      </c>
      <c r="I2342" s="2">
        <v>1</v>
      </c>
      <c r="J2342" s="3">
        <v>289</v>
      </c>
      <c r="K2342" s="4">
        <v>0.05</v>
      </c>
      <c r="L2342" s="3">
        <v>274.55</v>
      </c>
      <c r="M2342" t="b">
        <v>1</v>
      </c>
      <c r="N2342" s="2">
        <f>YEAR(B2342)</f>
        <v>2025</v>
      </c>
      <c r="O2342" t="str">
        <f>INDEX(Agences!$C:$C,MATCH(F2342,Agences!$A:$A,0))</f>
        <v>Est</v>
      </c>
      <c r="P2342" t="str">
        <f>INDEX(Produits!$C:$C,MATCH(H2342,Produits!$A:$A,0))</f>
        <v>Informatique</v>
      </c>
      <c r="Q2342" s="3">
        <f>I2342*INDEX(Produits!$E:$E,MATCH(H2342,Produits!$A:$A,0))</f>
        <v>213.86</v>
      </c>
      <c r="R2342" s="3">
        <f>L2342-Q2342</f>
        <v>60.69</v>
      </c>
      <c r="S2342" s="2">
        <f>NETWORKDAYS(B2342,C2342)-1</f>
        <v>2</v>
      </c>
      <c r="T2342" s="1">
        <f>WORKDAY(B2342,5)</f>
        <v>45938</v>
      </c>
      <c r="U2342" t="b">
        <f>C2342&gt;T2342</f>
        <v>0</v>
      </c>
    </row>
    <row r="2343" spans="1:21" x14ac:dyDescent="0.25">
      <c r="A2343" t="s">
        <v>1569</v>
      </c>
      <c r="B2343" s="1">
        <v>45931</v>
      </c>
      <c r="C2343" s="1">
        <v>45933</v>
      </c>
      <c r="D2343" t="s">
        <v>1570</v>
      </c>
      <c r="E2343" t="s">
        <v>229</v>
      </c>
      <c r="F2343" t="s">
        <v>55</v>
      </c>
      <c r="G2343" t="s">
        <v>195</v>
      </c>
      <c r="H2343" t="s">
        <v>79</v>
      </c>
      <c r="I2343" s="2">
        <v>15</v>
      </c>
      <c r="J2343" s="3">
        <v>14.9</v>
      </c>
      <c r="K2343" s="4">
        <v>0.08</v>
      </c>
      <c r="L2343" s="3">
        <v>205.62</v>
      </c>
      <c r="M2343" t="b">
        <v>1</v>
      </c>
      <c r="N2343" s="2">
        <f>YEAR(B2343)</f>
        <v>2025</v>
      </c>
      <c r="O2343" t="str">
        <f>INDEX(Agences!$C:$C,MATCH(F2343,Agences!$A:$A,0))</f>
        <v>Est</v>
      </c>
      <c r="P2343" t="str">
        <f>INDEX(Produits!$C:$C,MATCH(H2343,Produits!$A:$A,0))</f>
        <v>Fournitures</v>
      </c>
      <c r="Q2343" s="3">
        <f>I2343*INDEX(Produits!$E:$E,MATCH(H2343,Produits!$A:$A,0))</f>
        <v>120.75000000000001</v>
      </c>
      <c r="R2343" s="3">
        <f>L2343-Q2343</f>
        <v>84.86999999999999</v>
      </c>
      <c r="S2343" s="2">
        <f>NETWORKDAYS(B2343,C2343)-1</f>
        <v>2</v>
      </c>
      <c r="T2343" s="1">
        <f>WORKDAY(B2343,5)</f>
        <v>45938</v>
      </c>
      <c r="U2343" t="b">
        <f>C2343&gt;T2343</f>
        <v>0</v>
      </c>
    </row>
    <row r="2344" spans="1:21" x14ac:dyDescent="0.25">
      <c r="A2344" t="s">
        <v>1571</v>
      </c>
      <c r="B2344" s="1">
        <v>45930</v>
      </c>
      <c r="C2344" s="1">
        <v>45932</v>
      </c>
      <c r="D2344" t="s">
        <v>1572</v>
      </c>
      <c r="E2344" t="s">
        <v>251</v>
      </c>
      <c r="F2344" t="s">
        <v>166</v>
      </c>
      <c r="G2344" t="s">
        <v>248</v>
      </c>
      <c r="H2344" t="s">
        <v>79</v>
      </c>
      <c r="I2344" s="2">
        <v>25</v>
      </c>
      <c r="J2344" s="3">
        <v>14.9</v>
      </c>
      <c r="K2344" s="4">
        <v>0</v>
      </c>
      <c r="L2344" s="3">
        <v>372.5</v>
      </c>
      <c r="M2344" t="b">
        <v>1</v>
      </c>
      <c r="N2344" s="2">
        <f>YEAR(B2344)</f>
        <v>2025</v>
      </c>
      <c r="O2344" t="str">
        <f>INDEX(Agences!$C:$C,MATCH(F2344,Agences!$A:$A,0))</f>
        <v>Ouest</v>
      </c>
      <c r="P2344" t="str">
        <f>INDEX(Produits!$C:$C,MATCH(H2344,Produits!$A:$A,0))</f>
        <v>Fournitures</v>
      </c>
      <c r="Q2344" s="3">
        <f>I2344*INDEX(Produits!$E:$E,MATCH(H2344,Produits!$A:$A,0))</f>
        <v>201.25000000000003</v>
      </c>
      <c r="R2344" s="3">
        <f>L2344-Q2344</f>
        <v>171.24999999999997</v>
      </c>
      <c r="S2344" s="2">
        <f>NETWORKDAYS(B2344,C2344)-1</f>
        <v>2</v>
      </c>
      <c r="T2344" s="1">
        <f>WORKDAY(B2344,5)</f>
        <v>45937</v>
      </c>
      <c r="U2344" t="b">
        <f>C2344&gt;T2344</f>
        <v>0</v>
      </c>
    </row>
    <row r="2345" spans="1:21" x14ac:dyDescent="0.25">
      <c r="A2345" t="s">
        <v>1573</v>
      </c>
      <c r="B2345" s="1">
        <v>45930</v>
      </c>
      <c r="C2345" s="1">
        <v>45936</v>
      </c>
      <c r="D2345" t="s">
        <v>1227</v>
      </c>
      <c r="E2345" t="s">
        <v>38</v>
      </c>
      <c r="F2345" t="s">
        <v>39</v>
      </c>
      <c r="G2345" t="s">
        <v>131</v>
      </c>
      <c r="H2345" t="s">
        <v>205</v>
      </c>
      <c r="I2345" s="2">
        <v>2</v>
      </c>
      <c r="J2345" s="3">
        <v>359</v>
      </c>
      <c r="K2345" s="4">
        <v>0.02</v>
      </c>
      <c r="L2345" s="3">
        <v>703.64</v>
      </c>
      <c r="M2345" t="b">
        <v>1</v>
      </c>
      <c r="N2345" s="2">
        <f>YEAR(B2345)</f>
        <v>2025</v>
      </c>
      <c r="O2345" t="str">
        <f>INDEX(Agences!$C:$C,MATCH(F2345,Agences!$A:$A,0))</f>
        <v>Sud-Ouest</v>
      </c>
      <c r="P2345" t="str">
        <f>INDEX(Produits!$C:$C,MATCH(H2345,Produits!$A:$A,0))</f>
        <v>Mobilier</v>
      </c>
      <c r="Q2345" s="3">
        <f>I2345*INDEX(Produits!$E:$E,MATCH(H2345,Produits!$A:$A,0))</f>
        <v>409.26</v>
      </c>
      <c r="R2345" s="3">
        <f>L2345-Q2345</f>
        <v>294.38</v>
      </c>
      <c r="S2345" s="2">
        <f>NETWORKDAYS(B2345,C2345)-1</f>
        <v>4</v>
      </c>
      <c r="T2345" s="1">
        <f>WORKDAY(B2345,5)</f>
        <v>45937</v>
      </c>
      <c r="U2345" t="b">
        <f>C2345&gt;T2345</f>
        <v>0</v>
      </c>
    </row>
    <row r="2346" spans="1:21" x14ac:dyDescent="0.25">
      <c r="A2346" t="s">
        <v>1573</v>
      </c>
      <c r="B2346" s="1">
        <v>45930</v>
      </c>
      <c r="C2346" s="1">
        <v>45936</v>
      </c>
      <c r="D2346" t="s">
        <v>1227</v>
      </c>
      <c r="E2346" t="s">
        <v>38</v>
      </c>
      <c r="F2346" t="s">
        <v>39</v>
      </c>
      <c r="G2346" t="s">
        <v>131</v>
      </c>
      <c r="H2346" t="s">
        <v>26</v>
      </c>
      <c r="I2346" s="2">
        <v>1</v>
      </c>
      <c r="J2346" s="3">
        <v>290</v>
      </c>
      <c r="K2346" s="4">
        <v>0</v>
      </c>
      <c r="L2346" s="3">
        <v>290</v>
      </c>
      <c r="M2346" t="b">
        <v>1</v>
      </c>
      <c r="N2346" s="2">
        <f>YEAR(B2346)</f>
        <v>2025</v>
      </c>
      <c r="O2346" t="str">
        <f>INDEX(Agences!$C:$C,MATCH(F2346,Agences!$A:$A,0))</f>
        <v>Sud-Ouest</v>
      </c>
      <c r="P2346" t="str">
        <f>INDEX(Produits!$C:$C,MATCH(H2346,Produits!$A:$A,0))</f>
        <v>Maintenance</v>
      </c>
      <c r="Q2346" s="3">
        <f>I2346*INDEX(Produits!$E:$E,MATCH(H2346,Produits!$A:$A,0))</f>
        <v>139.2</v>
      </c>
      <c r="R2346" s="3">
        <f>L2346-Q2346</f>
        <v>150.8</v>
      </c>
      <c r="S2346" s="2">
        <f>NETWORKDAYS(B2346,C2346)-1</f>
        <v>4</v>
      </c>
      <c r="T2346" s="1">
        <f>WORKDAY(B2346,5)</f>
        <v>45937</v>
      </c>
      <c r="U2346" t="b">
        <f>C2346&gt;T2346</f>
        <v>0</v>
      </c>
    </row>
    <row r="2347" spans="1:21" x14ac:dyDescent="0.25">
      <c r="A2347" t="s">
        <v>1573</v>
      </c>
      <c r="B2347" s="1">
        <v>45930</v>
      </c>
      <c r="C2347" s="1">
        <v>45936</v>
      </c>
      <c r="D2347" t="s">
        <v>1227</v>
      </c>
      <c r="E2347" t="s">
        <v>38</v>
      </c>
      <c r="F2347" t="s">
        <v>39</v>
      </c>
      <c r="G2347" t="s">
        <v>131</v>
      </c>
      <c r="H2347" t="s">
        <v>112</v>
      </c>
      <c r="I2347" s="2">
        <v>3</v>
      </c>
      <c r="J2347" s="3">
        <v>129</v>
      </c>
      <c r="K2347" s="4">
        <v>0.02</v>
      </c>
      <c r="L2347" s="3">
        <v>379.26</v>
      </c>
      <c r="M2347" t="b">
        <v>1</v>
      </c>
      <c r="N2347" s="2">
        <f>YEAR(B2347)</f>
        <v>2025</v>
      </c>
      <c r="O2347" t="str">
        <f>INDEX(Agences!$C:$C,MATCH(F2347,Agences!$A:$A,0))</f>
        <v>Sud-Ouest</v>
      </c>
      <c r="P2347" t="str">
        <f>INDEX(Produits!$C:$C,MATCH(H2347,Produits!$A:$A,0))</f>
        <v>Mobilier</v>
      </c>
      <c r="Q2347" s="3">
        <f>I2347*INDEX(Produits!$E:$E,MATCH(H2347,Produits!$A:$A,0))</f>
        <v>259.29</v>
      </c>
      <c r="R2347" s="3">
        <f>L2347-Q2347</f>
        <v>119.96999999999997</v>
      </c>
      <c r="S2347" s="2">
        <f>NETWORKDAYS(B2347,C2347)-1</f>
        <v>4</v>
      </c>
      <c r="T2347" s="1">
        <f>WORKDAY(B2347,5)</f>
        <v>45937</v>
      </c>
      <c r="U2347" t="b">
        <f>C2347&gt;T2347</f>
        <v>0</v>
      </c>
    </row>
    <row r="2348" spans="1:21" x14ac:dyDescent="0.25">
      <c r="A2348" t="s">
        <v>1573</v>
      </c>
      <c r="B2348" s="1">
        <v>45930</v>
      </c>
      <c r="C2348" s="1">
        <v>45936</v>
      </c>
      <c r="D2348" t="s">
        <v>1227</v>
      </c>
      <c r="E2348" t="s">
        <v>38</v>
      </c>
      <c r="F2348" t="s">
        <v>39</v>
      </c>
      <c r="G2348" t="s">
        <v>131</v>
      </c>
      <c r="H2348" t="s">
        <v>35</v>
      </c>
      <c r="I2348" s="2">
        <v>6</v>
      </c>
      <c r="J2348" s="3">
        <v>79</v>
      </c>
      <c r="K2348" s="4">
        <v>0</v>
      </c>
      <c r="L2348" s="3">
        <v>474</v>
      </c>
      <c r="M2348" t="b">
        <v>1</v>
      </c>
      <c r="N2348" s="2">
        <f>YEAR(B2348)</f>
        <v>2025</v>
      </c>
      <c r="O2348" t="str">
        <f>INDEX(Agences!$C:$C,MATCH(F2348,Agences!$A:$A,0))</f>
        <v>Sud-Ouest</v>
      </c>
      <c r="P2348" t="str">
        <f>INDEX(Produits!$C:$C,MATCH(H2348,Produits!$A:$A,0))</f>
        <v>Mobilier</v>
      </c>
      <c r="Q2348" s="3">
        <f>I2348*INDEX(Produits!$E:$E,MATCH(H2348,Produits!$A:$A,0))</f>
        <v>279.65999999999997</v>
      </c>
      <c r="R2348" s="3">
        <f>L2348-Q2348</f>
        <v>194.34000000000003</v>
      </c>
      <c r="S2348" s="2">
        <f>NETWORKDAYS(B2348,C2348)-1</f>
        <v>4</v>
      </c>
      <c r="T2348" s="1">
        <f>WORKDAY(B2348,5)</f>
        <v>45937</v>
      </c>
      <c r="U2348" t="b">
        <f>C2348&gt;T2348</f>
        <v>0</v>
      </c>
    </row>
    <row r="2349" spans="1:21" x14ac:dyDescent="0.25">
      <c r="A2349" t="s">
        <v>1574</v>
      </c>
      <c r="B2349" s="1">
        <v>45930</v>
      </c>
      <c r="C2349" s="1">
        <v>45932</v>
      </c>
      <c r="D2349" t="s">
        <v>1026</v>
      </c>
      <c r="E2349" t="s">
        <v>225</v>
      </c>
      <c r="F2349" t="s">
        <v>88</v>
      </c>
      <c r="G2349" t="s">
        <v>142</v>
      </c>
      <c r="H2349" t="s">
        <v>27</v>
      </c>
      <c r="I2349" s="2">
        <v>6</v>
      </c>
      <c r="J2349" s="3">
        <v>310</v>
      </c>
      <c r="K2349" s="4">
        <v>0.1</v>
      </c>
      <c r="L2349" s="3">
        <v>1674</v>
      </c>
      <c r="M2349" t="b">
        <v>1</v>
      </c>
      <c r="N2349" s="2">
        <f>YEAR(B2349)</f>
        <v>2025</v>
      </c>
      <c r="O2349" t="str">
        <f>INDEX(Agences!$C:$C,MATCH(F2349,Agences!$A:$A,0))</f>
        <v>Sud-Ouest</v>
      </c>
      <c r="P2349" t="str">
        <f>INDEX(Produits!$C:$C,MATCH(H2349,Produits!$A:$A,0))</f>
        <v>Mobilier</v>
      </c>
      <c r="Q2349" s="3">
        <f>I2349*INDEX(Produits!$E:$E,MATCH(H2349,Produits!$A:$A,0))</f>
        <v>1116</v>
      </c>
      <c r="R2349" s="3">
        <f>L2349-Q2349</f>
        <v>558</v>
      </c>
      <c r="S2349" s="2">
        <f>NETWORKDAYS(B2349,C2349)-1</f>
        <v>2</v>
      </c>
      <c r="T2349" s="1">
        <f>WORKDAY(B2349,5)</f>
        <v>45937</v>
      </c>
      <c r="U2349" t="b">
        <f>C2349&gt;T2349</f>
        <v>0</v>
      </c>
    </row>
    <row r="2350" spans="1:21" x14ac:dyDescent="0.25">
      <c r="A2350" t="s">
        <v>1574</v>
      </c>
      <c r="B2350" s="1">
        <v>45930</v>
      </c>
      <c r="C2350" s="1">
        <v>45932</v>
      </c>
      <c r="D2350" t="s">
        <v>1026</v>
      </c>
      <c r="E2350" t="s">
        <v>225</v>
      </c>
      <c r="F2350" t="s">
        <v>88</v>
      </c>
      <c r="G2350" t="s">
        <v>142</v>
      </c>
      <c r="H2350" t="s">
        <v>35</v>
      </c>
      <c r="I2350" s="2">
        <v>1</v>
      </c>
      <c r="J2350" s="3">
        <v>79</v>
      </c>
      <c r="K2350" s="4">
        <v>0</v>
      </c>
      <c r="L2350" s="3">
        <v>79</v>
      </c>
      <c r="M2350" t="b">
        <v>1</v>
      </c>
      <c r="N2350" s="2">
        <f>YEAR(B2350)</f>
        <v>2025</v>
      </c>
      <c r="O2350" t="str">
        <f>INDEX(Agences!$C:$C,MATCH(F2350,Agences!$A:$A,0))</f>
        <v>Sud-Ouest</v>
      </c>
      <c r="P2350" t="str">
        <f>INDEX(Produits!$C:$C,MATCH(H2350,Produits!$A:$A,0))</f>
        <v>Mobilier</v>
      </c>
      <c r="Q2350" s="3">
        <f>I2350*INDEX(Produits!$E:$E,MATCH(H2350,Produits!$A:$A,0))</f>
        <v>46.61</v>
      </c>
      <c r="R2350" s="3">
        <f>L2350-Q2350</f>
        <v>32.39</v>
      </c>
      <c r="S2350" s="2">
        <f>NETWORKDAYS(B2350,C2350)-1</f>
        <v>2</v>
      </c>
      <c r="T2350" s="1">
        <f>WORKDAY(B2350,5)</f>
        <v>45937</v>
      </c>
      <c r="U2350" t="b">
        <f>C2350&gt;T2350</f>
        <v>0</v>
      </c>
    </row>
    <row r="2351" spans="1:21" x14ac:dyDescent="0.25">
      <c r="A2351" t="s">
        <v>1574</v>
      </c>
      <c r="B2351" s="1">
        <v>45930</v>
      </c>
      <c r="C2351" s="1">
        <v>45932</v>
      </c>
      <c r="D2351" t="s">
        <v>1026</v>
      </c>
      <c r="E2351" t="s">
        <v>225</v>
      </c>
      <c r="F2351" t="s">
        <v>88</v>
      </c>
      <c r="G2351" t="s">
        <v>142</v>
      </c>
      <c r="H2351" t="s">
        <v>107</v>
      </c>
      <c r="I2351" s="2">
        <v>1</v>
      </c>
      <c r="J2351" s="3">
        <v>99</v>
      </c>
      <c r="K2351" s="4">
        <v>0</v>
      </c>
      <c r="L2351" s="3">
        <v>99</v>
      </c>
      <c r="M2351" t="b">
        <v>1</v>
      </c>
      <c r="N2351" s="2">
        <f>YEAR(B2351)</f>
        <v>2025</v>
      </c>
      <c r="O2351" t="str">
        <f>INDEX(Agences!$C:$C,MATCH(F2351,Agences!$A:$A,0))</f>
        <v>Sud-Ouest</v>
      </c>
      <c r="P2351" t="str">
        <f>INDEX(Produits!$C:$C,MATCH(H2351,Produits!$A:$A,0))</f>
        <v>Informatique</v>
      </c>
      <c r="Q2351" s="3">
        <f>I2351*INDEX(Produits!$E:$E,MATCH(H2351,Produits!$A:$A,0))</f>
        <v>75.24</v>
      </c>
      <c r="R2351" s="3">
        <f>L2351-Q2351</f>
        <v>23.760000000000005</v>
      </c>
      <c r="S2351" s="2">
        <f>NETWORKDAYS(B2351,C2351)-1</f>
        <v>2</v>
      </c>
      <c r="T2351" s="1">
        <f>WORKDAY(B2351,5)</f>
        <v>45937</v>
      </c>
      <c r="U2351" t="b">
        <f>C2351&gt;T2351</f>
        <v>0</v>
      </c>
    </row>
    <row r="2352" spans="1:21" x14ac:dyDescent="0.25">
      <c r="A2352" t="s">
        <v>1575</v>
      </c>
      <c r="B2352" s="1">
        <v>45930</v>
      </c>
      <c r="C2352" s="1">
        <v>45932</v>
      </c>
      <c r="D2352" t="s">
        <v>750</v>
      </c>
      <c r="E2352" t="s">
        <v>229</v>
      </c>
      <c r="F2352" t="s">
        <v>55</v>
      </c>
      <c r="G2352" t="s">
        <v>56</v>
      </c>
      <c r="H2352" t="s">
        <v>50</v>
      </c>
      <c r="I2352" s="2">
        <v>1</v>
      </c>
      <c r="J2352" s="3">
        <v>69</v>
      </c>
      <c r="K2352" s="4">
        <v>0</v>
      </c>
      <c r="L2352" s="3">
        <v>69</v>
      </c>
      <c r="M2352" t="b">
        <v>1</v>
      </c>
      <c r="N2352" s="2">
        <f>YEAR(B2352)</f>
        <v>2025</v>
      </c>
      <c r="O2352" t="str">
        <f>INDEX(Agences!$C:$C,MATCH(F2352,Agences!$A:$A,0))</f>
        <v>Est</v>
      </c>
      <c r="P2352" t="str">
        <f>INDEX(Produits!$C:$C,MATCH(H2352,Produits!$A:$A,0))</f>
        <v>Informatique</v>
      </c>
      <c r="Q2352" s="3">
        <f>I2352*INDEX(Produits!$E:$E,MATCH(H2352,Produits!$A:$A,0))</f>
        <v>54.51</v>
      </c>
      <c r="R2352" s="3">
        <f>L2352-Q2352</f>
        <v>14.490000000000002</v>
      </c>
      <c r="S2352" s="2">
        <f>NETWORKDAYS(B2352,C2352)-1</f>
        <v>2</v>
      </c>
      <c r="T2352" s="1">
        <f>WORKDAY(B2352,5)</f>
        <v>45937</v>
      </c>
      <c r="U2352" t="b">
        <f>C2352&gt;T2352</f>
        <v>0</v>
      </c>
    </row>
    <row r="2353" spans="1:21" x14ac:dyDescent="0.25">
      <c r="A2353" t="s">
        <v>1575</v>
      </c>
      <c r="B2353" s="1">
        <v>45930</v>
      </c>
      <c r="C2353" s="1">
        <v>45932</v>
      </c>
      <c r="D2353" t="s">
        <v>750</v>
      </c>
      <c r="E2353" t="s">
        <v>229</v>
      </c>
      <c r="F2353" t="s">
        <v>55</v>
      </c>
      <c r="G2353" t="s">
        <v>56</v>
      </c>
      <c r="H2353" t="s">
        <v>103</v>
      </c>
      <c r="I2353" s="2">
        <v>1</v>
      </c>
      <c r="J2353" s="3">
        <v>245</v>
      </c>
      <c r="K2353" s="4">
        <v>0.1</v>
      </c>
      <c r="L2353" s="3">
        <v>220.5</v>
      </c>
      <c r="M2353" t="b">
        <v>1</v>
      </c>
      <c r="N2353" s="2">
        <f>YEAR(B2353)</f>
        <v>2025</v>
      </c>
      <c r="O2353" t="str">
        <f>INDEX(Agences!$C:$C,MATCH(F2353,Agences!$A:$A,0))</f>
        <v>Est</v>
      </c>
      <c r="P2353" t="str">
        <f>INDEX(Produits!$C:$C,MATCH(H2353,Produits!$A:$A,0))</f>
        <v>Mobilier</v>
      </c>
      <c r="Q2353" s="3">
        <f>I2353*INDEX(Produits!$E:$E,MATCH(H2353,Produits!$A:$A,0))</f>
        <v>164.15</v>
      </c>
      <c r="R2353" s="3">
        <f>L2353-Q2353</f>
        <v>56.349999999999994</v>
      </c>
      <c r="S2353" s="2">
        <f>NETWORKDAYS(B2353,C2353)-1</f>
        <v>2</v>
      </c>
      <c r="T2353" s="1">
        <f>WORKDAY(B2353,5)</f>
        <v>45937</v>
      </c>
      <c r="U2353" t="b">
        <f>C2353&gt;T2353</f>
        <v>0</v>
      </c>
    </row>
    <row r="2354" spans="1:21" x14ac:dyDescent="0.25">
      <c r="A2354" t="s">
        <v>1575</v>
      </c>
      <c r="B2354" s="1">
        <v>45930</v>
      </c>
      <c r="C2354" s="1">
        <v>45932</v>
      </c>
      <c r="D2354" t="s">
        <v>750</v>
      </c>
      <c r="E2354" t="s">
        <v>229</v>
      </c>
      <c r="F2354" t="s">
        <v>55</v>
      </c>
      <c r="G2354" t="s">
        <v>56</v>
      </c>
      <c r="H2354" t="s">
        <v>72</v>
      </c>
      <c r="I2354" s="2">
        <v>3</v>
      </c>
      <c r="J2354" s="3">
        <v>179</v>
      </c>
      <c r="K2354" s="4">
        <v>0</v>
      </c>
      <c r="L2354" s="3">
        <v>537</v>
      </c>
      <c r="M2354" t="b">
        <v>1</v>
      </c>
      <c r="N2354" s="2">
        <f>YEAR(B2354)</f>
        <v>2025</v>
      </c>
      <c r="O2354" t="str">
        <f>INDEX(Agences!$C:$C,MATCH(F2354,Agences!$A:$A,0))</f>
        <v>Est</v>
      </c>
      <c r="P2354" t="str">
        <f>INDEX(Produits!$C:$C,MATCH(H2354,Produits!$A:$A,0))</f>
        <v>Informatique</v>
      </c>
      <c r="Q2354" s="3">
        <f>I2354*INDEX(Produits!$E:$E,MATCH(H2354,Produits!$A:$A,0))</f>
        <v>440.34000000000003</v>
      </c>
      <c r="R2354" s="3">
        <f>L2354-Q2354</f>
        <v>96.65999999999997</v>
      </c>
      <c r="S2354" s="2">
        <f>NETWORKDAYS(B2354,C2354)-1</f>
        <v>2</v>
      </c>
      <c r="T2354" s="1">
        <f>WORKDAY(B2354,5)</f>
        <v>45937</v>
      </c>
      <c r="U2354" t="b">
        <f>C2354&gt;T2354</f>
        <v>0</v>
      </c>
    </row>
    <row r="2355" spans="1:21" x14ac:dyDescent="0.25">
      <c r="A2355" t="s">
        <v>1575</v>
      </c>
      <c r="B2355" s="1">
        <v>45930</v>
      </c>
      <c r="C2355" s="1">
        <v>45932</v>
      </c>
      <c r="D2355" t="s">
        <v>750</v>
      </c>
      <c r="E2355" t="s">
        <v>229</v>
      </c>
      <c r="F2355" t="s">
        <v>55</v>
      </c>
      <c r="G2355" t="s">
        <v>56</v>
      </c>
      <c r="H2355" t="s">
        <v>48</v>
      </c>
      <c r="I2355" s="2">
        <v>1</v>
      </c>
      <c r="J2355" s="3">
        <v>165</v>
      </c>
      <c r="K2355" s="4">
        <v>0</v>
      </c>
      <c r="L2355" s="3">
        <v>165</v>
      </c>
      <c r="M2355" t="b">
        <v>1</v>
      </c>
      <c r="N2355" s="2">
        <f>YEAR(B2355)</f>
        <v>2025</v>
      </c>
      <c r="O2355" t="str">
        <f>INDEX(Agences!$C:$C,MATCH(F2355,Agences!$A:$A,0))</f>
        <v>Est</v>
      </c>
      <c r="P2355" t="str">
        <f>INDEX(Produits!$C:$C,MATCH(H2355,Produits!$A:$A,0))</f>
        <v>Mobilier</v>
      </c>
      <c r="Q2355" s="3">
        <f>I2355*INDEX(Produits!$E:$E,MATCH(H2355,Produits!$A:$A,0))</f>
        <v>107.25</v>
      </c>
      <c r="R2355" s="3">
        <f>L2355-Q2355</f>
        <v>57.75</v>
      </c>
      <c r="S2355" s="2">
        <f>NETWORKDAYS(B2355,C2355)-1</f>
        <v>2</v>
      </c>
      <c r="T2355" s="1">
        <f>WORKDAY(B2355,5)</f>
        <v>45937</v>
      </c>
      <c r="U2355" t="b">
        <f>C2355&gt;T2355</f>
        <v>0</v>
      </c>
    </row>
    <row r="2356" spans="1:21" x14ac:dyDescent="0.25">
      <c r="A2356" t="s">
        <v>1576</v>
      </c>
      <c r="B2356" s="1">
        <v>45929</v>
      </c>
      <c r="C2356" s="1">
        <v>45932</v>
      </c>
      <c r="D2356" t="s">
        <v>121</v>
      </c>
      <c r="E2356" t="s">
        <v>122</v>
      </c>
      <c r="F2356" t="s">
        <v>24</v>
      </c>
      <c r="G2356" t="s">
        <v>116</v>
      </c>
      <c r="H2356" t="s">
        <v>50</v>
      </c>
      <c r="I2356" s="2">
        <v>2</v>
      </c>
      <c r="J2356" s="3">
        <v>69</v>
      </c>
      <c r="K2356" s="4">
        <v>0</v>
      </c>
      <c r="L2356" s="3">
        <v>138</v>
      </c>
      <c r="M2356" t="b">
        <v>1</v>
      </c>
      <c r="N2356" s="2">
        <f>YEAR(B2356)</f>
        <v>2025</v>
      </c>
      <c r="O2356" t="str">
        <f>INDEX(Agences!$C:$C,MATCH(F2356,Agences!$A:$A,0))</f>
        <v>Nord</v>
      </c>
      <c r="P2356" t="str">
        <f>INDEX(Produits!$C:$C,MATCH(H2356,Produits!$A:$A,0))</f>
        <v>Informatique</v>
      </c>
      <c r="Q2356" s="3">
        <f>I2356*INDEX(Produits!$E:$E,MATCH(H2356,Produits!$A:$A,0))</f>
        <v>109.02</v>
      </c>
      <c r="R2356" s="3">
        <f>L2356-Q2356</f>
        <v>28.980000000000004</v>
      </c>
      <c r="S2356" s="2">
        <f>NETWORKDAYS(B2356,C2356)-1</f>
        <v>3</v>
      </c>
      <c r="T2356" s="1">
        <f>WORKDAY(B2356,5)</f>
        <v>45936</v>
      </c>
      <c r="U2356" t="b">
        <f>C2356&gt;T2356</f>
        <v>0</v>
      </c>
    </row>
    <row r="2357" spans="1:21" x14ac:dyDescent="0.25">
      <c r="A2357" t="s">
        <v>1577</v>
      </c>
      <c r="B2357" s="1">
        <v>45929</v>
      </c>
      <c r="C2357" s="1">
        <v>45933</v>
      </c>
      <c r="D2357" t="s">
        <v>412</v>
      </c>
      <c r="E2357" t="s">
        <v>23</v>
      </c>
      <c r="F2357" t="s">
        <v>24</v>
      </c>
      <c r="G2357" t="s">
        <v>199</v>
      </c>
      <c r="H2357" t="s">
        <v>107</v>
      </c>
      <c r="I2357" s="2">
        <v>4</v>
      </c>
      <c r="J2357" s="3">
        <v>99</v>
      </c>
      <c r="K2357" s="4">
        <v>0.05</v>
      </c>
      <c r="L2357" s="3">
        <v>376.2</v>
      </c>
      <c r="M2357" t="b">
        <v>1</v>
      </c>
      <c r="N2357" s="2">
        <f>YEAR(B2357)</f>
        <v>2025</v>
      </c>
      <c r="O2357" t="str">
        <f>INDEX(Agences!$C:$C,MATCH(F2357,Agences!$A:$A,0))</f>
        <v>Nord</v>
      </c>
      <c r="P2357" t="str">
        <f>INDEX(Produits!$C:$C,MATCH(H2357,Produits!$A:$A,0))</f>
        <v>Informatique</v>
      </c>
      <c r="Q2357" s="3">
        <f>I2357*INDEX(Produits!$E:$E,MATCH(H2357,Produits!$A:$A,0))</f>
        <v>300.96</v>
      </c>
      <c r="R2357" s="3">
        <f>L2357-Q2357</f>
        <v>75.24000000000001</v>
      </c>
      <c r="S2357" s="2">
        <f>NETWORKDAYS(B2357,C2357)-1</f>
        <v>4</v>
      </c>
      <c r="T2357" s="1">
        <f>WORKDAY(B2357,5)</f>
        <v>45936</v>
      </c>
      <c r="U2357" t="b">
        <f>C2357&gt;T2357</f>
        <v>0</v>
      </c>
    </row>
    <row r="2358" spans="1:21" x14ac:dyDescent="0.25">
      <c r="A2358" t="s">
        <v>1577</v>
      </c>
      <c r="B2358" s="1">
        <v>45929</v>
      </c>
      <c r="C2358" s="1">
        <v>45933</v>
      </c>
      <c r="D2358" t="s">
        <v>412</v>
      </c>
      <c r="E2358" t="s">
        <v>23</v>
      </c>
      <c r="F2358" t="s">
        <v>24</v>
      </c>
      <c r="G2358" t="s">
        <v>199</v>
      </c>
      <c r="H2358" t="s">
        <v>112</v>
      </c>
      <c r="I2358" s="2">
        <v>2</v>
      </c>
      <c r="J2358" s="3">
        <v>129</v>
      </c>
      <c r="K2358" s="4">
        <v>0.02</v>
      </c>
      <c r="L2358" s="3">
        <v>252.84</v>
      </c>
      <c r="M2358" t="b">
        <v>1</v>
      </c>
      <c r="N2358" s="2">
        <f>YEAR(B2358)</f>
        <v>2025</v>
      </c>
      <c r="O2358" t="str">
        <f>INDEX(Agences!$C:$C,MATCH(F2358,Agences!$A:$A,0))</f>
        <v>Nord</v>
      </c>
      <c r="P2358" t="str">
        <f>INDEX(Produits!$C:$C,MATCH(H2358,Produits!$A:$A,0))</f>
        <v>Mobilier</v>
      </c>
      <c r="Q2358" s="3">
        <f>I2358*INDEX(Produits!$E:$E,MATCH(H2358,Produits!$A:$A,0))</f>
        <v>172.86</v>
      </c>
      <c r="R2358" s="3">
        <f>L2358-Q2358</f>
        <v>79.97999999999999</v>
      </c>
      <c r="S2358" s="2">
        <f>NETWORKDAYS(B2358,C2358)-1</f>
        <v>4</v>
      </c>
      <c r="T2358" s="1">
        <f>WORKDAY(B2358,5)</f>
        <v>45936</v>
      </c>
      <c r="U2358" t="b">
        <f>C2358&gt;T2358</f>
        <v>0</v>
      </c>
    </row>
    <row r="2359" spans="1:21" x14ac:dyDescent="0.25">
      <c r="A2359" t="s">
        <v>1577</v>
      </c>
      <c r="B2359" s="1">
        <v>45929</v>
      </c>
      <c r="C2359" s="1">
        <v>45933</v>
      </c>
      <c r="D2359" t="s">
        <v>412</v>
      </c>
      <c r="E2359" t="s">
        <v>23</v>
      </c>
      <c r="F2359" t="s">
        <v>24</v>
      </c>
      <c r="G2359" t="s">
        <v>199</v>
      </c>
      <c r="H2359" t="s">
        <v>233</v>
      </c>
      <c r="I2359" s="2">
        <v>5</v>
      </c>
      <c r="J2359" s="3">
        <v>27.5</v>
      </c>
      <c r="K2359" s="4">
        <v>0.02</v>
      </c>
      <c r="L2359" s="3">
        <v>134.75</v>
      </c>
      <c r="M2359" t="b">
        <v>1</v>
      </c>
      <c r="N2359" s="2">
        <f>YEAR(B2359)</f>
        <v>2025</v>
      </c>
      <c r="O2359" t="str">
        <f>INDEX(Agences!$C:$C,MATCH(F2359,Agences!$A:$A,0))</f>
        <v>Nord</v>
      </c>
      <c r="P2359" t="str">
        <f>INDEX(Produits!$C:$C,MATCH(H2359,Produits!$A:$A,0))</f>
        <v>Fournitures</v>
      </c>
      <c r="Q2359" s="3">
        <f>I2359*INDEX(Produits!$E:$E,MATCH(H2359,Produits!$A:$A,0))</f>
        <v>77</v>
      </c>
      <c r="R2359" s="3">
        <f>L2359-Q2359</f>
        <v>57.75</v>
      </c>
      <c r="S2359" s="2">
        <f>NETWORKDAYS(B2359,C2359)-1</f>
        <v>4</v>
      </c>
      <c r="T2359" s="1">
        <f>WORKDAY(B2359,5)</f>
        <v>45936</v>
      </c>
      <c r="U2359" t="b">
        <f>C2359&gt;T2359</f>
        <v>0</v>
      </c>
    </row>
    <row r="2360" spans="1:21" x14ac:dyDescent="0.25">
      <c r="A2360" t="s">
        <v>1578</v>
      </c>
      <c r="B2360" s="1">
        <v>45929</v>
      </c>
      <c r="C2360" s="1">
        <v>45930</v>
      </c>
      <c r="D2360" t="s">
        <v>1579</v>
      </c>
      <c r="E2360" t="s">
        <v>172</v>
      </c>
      <c r="F2360" t="s">
        <v>99</v>
      </c>
      <c r="G2360" t="s">
        <v>265</v>
      </c>
      <c r="H2360" t="s">
        <v>49</v>
      </c>
      <c r="I2360" s="2">
        <v>2</v>
      </c>
      <c r="J2360" s="3">
        <v>120</v>
      </c>
      <c r="K2360" s="4">
        <v>0</v>
      </c>
      <c r="L2360" s="3">
        <v>240</v>
      </c>
      <c r="M2360" t="b">
        <v>1</v>
      </c>
      <c r="N2360" s="2">
        <f>YEAR(B2360)</f>
        <v>2025</v>
      </c>
      <c r="O2360" t="str">
        <f>INDEX(Agences!$C:$C,MATCH(F2360,Agences!$A:$A,0))</f>
        <v>Nord</v>
      </c>
      <c r="P2360" t="str">
        <f>INDEX(Produits!$C:$C,MATCH(H2360,Produits!$A:$A,0))</f>
        <v>Maintenance</v>
      </c>
      <c r="Q2360" s="3">
        <f>I2360*INDEX(Produits!$E:$E,MATCH(H2360,Produits!$A:$A,0))</f>
        <v>110.4</v>
      </c>
      <c r="R2360" s="3">
        <f>L2360-Q2360</f>
        <v>129.6</v>
      </c>
      <c r="S2360" s="2">
        <f>NETWORKDAYS(B2360,C2360)-1</f>
        <v>1</v>
      </c>
      <c r="T2360" s="1">
        <f>WORKDAY(B2360,5)</f>
        <v>45936</v>
      </c>
      <c r="U2360" t="b">
        <f>C2360&gt;T2360</f>
        <v>0</v>
      </c>
    </row>
    <row r="2361" spans="1:21" x14ac:dyDescent="0.25">
      <c r="A2361" t="s">
        <v>1578</v>
      </c>
      <c r="B2361" s="1">
        <v>45929</v>
      </c>
      <c r="C2361" s="1">
        <v>45930</v>
      </c>
      <c r="D2361" t="s">
        <v>1579</v>
      </c>
      <c r="E2361" t="s">
        <v>172</v>
      </c>
      <c r="F2361" t="s">
        <v>99</v>
      </c>
      <c r="G2361" t="s">
        <v>265</v>
      </c>
      <c r="H2361" t="s">
        <v>42</v>
      </c>
      <c r="I2361" s="2">
        <v>3</v>
      </c>
      <c r="J2361" s="3">
        <v>55</v>
      </c>
      <c r="K2361" s="4">
        <v>0.08</v>
      </c>
      <c r="L2361" s="3">
        <v>151.8</v>
      </c>
      <c r="M2361" t="b">
        <v>1</v>
      </c>
      <c r="N2361" s="2">
        <f>YEAR(B2361)</f>
        <v>2025</v>
      </c>
      <c r="O2361" t="str">
        <f>INDEX(Agences!$C:$C,MATCH(F2361,Agences!$A:$A,0))</f>
        <v>Nord</v>
      </c>
      <c r="P2361" t="str">
        <f>INDEX(Produits!$C:$C,MATCH(H2361,Produits!$A:$A,0))</f>
        <v>Maintenance</v>
      </c>
      <c r="Q2361" s="3">
        <f>I2361*INDEX(Produits!$E:$E,MATCH(H2361,Produits!$A:$A,0))</f>
        <v>74.25</v>
      </c>
      <c r="R2361" s="3">
        <f>L2361-Q2361</f>
        <v>77.55000000000001</v>
      </c>
      <c r="S2361" s="2">
        <f>NETWORKDAYS(B2361,C2361)-1</f>
        <v>1</v>
      </c>
      <c r="T2361" s="1">
        <f>WORKDAY(B2361,5)</f>
        <v>45936</v>
      </c>
      <c r="U2361" t="b">
        <f>C2361&gt;T2361</f>
        <v>0</v>
      </c>
    </row>
    <row r="2362" spans="1:21" x14ac:dyDescent="0.25">
      <c r="A2362" t="s">
        <v>1578</v>
      </c>
      <c r="B2362" s="1">
        <v>45929</v>
      </c>
      <c r="C2362" s="1">
        <v>45930</v>
      </c>
      <c r="D2362" t="s">
        <v>1579</v>
      </c>
      <c r="E2362" t="s">
        <v>172</v>
      </c>
      <c r="F2362" t="s">
        <v>99</v>
      </c>
      <c r="G2362" t="s">
        <v>265</v>
      </c>
      <c r="H2362" t="s">
        <v>103</v>
      </c>
      <c r="I2362" s="2">
        <v>2</v>
      </c>
      <c r="J2362" s="3">
        <v>245</v>
      </c>
      <c r="K2362" s="4">
        <v>0</v>
      </c>
      <c r="L2362" s="3">
        <v>490</v>
      </c>
      <c r="M2362" t="b">
        <v>1</v>
      </c>
      <c r="N2362" s="2">
        <f>YEAR(B2362)</f>
        <v>2025</v>
      </c>
      <c r="O2362" t="str">
        <f>INDEX(Agences!$C:$C,MATCH(F2362,Agences!$A:$A,0))</f>
        <v>Nord</v>
      </c>
      <c r="P2362" t="str">
        <f>INDEX(Produits!$C:$C,MATCH(H2362,Produits!$A:$A,0))</f>
        <v>Mobilier</v>
      </c>
      <c r="Q2362" s="3">
        <f>I2362*INDEX(Produits!$E:$E,MATCH(H2362,Produits!$A:$A,0))</f>
        <v>328.3</v>
      </c>
      <c r="R2362" s="3">
        <f>L2362-Q2362</f>
        <v>161.7</v>
      </c>
      <c r="S2362" s="2">
        <f>NETWORKDAYS(B2362,C2362)-1</f>
        <v>1</v>
      </c>
      <c r="T2362" s="1">
        <f>WORKDAY(B2362,5)</f>
        <v>45936</v>
      </c>
      <c r="U2362" t="b">
        <f>C2362&gt;T2362</f>
        <v>0</v>
      </c>
    </row>
    <row r="2363" spans="1:21" x14ac:dyDescent="0.25">
      <c r="A2363" t="s">
        <v>1578</v>
      </c>
      <c r="B2363" s="1">
        <v>45929</v>
      </c>
      <c r="C2363" s="1">
        <v>45930</v>
      </c>
      <c r="D2363" t="s">
        <v>1579</v>
      </c>
      <c r="E2363" t="s">
        <v>172</v>
      </c>
      <c r="F2363" t="s">
        <v>99</v>
      </c>
      <c r="G2363" t="s">
        <v>265</v>
      </c>
      <c r="H2363" t="s">
        <v>161</v>
      </c>
      <c r="I2363" s="2">
        <v>15</v>
      </c>
      <c r="J2363" s="3">
        <v>32</v>
      </c>
      <c r="K2363" s="4">
        <v>0</v>
      </c>
      <c r="L2363" s="3">
        <v>480</v>
      </c>
      <c r="M2363" t="b">
        <v>1</v>
      </c>
      <c r="N2363" s="2">
        <f>YEAR(B2363)</f>
        <v>2025</v>
      </c>
      <c r="O2363" t="str">
        <f>INDEX(Agences!$C:$C,MATCH(F2363,Agences!$A:$A,0))</f>
        <v>Nord</v>
      </c>
      <c r="P2363" t="str">
        <f>INDEX(Produits!$C:$C,MATCH(H2363,Produits!$A:$A,0))</f>
        <v>Fournitures</v>
      </c>
      <c r="Q2363" s="3">
        <f>I2363*INDEX(Produits!$E:$E,MATCH(H2363,Produits!$A:$A,0))</f>
        <v>264</v>
      </c>
      <c r="R2363" s="3">
        <f>L2363-Q2363</f>
        <v>216</v>
      </c>
      <c r="S2363" s="2">
        <f>NETWORKDAYS(B2363,C2363)-1</f>
        <v>1</v>
      </c>
      <c r="T2363" s="1">
        <f>WORKDAY(B2363,5)</f>
        <v>45936</v>
      </c>
      <c r="U2363" t="b">
        <f>C2363&gt;T2363</f>
        <v>0</v>
      </c>
    </row>
    <row r="2364" spans="1:21" x14ac:dyDescent="0.25">
      <c r="A2364" t="s">
        <v>1580</v>
      </c>
      <c r="B2364" s="1">
        <v>45929</v>
      </c>
      <c r="C2364" s="1">
        <v>45936</v>
      </c>
      <c r="D2364" t="s">
        <v>599</v>
      </c>
      <c r="E2364" t="s">
        <v>307</v>
      </c>
      <c r="F2364" t="s">
        <v>76</v>
      </c>
      <c r="G2364" t="s">
        <v>232</v>
      </c>
      <c r="H2364" t="s">
        <v>51</v>
      </c>
      <c r="I2364" s="2">
        <v>1</v>
      </c>
      <c r="J2364" s="3">
        <v>180</v>
      </c>
      <c r="K2364" s="4">
        <v>0</v>
      </c>
      <c r="L2364" s="3">
        <v>180</v>
      </c>
      <c r="M2364" t="b">
        <v>1</v>
      </c>
      <c r="N2364" s="2">
        <f>YEAR(B2364)</f>
        <v>2025</v>
      </c>
      <c r="O2364" t="str">
        <f>INDEX(Agences!$C:$C,MATCH(F2364,Agences!$A:$A,0))</f>
        <v>Île-de-France</v>
      </c>
      <c r="P2364" t="str">
        <f>INDEX(Produits!$C:$C,MATCH(H2364,Produits!$A:$A,0))</f>
        <v>Maintenance</v>
      </c>
      <c r="Q2364" s="3">
        <f>I2364*INDEX(Produits!$E:$E,MATCH(H2364,Produits!$A:$A,0))</f>
        <v>82.8</v>
      </c>
      <c r="R2364" s="3">
        <f>L2364-Q2364</f>
        <v>97.2</v>
      </c>
      <c r="S2364" s="2">
        <f>NETWORKDAYS(B2364,C2364)-1</f>
        <v>5</v>
      </c>
      <c r="T2364" s="1">
        <f>WORKDAY(B2364,5)</f>
        <v>45936</v>
      </c>
      <c r="U2364" t="b">
        <f>C2364&gt;T2364</f>
        <v>0</v>
      </c>
    </row>
    <row r="2365" spans="1:21" x14ac:dyDescent="0.25">
      <c r="A2365" t="s">
        <v>1581</v>
      </c>
      <c r="B2365" s="1">
        <v>45929</v>
      </c>
      <c r="C2365" s="1">
        <v>45930</v>
      </c>
      <c r="D2365" t="s">
        <v>975</v>
      </c>
      <c r="E2365" t="s">
        <v>175</v>
      </c>
      <c r="F2365" t="s">
        <v>76</v>
      </c>
      <c r="G2365" t="s">
        <v>176</v>
      </c>
      <c r="H2365" t="s">
        <v>150</v>
      </c>
      <c r="I2365" s="2">
        <v>1</v>
      </c>
      <c r="J2365" s="3">
        <v>790</v>
      </c>
      <c r="K2365" s="4">
        <v>0.05</v>
      </c>
      <c r="L2365" s="3">
        <v>750.5</v>
      </c>
      <c r="M2365" t="b">
        <v>1</v>
      </c>
      <c r="N2365" s="2">
        <f>YEAR(B2365)</f>
        <v>2025</v>
      </c>
      <c r="O2365" t="str">
        <f>INDEX(Agences!$C:$C,MATCH(F2365,Agences!$A:$A,0))</f>
        <v>Île-de-France</v>
      </c>
      <c r="P2365" t="str">
        <f>INDEX(Produits!$C:$C,MATCH(H2365,Produits!$A:$A,0))</f>
        <v>Informatique</v>
      </c>
      <c r="Q2365" s="3">
        <f>I2365*INDEX(Produits!$E:$E,MATCH(H2365,Produits!$A:$A,0))</f>
        <v>584.6</v>
      </c>
      <c r="R2365" s="3">
        <f>L2365-Q2365</f>
        <v>165.89999999999998</v>
      </c>
      <c r="S2365" s="2">
        <f>NETWORKDAYS(B2365,C2365)-1</f>
        <v>1</v>
      </c>
      <c r="T2365" s="1">
        <f>WORKDAY(B2365,5)</f>
        <v>45936</v>
      </c>
      <c r="U2365" t="b">
        <f>C2365&gt;T2365</f>
        <v>0</v>
      </c>
    </row>
    <row r="2366" spans="1:21" x14ac:dyDescent="0.25">
      <c r="A2366" t="s">
        <v>1581</v>
      </c>
      <c r="B2366" s="1">
        <v>45929</v>
      </c>
      <c r="C2366" s="1">
        <v>45930</v>
      </c>
      <c r="D2366" t="s">
        <v>975</v>
      </c>
      <c r="E2366" t="s">
        <v>175</v>
      </c>
      <c r="F2366" t="s">
        <v>76</v>
      </c>
      <c r="G2366" t="s">
        <v>176</v>
      </c>
      <c r="H2366" t="s">
        <v>42</v>
      </c>
      <c r="I2366" s="2">
        <v>1</v>
      </c>
      <c r="J2366" s="3">
        <v>55</v>
      </c>
      <c r="K2366" s="4">
        <v>0.1</v>
      </c>
      <c r="L2366" s="3">
        <v>49.5</v>
      </c>
      <c r="M2366" t="b">
        <v>1</v>
      </c>
      <c r="N2366" s="2">
        <f>YEAR(B2366)</f>
        <v>2025</v>
      </c>
      <c r="O2366" t="str">
        <f>INDEX(Agences!$C:$C,MATCH(F2366,Agences!$A:$A,0))</f>
        <v>Île-de-France</v>
      </c>
      <c r="P2366" t="str">
        <f>INDEX(Produits!$C:$C,MATCH(H2366,Produits!$A:$A,0))</f>
        <v>Maintenance</v>
      </c>
      <c r="Q2366" s="3">
        <f>I2366*INDEX(Produits!$E:$E,MATCH(H2366,Produits!$A:$A,0))</f>
        <v>24.75</v>
      </c>
      <c r="R2366" s="3">
        <f>L2366-Q2366</f>
        <v>24.75</v>
      </c>
      <c r="S2366" s="2">
        <f>NETWORKDAYS(B2366,C2366)-1</f>
        <v>1</v>
      </c>
      <c r="T2366" s="1">
        <f>WORKDAY(B2366,5)</f>
        <v>45936</v>
      </c>
      <c r="U2366" t="b">
        <f>C2366&gt;T2366</f>
        <v>0</v>
      </c>
    </row>
    <row r="2367" spans="1:21" x14ac:dyDescent="0.25">
      <c r="A2367" t="s">
        <v>1581</v>
      </c>
      <c r="B2367" s="1">
        <v>45929</v>
      </c>
      <c r="C2367" s="1">
        <v>45930</v>
      </c>
      <c r="D2367" t="s">
        <v>975</v>
      </c>
      <c r="E2367" t="s">
        <v>175</v>
      </c>
      <c r="F2367" t="s">
        <v>76</v>
      </c>
      <c r="G2367" t="s">
        <v>176</v>
      </c>
      <c r="H2367" t="s">
        <v>50</v>
      </c>
      <c r="I2367" s="2">
        <v>5</v>
      </c>
      <c r="J2367" s="3">
        <v>69</v>
      </c>
      <c r="K2367" s="4">
        <v>0</v>
      </c>
      <c r="L2367" s="3">
        <v>345</v>
      </c>
      <c r="M2367" t="b">
        <v>1</v>
      </c>
      <c r="N2367" s="2">
        <f>YEAR(B2367)</f>
        <v>2025</v>
      </c>
      <c r="O2367" t="str">
        <f>INDEX(Agences!$C:$C,MATCH(F2367,Agences!$A:$A,0))</f>
        <v>Île-de-France</v>
      </c>
      <c r="P2367" t="str">
        <f>INDEX(Produits!$C:$C,MATCH(H2367,Produits!$A:$A,0))</f>
        <v>Informatique</v>
      </c>
      <c r="Q2367" s="3">
        <f>I2367*INDEX(Produits!$E:$E,MATCH(H2367,Produits!$A:$A,0))</f>
        <v>272.55</v>
      </c>
      <c r="R2367" s="3">
        <f>L2367-Q2367</f>
        <v>72.44999999999999</v>
      </c>
      <c r="S2367" s="2">
        <f>NETWORKDAYS(B2367,C2367)-1</f>
        <v>1</v>
      </c>
      <c r="T2367" s="1">
        <f>WORKDAY(B2367,5)</f>
        <v>45936</v>
      </c>
      <c r="U2367" t="b">
        <f>C2367&gt;T2367</f>
        <v>0</v>
      </c>
    </row>
    <row r="2368" spans="1:21" x14ac:dyDescent="0.25">
      <c r="A2368" t="s">
        <v>1582</v>
      </c>
      <c r="B2368" s="1">
        <v>45929</v>
      </c>
      <c r="C2368" s="1">
        <v>45933</v>
      </c>
      <c r="D2368" t="s">
        <v>253</v>
      </c>
      <c r="E2368" t="s">
        <v>165</v>
      </c>
      <c r="F2368" t="s">
        <v>166</v>
      </c>
      <c r="G2368" t="s">
        <v>248</v>
      </c>
      <c r="H2368" t="s">
        <v>58</v>
      </c>
      <c r="I2368" s="2">
        <v>1</v>
      </c>
      <c r="J2368" s="3">
        <v>649</v>
      </c>
      <c r="K2368" s="4">
        <v>0</v>
      </c>
      <c r="L2368" s="3">
        <v>649</v>
      </c>
      <c r="M2368" t="b">
        <v>1</v>
      </c>
      <c r="N2368" s="2">
        <f>YEAR(B2368)</f>
        <v>2025</v>
      </c>
      <c r="O2368" t="str">
        <f>INDEX(Agences!$C:$C,MATCH(F2368,Agences!$A:$A,0))</f>
        <v>Ouest</v>
      </c>
      <c r="P2368" t="str">
        <f>INDEX(Produits!$C:$C,MATCH(H2368,Produits!$A:$A,0))</f>
        <v>Mobilier</v>
      </c>
      <c r="Q2368" s="3">
        <f>I2368*INDEX(Produits!$E:$E,MATCH(H2368,Produits!$A:$A,0))</f>
        <v>408.87</v>
      </c>
      <c r="R2368" s="3">
        <f>L2368-Q2368</f>
        <v>240.13</v>
      </c>
      <c r="S2368" s="2">
        <f>NETWORKDAYS(B2368,C2368)-1</f>
        <v>4</v>
      </c>
      <c r="T2368" s="1">
        <f>WORKDAY(B2368,5)</f>
        <v>45936</v>
      </c>
      <c r="U2368" t="b">
        <f>C2368&gt;T2368</f>
        <v>0</v>
      </c>
    </row>
    <row r="2369" spans="1:21" x14ac:dyDescent="0.25">
      <c r="A2369" t="s">
        <v>1582</v>
      </c>
      <c r="B2369" s="1">
        <v>45929</v>
      </c>
      <c r="C2369" s="1">
        <v>45933</v>
      </c>
      <c r="D2369" t="s">
        <v>253</v>
      </c>
      <c r="E2369" t="s">
        <v>165</v>
      </c>
      <c r="F2369" t="s">
        <v>166</v>
      </c>
      <c r="G2369" t="s">
        <v>248</v>
      </c>
      <c r="H2369" t="s">
        <v>35</v>
      </c>
      <c r="I2369" s="2">
        <v>2</v>
      </c>
      <c r="J2369" s="3">
        <v>79</v>
      </c>
      <c r="K2369" s="4">
        <v>0.1</v>
      </c>
      <c r="L2369" s="3">
        <v>142.2</v>
      </c>
      <c r="M2369" t="b">
        <v>1</v>
      </c>
      <c r="N2369" s="2">
        <f>YEAR(B2369)</f>
        <v>2025</v>
      </c>
      <c r="O2369" t="str">
        <f>INDEX(Agences!$C:$C,MATCH(F2369,Agences!$A:$A,0))</f>
        <v>Ouest</v>
      </c>
      <c r="P2369" t="str">
        <f>INDEX(Produits!$C:$C,MATCH(H2369,Produits!$A:$A,0))</f>
        <v>Mobilier</v>
      </c>
      <c r="Q2369" s="3">
        <f>I2369*INDEX(Produits!$E:$E,MATCH(H2369,Produits!$A:$A,0))</f>
        <v>93.22</v>
      </c>
      <c r="R2369" s="3">
        <f>L2369-Q2369</f>
        <v>48.97999999999999</v>
      </c>
      <c r="S2369" s="2">
        <f>NETWORKDAYS(B2369,C2369)-1</f>
        <v>4</v>
      </c>
      <c r="T2369" s="1">
        <f>WORKDAY(B2369,5)</f>
        <v>45936</v>
      </c>
      <c r="U2369" t="b">
        <f>C2369&gt;T2369</f>
        <v>0</v>
      </c>
    </row>
    <row r="2370" spans="1:21" x14ac:dyDescent="0.25">
      <c r="A2370" t="s">
        <v>1583</v>
      </c>
      <c r="B2370" s="1">
        <v>45929</v>
      </c>
      <c r="C2370" s="1">
        <v>45930</v>
      </c>
      <c r="D2370" t="s">
        <v>877</v>
      </c>
      <c r="E2370" t="s">
        <v>229</v>
      </c>
      <c r="F2370" t="s">
        <v>55</v>
      </c>
      <c r="G2370" t="s">
        <v>71</v>
      </c>
      <c r="H2370" t="s">
        <v>42</v>
      </c>
      <c r="I2370" s="2">
        <v>1</v>
      </c>
      <c r="J2370" s="3">
        <v>55</v>
      </c>
      <c r="K2370" s="4">
        <v>0.02</v>
      </c>
      <c r="L2370" s="3">
        <v>53.9</v>
      </c>
      <c r="M2370" t="b">
        <v>1</v>
      </c>
      <c r="N2370" s="2">
        <f>YEAR(B2370)</f>
        <v>2025</v>
      </c>
      <c r="O2370" t="str">
        <f>INDEX(Agences!$C:$C,MATCH(F2370,Agences!$A:$A,0))</f>
        <v>Est</v>
      </c>
      <c r="P2370" t="str">
        <f>INDEX(Produits!$C:$C,MATCH(H2370,Produits!$A:$A,0))</f>
        <v>Maintenance</v>
      </c>
      <c r="Q2370" s="3">
        <f>I2370*INDEX(Produits!$E:$E,MATCH(H2370,Produits!$A:$A,0))</f>
        <v>24.75</v>
      </c>
      <c r="R2370" s="3">
        <f>L2370-Q2370</f>
        <v>29.15</v>
      </c>
      <c r="S2370" s="2">
        <f>NETWORKDAYS(B2370,C2370)-1</f>
        <v>1</v>
      </c>
      <c r="T2370" s="1">
        <f>WORKDAY(B2370,5)</f>
        <v>45936</v>
      </c>
      <c r="U2370" t="b">
        <f>C2370&gt;T2370</f>
        <v>0</v>
      </c>
    </row>
    <row r="2371" spans="1:21" x14ac:dyDescent="0.25">
      <c r="A2371" t="s">
        <v>1583</v>
      </c>
      <c r="B2371" s="1">
        <v>45929</v>
      </c>
      <c r="C2371" s="1">
        <v>45930</v>
      </c>
      <c r="D2371" t="s">
        <v>877</v>
      </c>
      <c r="E2371" t="s">
        <v>229</v>
      </c>
      <c r="F2371" t="s">
        <v>55</v>
      </c>
      <c r="G2371" t="s">
        <v>71</v>
      </c>
      <c r="H2371" t="s">
        <v>35</v>
      </c>
      <c r="I2371" s="2">
        <v>5</v>
      </c>
      <c r="J2371" s="3">
        <v>79</v>
      </c>
      <c r="K2371" s="4">
        <v>0.05</v>
      </c>
      <c r="L2371" s="3">
        <v>375.25</v>
      </c>
      <c r="M2371" t="b">
        <v>1</v>
      </c>
      <c r="N2371" s="2">
        <f>YEAR(B2371)</f>
        <v>2025</v>
      </c>
      <c r="O2371" t="str">
        <f>INDEX(Agences!$C:$C,MATCH(F2371,Agences!$A:$A,0))</f>
        <v>Est</v>
      </c>
      <c r="P2371" t="str">
        <f>INDEX(Produits!$C:$C,MATCH(H2371,Produits!$A:$A,0))</f>
        <v>Mobilier</v>
      </c>
      <c r="Q2371" s="3">
        <f>I2371*INDEX(Produits!$E:$E,MATCH(H2371,Produits!$A:$A,0))</f>
        <v>233.05</v>
      </c>
      <c r="R2371" s="3">
        <f>L2371-Q2371</f>
        <v>142.2</v>
      </c>
      <c r="S2371" s="2">
        <f>NETWORKDAYS(B2371,C2371)-1</f>
        <v>1</v>
      </c>
      <c r="T2371" s="1">
        <f>WORKDAY(B2371,5)</f>
        <v>45936</v>
      </c>
      <c r="U2371" t="b">
        <f>C2371&gt;T2371</f>
        <v>0</v>
      </c>
    </row>
    <row r="2372" spans="1:21" x14ac:dyDescent="0.25">
      <c r="A2372" t="s">
        <v>1584</v>
      </c>
      <c r="B2372" s="1">
        <v>45926</v>
      </c>
      <c r="C2372" s="1">
        <v>45933</v>
      </c>
      <c r="D2372" t="s">
        <v>1585</v>
      </c>
      <c r="E2372" t="s">
        <v>165</v>
      </c>
      <c r="F2372" t="s">
        <v>166</v>
      </c>
      <c r="G2372" t="s">
        <v>248</v>
      </c>
      <c r="H2372" t="s">
        <v>42</v>
      </c>
      <c r="I2372" s="2">
        <v>3</v>
      </c>
      <c r="J2372" s="3">
        <v>55</v>
      </c>
      <c r="K2372" s="4">
        <v>0.1</v>
      </c>
      <c r="L2372" s="3">
        <v>148.5</v>
      </c>
      <c r="M2372" t="b">
        <v>1</v>
      </c>
      <c r="N2372" s="2">
        <f>YEAR(B2372)</f>
        <v>2025</v>
      </c>
      <c r="O2372" t="str">
        <f>INDEX(Agences!$C:$C,MATCH(F2372,Agences!$A:$A,0))</f>
        <v>Ouest</v>
      </c>
      <c r="P2372" t="str">
        <f>INDEX(Produits!$C:$C,MATCH(H2372,Produits!$A:$A,0))</f>
        <v>Maintenance</v>
      </c>
      <c r="Q2372" s="3">
        <f>I2372*INDEX(Produits!$E:$E,MATCH(H2372,Produits!$A:$A,0))</f>
        <v>74.25</v>
      </c>
      <c r="R2372" s="3">
        <f>L2372-Q2372</f>
        <v>74.25</v>
      </c>
      <c r="S2372" s="2">
        <f>NETWORKDAYS(B2372,C2372)-1</f>
        <v>5</v>
      </c>
      <c r="T2372" s="1">
        <f>WORKDAY(B2372,5)</f>
        <v>45933</v>
      </c>
      <c r="U2372" t="b">
        <f>C2372&gt;T2372</f>
        <v>0</v>
      </c>
    </row>
    <row r="2373" spans="1:21" x14ac:dyDescent="0.25">
      <c r="A2373" t="s">
        <v>1586</v>
      </c>
      <c r="B2373" s="1">
        <v>45926</v>
      </c>
      <c r="C2373" s="1">
        <v>45930</v>
      </c>
      <c r="D2373" t="s">
        <v>1587</v>
      </c>
      <c r="E2373" t="s">
        <v>251</v>
      </c>
      <c r="F2373" t="s">
        <v>166</v>
      </c>
      <c r="G2373" t="s">
        <v>167</v>
      </c>
      <c r="H2373" t="s">
        <v>49</v>
      </c>
      <c r="I2373" s="2">
        <v>1</v>
      </c>
      <c r="J2373" s="3">
        <v>120</v>
      </c>
      <c r="K2373" s="4">
        <v>0</v>
      </c>
      <c r="L2373" s="3">
        <v>120</v>
      </c>
      <c r="M2373" t="b">
        <v>1</v>
      </c>
      <c r="N2373" s="2">
        <f>YEAR(B2373)</f>
        <v>2025</v>
      </c>
      <c r="O2373" t="str">
        <f>INDEX(Agences!$C:$C,MATCH(F2373,Agences!$A:$A,0))</f>
        <v>Ouest</v>
      </c>
      <c r="P2373" t="str">
        <f>INDEX(Produits!$C:$C,MATCH(H2373,Produits!$A:$A,0))</f>
        <v>Maintenance</v>
      </c>
      <c r="Q2373" s="3">
        <f>I2373*INDEX(Produits!$E:$E,MATCH(H2373,Produits!$A:$A,0))</f>
        <v>55.2</v>
      </c>
      <c r="R2373" s="3">
        <f>L2373-Q2373</f>
        <v>64.8</v>
      </c>
      <c r="S2373" s="2">
        <f>NETWORKDAYS(B2373,C2373)-1</f>
        <v>2</v>
      </c>
      <c r="T2373" s="1">
        <f>WORKDAY(B2373,5)</f>
        <v>45933</v>
      </c>
      <c r="U2373" t="b">
        <f>C2373&gt;T2373</f>
        <v>0</v>
      </c>
    </row>
    <row r="2374" spans="1:21" x14ac:dyDescent="0.25">
      <c r="A2374" t="s">
        <v>1588</v>
      </c>
      <c r="B2374" s="1">
        <v>45926</v>
      </c>
      <c r="C2374" s="1">
        <v>45931</v>
      </c>
      <c r="D2374" t="s">
        <v>541</v>
      </c>
      <c r="E2374" t="s">
        <v>339</v>
      </c>
      <c r="F2374" t="s">
        <v>31</v>
      </c>
      <c r="G2374" t="s">
        <v>32</v>
      </c>
      <c r="H2374" t="s">
        <v>42</v>
      </c>
      <c r="I2374" s="2">
        <v>1</v>
      </c>
      <c r="J2374" s="3">
        <v>55</v>
      </c>
      <c r="K2374" s="4">
        <v>0.08</v>
      </c>
      <c r="L2374" s="3">
        <v>50.6</v>
      </c>
      <c r="M2374" t="b">
        <v>1</v>
      </c>
      <c r="N2374" s="2">
        <f>YEAR(B2374)</f>
        <v>2025</v>
      </c>
      <c r="O2374" t="str">
        <f>INDEX(Agences!$C:$C,MATCH(F2374,Agences!$A:$A,0))</f>
        <v>Ouest</v>
      </c>
      <c r="P2374" t="str">
        <f>INDEX(Produits!$C:$C,MATCH(H2374,Produits!$A:$A,0))</f>
        <v>Maintenance</v>
      </c>
      <c r="Q2374" s="3">
        <f>I2374*INDEX(Produits!$E:$E,MATCH(H2374,Produits!$A:$A,0))</f>
        <v>24.75</v>
      </c>
      <c r="R2374" s="3">
        <f>L2374-Q2374</f>
        <v>25.85</v>
      </c>
      <c r="S2374" s="2">
        <f>NETWORKDAYS(B2374,C2374)-1</f>
        <v>3</v>
      </c>
      <c r="T2374" s="1">
        <f>WORKDAY(B2374,5)</f>
        <v>45933</v>
      </c>
      <c r="U2374" t="b">
        <f>C2374&gt;T2374</f>
        <v>0</v>
      </c>
    </row>
    <row r="2375" spans="1:21" x14ac:dyDescent="0.25">
      <c r="A2375" t="s">
        <v>1589</v>
      </c>
      <c r="B2375" s="1">
        <v>45926</v>
      </c>
      <c r="C2375" s="1">
        <v>45931</v>
      </c>
      <c r="D2375" t="s">
        <v>988</v>
      </c>
      <c r="E2375" t="s">
        <v>242</v>
      </c>
      <c r="F2375" t="s">
        <v>94</v>
      </c>
      <c r="G2375" t="s">
        <v>182</v>
      </c>
      <c r="H2375" t="s">
        <v>196</v>
      </c>
      <c r="I2375" s="2">
        <v>15</v>
      </c>
      <c r="J2375" s="3">
        <v>18.5</v>
      </c>
      <c r="K2375" s="4">
        <v>0</v>
      </c>
      <c r="L2375" s="3">
        <v>277.5</v>
      </c>
      <c r="M2375" t="b">
        <v>1</v>
      </c>
      <c r="N2375" s="2">
        <f>YEAR(B2375)</f>
        <v>2025</v>
      </c>
      <c r="O2375" t="str">
        <f>INDEX(Agences!$C:$C,MATCH(F2375,Agences!$A:$A,0))</f>
        <v>Méditerranée</v>
      </c>
      <c r="P2375" t="str">
        <f>INDEX(Produits!$C:$C,MATCH(H2375,Produits!$A:$A,0))</f>
        <v>Fournitures</v>
      </c>
      <c r="Q2375" s="3">
        <f>I2375*INDEX(Produits!$E:$E,MATCH(H2375,Produits!$A:$A,0))</f>
        <v>141.6</v>
      </c>
      <c r="R2375" s="3">
        <f>L2375-Q2375</f>
        <v>135.9</v>
      </c>
      <c r="S2375" s="2">
        <f>NETWORKDAYS(B2375,C2375)-1</f>
        <v>3</v>
      </c>
      <c r="T2375" s="1">
        <f>WORKDAY(B2375,5)</f>
        <v>45933</v>
      </c>
      <c r="U2375" t="b">
        <f>C2375&gt;T2375</f>
        <v>0</v>
      </c>
    </row>
    <row r="2376" spans="1:21" x14ac:dyDescent="0.25">
      <c r="A2376" t="s">
        <v>1589</v>
      </c>
      <c r="B2376" s="1">
        <v>45926</v>
      </c>
      <c r="C2376" s="1">
        <v>45931</v>
      </c>
      <c r="D2376" t="s">
        <v>988</v>
      </c>
      <c r="E2376" t="s">
        <v>242</v>
      </c>
      <c r="F2376" t="s">
        <v>94</v>
      </c>
      <c r="G2376" t="s">
        <v>182</v>
      </c>
      <c r="H2376" t="s">
        <v>35</v>
      </c>
      <c r="I2376" s="2">
        <v>1</v>
      </c>
      <c r="J2376" s="3">
        <v>79</v>
      </c>
      <c r="K2376" s="4">
        <v>0</v>
      </c>
      <c r="L2376" s="3">
        <v>79</v>
      </c>
      <c r="M2376" t="b">
        <v>1</v>
      </c>
      <c r="N2376" s="2">
        <f>YEAR(B2376)</f>
        <v>2025</v>
      </c>
      <c r="O2376" t="str">
        <f>INDEX(Agences!$C:$C,MATCH(F2376,Agences!$A:$A,0))</f>
        <v>Méditerranée</v>
      </c>
      <c r="P2376" t="str">
        <f>INDEX(Produits!$C:$C,MATCH(H2376,Produits!$A:$A,0))</f>
        <v>Mobilier</v>
      </c>
      <c r="Q2376" s="3">
        <f>I2376*INDEX(Produits!$E:$E,MATCH(H2376,Produits!$A:$A,0))</f>
        <v>46.61</v>
      </c>
      <c r="R2376" s="3">
        <f>L2376-Q2376</f>
        <v>32.39</v>
      </c>
      <c r="S2376" s="2">
        <f>NETWORKDAYS(B2376,C2376)-1</f>
        <v>3</v>
      </c>
      <c r="T2376" s="1">
        <f>WORKDAY(B2376,5)</f>
        <v>45933</v>
      </c>
      <c r="U2376" t="b">
        <f>C2376&gt;T2376</f>
        <v>0</v>
      </c>
    </row>
    <row r="2377" spans="1:21" x14ac:dyDescent="0.25">
      <c r="A2377" t="s">
        <v>1589</v>
      </c>
      <c r="B2377" s="1">
        <v>45926</v>
      </c>
      <c r="C2377" s="1">
        <v>45931</v>
      </c>
      <c r="D2377" t="s">
        <v>988</v>
      </c>
      <c r="E2377" t="s">
        <v>242</v>
      </c>
      <c r="F2377" t="s">
        <v>94</v>
      </c>
      <c r="G2377" t="s">
        <v>182</v>
      </c>
      <c r="H2377" t="s">
        <v>42</v>
      </c>
      <c r="I2377" s="2">
        <v>1</v>
      </c>
      <c r="J2377" s="3">
        <v>55</v>
      </c>
      <c r="K2377" s="4">
        <v>0.02</v>
      </c>
      <c r="L2377" s="3">
        <v>53.9</v>
      </c>
      <c r="M2377" t="b">
        <v>1</v>
      </c>
      <c r="N2377" s="2">
        <f>YEAR(B2377)</f>
        <v>2025</v>
      </c>
      <c r="O2377" t="str">
        <f>INDEX(Agences!$C:$C,MATCH(F2377,Agences!$A:$A,0))</f>
        <v>Méditerranée</v>
      </c>
      <c r="P2377" t="str">
        <f>INDEX(Produits!$C:$C,MATCH(H2377,Produits!$A:$A,0))</f>
        <v>Maintenance</v>
      </c>
      <c r="Q2377" s="3">
        <f>I2377*INDEX(Produits!$E:$E,MATCH(H2377,Produits!$A:$A,0))</f>
        <v>24.75</v>
      </c>
      <c r="R2377" s="3">
        <f>L2377-Q2377</f>
        <v>29.15</v>
      </c>
      <c r="S2377" s="2">
        <f>NETWORKDAYS(B2377,C2377)-1</f>
        <v>3</v>
      </c>
      <c r="T2377" s="1">
        <f>WORKDAY(B2377,5)</f>
        <v>45933</v>
      </c>
      <c r="U2377" t="b">
        <f>C2377&gt;T2377</f>
        <v>0</v>
      </c>
    </row>
    <row r="2378" spans="1:21" x14ac:dyDescent="0.25">
      <c r="A2378" t="s">
        <v>1590</v>
      </c>
      <c r="B2378" s="1">
        <v>45925</v>
      </c>
      <c r="C2378" s="1">
        <v>45929</v>
      </c>
      <c r="D2378" t="s">
        <v>678</v>
      </c>
      <c r="E2378" t="s">
        <v>137</v>
      </c>
      <c r="F2378" t="s">
        <v>138</v>
      </c>
      <c r="G2378" t="s">
        <v>139</v>
      </c>
      <c r="H2378" t="s">
        <v>33</v>
      </c>
      <c r="I2378" s="2">
        <v>3</v>
      </c>
      <c r="J2378" s="3">
        <v>219</v>
      </c>
      <c r="K2378" s="4">
        <v>0</v>
      </c>
      <c r="L2378" s="3">
        <v>657</v>
      </c>
      <c r="M2378" t="b">
        <v>1</v>
      </c>
      <c r="N2378" s="2">
        <f>YEAR(B2378)</f>
        <v>2025</v>
      </c>
      <c r="O2378" t="str">
        <f>INDEX(Agences!$C:$C,MATCH(F2378,Agences!$A:$A,0))</f>
        <v>Île-de-France</v>
      </c>
      <c r="P2378" t="str">
        <f>INDEX(Produits!$C:$C,MATCH(H2378,Produits!$A:$A,0))</f>
        <v>Informatique</v>
      </c>
      <c r="Q2378" s="3">
        <f>I2378*INDEX(Produits!$E:$E,MATCH(H2378,Produits!$A:$A,0))</f>
        <v>538.74</v>
      </c>
      <c r="R2378" s="3">
        <f>L2378-Q2378</f>
        <v>118.25999999999999</v>
      </c>
      <c r="S2378" s="2">
        <f>NETWORKDAYS(B2378,C2378)-1</f>
        <v>2</v>
      </c>
      <c r="T2378" s="1">
        <f>WORKDAY(B2378,5)</f>
        <v>45932</v>
      </c>
      <c r="U2378" t="b">
        <f>C2378&gt;T2378</f>
        <v>0</v>
      </c>
    </row>
    <row r="2379" spans="1:21" x14ac:dyDescent="0.25">
      <c r="A2379" t="s">
        <v>1590</v>
      </c>
      <c r="B2379" s="1">
        <v>45925</v>
      </c>
      <c r="C2379" s="1">
        <v>45929</v>
      </c>
      <c r="D2379" t="s">
        <v>678</v>
      </c>
      <c r="E2379" t="s">
        <v>137</v>
      </c>
      <c r="F2379" t="s">
        <v>138</v>
      </c>
      <c r="G2379" t="s">
        <v>139</v>
      </c>
      <c r="H2379" t="s">
        <v>35</v>
      </c>
      <c r="I2379" s="2">
        <v>3</v>
      </c>
      <c r="J2379" s="3">
        <v>79</v>
      </c>
      <c r="K2379" s="4">
        <v>0.02</v>
      </c>
      <c r="L2379" s="3">
        <v>232.26</v>
      </c>
      <c r="M2379" t="b">
        <v>1</v>
      </c>
      <c r="N2379" s="2">
        <f>YEAR(B2379)</f>
        <v>2025</v>
      </c>
      <c r="O2379" t="str">
        <f>INDEX(Agences!$C:$C,MATCH(F2379,Agences!$A:$A,0))</f>
        <v>Île-de-France</v>
      </c>
      <c r="P2379" t="str">
        <f>INDEX(Produits!$C:$C,MATCH(H2379,Produits!$A:$A,0))</f>
        <v>Mobilier</v>
      </c>
      <c r="Q2379" s="3">
        <f>I2379*INDEX(Produits!$E:$E,MATCH(H2379,Produits!$A:$A,0))</f>
        <v>139.82999999999998</v>
      </c>
      <c r="R2379" s="3">
        <f>L2379-Q2379</f>
        <v>92.43</v>
      </c>
      <c r="S2379" s="2">
        <f>NETWORKDAYS(B2379,C2379)-1</f>
        <v>2</v>
      </c>
      <c r="T2379" s="1">
        <f>WORKDAY(B2379,5)</f>
        <v>45932</v>
      </c>
      <c r="U2379" t="b">
        <f>C2379&gt;T2379</f>
        <v>0</v>
      </c>
    </row>
    <row r="2380" spans="1:21" x14ac:dyDescent="0.25">
      <c r="A2380" t="s">
        <v>1590</v>
      </c>
      <c r="B2380" s="1">
        <v>45925</v>
      </c>
      <c r="C2380" s="1">
        <v>45929</v>
      </c>
      <c r="D2380" t="s">
        <v>678</v>
      </c>
      <c r="E2380" t="s">
        <v>137</v>
      </c>
      <c r="F2380" t="s">
        <v>138</v>
      </c>
      <c r="G2380" t="s">
        <v>139</v>
      </c>
      <c r="H2380" t="s">
        <v>84</v>
      </c>
      <c r="I2380" s="2">
        <v>3</v>
      </c>
      <c r="J2380" s="3">
        <v>420</v>
      </c>
      <c r="K2380" s="4">
        <v>0</v>
      </c>
      <c r="L2380" s="3">
        <v>1260</v>
      </c>
      <c r="M2380" t="b">
        <v>1</v>
      </c>
      <c r="N2380" s="2">
        <f>YEAR(B2380)</f>
        <v>2025</v>
      </c>
      <c r="O2380" t="str">
        <f>INDEX(Agences!$C:$C,MATCH(F2380,Agences!$A:$A,0))</f>
        <v>Île-de-France</v>
      </c>
      <c r="P2380" t="str">
        <f>INDEX(Produits!$C:$C,MATCH(H2380,Produits!$A:$A,0))</f>
        <v>Mobilier</v>
      </c>
      <c r="Q2380" s="3">
        <f>I2380*INDEX(Produits!$E:$E,MATCH(H2380,Produits!$A:$A,0))</f>
        <v>730.8</v>
      </c>
      <c r="R2380" s="3">
        <f>L2380-Q2380</f>
        <v>529.2</v>
      </c>
      <c r="S2380" s="2">
        <f>NETWORKDAYS(B2380,C2380)-1</f>
        <v>2</v>
      </c>
      <c r="T2380" s="1">
        <f>WORKDAY(B2380,5)</f>
        <v>45932</v>
      </c>
      <c r="U2380" t="b">
        <f>C2380&gt;T2380</f>
        <v>0</v>
      </c>
    </row>
    <row r="2381" spans="1:21" x14ac:dyDescent="0.25">
      <c r="A2381" t="s">
        <v>1590</v>
      </c>
      <c r="B2381" s="1">
        <v>45925</v>
      </c>
      <c r="C2381" s="1">
        <v>45929</v>
      </c>
      <c r="D2381" t="s">
        <v>678</v>
      </c>
      <c r="E2381" t="s">
        <v>137</v>
      </c>
      <c r="F2381" t="s">
        <v>138</v>
      </c>
      <c r="G2381" t="s">
        <v>139</v>
      </c>
      <c r="H2381" t="s">
        <v>112</v>
      </c>
      <c r="I2381" s="2">
        <v>1</v>
      </c>
      <c r="J2381" s="3">
        <v>129</v>
      </c>
      <c r="K2381" s="4">
        <v>0.05</v>
      </c>
      <c r="L2381" s="3">
        <v>122.55</v>
      </c>
      <c r="M2381" t="b">
        <v>1</v>
      </c>
      <c r="N2381" s="2">
        <f>YEAR(B2381)</f>
        <v>2025</v>
      </c>
      <c r="O2381" t="str">
        <f>INDEX(Agences!$C:$C,MATCH(F2381,Agences!$A:$A,0))</f>
        <v>Île-de-France</v>
      </c>
      <c r="P2381" t="str">
        <f>INDEX(Produits!$C:$C,MATCH(H2381,Produits!$A:$A,0))</f>
        <v>Mobilier</v>
      </c>
      <c r="Q2381" s="3">
        <f>I2381*INDEX(Produits!$E:$E,MATCH(H2381,Produits!$A:$A,0))</f>
        <v>86.43</v>
      </c>
      <c r="R2381" s="3">
        <f>L2381-Q2381</f>
        <v>36.11999999999999</v>
      </c>
      <c r="S2381" s="2">
        <f>NETWORKDAYS(B2381,C2381)-1</f>
        <v>2</v>
      </c>
      <c r="T2381" s="1">
        <f>WORKDAY(B2381,5)</f>
        <v>45932</v>
      </c>
      <c r="U2381" t="b">
        <f>C2381&gt;T2381</f>
        <v>0</v>
      </c>
    </row>
    <row r="2382" spans="1:21" x14ac:dyDescent="0.25">
      <c r="A2382" t="s">
        <v>1591</v>
      </c>
      <c r="B2382" s="1">
        <v>45925</v>
      </c>
      <c r="C2382" s="1">
        <v>45930</v>
      </c>
      <c r="D2382" t="s">
        <v>957</v>
      </c>
      <c r="E2382" t="s">
        <v>38</v>
      </c>
      <c r="F2382" t="s">
        <v>39</v>
      </c>
      <c r="G2382" t="s">
        <v>322</v>
      </c>
      <c r="H2382" t="s">
        <v>34</v>
      </c>
      <c r="I2382" s="2">
        <v>1</v>
      </c>
      <c r="J2382" s="3">
        <v>340</v>
      </c>
      <c r="K2382" s="4">
        <v>0.08</v>
      </c>
      <c r="L2382" s="3">
        <v>312.8</v>
      </c>
      <c r="M2382" t="b">
        <v>1</v>
      </c>
      <c r="N2382" s="2">
        <f>YEAR(B2382)</f>
        <v>2025</v>
      </c>
      <c r="O2382" t="str">
        <f>INDEX(Agences!$C:$C,MATCH(F2382,Agences!$A:$A,0))</f>
        <v>Sud-Ouest</v>
      </c>
      <c r="P2382" t="str">
        <f>INDEX(Produits!$C:$C,MATCH(H2382,Produits!$A:$A,0))</f>
        <v>Informatique</v>
      </c>
      <c r="Q2382" s="3">
        <f>I2382*INDEX(Produits!$E:$E,MATCH(H2382,Produits!$A:$A,0))</f>
        <v>275.4</v>
      </c>
      <c r="R2382" s="3">
        <f>L2382-Q2382</f>
        <v>37.400000000000034</v>
      </c>
      <c r="S2382" s="2">
        <f>NETWORKDAYS(B2382,C2382)-1</f>
        <v>3</v>
      </c>
      <c r="T2382" s="1">
        <f>WORKDAY(B2382,5)</f>
        <v>45932</v>
      </c>
      <c r="U2382" t="b">
        <f>C2382&gt;T2382</f>
        <v>0</v>
      </c>
    </row>
    <row r="2383" spans="1:21" x14ac:dyDescent="0.25">
      <c r="A2383" t="s">
        <v>1591</v>
      </c>
      <c r="B2383" s="1">
        <v>45925</v>
      </c>
      <c r="C2383" s="1">
        <v>45930</v>
      </c>
      <c r="D2383" t="s">
        <v>957</v>
      </c>
      <c r="E2383" t="s">
        <v>38</v>
      </c>
      <c r="F2383" t="s">
        <v>39</v>
      </c>
      <c r="G2383" t="s">
        <v>322</v>
      </c>
      <c r="H2383" t="s">
        <v>79</v>
      </c>
      <c r="I2383" s="2">
        <v>10</v>
      </c>
      <c r="J2383" s="3">
        <v>14.9</v>
      </c>
      <c r="K2383" s="4">
        <v>0</v>
      </c>
      <c r="L2383" s="3">
        <v>149</v>
      </c>
      <c r="M2383" t="b">
        <v>1</v>
      </c>
      <c r="N2383" s="2">
        <f>YEAR(B2383)</f>
        <v>2025</v>
      </c>
      <c r="O2383" t="str">
        <f>INDEX(Agences!$C:$C,MATCH(F2383,Agences!$A:$A,0))</f>
        <v>Sud-Ouest</v>
      </c>
      <c r="P2383" t="str">
        <f>INDEX(Produits!$C:$C,MATCH(H2383,Produits!$A:$A,0))</f>
        <v>Fournitures</v>
      </c>
      <c r="Q2383" s="3">
        <f>I2383*INDEX(Produits!$E:$E,MATCH(H2383,Produits!$A:$A,0))</f>
        <v>80.5</v>
      </c>
      <c r="R2383" s="3">
        <f>L2383-Q2383</f>
        <v>68.5</v>
      </c>
      <c r="S2383" s="2">
        <f>NETWORKDAYS(B2383,C2383)-1</f>
        <v>3</v>
      </c>
      <c r="T2383" s="1">
        <f>WORKDAY(B2383,5)</f>
        <v>45932</v>
      </c>
      <c r="U2383" t="b">
        <f>C2383&gt;T2383</f>
        <v>0</v>
      </c>
    </row>
    <row r="2384" spans="1:21" x14ac:dyDescent="0.25">
      <c r="A2384" t="s">
        <v>1592</v>
      </c>
      <c r="B2384" s="1">
        <v>45925</v>
      </c>
      <c r="C2384" s="1">
        <v>45929</v>
      </c>
      <c r="D2384" t="s">
        <v>288</v>
      </c>
      <c r="E2384" t="s">
        <v>256</v>
      </c>
      <c r="F2384" t="s">
        <v>88</v>
      </c>
      <c r="G2384" t="s">
        <v>89</v>
      </c>
      <c r="H2384" t="s">
        <v>42</v>
      </c>
      <c r="I2384" s="2">
        <v>1</v>
      </c>
      <c r="J2384" s="3">
        <v>55</v>
      </c>
      <c r="K2384" s="4">
        <v>0.1</v>
      </c>
      <c r="L2384" s="3">
        <v>49.5</v>
      </c>
      <c r="M2384" t="b">
        <v>1</v>
      </c>
      <c r="N2384" s="2">
        <f>YEAR(B2384)</f>
        <v>2025</v>
      </c>
      <c r="O2384" t="str">
        <f>INDEX(Agences!$C:$C,MATCH(F2384,Agences!$A:$A,0))</f>
        <v>Sud-Ouest</v>
      </c>
      <c r="P2384" t="str">
        <f>INDEX(Produits!$C:$C,MATCH(H2384,Produits!$A:$A,0))</f>
        <v>Maintenance</v>
      </c>
      <c r="Q2384" s="3">
        <f>I2384*INDEX(Produits!$E:$E,MATCH(H2384,Produits!$A:$A,0))</f>
        <v>24.75</v>
      </c>
      <c r="R2384" s="3">
        <f>L2384-Q2384</f>
        <v>24.75</v>
      </c>
      <c r="S2384" s="2">
        <f>NETWORKDAYS(B2384,C2384)-1</f>
        <v>2</v>
      </c>
      <c r="T2384" s="1">
        <f>WORKDAY(B2384,5)</f>
        <v>45932</v>
      </c>
      <c r="U2384" t="b">
        <f>C2384&gt;T2384</f>
        <v>0</v>
      </c>
    </row>
    <row r="2385" spans="1:21" x14ac:dyDescent="0.25">
      <c r="A2385" t="s">
        <v>1592</v>
      </c>
      <c r="B2385" s="1">
        <v>45925</v>
      </c>
      <c r="C2385" s="1">
        <v>45929</v>
      </c>
      <c r="D2385" t="s">
        <v>288</v>
      </c>
      <c r="E2385" t="s">
        <v>256</v>
      </c>
      <c r="F2385" t="s">
        <v>88</v>
      </c>
      <c r="G2385" t="s">
        <v>89</v>
      </c>
      <c r="H2385" t="s">
        <v>49</v>
      </c>
      <c r="I2385" s="2">
        <v>3</v>
      </c>
      <c r="J2385" s="3">
        <v>120</v>
      </c>
      <c r="K2385" s="4">
        <v>0.02</v>
      </c>
      <c r="L2385" s="3">
        <v>352.8</v>
      </c>
      <c r="M2385" t="b">
        <v>1</v>
      </c>
      <c r="N2385" s="2">
        <f>YEAR(B2385)</f>
        <v>2025</v>
      </c>
      <c r="O2385" t="str">
        <f>INDEX(Agences!$C:$C,MATCH(F2385,Agences!$A:$A,0))</f>
        <v>Sud-Ouest</v>
      </c>
      <c r="P2385" t="str">
        <f>INDEX(Produits!$C:$C,MATCH(H2385,Produits!$A:$A,0))</f>
        <v>Maintenance</v>
      </c>
      <c r="Q2385" s="3">
        <f>I2385*INDEX(Produits!$E:$E,MATCH(H2385,Produits!$A:$A,0))</f>
        <v>165.60000000000002</v>
      </c>
      <c r="R2385" s="3">
        <f>L2385-Q2385</f>
        <v>187.2</v>
      </c>
      <c r="S2385" s="2">
        <f>NETWORKDAYS(B2385,C2385)-1</f>
        <v>2</v>
      </c>
      <c r="T2385" s="1">
        <f>WORKDAY(B2385,5)</f>
        <v>45932</v>
      </c>
      <c r="U2385" t="b">
        <f>C2385&gt;T2385</f>
        <v>0</v>
      </c>
    </row>
    <row r="2386" spans="1:21" x14ac:dyDescent="0.25">
      <c r="A2386" t="s">
        <v>1593</v>
      </c>
      <c r="B2386" s="1">
        <v>45925</v>
      </c>
      <c r="C2386" s="1">
        <v>45929</v>
      </c>
      <c r="D2386" t="s">
        <v>395</v>
      </c>
      <c r="E2386" t="s">
        <v>229</v>
      </c>
      <c r="F2386" t="s">
        <v>55</v>
      </c>
      <c r="G2386" t="s">
        <v>195</v>
      </c>
      <c r="H2386" t="s">
        <v>72</v>
      </c>
      <c r="I2386" s="2">
        <v>2</v>
      </c>
      <c r="J2386" s="3">
        <v>179</v>
      </c>
      <c r="K2386" s="4">
        <v>0</v>
      </c>
      <c r="L2386" s="3">
        <v>358</v>
      </c>
      <c r="M2386" t="b">
        <v>1</v>
      </c>
      <c r="N2386" s="2">
        <f>YEAR(B2386)</f>
        <v>2025</v>
      </c>
      <c r="O2386" t="str">
        <f>INDEX(Agences!$C:$C,MATCH(F2386,Agences!$A:$A,0))</f>
        <v>Est</v>
      </c>
      <c r="P2386" t="str">
        <f>INDEX(Produits!$C:$C,MATCH(H2386,Produits!$A:$A,0))</f>
        <v>Informatique</v>
      </c>
      <c r="Q2386" s="3">
        <f>I2386*INDEX(Produits!$E:$E,MATCH(H2386,Produits!$A:$A,0))</f>
        <v>293.56</v>
      </c>
      <c r="R2386" s="3">
        <f>L2386-Q2386</f>
        <v>64.44</v>
      </c>
      <c r="S2386" s="2">
        <f>NETWORKDAYS(B2386,C2386)-1</f>
        <v>2</v>
      </c>
      <c r="T2386" s="1">
        <f>WORKDAY(B2386,5)</f>
        <v>45932</v>
      </c>
      <c r="U2386" t="b">
        <f>C2386&gt;T2386</f>
        <v>0</v>
      </c>
    </row>
    <row r="2387" spans="1:21" x14ac:dyDescent="0.25">
      <c r="A2387" t="s">
        <v>1593</v>
      </c>
      <c r="B2387" s="1">
        <v>45925</v>
      </c>
      <c r="C2387" s="1">
        <v>45929</v>
      </c>
      <c r="D2387" t="s">
        <v>395</v>
      </c>
      <c r="E2387" t="s">
        <v>229</v>
      </c>
      <c r="F2387" t="s">
        <v>55</v>
      </c>
      <c r="G2387" t="s">
        <v>195</v>
      </c>
      <c r="H2387" t="s">
        <v>33</v>
      </c>
      <c r="I2387" s="2">
        <v>3</v>
      </c>
      <c r="J2387" s="3">
        <v>219</v>
      </c>
      <c r="K2387" s="4">
        <v>0</v>
      </c>
      <c r="L2387" s="3">
        <v>657</v>
      </c>
      <c r="M2387" t="b">
        <v>1</v>
      </c>
      <c r="N2387" s="2">
        <f>YEAR(B2387)</f>
        <v>2025</v>
      </c>
      <c r="O2387" t="str">
        <f>INDEX(Agences!$C:$C,MATCH(F2387,Agences!$A:$A,0))</f>
        <v>Est</v>
      </c>
      <c r="P2387" t="str">
        <f>INDEX(Produits!$C:$C,MATCH(H2387,Produits!$A:$A,0))</f>
        <v>Informatique</v>
      </c>
      <c r="Q2387" s="3">
        <f>I2387*INDEX(Produits!$E:$E,MATCH(H2387,Produits!$A:$A,0))</f>
        <v>538.74</v>
      </c>
      <c r="R2387" s="3">
        <f>L2387-Q2387</f>
        <v>118.25999999999999</v>
      </c>
      <c r="S2387" s="2">
        <f>NETWORKDAYS(B2387,C2387)-1</f>
        <v>2</v>
      </c>
      <c r="T2387" s="1">
        <f>WORKDAY(B2387,5)</f>
        <v>45932</v>
      </c>
      <c r="U2387" t="b">
        <f>C2387&gt;T2387</f>
        <v>0</v>
      </c>
    </row>
    <row r="2388" spans="1:21" x14ac:dyDescent="0.25">
      <c r="A2388" t="s">
        <v>1593</v>
      </c>
      <c r="B2388" s="1">
        <v>45925</v>
      </c>
      <c r="C2388" s="1">
        <v>45929</v>
      </c>
      <c r="D2388" t="s">
        <v>395</v>
      </c>
      <c r="E2388" t="s">
        <v>229</v>
      </c>
      <c r="F2388" t="s">
        <v>55</v>
      </c>
      <c r="G2388" t="s">
        <v>195</v>
      </c>
      <c r="H2388" t="s">
        <v>51</v>
      </c>
      <c r="I2388" s="2">
        <v>1</v>
      </c>
      <c r="J2388" s="3">
        <v>180</v>
      </c>
      <c r="K2388" s="4">
        <v>0.08</v>
      </c>
      <c r="L2388" s="3">
        <v>165.6</v>
      </c>
      <c r="M2388" t="b">
        <v>1</v>
      </c>
      <c r="N2388" s="2">
        <f>YEAR(B2388)</f>
        <v>2025</v>
      </c>
      <c r="O2388" t="str">
        <f>INDEX(Agences!$C:$C,MATCH(F2388,Agences!$A:$A,0))</f>
        <v>Est</v>
      </c>
      <c r="P2388" t="str">
        <f>INDEX(Produits!$C:$C,MATCH(H2388,Produits!$A:$A,0))</f>
        <v>Maintenance</v>
      </c>
      <c r="Q2388" s="3">
        <f>I2388*INDEX(Produits!$E:$E,MATCH(H2388,Produits!$A:$A,0))</f>
        <v>82.8</v>
      </c>
      <c r="R2388" s="3">
        <f>L2388-Q2388</f>
        <v>82.8</v>
      </c>
      <c r="S2388" s="2">
        <f>NETWORKDAYS(B2388,C2388)-1</f>
        <v>2</v>
      </c>
      <c r="T2388" s="1">
        <f>WORKDAY(B2388,5)</f>
        <v>45932</v>
      </c>
      <c r="U2388" t="b">
        <f>C2388&gt;T2388</f>
        <v>0</v>
      </c>
    </row>
    <row r="2389" spans="1:21" x14ac:dyDescent="0.25">
      <c r="A2389" t="s">
        <v>1594</v>
      </c>
      <c r="B2389" s="1">
        <v>45924</v>
      </c>
      <c r="C2389" s="1">
        <v>45929</v>
      </c>
      <c r="D2389" t="s">
        <v>1595</v>
      </c>
      <c r="E2389" t="s">
        <v>209</v>
      </c>
      <c r="F2389" t="s">
        <v>99</v>
      </c>
      <c r="G2389" t="s">
        <v>100</v>
      </c>
      <c r="H2389" t="s">
        <v>42</v>
      </c>
      <c r="I2389" s="2">
        <v>1</v>
      </c>
      <c r="J2389" s="3">
        <v>55</v>
      </c>
      <c r="K2389" s="4">
        <v>0</v>
      </c>
      <c r="L2389" s="3">
        <v>55</v>
      </c>
      <c r="M2389" t="b">
        <v>1</v>
      </c>
      <c r="N2389" s="2">
        <f>YEAR(B2389)</f>
        <v>2025</v>
      </c>
      <c r="O2389" t="str">
        <f>INDEX(Agences!$C:$C,MATCH(F2389,Agences!$A:$A,0))</f>
        <v>Nord</v>
      </c>
      <c r="P2389" t="str">
        <f>INDEX(Produits!$C:$C,MATCH(H2389,Produits!$A:$A,0))</f>
        <v>Maintenance</v>
      </c>
      <c r="Q2389" s="3">
        <f>I2389*INDEX(Produits!$E:$E,MATCH(H2389,Produits!$A:$A,0))</f>
        <v>24.75</v>
      </c>
      <c r="R2389" s="3">
        <f>L2389-Q2389</f>
        <v>30.25</v>
      </c>
      <c r="S2389" s="2">
        <f>NETWORKDAYS(B2389,C2389)-1</f>
        <v>3</v>
      </c>
      <c r="T2389" s="1">
        <f>WORKDAY(B2389,5)</f>
        <v>45931</v>
      </c>
      <c r="U2389" t="b">
        <f>C2389&gt;T2389</f>
        <v>0</v>
      </c>
    </row>
    <row r="2390" spans="1:21" x14ac:dyDescent="0.25">
      <c r="A2390" t="s">
        <v>1596</v>
      </c>
      <c r="B2390" s="1">
        <v>45924</v>
      </c>
      <c r="C2390" s="1">
        <v>45926</v>
      </c>
      <c r="D2390" t="s">
        <v>1030</v>
      </c>
      <c r="E2390" t="s">
        <v>175</v>
      </c>
      <c r="F2390" t="s">
        <v>76</v>
      </c>
      <c r="G2390" t="s">
        <v>176</v>
      </c>
      <c r="H2390" t="s">
        <v>50</v>
      </c>
      <c r="I2390" s="2">
        <v>3</v>
      </c>
      <c r="J2390" s="3">
        <v>69</v>
      </c>
      <c r="K2390" s="4">
        <v>0</v>
      </c>
      <c r="L2390" s="3">
        <v>207</v>
      </c>
      <c r="M2390" t="b">
        <v>1</v>
      </c>
      <c r="N2390" s="2">
        <f>YEAR(B2390)</f>
        <v>2025</v>
      </c>
      <c r="O2390" t="str">
        <f>INDEX(Agences!$C:$C,MATCH(F2390,Agences!$A:$A,0))</f>
        <v>Île-de-France</v>
      </c>
      <c r="P2390" t="str">
        <f>INDEX(Produits!$C:$C,MATCH(H2390,Produits!$A:$A,0))</f>
        <v>Informatique</v>
      </c>
      <c r="Q2390" s="3">
        <f>I2390*INDEX(Produits!$E:$E,MATCH(H2390,Produits!$A:$A,0))</f>
        <v>163.53</v>
      </c>
      <c r="R2390" s="3">
        <f>L2390-Q2390</f>
        <v>43.47</v>
      </c>
      <c r="S2390" s="2">
        <f>NETWORKDAYS(B2390,C2390)-1</f>
        <v>2</v>
      </c>
      <c r="T2390" s="1">
        <f>WORKDAY(B2390,5)</f>
        <v>45931</v>
      </c>
      <c r="U2390" t="b">
        <f>C2390&gt;T2390</f>
        <v>0</v>
      </c>
    </row>
    <row r="2391" spans="1:21" x14ac:dyDescent="0.25">
      <c r="A2391" t="s">
        <v>1596</v>
      </c>
      <c r="B2391" s="1">
        <v>45924</v>
      </c>
      <c r="C2391" s="1">
        <v>45926</v>
      </c>
      <c r="D2391" t="s">
        <v>1030</v>
      </c>
      <c r="E2391" t="s">
        <v>175</v>
      </c>
      <c r="F2391" t="s">
        <v>76</v>
      </c>
      <c r="G2391" t="s">
        <v>176</v>
      </c>
      <c r="H2391" t="s">
        <v>51</v>
      </c>
      <c r="I2391" s="2">
        <v>1</v>
      </c>
      <c r="J2391" s="3">
        <v>180</v>
      </c>
      <c r="K2391" s="4">
        <v>0.05</v>
      </c>
      <c r="L2391" s="3">
        <v>171</v>
      </c>
      <c r="M2391" t="b">
        <v>1</v>
      </c>
      <c r="N2391" s="2">
        <f>YEAR(B2391)</f>
        <v>2025</v>
      </c>
      <c r="O2391" t="str">
        <f>INDEX(Agences!$C:$C,MATCH(F2391,Agences!$A:$A,0))</f>
        <v>Île-de-France</v>
      </c>
      <c r="P2391" t="str">
        <f>INDEX(Produits!$C:$C,MATCH(H2391,Produits!$A:$A,0))</f>
        <v>Maintenance</v>
      </c>
      <c r="Q2391" s="3">
        <f>I2391*INDEX(Produits!$E:$E,MATCH(H2391,Produits!$A:$A,0))</f>
        <v>82.8</v>
      </c>
      <c r="R2391" s="3">
        <f>L2391-Q2391</f>
        <v>88.2</v>
      </c>
      <c r="S2391" s="2">
        <f>NETWORKDAYS(B2391,C2391)-1</f>
        <v>2</v>
      </c>
      <c r="T2391" s="1">
        <f>WORKDAY(B2391,5)</f>
        <v>45931</v>
      </c>
      <c r="U2391" t="b">
        <f>C2391&gt;T2391</f>
        <v>0</v>
      </c>
    </row>
    <row r="2392" spans="1:21" x14ac:dyDescent="0.25">
      <c r="A2392" t="s">
        <v>1596</v>
      </c>
      <c r="B2392" s="1">
        <v>45924</v>
      </c>
      <c r="C2392" s="1">
        <v>45926</v>
      </c>
      <c r="D2392" t="s">
        <v>1030</v>
      </c>
      <c r="E2392" t="s">
        <v>175</v>
      </c>
      <c r="F2392" t="s">
        <v>76</v>
      </c>
      <c r="G2392" t="s">
        <v>176</v>
      </c>
      <c r="H2392" t="s">
        <v>112</v>
      </c>
      <c r="I2392" s="2">
        <v>3</v>
      </c>
      <c r="J2392" s="3">
        <v>129</v>
      </c>
      <c r="K2392" s="4">
        <v>0</v>
      </c>
      <c r="L2392" s="3">
        <v>387</v>
      </c>
      <c r="M2392" t="b">
        <v>1</v>
      </c>
      <c r="N2392" s="2">
        <f>YEAR(B2392)</f>
        <v>2025</v>
      </c>
      <c r="O2392" t="str">
        <f>INDEX(Agences!$C:$C,MATCH(F2392,Agences!$A:$A,0))</f>
        <v>Île-de-France</v>
      </c>
      <c r="P2392" t="str">
        <f>INDEX(Produits!$C:$C,MATCH(H2392,Produits!$A:$A,0))</f>
        <v>Mobilier</v>
      </c>
      <c r="Q2392" s="3">
        <f>I2392*INDEX(Produits!$E:$E,MATCH(H2392,Produits!$A:$A,0))</f>
        <v>259.29</v>
      </c>
      <c r="R2392" s="3">
        <f>L2392-Q2392</f>
        <v>127.70999999999998</v>
      </c>
      <c r="S2392" s="2">
        <f>NETWORKDAYS(B2392,C2392)-1</f>
        <v>2</v>
      </c>
      <c r="T2392" s="1">
        <f>WORKDAY(B2392,5)</f>
        <v>45931</v>
      </c>
      <c r="U2392" t="b">
        <f>C2392&gt;T2392</f>
        <v>0</v>
      </c>
    </row>
    <row r="2393" spans="1:21" x14ac:dyDescent="0.25">
      <c r="A2393" t="s">
        <v>1597</v>
      </c>
      <c r="B2393" s="1">
        <v>45924</v>
      </c>
      <c r="C2393" s="1">
        <v>45929</v>
      </c>
      <c r="D2393" t="s">
        <v>1192</v>
      </c>
      <c r="E2393" t="s">
        <v>256</v>
      </c>
      <c r="F2393" t="s">
        <v>88</v>
      </c>
      <c r="G2393" t="s">
        <v>89</v>
      </c>
      <c r="H2393" t="s">
        <v>83</v>
      </c>
      <c r="I2393" s="2">
        <v>5</v>
      </c>
      <c r="J2393" s="3">
        <v>49</v>
      </c>
      <c r="K2393" s="4">
        <v>0</v>
      </c>
      <c r="L2393" s="3">
        <v>245</v>
      </c>
      <c r="M2393" t="b">
        <v>1</v>
      </c>
      <c r="N2393" s="2">
        <f>YEAR(B2393)</f>
        <v>2025</v>
      </c>
      <c r="O2393" t="str">
        <f>INDEX(Agences!$C:$C,MATCH(F2393,Agences!$A:$A,0))</f>
        <v>Sud-Ouest</v>
      </c>
      <c r="P2393" t="str">
        <f>INDEX(Produits!$C:$C,MATCH(H2393,Produits!$A:$A,0))</f>
        <v>Mobilier</v>
      </c>
      <c r="Q2393" s="3">
        <f>I2393*INDEX(Produits!$E:$E,MATCH(H2393,Produits!$A:$A,0))</f>
        <v>142.10000000000002</v>
      </c>
      <c r="R2393" s="3">
        <f>L2393-Q2393</f>
        <v>102.89999999999998</v>
      </c>
      <c r="S2393" s="2">
        <f>NETWORKDAYS(B2393,C2393)-1</f>
        <v>3</v>
      </c>
      <c r="T2393" s="1">
        <f>WORKDAY(B2393,5)</f>
        <v>45931</v>
      </c>
      <c r="U2393" t="b">
        <f>C2393&gt;T2393</f>
        <v>0</v>
      </c>
    </row>
    <row r="2394" spans="1:21" x14ac:dyDescent="0.25">
      <c r="A2394" t="s">
        <v>1597</v>
      </c>
      <c r="B2394" s="1">
        <v>45924</v>
      </c>
      <c r="C2394" s="1">
        <v>45929</v>
      </c>
      <c r="D2394" t="s">
        <v>1192</v>
      </c>
      <c r="E2394" t="s">
        <v>256</v>
      </c>
      <c r="F2394" t="s">
        <v>88</v>
      </c>
      <c r="G2394" t="s">
        <v>89</v>
      </c>
      <c r="H2394" t="s">
        <v>51</v>
      </c>
      <c r="I2394" s="2">
        <v>1</v>
      </c>
      <c r="J2394" s="3">
        <v>180</v>
      </c>
      <c r="K2394" s="4">
        <v>0.05</v>
      </c>
      <c r="L2394" s="3">
        <v>171</v>
      </c>
      <c r="M2394" t="b">
        <v>1</v>
      </c>
      <c r="N2394" s="2">
        <f>YEAR(B2394)</f>
        <v>2025</v>
      </c>
      <c r="O2394" t="str">
        <f>INDEX(Agences!$C:$C,MATCH(F2394,Agences!$A:$A,0))</f>
        <v>Sud-Ouest</v>
      </c>
      <c r="P2394" t="str">
        <f>INDEX(Produits!$C:$C,MATCH(H2394,Produits!$A:$A,0))</f>
        <v>Maintenance</v>
      </c>
      <c r="Q2394" s="3">
        <f>I2394*INDEX(Produits!$E:$E,MATCH(H2394,Produits!$A:$A,0))</f>
        <v>82.8</v>
      </c>
      <c r="R2394" s="3">
        <f>L2394-Q2394</f>
        <v>88.2</v>
      </c>
      <c r="S2394" s="2">
        <f>NETWORKDAYS(B2394,C2394)-1</f>
        <v>3</v>
      </c>
      <c r="T2394" s="1">
        <f>WORKDAY(B2394,5)</f>
        <v>45931</v>
      </c>
      <c r="U2394" t="b">
        <f>C2394&gt;T2394</f>
        <v>0</v>
      </c>
    </row>
    <row r="2395" spans="1:21" x14ac:dyDescent="0.25">
      <c r="A2395" t="s">
        <v>1598</v>
      </c>
      <c r="B2395" s="1">
        <v>45924</v>
      </c>
      <c r="C2395" s="1">
        <v>45930</v>
      </c>
      <c r="D2395" t="s">
        <v>1599</v>
      </c>
      <c r="E2395" t="s">
        <v>45</v>
      </c>
      <c r="F2395" t="s">
        <v>46</v>
      </c>
      <c r="G2395" t="s">
        <v>158</v>
      </c>
      <c r="H2395" t="s">
        <v>35</v>
      </c>
      <c r="I2395" s="2">
        <v>8</v>
      </c>
      <c r="J2395" s="3">
        <v>79</v>
      </c>
      <c r="K2395" s="4">
        <v>0</v>
      </c>
      <c r="L2395" s="3">
        <v>632</v>
      </c>
      <c r="M2395" t="b">
        <v>1</v>
      </c>
      <c r="N2395" s="2">
        <f>YEAR(B2395)</f>
        <v>2025</v>
      </c>
      <c r="O2395" t="str">
        <f>INDEX(Agences!$C:$C,MATCH(F2395,Agences!$A:$A,0))</f>
        <v>Est</v>
      </c>
      <c r="P2395" t="str">
        <f>INDEX(Produits!$C:$C,MATCH(H2395,Produits!$A:$A,0))</f>
        <v>Mobilier</v>
      </c>
      <c r="Q2395" s="3">
        <f>I2395*INDEX(Produits!$E:$E,MATCH(H2395,Produits!$A:$A,0))</f>
        <v>372.88</v>
      </c>
      <c r="R2395" s="3">
        <f>L2395-Q2395</f>
        <v>259.12</v>
      </c>
      <c r="S2395" s="2">
        <f>NETWORKDAYS(B2395,C2395)-1</f>
        <v>4</v>
      </c>
      <c r="T2395" s="1">
        <f>WORKDAY(B2395,5)</f>
        <v>45931</v>
      </c>
      <c r="U2395" t="b">
        <f>C2395&gt;T2395</f>
        <v>0</v>
      </c>
    </row>
    <row r="2396" spans="1:21" x14ac:dyDescent="0.25">
      <c r="A2396" t="s">
        <v>1598</v>
      </c>
      <c r="B2396" s="1">
        <v>45924</v>
      </c>
      <c r="C2396" s="1">
        <v>45930</v>
      </c>
      <c r="D2396" t="s">
        <v>1599</v>
      </c>
      <c r="E2396" t="s">
        <v>45</v>
      </c>
      <c r="F2396" t="s">
        <v>46</v>
      </c>
      <c r="G2396" t="s">
        <v>158</v>
      </c>
      <c r="H2396" t="s">
        <v>162</v>
      </c>
      <c r="I2396" s="2">
        <v>3</v>
      </c>
      <c r="J2396" s="3">
        <v>289</v>
      </c>
      <c r="K2396" s="4">
        <v>0</v>
      </c>
      <c r="L2396" s="3">
        <v>867</v>
      </c>
      <c r="M2396" t="b">
        <v>1</v>
      </c>
      <c r="N2396" s="2">
        <f>YEAR(B2396)</f>
        <v>2025</v>
      </c>
      <c r="O2396" t="str">
        <f>INDEX(Agences!$C:$C,MATCH(F2396,Agences!$A:$A,0))</f>
        <v>Est</v>
      </c>
      <c r="P2396" t="str">
        <f>INDEX(Produits!$C:$C,MATCH(H2396,Produits!$A:$A,0))</f>
        <v>Mobilier</v>
      </c>
      <c r="Q2396" s="3">
        <f>I2396*INDEX(Produits!$E:$E,MATCH(H2396,Produits!$A:$A,0))</f>
        <v>580.89</v>
      </c>
      <c r="R2396" s="3">
        <f>L2396-Q2396</f>
        <v>286.11</v>
      </c>
      <c r="S2396" s="2">
        <f>NETWORKDAYS(B2396,C2396)-1</f>
        <v>4</v>
      </c>
      <c r="T2396" s="1">
        <f>WORKDAY(B2396,5)</f>
        <v>45931</v>
      </c>
      <c r="U2396" t="b">
        <f>C2396&gt;T2396</f>
        <v>0</v>
      </c>
    </row>
    <row r="2397" spans="1:21" x14ac:dyDescent="0.25">
      <c r="A2397" t="s">
        <v>1600</v>
      </c>
      <c r="B2397" s="1">
        <v>45923</v>
      </c>
      <c r="C2397" s="1">
        <v>45926</v>
      </c>
      <c r="D2397" t="s">
        <v>224</v>
      </c>
      <c r="E2397" t="s">
        <v>225</v>
      </c>
      <c r="F2397" t="s">
        <v>88</v>
      </c>
      <c r="G2397" t="s">
        <v>142</v>
      </c>
      <c r="H2397" t="s">
        <v>196</v>
      </c>
      <c r="I2397" s="2">
        <v>10</v>
      </c>
      <c r="J2397" s="3">
        <v>18.5</v>
      </c>
      <c r="K2397" s="4">
        <v>0</v>
      </c>
      <c r="L2397" s="3">
        <v>185</v>
      </c>
      <c r="M2397" t="b">
        <v>1</v>
      </c>
      <c r="N2397" s="2">
        <f>YEAR(B2397)</f>
        <v>2025</v>
      </c>
      <c r="O2397" t="str">
        <f>INDEX(Agences!$C:$C,MATCH(F2397,Agences!$A:$A,0))</f>
        <v>Sud-Ouest</v>
      </c>
      <c r="P2397" t="str">
        <f>INDEX(Produits!$C:$C,MATCH(H2397,Produits!$A:$A,0))</f>
        <v>Fournitures</v>
      </c>
      <c r="Q2397" s="3">
        <f>I2397*INDEX(Produits!$E:$E,MATCH(H2397,Produits!$A:$A,0))</f>
        <v>94.39999999999999</v>
      </c>
      <c r="R2397" s="3">
        <f>L2397-Q2397</f>
        <v>90.60000000000001</v>
      </c>
      <c r="S2397" s="2">
        <f>NETWORKDAYS(B2397,C2397)-1</f>
        <v>3</v>
      </c>
      <c r="T2397" s="1">
        <f>WORKDAY(B2397,5)</f>
        <v>45930</v>
      </c>
      <c r="U2397" t="b">
        <f>C2397&gt;T2397</f>
        <v>0</v>
      </c>
    </row>
    <row r="2398" spans="1:21" x14ac:dyDescent="0.25">
      <c r="A2398" t="s">
        <v>1600</v>
      </c>
      <c r="B2398" s="1">
        <v>45923</v>
      </c>
      <c r="C2398" s="1">
        <v>45926</v>
      </c>
      <c r="D2398" t="s">
        <v>224</v>
      </c>
      <c r="E2398" t="s">
        <v>225</v>
      </c>
      <c r="F2398" t="s">
        <v>88</v>
      </c>
      <c r="G2398" t="s">
        <v>142</v>
      </c>
      <c r="H2398" t="s">
        <v>150</v>
      </c>
      <c r="I2398" s="2">
        <v>1</v>
      </c>
      <c r="J2398" s="3">
        <v>790</v>
      </c>
      <c r="K2398" s="4">
        <v>0.08</v>
      </c>
      <c r="L2398" s="3">
        <v>726.8</v>
      </c>
      <c r="M2398" t="b">
        <v>1</v>
      </c>
      <c r="N2398" s="2">
        <f>YEAR(B2398)</f>
        <v>2025</v>
      </c>
      <c r="O2398" t="str">
        <f>INDEX(Agences!$C:$C,MATCH(F2398,Agences!$A:$A,0))</f>
        <v>Sud-Ouest</v>
      </c>
      <c r="P2398" t="str">
        <f>INDEX(Produits!$C:$C,MATCH(H2398,Produits!$A:$A,0))</f>
        <v>Informatique</v>
      </c>
      <c r="Q2398" s="3">
        <f>I2398*INDEX(Produits!$E:$E,MATCH(H2398,Produits!$A:$A,0))</f>
        <v>584.6</v>
      </c>
      <c r="R2398" s="3">
        <f>L2398-Q2398</f>
        <v>142.19999999999993</v>
      </c>
      <c r="S2398" s="2">
        <f>NETWORKDAYS(B2398,C2398)-1</f>
        <v>3</v>
      </c>
      <c r="T2398" s="1">
        <f>WORKDAY(B2398,5)</f>
        <v>45930</v>
      </c>
      <c r="U2398" t="b">
        <f>C2398&gt;T2398</f>
        <v>0</v>
      </c>
    </row>
    <row r="2399" spans="1:21" x14ac:dyDescent="0.25">
      <c r="A2399" t="s">
        <v>1601</v>
      </c>
      <c r="B2399" s="1">
        <v>45923</v>
      </c>
      <c r="C2399" s="1">
        <v>45926</v>
      </c>
      <c r="D2399" t="s">
        <v>1602</v>
      </c>
      <c r="E2399" t="s">
        <v>45</v>
      </c>
      <c r="F2399" t="s">
        <v>46</v>
      </c>
      <c r="G2399" t="s">
        <v>158</v>
      </c>
      <c r="H2399" t="s">
        <v>217</v>
      </c>
      <c r="I2399" s="2">
        <v>2</v>
      </c>
      <c r="J2399" s="3">
        <v>1090</v>
      </c>
      <c r="K2399" s="4">
        <v>0</v>
      </c>
      <c r="L2399" s="3">
        <v>2180</v>
      </c>
      <c r="M2399" t="b">
        <v>1</v>
      </c>
      <c r="N2399" s="2">
        <f>YEAR(B2399)</f>
        <v>2025</v>
      </c>
      <c r="O2399" t="str">
        <f>INDEX(Agences!$C:$C,MATCH(F2399,Agences!$A:$A,0))</f>
        <v>Est</v>
      </c>
      <c r="P2399" t="str">
        <f>INDEX(Produits!$C:$C,MATCH(H2399,Produits!$A:$A,0))</f>
        <v>Informatique</v>
      </c>
      <c r="Q2399" s="3">
        <f>I2399*INDEX(Produits!$E:$E,MATCH(H2399,Produits!$A:$A,0))</f>
        <v>1635</v>
      </c>
      <c r="R2399" s="3">
        <f>L2399-Q2399</f>
        <v>545</v>
      </c>
      <c r="S2399" s="2">
        <f>NETWORKDAYS(B2399,C2399)-1</f>
        <v>3</v>
      </c>
      <c r="T2399" s="1">
        <f>WORKDAY(B2399,5)</f>
        <v>45930</v>
      </c>
      <c r="U2399" t="b">
        <f>C2399&gt;T2399</f>
        <v>0</v>
      </c>
    </row>
    <row r="2400" spans="1:21" x14ac:dyDescent="0.25">
      <c r="A2400" t="s">
        <v>1601</v>
      </c>
      <c r="B2400" s="1">
        <v>45923</v>
      </c>
      <c r="C2400" s="1">
        <v>45926</v>
      </c>
      <c r="D2400" t="s">
        <v>1602</v>
      </c>
      <c r="E2400" t="s">
        <v>45</v>
      </c>
      <c r="F2400" t="s">
        <v>46</v>
      </c>
      <c r="G2400" t="s">
        <v>158</v>
      </c>
      <c r="H2400" t="s">
        <v>27</v>
      </c>
      <c r="I2400" s="2">
        <v>1</v>
      </c>
      <c r="J2400" s="3">
        <v>310</v>
      </c>
      <c r="K2400" s="4">
        <v>0.02</v>
      </c>
      <c r="L2400" s="3">
        <v>303.8</v>
      </c>
      <c r="M2400" t="b">
        <v>1</v>
      </c>
      <c r="N2400" s="2">
        <f>YEAR(B2400)</f>
        <v>2025</v>
      </c>
      <c r="O2400" t="str">
        <f>INDEX(Agences!$C:$C,MATCH(F2400,Agences!$A:$A,0))</f>
        <v>Est</v>
      </c>
      <c r="P2400" t="str">
        <f>INDEX(Produits!$C:$C,MATCH(H2400,Produits!$A:$A,0))</f>
        <v>Mobilier</v>
      </c>
      <c r="Q2400" s="3">
        <f>I2400*INDEX(Produits!$E:$E,MATCH(H2400,Produits!$A:$A,0))</f>
        <v>186</v>
      </c>
      <c r="R2400" s="3">
        <f>L2400-Q2400</f>
        <v>117.80000000000001</v>
      </c>
      <c r="S2400" s="2">
        <f>NETWORKDAYS(B2400,C2400)-1</f>
        <v>3</v>
      </c>
      <c r="T2400" s="1">
        <f>WORKDAY(B2400,5)</f>
        <v>45930</v>
      </c>
      <c r="U2400" t="b">
        <f>C2400&gt;T2400</f>
        <v>0</v>
      </c>
    </row>
    <row r="2401" spans="1:21" x14ac:dyDescent="0.25">
      <c r="A2401" t="s">
        <v>1601</v>
      </c>
      <c r="B2401" s="1">
        <v>45923</v>
      </c>
      <c r="C2401" s="1">
        <v>45926</v>
      </c>
      <c r="D2401" t="s">
        <v>1602</v>
      </c>
      <c r="E2401" t="s">
        <v>45</v>
      </c>
      <c r="F2401" t="s">
        <v>46</v>
      </c>
      <c r="G2401" t="s">
        <v>158</v>
      </c>
      <c r="H2401" t="s">
        <v>83</v>
      </c>
      <c r="I2401" s="2">
        <v>1</v>
      </c>
      <c r="J2401" s="3">
        <v>49</v>
      </c>
      <c r="K2401" s="4">
        <v>0.02</v>
      </c>
      <c r="L2401" s="3">
        <v>48.02</v>
      </c>
      <c r="M2401" t="b">
        <v>1</v>
      </c>
      <c r="N2401" s="2">
        <f>YEAR(B2401)</f>
        <v>2025</v>
      </c>
      <c r="O2401" t="str">
        <f>INDEX(Agences!$C:$C,MATCH(F2401,Agences!$A:$A,0))</f>
        <v>Est</v>
      </c>
      <c r="P2401" t="str">
        <f>INDEX(Produits!$C:$C,MATCH(H2401,Produits!$A:$A,0))</f>
        <v>Mobilier</v>
      </c>
      <c r="Q2401" s="3">
        <f>I2401*INDEX(Produits!$E:$E,MATCH(H2401,Produits!$A:$A,0))</f>
        <v>28.42</v>
      </c>
      <c r="R2401" s="3">
        <f>L2401-Q2401</f>
        <v>19.6</v>
      </c>
      <c r="S2401" s="2">
        <f>NETWORKDAYS(B2401,C2401)-1</f>
        <v>3</v>
      </c>
      <c r="T2401" s="1">
        <f>WORKDAY(B2401,5)</f>
        <v>45930</v>
      </c>
      <c r="U2401" t="b">
        <f>C2401&gt;T2401</f>
        <v>0</v>
      </c>
    </row>
    <row r="2402" spans="1:21" x14ac:dyDescent="0.25">
      <c r="A2402" t="s">
        <v>1601</v>
      </c>
      <c r="B2402" s="1">
        <v>45923</v>
      </c>
      <c r="C2402" s="1">
        <v>45926</v>
      </c>
      <c r="D2402" t="s">
        <v>1602</v>
      </c>
      <c r="E2402" t="s">
        <v>45</v>
      </c>
      <c r="F2402" t="s">
        <v>46</v>
      </c>
      <c r="G2402" t="s">
        <v>158</v>
      </c>
      <c r="H2402" t="s">
        <v>79</v>
      </c>
      <c r="I2402" s="2">
        <v>5</v>
      </c>
      <c r="J2402" s="3">
        <v>14.9</v>
      </c>
      <c r="K2402" s="4">
        <v>0</v>
      </c>
      <c r="L2402" s="3">
        <v>74.5</v>
      </c>
      <c r="M2402" t="b">
        <v>1</v>
      </c>
      <c r="N2402" s="2">
        <f>YEAR(B2402)</f>
        <v>2025</v>
      </c>
      <c r="O2402" t="str">
        <f>INDEX(Agences!$C:$C,MATCH(F2402,Agences!$A:$A,0))</f>
        <v>Est</v>
      </c>
      <c r="P2402" t="str">
        <f>INDEX(Produits!$C:$C,MATCH(H2402,Produits!$A:$A,0))</f>
        <v>Fournitures</v>
      </c>
      <c r="Q2402" s="3">
        <f>I2402*INDEX(Produits!$E:$E,MATCH(H2402,Produits!$A:$A,0))</f>
        <v>40.25</v>
      </c>
      <c r="R2402" s="3">
        <f>L2402-Q2402</f>
        <v>34.25</v>
      </c>
      <c r="S2402" s="2">
        <f>NETWORKDAYS(B2402,C2402)-1</f>
        <v>3</v>
      </c>
      <c r="T2402" s="1">
        <f>WORKDAY(B2402,5)</f>
        <v>45930</v>
      </c>
      <c r="U2402" t="b">
        <f>C2402&gt;T2402</f>
        <v>0</v>
      </c>
    </row>
    <row r="2403" spans="1:21" x14ac:dyDescent="0.25">
      <c r="A2403" t="s">
        <v>1603</v>
      </c>
      <c r="B2403" s="1">
        <v>45922</v>
      </c>
      <c r="C2403" s="1">
        <v>45925</v>
      </c>
      <c r="D2403" t="s">
        <v>1451</v>
      </c>
      <c r="E2403" t="s">
        <v>130</v>
      </c>
      <c r="F2403" t="s">
        <v>39</v>
      </c>
      <c r="G2403" t="s">
        <v>322</v>
      </c>
      <c r="H2403" t="s">
        <v>107</v>
      </c>
      <c r="I2403" s="2">
        <v>2</v>
      </c>
      <c r="J2403" s="3">
        <v>99</v>
      </c>
      <c r="K2403" s="4">
        <v>0.05</v>
      </c>
      <c r="L2403" s="3">
        <v>188.1</v>
      </c>
      <c r="M2403" t="b">
        <v>1</v>
      </c>
      <c r="N2403" s="2">
        <f>YEAR(B2403)</f>
        <v>2025</v>
      </c>
      <c r="O2403" t="str">
        <f>INDEX(Agences!$C:$C,MATCH(F2403,Agences!$A:$A,0))</f>
        <v>Sud-Ouest</v>
      </c>
      <c r="P2403" t="str">
        <f>INDEX(Produits!$C:$C,MATCH(H2403,Produits!$A:$A,0))</f>
        <v>Informatique</v>
      </c>
      <c r="Q2403" s="3">
        <f>I2403*INDEX(Produits!$E:$E,MATCH(H2403,Produits!$A:$A,0))</f>
        <v>150.48</v>
      </c>
      <c r="R2403" s="3">
        <f>L2403-Q2403</f>
        <v>37.620000000000005</v>
      </c>
      <c r="S2403" s="2">
        <f>NETWORKDAYS(B2403,C2403)-1</f>
        <v>3</v>
      </c>
      <c r="T2403" s="1">
        <f>WORKDAY(B2403,5)</f>
        <v>45929</v>
      </c>
      <c r="U2403" t="b">
        <f>C2403&gt;T2403</f>
        <v>0</v>
      </c>
    </row>
    <row r="2404" spans="1:21" x14ac:dyDescent="0.25">
      <c r="A2404" t="s">
        <v>1603</v>
      </c>
      <c r="B2404" s="1">
        <v>45922</v>
      </c>
      <c r="C2404" s="1">
        <v>45925</v>
      </c>
      <c r="D2404" t="s">
        <v>1451</v>
      </c>
      <c r="E2404" t="s">
        <v>130</v>
      </c>
      <c r="F2404" t="s">
        <v>39</v>
      </c>
      <c r="G2404" t="s">
        <v>322</v>
      </c>
      <c r="H2404" t="s">
        <v>49</v>
      </c>
      <c r="I2404" s="2">
        <v>2</v>
      </c>
      <c r="J2404" s="3">
        <v>120</v>
      </c>
      <c r="K2404" s="4">
        <v>0</v>
      </c>
      <c r="L2404" s="3">
        <v>240</v>
      </c>
      <c r="M2404" t="b">
        <v>1</v>
      </c>
      <c r="N2404" s="2">
        <f>YEAR(B2404)</f>
        <v>2025</v>
      </c>
      <c r="O2404" t="str">
        <f>INDEX(Agences!$C:$C,MATCH(F2404,Agences!$A:$A,0))</f>
        <v>Sud-Ouest</v>
      </c>
      <c r="P2404" t="str">
        <f>INDEX(Produits!$C:$C,MATCH(H2404,Produits!$A:$A,0))</f>
        <v>Maintenance</v>
      </c>
      <c r="Q2404" s="3">
        <f>I2404*INDEX(Produits!$E:$E,MATCH(H2404,Produits!$A:$A,0))</f>
        <v>110.4</v>
      </c>
      <c r="R2404" s="3">
        <f>L2404-Q2404</f>
        <v>129.6</v>
      </c>
      <c r="S2404" s="2">
        <f>NETWORKDAYS(B2404,C2404)-1</f>
        <v>3</v>
      </c>
      <c r="T2404" s="1">
        <f>WORKDAY(B2404,5)</f>
        <v>45929</v>
      </c>
      <c r="U2404" t="b">
        <f>C2404&gt;T2404</f>
        <v>0</v>
      </c>
    </row>
    <row r="2405" spans="1:21" x14ac:dyDescent="0.25">
      <c r="A2405" t="s">
        <v>1604</v>
      </c>
      <c r="B2405" s="1">
        <v>45919</v>
      </c>
      <c r="C2405" s="1">
        <v>45924</v>
      </c>
      <c r="D2405" t="s">
        <v>570</v>
      </c>
      <c r="E2405" t="s">
        <v>126</v>
      </c>
      <c r="F2405" t="s">
        <v>99</v>
      </c>
      <c r="G2405" t="s">
        <v>210</v>
      </c>
      <c r="H2405" t="s">
        <v>50</v>
      </c>
      <c r="I2405" s="2">
        <v>4</v>
      </c>
      <c r="J2405" s="3">
        <v>69</v>
      </c>
      <c r="K2405" s="4">
        <v>0</v>
      </c>
      <c r="L2405" s="3">
        <v>276</v>
      </c>
      <c r="M2405" t="b">
        <v>1</v>
      </c>
      <c r="N2405" s="2">
        <f>YEAR(B2405)</f>
        <v>2025</v>
      </c>
      <c r="O2405" t="str">
        <f>INDEX(Agences!$C:$C,MATCH(F2405,Agences!$A:$A,0))</f>
        <v>Nord</v>
      </c>
      <c r="P2405" t="str">
        <f>INDEX(Produits!$C:$C,MATCH(H2405,Produits!$A:$A,0))</f>
        <v>Informatique</v>
      </c>
      <c r="Q2405" s="3">
        <f>I2405*INDEX(Produits!$E:$E,MATCH(H2405,Produits!$A:$A,0))</f>
        <v>218.04</v>
      </c>
      <c r="R2405" s="3">
        <f>L2405-Q2405</f>
        <v>57.96000000000001</v>
      </c>
      <c r="S2405" s="2">
        <f>NETWORKDAYS(B2405,C2405)-1</f>
        <v>3</v>
      </c>
      <c r="T2405" s="1">
        <f>WORKDAY(B2405,5)</f>
        <v>45926</v>
      </c>
      <c r="U2405" t="b">
        <f>C2405&gt;T2405</f>
        <v>0</v>
      </c>
    </row>
    <row r="2406" spans="1:21" x14ac:dyDescent="0.25">
      <c r="A2406" t="s">
        <v>1605</v>
      </c>
      <c r="B2406" s="1">
        <v>45919</v>
      </c>
      <c r="C2406" s="1">
        <v>45924</v>
      </c>
      <c r="D2406" t="s">
        <v>136</v>
      </c>
      <c r="E2406" t="s">
        <v>137</v>
      </c>
      <c r="F2406" t="s">
        <v>138</v>
      </c>
      <c r="G2406" t="s">
        <v>139</v>
      </c>
      <c r="H2406" t="s">
        <v>107</v>
      </c>
      <c r="I2406" s="2">
        <v>4</v>
      </c>
      <c r="J2406" s="3">
        <v>99</v>
      </c>
      <c r="K2406" s="4">
        <v>0.08</v>
      </c>
      <c r="L2406" s="3">
        <v>364.32</v>
      </c>
      <c r="M2406" t="b">
        <v>1</v>
      </c>
      <c r="N2406" s="2">
        <f>YEAR(B2406)</f>
        <v>2025</v>
      </c>
      <c r="O2406" t="str">
        <f>INDEX(Agences!$C:$C,MATCH(F2406,Agences!$A:$A,0))</f>
        <v>Île-de-France</v>
      </c>
      <c r="P2406" t="str">
        <f>INDEX(Produits!$C:$C,MATCH(H2406,Produits!$A:$A,0))</f>
        <v>Informatique</v>
      </c>
      <c r="Q2406" s="3">
        <f>I2406*INDEX(Produits!$E:$E,MATCH(H2406,Produits!$A:$A,0))</f>
        <v>300.96</v>
      </c>
      <c r="R2406" s="3">
        <f>L2406-Q2406</f>
        <v>63.360000000000014</v>
      </c>
      <c r="S2406" s="2">
        <f>NETWORKDAYS(B2406,C2406)-1</f>
        <v>3</v>
      </c>
      <c r="T2406" s="1">
        <f>WORKDAY(B2406,5)</f>
        <v>45926</v>
      </c>
      <c r="U2406" t="b">
        <f>C2406&gt;T2406</f>
        <v>0</v>
      </c>
    </row>
    <row r="2407" spans="1:21" x14ac:dyDescent="0.25">
      <c r="A2407" t="s">
        <v>1605</v>
      </c>
      <c r="B2407" s="1">
        <v>45919</v>
      </c>
      <c r="C2407" s="1">
        <v>45924</v>
      </c>
      <c r="D2407" t="s">
        <v>136</v>
      </c>
      <c r="E2407" t="s">
        <v>137</v>
      </c>
      <c r="F2407" t="s">
        <v>138</v>
      </c>
      <c r="G2407" t="s">
        <v>139</v>
      </c>
      <c r="H2407" t="s">
        <v>72</v>
      </c>
      <c r="I2407" s="2">
        <v>2</v>
      </c>
      <c r="J2407" s="3">
        <v>179</v>
      </c>
      <c r="K2407" s="4">
        <v>0.02</v>
      </c>
      <c r="L2407" s="3">
        <v>350.84</v>
      </c>
      <c r="M2407" t="b">
        <v>1</v>
      </c>
      <c r="N2407" s="2">
        <f>YEAR(B2407)</f>
        <v>2025</v>
      </c>
      <c r="O2407" t="str">
        <f>INDEX(Agences!$C:$C,MATCH(F2407,Agences!$A:$A,0))</f>
        <v>Île-de-France</v>
      </c>
      <c r="P2407" t="str">
        <f>INDEX(Produits!$C:$C,MATCH(H2407,Produits!$A:$A,0))</f>
        <v>Informatique</v>
      </c>
      <c r="Q2407" s="3">
        <f>I2407*INDEX(Produits!$E:$E,MATCH(H2407,Produits!$A:$A,0))</f>
        <v>293.56</v>
      </c>
      <c r="R2407" s="3">
        <f>L2407-Q2407</f>
        <v>57.27999999999997</v>
      </c>
      <c r="S2407" s="2">
        <f>NETWORKDAYS(B2407,C2407)-1</f>
        <v>3</v>
      </c>
      <c r="T2407" s="1">
        <f>WORKDAY(B2407,5)</f>
        <v>45926</v>
      </c>
      <c r="U2407" t="b">
        <f>C2407&gt;T2407</f>
        <v>0</v>
      </c>
    </row>
    <row r="2408" spans="1:21" x14ac:dyDescent="0.25">
      <c r="A2408" t="s">
        <v>1606</v>
      </c>
      <c r="B2408" s="1">
        <v>45919</v>
      </c>
      <c r="C2408" s="1">
        <v>45924</v>
      </c>
      <c r="D2408" t="s">
        <v>861</v>
      </c>
      <c r="E2408" t="s">
        <v>175</v>
      </c>
      <c r="F2408" t="s">
        <v>76</v>
      </c>
      <c r="G2408" t="s">
        <v>176</v>
      </c>
      <c r="H2408" t="s">
        <v>90</v>
      </c>
      <c r="I2408" s="2">
        <v>5</v>
      </c>
      <c r="J2408" s="3">
        <v>22.9</v>
      </c>
      <c r="K2408" s="4">
        <v>0</v>
      </c>
      <c r="L2408" s="3">
        <v>114.5</v>
      </c>
      <c r="M2408" t="b">
        <v>1</v>
      </c>
      <c r="N2408" s="2">
        <f>YEAR(B2408)</f>
        <v>2025</v>
      </c>
      <c r="O2408" t="str">
        <f>INDEX(Agences!$C:$C,MATCH(F2408,Agences!$A:$A,0))</f>
        <v>Île-de-France</v>
      </c>
      <c r="P2408" t="str">
        <f>INDEX(Produits!$C:$C,MATCH(H2408,Produits!$A:$A,0))</f>
        <v>Fournitures</v>
      </c>
      <c r="Q2408" s="3">
        <f>I2408*INDEX(Produits!$E:$E,MATCH(H2408,Produits!$A:$A,0))</f>
        <v>64.1</v>
      </c>
      <c r="R2408" s="3">
        <f>L2408-Q2408</f>
        <v>50.400000000000006</v>
      </c>
      <c r="S2408" s="2">
        <f>NETWORKDAYS(B2408,C2408)-1</f>
        <v>3</v>
      </c>
      <c r="T2408" s="1">
        <f>WORKDAY(B2408,5)</f>
        <v>45926</v>
      </c>
      <c r="U2408" t="b">
        <f>C2408&gt;T2408</f>
        <v>0</v>
      </c>
    </row>
    <row r="2409" spans="1:21" x14ac:dyDescent="0.25">
      <c r="A2409" t="s">
        <v>1606</v>
      </c>
      <c r="B2409" s="1">
        <v>45919</v>
      </c>
      <c r="C2409" s="1">
        <v>45924</v>
      </c>
      <c r="D2409" t="s">
        <v>861</v>
      </c>
      <c r="E2409" t="s">
        <v>175</v>
      </c>
      <c r="F2409" t="s">
        <v>76</v>
      </c>
      <c r="G2409" t="s">
        <v>176</v>
      </c>
      <c r="H2409" t="s">
        <v>57</v>
      </c>
      <c r="I2409" s="2">
        <v>1</v>
      </c>
      <c r="J2409" s="3">
        <v>149</v>
      </c>
      <c r="K2409" s="4">
        <v>0</v>
      </c>
      <c r="L2409" s="3">
        <v>149</v>
      </c>
      <c r="M2409" t="b">
        <v>1</v>
      </c>
      <c r="N2409" s="2">
        <f>YEAR(B2409)</f>
        <v>2025</v>
      </c>
      <c r="O2409" t="str">
        <f>INDEX(Agences!$C:$C,MATCH(F2409,Agences!$A:$A,0))</f>
        <v>Île-de-France</v>
      </c>
      <c r="P2409" t="str">
        <f>INDEX(Produits!$C:$C,MATCH(H2409,Produits!$A:$A,0))</f>
        <v>Informatique</v>
      </c>
      <c r="Q2409" s="3">
        <f>I2409*INDEX(Produits!$E:$E,MATCH(H2409,Produits!$A:$A,0))</f>
        <v>114.73</v>
      </c>
      <c r="R2409" s="3">
        <f>L2409-Q2409</f>
        <v>34.269999999999996</v>
      </c>
      <c r="S2409" s="2">
        <f>NETWORKDAYS(B2409,C2409)-1</f>
        <v>3</v>
      </c>
      <c r="T2409" s="1">
        <f>WORKDAY(B2409,5)</f>
        <v>45926</v>
      </c>
      <c r="U2409" t="b">
        <f>C2409&gt;T2409</f>
        <v>0</v>
      </c>
    </row>
    <row r="2410" spans="1:21" x14ac:dyDescent="0.25">
      <c r="A2410" t="s">
        <v>1607</v>
      </c>
      <c r="B2410" s="1">
        <v>45919</v>
      </c>
      <c r="C2410" s="1">
        <v>45922</v>
      </c>
      <c r="D2410" t="s">
        <v>1608</v>
      </c>
      <c r="E2410" t="s">
        <v>185</v>
      </c>
      <c r="F2410" t="s">
        <v>31</v>
      </c>
      <c r="G2410" t="s">
        <v>375</v>
      </c>
      <c r="H2410" t="s">
        <v>27</v>
      </c>
      <c r="I2410" s="2">
        <v>2</v>
      </c>
      <c r="J2410" s="3">
        <v>310</v>
      </c>
      <c r="K2410" s="4">
        <v>0.08</v>
      </c>
      <c r="L2410" s="3">
        <v>570.4</v>
      </c>
      <c r="M2410" t="b">
        <v>1</v>
      </c>
      <c r="N2410" s="2">
        <f>YEAR(B2410)</f>
        <v>2025</v>
      </c>
      <c r="O2410" t="str">
        <f>INDEX(Agences!$C:$C,MATCH(F2410,Agences!$A:$A,0))</f>
        <v>Ouest</v>
      </c>
      <c r="P2410" t="str">
        <f>INDEX(Produits!$C:$C,MATCH(H2410,Produits!$A:$A,0))</f>
        <v>Mobilier</v>
      </c>
      <c r="Q2410" s="3">
        <f>I2410*INDEX(Produits!$E:$E,MATCH(H2410,Produits!$A:$A,0))</f>
        <v>372</v>
      </c>
      <c r="R2410" s="3">
        <f>L2410-Q2410</f>
        <v>198.39999999999998</v>
      </c>
      <c r="S2410" s="2">
        <f>NETWORKDAYS(B2410,C2410)-1</f>
        <v>1</v>
      </c>
      <c r="T2410" s="1">
        <f>WORKDAY(B2410,5)</f>
        <v>45926</v>
      </c>
      <c r="U2410" t="b">
        <f>C2410&gt;T2410</f>
        <v>0</v>
      </c>
    </row>
    <row r="2411" spans="1:21" x14ac:dyDescent="0.25">
      <c r="A2411" t="s">
        <v>1607</v>
      </c>
      <c r="B2411" s="1">
        <v>45919</v>
      </c>
      <c r="C2411" s="1">
        <v>45922</v>
      </c>
      <c r="D2411" t="s">
        <v>1608</v>
      </c>
      <c r="E2411" t="s">
        <v>185</v>
      </c>
      <c r="F2411" t="s">
        <v>31</v>
      </c>
      <c r="G2411" t="s">
        <v>375</v>
      </c>
      <c r="H2411" t="s">
        <v>49</v>
      </c>
      <c r="I2411" s="2">
        <v>2</v>
      </c>
      <c r="J2411" s="3">
        <v>120</v>
      </c>
      <c r="K2411" s="4">
        <v>0</v>
      </c>
      <c r="L2411" s="3">
        <v>240</v>
      </c>
      <c r="M2411" t="b">
        <v>1</v>
      </c>
      <c r="N2411" s="2">
        <f>YEAR(B2411)</f>
        <v>2025</v>
      </c>
      <c r="O2411" t="str">
        <f>INDEX(Agences!$C:$C,MATCH(F2411,Agences!$A:$A,0))</f>
        <v>Ouest</v>
      </c>
      <c r="P2411" t="str">
        <f>INDEX(Produits!$C:$C,MATCH(H2411,Produits!$A:$A,0))</f>
        <v>Maintenance</v>
      </c>
      <c r="Q2411" s="3">
        <f>I2411*INDEX(Produits!$E:$E,MATCH(H2411,Produits!$A:$A,0))</f>
        <v>110.4</v>
      </c>
      <c r="R2411" s="3">
        <f>L2411-Q2411</f>
        <v>129.6</v>
      </c>
      <c r="S2411" s="2">
        <f>NETWORKDAYS(B2411,C2411)-1</f>
        <v>1</v>
      </c>
      <c r="T2411" s="1">
        <f>WORKDAY(B2411,5)</f>
        <v>45926</v>
      </c>
      <c r="U2411" t="b">
        <f>C2411&gt;T2411</f>
        <v>0</v>
      </c>
    </row>
    <row r="2412" spans="1:21" x14ac:dyDescent="0.25">
      <c r="A2412" t="s">
        <v>1609</v>
      </c>
      <c r="B2412" s="1">
        <v>45919</v>
      </c>
      <c r="C2412" s="1">
        <v>45922</v>
      </c>
      <c r="D2412" t="s">
        <v>313</v>
      </c>
      <c r="E2412" t="s">
        <v>93</v>
      </c>
      <c r="F2412" t="s">
        <v>94</v>
      </c>
      <c r="G2412" t="s">
        <v>182</v>
      </c>
      <c r="H2412" t="s">
        <v>35</v>
      </c>
      <c r="I2412" s="2">
        <v>4</v>
      </c>
      <c r="J2412" s="3">
        <v>79</v>
      </c>
      <c r="K2412" s="4">
        <v>0.08</v>
      </c>
      <c r="L2412" s="3">
        <v>290.72</v>
      </c>
      <c r="M2412" t="b">
        <v>1</v>
      </c>
      <c r="N2412" s="2">
        <f>YEAR(B2412)</f>
        <v>2025</v>
      </c>
      <c r="O2412" t="str">
        <f>INDEX(Agences!$C:$C,MATCH(F2412,Agences!$A:$A,0))</f>
        <v>Méditerranée</v>
      </c>
      <c r="P2412" t="str">
        <f>INDEX(Produits!$C:$C,MATCH(H2412,Produits!$A:$A,0))</f>
        <v>Mobilier</v>
      </c>
      <c r="Q2412" s="3">
        <f>I2412*INDEX(Produits!$E:$E,MATCH(H2412,Produits!$A:$A,0))</f>
        <v>186.44</v>
      </c>
      <c r="R2412" s="3">
        <f>L2412-Q2412</f>
        <v>104.28000000000003</v>
      </c>
      <c r="S2412" s="2">
        <f>NETWORKDAYS(B2412,C2412)-1</f>
        <v>1</v>
      </c>
      <c r="T2412" s="1">
        <f>WORKDAY(B2412,5)</f>
        <v>45926</v>
      </c>
      <c r="U2412" t="b">
        <f>C2412&gt;T2412</f>
        <v>0</v>
      </c>
    </row>
    <row r="2413" spans="1:21" x14ac:dyDescent="0.25">
      <c r="A2413" t="s">
        <v>1609</v>
      </c>
      <c r="B2413" s="1">
        <v>45919</v>
      </c>
      <c r="C2413" s="1">
        <v>45922</v>
      </c>
      <c r="D2413" t="s">
        <v>313</v>
      </c>
      <c r="E2413" t="s">
        <v>93</v>
      </c>
      <c r="F2413" t="s">
        <v>94</v>
      </c>
      <c r="G2413" t="s">
        <v>182</v>
      </c>
      <c r="H2413" t="s">
        <v>79</v>
      </c>
      <c r="I2413" s="2">
        <v>5</v>
      </c>
      <c r="J2413" s="3">
        <v>14.9</v>
      </c>
      <c r="K2413" s="4">
        <v>0.08</v>
      </c>
      <c r="L2413" s="3">
        <v>68.54</v>
      </c>
      <c r="M2413" t="b">
        <v>1</v>
      </c>
      <c r="N2413" s="2">
        <f>YEAR(B2413)</f>
        <v>2025</v>
      </c>
      <c r="O2413" t="str">
        <f>INDEX(Agences!$C:$C,MATCH(F2413,Agences!$A:$A,0))</f>
        <v>Méditerranée</v>
      </c>
      <c r="P2413" t="str">
        <f>INDEX(Produits!$C:$C,MATCH(H2413,Produits!$A:$A,0))</f>
        <v>Fournitures</v>
      </c>
      <c r="Q2413" s="3">
        <f>I2413*INDEX(Produits!$E:$E,MATCH(H2413,Produits!$A:$A,0))</f>
        <v>40.25</v>
      </c>
      <c r="R2413" s="3">
        <f>L2413-Q2413</f>
        <v>28.290000000000006</v>
      </c>
      <c r="S2413" s="2">
        <f>NETWORKDAYS(B2413,C2413)-1</f>
        <v>1</v>
      </c>
      <c r="T2413" s="1">
        <f>WORKDAY(B2413,5)</f>
        <v>45926</v>
      </c>
      <c r="U2413" t="b">
        <f>C2413&gt;T2413</f>
        <v>0</v>
      </c>
    </row>
    <row r="2414" spans="1:21" x14ac:dyDescent="0.25">
      <c r="A2414" t="s">
        <v>1609</v>
      </c>
      <c r="B2414" s="1">
        <v>45919</v>
      </c>
      <c r="C2414" s="1">
        <v>45922</v>
      </c>
      <c r="D2414" t="s">
        <v>313</v>
      </c>
      <c r="E2414" t="s">
        <v>93</v>
      </c>
      <c r="F2414" t="s">
        <v>94</v>
      </c>
      <c r="G2414" t="s">
        <v>182</v>
      </c>
      <c r="H2414" t="s">
        <v>319</v>
      </c>
      <c r="I2414" s="2">
        <v>3</v>
      </c>
      <c r="J2414" s="3">
        <v>289</v>
      </c>
      <c r="K2414" s="4">
        <v>0.02</v>
      </c>
      <c r="L2414" s="3">
        <v>849.66</v>
      </c>
      <c r="M2414" t="b">
        <v>1</v>
      </c>
      <c r="N2414" s="2">
        <f>YEAR(B2414)</f>
        <v>2025</v>
      </c>
      <c r="O2414" t="str">
        <f>INDEX(Agences!$C:$C,MATCH(F2414,Agences!$A:$A,0))</f>
        <v>Méditerranée</v>
      </c>
      <c r="P2414" t="str">
        <f>INDEX(Produits!$C:$C,MATCH(H2414,Produits!$A:$A,0))</f>
        <v>Informatique</v>
      </c>
      <c r="Q2414" s="3">
        <f>I2414*INDEX(Produits!$E:$E,MATCH(H2414,Produits!$A:$A,0))</f>
        <v>641.58</v>
      </c>
      <c r="R2414" s="3">
        <f>L2414-Q2414</f>
        <v>208.07999999999993</v>
      </c>
      <c r="S2414" s="2">
        <f>NETWORKDAYS(B2414,C2414)-1</f>
        <v>1</v>
      </c>
      <c r="T2414" s="1">
        <f>WORKDAY(B2414,5)</f>
        <v>45926</v>
      </c>
      <c r="U2414" t="b">
        <f>C2414&gt;T2414</f>
        <v>0</v>
      </c>
    </row>
    <row r="2415" spans="1:21" x14ac:dyDescent="0.25">
      <c r="A2415" t="s">
        <v>1609</v>
      </c>
      <c r="B2415" s="1">
        <v>45919</v>
      </c>
      <c r="C2415" s="1">
        <v>45922</v>
      </c>
      <c r="D2415" t="s">
        <v>313</v>
      </c>
      <c r="E2415" t="s">
        <v>93</v>
      </c>
      <c r="F2415" t="s">
        <v>94</v>
      </c>
      <c r="G2415" t="s">
        <v>182</v>
      </c>
      <c r="H2415" t="s">
        <v>50</v>
      </c>
      <c r="I2415" s="2">
        <v>1</v>
      </c>
      <c r="J2415" s="3">
        <v>69</v>
      </c>
      <c r="K2415" s="4">
        <v>0</v>
      </c>
      <c r="L2415" s="3">
        <v>69</v>
      </c>
      <c r="M2415" t="b">
        <v>1</v>
      </c>
      <c r="N2415" s="2">
        <f>YEAR(B2415)</f>
        <v>2025</v>
      </c>
      <c r="O2415" t="str">
        <f>INDEX(Agences!$C:$C,MATCH(F2415,Agences!$A:$A,0))</f>
        <v>Méditerranée</v>
      </c>
      <c r="P2415" t="str">
        <f>INDEX(Produits!$C:$C,MATCH(H2415,Produits!$A:$A,0))</f>
        <v>Informatique</v>
      </c>
      <c r="Q2415" s="3">
        <f>I2415*INDEX(Produits!$E:$E,MATCH(H2415,Produits!$A:$A,0))</f>
        <v>54.51</v>
      </c>
      <c r="R2415" s="3">
        <f>L2415-Q2415</f>
        <v>14.490000000000002</v>
      </c>
      <c r="S2415" s="2">
        <f>NETWORKDAYS(B2415,C2415)-1</f>
        <v>1</v>
      </c>
      <c r="T2415" s="1">
        <f>WORKDAY(B2415,5)</f>
        <v>45926</v>
      </c>
      <c r="U2415" t="b">
        <f>C2415&gt;T2415</f>
        <v>0</v>
      </c>
    </row>
    <row r="2416" spans="1:21" x14ac:dyDescent="0.25">
      <c r="A2416" t="s">
        <v>1610</v>
      </c>
      <c r="B2416" s="1">
        <v>45919</v>
      </c>
      <c r="C2416" s="1">
        <v>45925</v>
      </c>
      <c r="D2416" t="s">
        <v>701</v>
      </c>
      <c r="E2416" t="s">
        <v>229</v>
      </c>
      <c r="F2416" t="s">
        <v>55</v>
      </c>
      <c r="G2416" t="s">
        <v>71</v>
      </c>
      <c r="H2416" t="s">
        <v>35</v>
      </c>
      <c r="I2416" s="2">
        <v>3</v>
      </c>
      <c r="J2416" s="3">
        <v>79</v>
      </c>
      <c r="K2416" s="4">
        <v>0</v>
      </c>
      <c r="L2416" s="3">
        <v>237</v>
      </c>
      <c r="M2416" t="b">
        <v>1</v>
      </c>
      <c r="N2416" s="2">
        <f>YEAR(B2416)</f>
        <v>2025</v>
      </c>
      <c r="O2416" t="str">
        <f>INDEX(Agences!$C:$C,MATCH(F2416,Agences!$A:$A,0))</f>
        <v>Est</v>
      </c>
      <c r="P2416" t="str">
        <f>INDEX(Produits!$C:$C,MATCH(H2416,Produits!$A:$A,0))</f>
        <v>Mobilier</v>
      </c>
      <c r="Q2416" s="3">
        <f>I2416*INDEX(Produits!$E:$E,MATCH(H2416,Produits!$A:$A,0))</f>
        <v>139.82999999999998</v>
      </c>
      <c r="R2416" s="3">
        <f>L2416-Q2416</f>
        <v>97.17000000000002</v>
      </c>
      <c r="S2416" s="2">
        <f>NETWORKDAYS(B2416,C2416)-1</f>
        <v>4</v>
      </c>
      <c r="T2416" s="1">
        <f>WORKDAY(B2416,5)</f>
        <v>45926</v>
      </c>
      <c r="U2416" t="b">
        <f>C2416&gt;T2416</f>
        <v>0</v>
      </c>
    </row>
    <row r="2417" spans="1:21" x14ac:dyDescent="0.25">
      <c r="A2417" t="s">
        <v>1610</v>
      </c>
      <c r="B2417" s="1">
        <v>45919</v>
      </c>
      <c r="C2417" s="1">
        <v>45925</v>
      </c>
      <c r="D2417" t="s">
        <v>701</v>
      </c>
      <c r="E2417" t="s">
        <v>229</v>
      </c>
      <c r="F2417" t="s">
        <v>55</v>
      </c>
      <c r="G2417" t="s">
        <v>71</v>
      </c>
      <c r="H2417" t="s">
        <v>57</v>
      </c>
      <c r="I2417" s="2">
        <v>1</v>
      </c>
      <c r="J2417" s="3">
        <v>149</v>
      </c>
      <c r="K2417" s="4">
        <v>0</v>
      </c>
      <c r="L2417" s="3">
        <v>149</v>
      </c>
      <c r="M2417" t="b">
        <v>1</v>
      </c>
      <c r="N2417" s="2">
        <f>YEAR(B2417)</f>
        <v>2025</v>
      </c>
      <c r="O2417" t="str">
        <f>INDEX(Agences!$C:$C,MATCH(F2417,Agences!$A:$A,0))</f>
        <v>Est</v>
      </c>
      <c r="P2417" t="str">
        <f>INDEX(Produits!$C:$C,MATCH(H2417,Produits!$A:$A,0))</f>
        <v>Informatique</v>
      </c>
      <c r="Q2417" s="3">
        <f>I2417*INDEX(Produits!$E:$E,MATCH(H2417,Produits!$A:$A,0))</f>
        <v>114.73</v>
      </c>
      <c r="R2417" s="3">
        <f>L2417-Q2417</f>
        <v>34.269999999999996</v>
      </c>
      <c r="S2417" s="2">
        <f>NETWORKDAYS(B2417,C2417)-1</f>
        <v>4</v>
      </c>
      <c r="T2417" s="1">
        <f>WORKDAY(B2417,5)</f>
        <v>45926</v>
      </c>
      <c r="U2417" t="b">
        <f>C2417&gt;T2417</f>
        <v>0</v>
      </c>
    </row>
    <row r="2418" spans="1:21" x14ac:dyDescent="0.25">
      <c r="A2418" t="s">
        <v>1610</v>
      </c>
      <c r="B2418" s="1">
        <v>45919</v>
      </c>
      <c r="C2418" s="1">
        <v>45925</v>
      </c>
      <c r="D2418" t="s">
        <v>701</v>
      </c>
      <c r="E2418" t="s">
        <v>229</v>
      </c>
      <c r="F2418" t="s">
        <v>55</v>
      </c>
      <c r="G2418" t="s">
        <v>71</v>
      </c>
      <c r="H2418" t="s">
        <v>42</v>
      </c>
      <c r="I2418" s="2">
        <v>2</v>
      </c>
      <c r="J2418" s="3">
        <v>55</v>
      </c>
      <c r="K2418" s="4">
        <v>0.02</v>
      </c>
      <c r="L2418" s="3">
        <v>107.8</v>
      </c>
      <c r="M2418" t="b">
        <v>1</v>
      </c>
      <c r="N2418" s="2">
        <f>YEAR(B2418)</f>
        <v>2025</v>
      </c>
      <c r="O2418" t="str">
        <f>INDEX(Agences!$C:$C,MATCH(F2418,Agences!$A:$A,0))</f>
        <v>Est</v>
      </c>
      <c r="P2418" t="str">
        <f>INDEX(Produits!$C:$C,MATCH(H2418,Produits!$A:$A,0))</f>
        <v>Maintenance</v>
      </c>
      <c r="Q2418" s="3">
        <f>I2418*INDEX(Produits!$E:$E,MATCH(H2418,Produits!$A:$A,0))</f>
        <v>49.5</v>
      </c>
      <c r="R2418" s="3">
        <f>L2418-Q2418</f>
        <v>58.3</v>
      </c>
      <c r="S2418" s="2">
        <f>NETWORKDAYS(B2418,C2418)-1</f>
        <v>4</v>
      </c>
      <c r="T2418" s="1">
        <f>WORKDAY(B2418,5)</f>
        <v>45926</v>
      </c>
      <c r="U2418" t="b">
        <f>C2418&gt;T2418</f>
        <v>0</v>
      </c>
    </row>
    <row r="2419" spans="1:21" x14ac:dyDescent="0.25">
      <c r="A2419" t="s">
        <v>1611</v>
      </c>
      <c r="B2419" s="1">
        <v>45918</v>
      </c>
      <c r="C2419" s="1">
        <v>45924</v>
      </c>
      <c r="D2419" t="s">
        <v>861</v>
      </c>
      <c r="E2419" t="s">
        <v>175</v>
      </c>
      <c r="F2419" t="s">
        <v>76</v>
      </c>
      <c r="G2419" t="s">
        <v>176</v>
      </c>
      <c r="H2419" t="s">
        <v>84</v>
      </c>
      <c r="I2419" s="2">
        <v>5</v>
      </c>
      <c r="J2419" s="3">
        <v>420</v>
      </c>
      <c r="K2419" s="4">
        <v>0.02</v>
      </c>
      <c r="L2419" s="3">
        <v>2058</v>
      </c>
      <c r="M2419" t="b">
        <v>1</v>
      </c>
      <c r="N2419" s="2">
        <f>YEAR(B2419)</f>
        <v>2025</v>
      </c>
      <c r="O2419" t="str">
        <f>INDEX(Agences!$C:$C,MATCH(F2419,Agences!$A:$A,0))</f>
        <v>Île-de-France</v>
      </c>
      <c r="P2419" t="str">
        <f>INDEX(Produits!$C:$C,MATCH(H2419,Produits!$A:$A,0))</f>
        <v>Mobilier</v>
      </c>
      <c r="Q2419" s="3">
        <f>I2419*INDEX(Produits!$E:$E,MATCH(H2419,Produits!$A:$A,0))</f>
        <v>1218</v>
      </c>
      <c r="R2419" s="3">
        <f>L2419-Q2419</f>
        <v>840</v>
      </c>
      <c r="S2419" s="2">
        <f>NETWORKDAYS(B2419,C2419)-1</f>
        <v>4</v>
      </c>
      <c r="T2419" s="1">
        <f>WORKDAY(B2419,5)</f>
        <v>45925</v>
      </c>
      <c r="U2419" t="b">
        <f>C2419&gt;T2419</f>
        <v>0</v>
      </c>
    </row>
    <row r="2420" spans="1:21" x14ac:dyDescent="0.25">
      <c r="A2420" t="s">
        <v>1611</v>
      </c>
      <c r="B2420" s="1">
        <v>45918</v>
      </c>
      <c r="C2420" s="1">
        <v>45924</v>
      </c>
      <c r="D2420" t="s">
        <v>861</v>
      </c>
      <c r="E2420" t="s">
        <v>175</v>
      </c>
      <c r="F2420" t="s">
        <v>76</v>
      </c>
      <c r="G2420" t="s">
        <v>176</v>
      </c>
      <c r="H2420" t="s">
        <v>33</v>
      </c>
      <c r="I2420" s="2">
        <v>4</v>
      </c>
      <c r="J2420" s="3">
        <v>219</v>
      </c>
      <c r="K2420" s="4">
        <v>0.05</v>
      </c>
      <c r="L2420" s="3">
        <v>832.2</v>
      </c>
      <c r="M2420" t="b">
        <v>1</v>
      </c>
      <c r="N2420" s="2">
        <f>YEAR(B2420)</f>
        <v>2025</v>
      </c>
      <c r="O2420" t="str">
        <f>INDEX(Agences!$C:$C,MATCH(F2420,Agences!$A:$A,0))</f>
        <v>Île-de-France</v>
      </c>
      <c r="P2420" t="str">
        <f>INDEX(Produits!$C:$C,MATCH(H2420,Produits!$A:$A,0))</f>
        <v>Informatique</v>
      </c>
      <c r="Q2420" s="3">
        <f>I2420*INDEX(Produits!$E:$E,MATCH(H2420,Produits!$A:$A,0))</f>
        <v>718.32</v>
      </c>
      <c r="R2420" s="3">
        <f>L2420-Q2420</f>
        <v>113.88</v>
      </c>
      <c r="S2420" s="2">
        <f>NETWORKDAYS(B2420,C2420)-1</f>
        <v>4</v>
      </c>
      <c r="T2420" s="1">
        <f>WORKDAY(B2420,5)</f>
        <v>45925</v>
      </c>
      <c r="U2420" t="b">
        <f>C2420&gt;T2420</f>
        <v>0</v>
      </c>
    </row>
    <row r="2421" spans="1:21" x14ac:dyDescent="0.25">
      <c r="A2421" t="s">
        <v>1611</v>
      </c>
      <c r="B2421" s="1">
        <v>45918</v>
      </c>
      <c r="C2421" s="1">
        <v>45924</v>
      </c>
      <c r="D2421" t="s">
        <v>861</v>
      </c>
      <c r="E2421" t="s">
        <v>175</v>
      </c>
      <c r="F2421" t="s">
        <v>76</v>
      </c>
      <c r="G2421" t="s">
        <v>176</v>
      </c>
      <c r="H2421" t="s">
        <v>112</v>
      </c>
      <c r="I2421" s="2">
        <v>1</v>
      </c>
      <c r="J2421" s="3">
        <v>129</v>
      </c>
      <c r="K2421" s="4">
        <v>0</v>
      </c>
      <c r="L2421" s="3">
        <v>129</v>
      </c>
      <c r="M2421" t="b">
        <v>1</v>
      </c>
      <c r="N2421" s="2">
        <f>YEAR(B2421)</f>
        <v>2025</v>
      </c>
      <c r="O2421" t="str">
        <f>INDEX(Agences!$C:$C,MATCH(F2421,Agences!$A:$A,0))</f>
        <v>Île-de-France</v>
      </c>
      <c r="P2421" t="str">
        <f>INDEX(Produits!$C:$C,MATCH(H2421,Produits!$A:$A,0))</f>
        <v>Mobilier</v>
      </c>
      <c r="Q2421" s="3">
        <f>I2421*INDEX(Produits!$E:$E,MATCH(H2421,Produits!$A:$A,0))</f>
        <v>86.43</v>
      </c>
      <c r="R2421" s="3">
        <f>L2421-Q2421</f>
        <v>42.56999999999999</v>
      </c>
      <c r="S2421" s="2">
        <f>NETWORKDAYS(B2421,C2421)-1</f>
        <v>4</v>
      </c>
      <c r="T2421" s="1">
        <f>WORKDAY(B2421,5)</f>
        <v>45925</v>
      </c>
      <c r="U2421" t="b">
        <f>C2421&gt;T2421</f>
        <v>0</v>
      </c>
    </row>
    <row r="2422" spans="1:21" x14ac:dyDescent="0.25">
      <c r="A2422" t="s">
        <v>1611</v>
      </c>
      <c r="B2422" s="1">
        <v>45918</v>
      </c>
      <c r="C2422" s="1">
        <v>45924</v>
      </c>
      <c r="D2422" t="s">
        <v>861</v>
      </c>
      <c r="E2422" t="s">
        <v>175</v>
      </c>
      <c r="F2422" t="s">
        <v>76</v>
      </c>
      <c r="G2422" t="s">
        <v>176</v>
      </c>
      <c r="H2422" t="s">
        <v>42</v>
      </c>
      <c r="I2422" s="2">
        <v>2</v>
      </c>
      <c r="J2422" s="3">
        <v>55</v>
      </c>
      <c r="K2422" s="4">
        <v>0.02</v>
      </c>
      <c r="L2422" s="3">
        <v>107.8</v>
      </c>
      <c r="M2422" t="b">
        <v>1</v>
      </c>
      <c r="N2422" s="2">
        <f>YEAR(B2422)</f>
        <v>2025</v>
      </c>
      <c r="O2422" t="str">
        <f>INDEX(Agences!$C:$C,MATCH(F2422,Agences!$A:$A,0))</f>
        <v>Île-de-France</v>
      </c>
      <c r="P2422" t="str">
        <f>INDEX(Produits!$C:$C,MATCH(H2422,Produits!$A:$A,0))</f>
        <v>Maintenance</v>
      </c>
      <c r="Q2422" s="3">
        <f>I2422*INDEX(Produits!$E:$E,MATCH(H2422,Produits!$A:$A,0))</f>
        <v>49.5</v>
      </c>
      <c r="R2422" s="3">
        <f>L2422-Q2422</f>
        <v>58.3</v>
      </c>
      <c r="S2422" s="2">
        <f>NETWORKDAYS(B2422,C2422)-1</f>
        <v>4</v>
      </c>
      <c r="T2422" s="1">
        <f>WORKDAY(B2422,5)</f>
        <v>45925</v>
      </c>
      <c r="U2422" t="b">
        <f>C2422&gt;T2422</f>
        <v>0</v>
      </c>
    </row>
    <row r="2423" spans="1:21" x14ac:dyDescent="0.25">
      <c r="A2423" t="s">
        <v>1612</v>
      </c>
      <c r="B2423" s="1">
        <v>45918</v>
      </c>
      <c r="C2423" s="1">
        <v>45922</v>
      </c>
      <c r="D2423" t="s">
        <v>1613</v>
      </c>
      <c r="E2423" t="s">
        <v>316</v>
      </c>
      <c r="F2423" t="s">
        <v>46</v>
      </c>
      <c r="G2423" t="s">
        <v>158</v>
      </c>
      <c r="H2423" t="s">
        <v>196</v>
      </c>
      <c r="I2423" s="2">
        <v>15</v>
      </c>
      <c r="J2423" s="3">
        <v>18.5</v>
      </c>
      <c r="K2423" s="4">
        <v>0.05</v>
      </c>
      <c r="L2423" s="3">
        <v>263.63</v>
      </c>
      <c r="M2423" t="b">
        <v>1</v>
      </c>
      <c r="N2423" s="2">
        <f>YEAR(B2423)</f>
        <v>2025</v>
      </c>
      <c r="O2423" t="str">
        <f>INDEX(Agences!$C:$C,MATCH(F2423,Agences!$A:$A,0))</f>
        <v>Est</v>
      </c>
      <c r="P2423" t="str">
        <f>INDEX(Produits!$C:$C,MATCH(H2423,Produits!$A:$A,0))</f>
        <v>Fournitures</v>
      </c>
      <c r="Q2423" s="3">
        <f>I2423*INDEX(Produits!$E:$E,MATCH(H2423,Produits!$A:$A,0))</f>
        <v>141.6</v>
      </c>
      <c r="R2423" s="3">
        <f>L2423-Q2423</f>
        <v>122.03</v>
      </c>
      <c r="S2423" s="2">
        <f>NETWORKDAYS(B2423,C2423)-1</f>
        <v>2</v>
      </c>
      <c r="T2423" s="1">
        <f>WORKDAY(B2423,5)</f>
        <v>45925</v>
      </c>
      <c r="U2423" t="b">
        <f>C2423&gt;T2423</f>
        <v>0</v>
      </c>
    </row>
    <row r="2424" spans="1:21" x14ac:dyDescent="0.25">
      <c r="A2424" t="s">
        <v>1612</v>
      </c>
      <c r="B2424" s="1">
        <v>45918</v>
      </c>
      <c r="C2424" s="1">
        <v>45922</v>
      </c>
      <c r="D2424" t="s">
        <v>1613</v>
      </c>
      <c r="E2424" t="s">
        <v>316</v>
      </c>
      <c r="F2424" t="s">
        <v>46</v>
      </c>
      <c r="G2424" t="s">
        <v>158</v>
      </c>
      <c r="H2424" t="s">
        <v>57</v>
      </c>
      <c r="I2424" s="2">
        <v>2</v>
      </c>
      <c r="J2424" s="3">
        <v>149</v>
      </c>
      <c r="K2424" s="4">
        <v>0.05</v>
      </c>
      <c r="L2424" s="3">
        <v>283.1</v>
      </c>
      <c r="M2424" t="b">
        <v>1</v>
      </c>
      <c r="N2424" s="2">
        <f>YEAR(B2424)</f>
        <v>2025</v>
      </c>
      <c r="O2424" t="str">
        <f>INDEX(Agences!$C:$C,MATCH(F2424,Agences!$A:$A,0))</f>
        <v>Est</v>
      </c>
      <c r="P2424" t="str">
        <f>INDEX(Produits!$C:$C,MATCH(H2424,Produits!$A:$A,0))</f>
        <v>Informatique</v>
      </c>
      <c r="Q2424" s="3">
        <f>I2424*INDEX(Produits!$E:$E,MATCH(H2424,Produits!$A:$A,0))</f>
        <v>229.46</v>
      </c>
      <c r="R2424" s="3">
        <f>L2424-Q2424</f>
        <v>53.640000000000015</v>
      </c>
      <c r="S2424" s="2">
        <f>NETWORKDAYS(B2424,C2424)-1</f>
        <v>2</v>
      </c>
      <c r="T2424" s="1">
        <f>WORKDAY(B2424,5)</f>
        <v>45925</v>
      </c>
      <c r="U2424" t="b">
        <f>C2424&gt;T2424</f>
        <v>0</v>
      </c>
    </row>
    <row r="2425" spans="1:21" x14ac:dyDescent="0.25">
      <c r="A2425" t="s">
        <v>1614</v>
      </c>
      <c r="B2425" s="1">
        <v>45918</v>
      </c>
      <c r="C2425" s="1">
        <v>45922</v>
      </c>
      <c r="D2425" t="s">
        <v>538</v>
      </c>
      <c r="E2425" t="s">
        <v>157</v>
      </c>
      <c r="F2425" t="s">
        <v>46</v>
      </c>
      <c r="G2425" t="s">
        <v>158</v>
      </c>
      <c r="H2425" t="s">
        <v>35</v>
      </c>
      <c r="I2425" s="2">
        <v>3</v>
      </c>
      <c r="J2425" s="3">
        <v>79</v>
      </c>
      <c r="K2425" s="4">
        <v>0.1</v>
      </c>
      <c r="L2425" s="3">
        <v>213.3</v>
      </c>
      <c r="M2425" t="b">
        <v>1</v>
      </c>
      <c r="N2425" s="2">
        <f>YEAR(B2425)</f>
        <v>2025</v>
      </c>
      <c r="O2425" t="str">
        <f>INDEX(Agences!$C:$C,MATCH(F2425,Agences!$A:$A,0))</f>
        <v>Est</v>
      </c>
      <c r="P2425" t="str">
        <f>INDEX(Produits!$C:$C,MATCH(H2425,Produits!$A:$A,0))</f>
        <v>Mobilier</v>
      </c>
      <c r="Q2425" s="3">
        <f>I2425*INDEX(Produits!$E:$E,MATCH(H2425,Produits!$A:$A,0))</f>
        <v>139.82999999999998</v>
      </c>
      <c r="R2425" s="3">
        <f>L2425-Q2425</f>
        <v>73.47000000000003</v>
      </c>
      <c r="S2425" s="2">
        <f>NETWORKDAYS(B2425,C2425)-1</f>
        <v>2</v>
      </c>
      <c r="T2425" s="1">
        <f>WORKDAY(B2425,5)</f>
        <v>45925</v>
      </c>
      <c r="U2425" t="b">
        <f>C2425&gt;T2425</f>
        <v>0</v>
      </c>
    </row>
    <row r="2426" spans="1:21" x14ac:dyDescent="0.25">
      <c r="A2426" t="s">
        <v>1614</v>
      </c>
      <c r="B2426" s="1">
        <v>45918</v>
      </c>
      <c r="C2426" s="1">
        <v>45922</v>
      </c>
      <c r="D2426" t="s">
        <v>538</v>
      </c>
      <c r="E2426" t="s">
        <v>157</v>
      </c>
      <c r="F2426" t="s">
        <v>46</v>
      </c>
      <c r="G2426" t="s">
        <v>158</v>
      </c>
      <c r="H2426" t="s">
        <v>26</v>
      </c>
      <c r="I2426" s="2">
        <v>1</v>
      </c>
      <c r="J2426" s="3">
        <v>290</v>
      </c>
      <c r="K2426" s="4">
        <v>0.02</v>
      </c>
      <c r="L2426" s="3">
        <v>284.2</v>
      </c>
      <c r="M2426" t="b">
        <v>1</v>
      </c>
      <c r="N2426" s="2">
        <f>YEAR(B2426)</f>
        <v>2025</v>
      </c>
      <c r="O2426" t="str">
        <f>INDEX(Agences!$C:$C,MATCH(F2426,Agences!$A:$A,0))</f>
        <v>Est</v>
      </c>
      <c r="P2426" t="str">
        <f>INDEX(Produits!$C:$C,MATCH(H2426,Produits!$A:$A,0))</f>
        <v>Maintenance</v>
      </c>
      <c r="Q2426" s="3">
        <f>I2426*INDEX(Produits!$E:$E,MATCH(H2426,Produits!$A:$A,0))</f>
        <v>139.2</v>
      </c>
      <c r="R2426" s="3">
        <f>L2426-Q2426</f>
        <v>145</v>
      </c>
      <c r="S2426" s="2">
        <f>NETWORKDAYS(B2426,C2426)-1</f>
        <v>2</v>
      </c>
      <c r="T2426" s="1">
        <f>WORKDAY(B2426,5)</f>
        <v>45925</v>
      </c>
      <c r="U2426" t="b">
        <f>C2426&gt;T2426</f>
        <v>0</v>
      </c>
    </row>
    <row r="2427" spans="1:21" x14ac:dyDescent="0.25">
      <c r="A2427" t="s">
        <v>1614</v>
      </c>
      <c r="B2427" s="1">
        <v>45918</v>
      </c>
      <c r="C2427" s="1">
        <v>45922</v>
      </c>
      <c r="D2427" t="s">
        <v>538</v>
      </c>
      <c r="E2427" t="s">
        <v>157</v>
      </c>
      <c r="F2427" t="s">
        <v>46</v>
      </c>
      <c r="G2427" t="s">
        <v>158</v>
      </c>
      <c r="H2427" t="s">
        <v>49</v>
      </c>
      <c r="I2427" s="2">
        <v>1</v>
      </c>
      <c r="J2427" s="3">
        <v>120</v>
      </c>
      <c r="K2427" s="4">
        <v>0.05</v>
      </c>
      <c r="L2427" s="3">
        <v>114</v>
      </c>
      <c r="M2427" t="b">
        <v>1</v>
      </c>
      <c r="N2427" s="2">
        <f>YEAR(B2427)</f>
        <v>2025</v>
      </c>
      <c r="O2427" t="str">
        <f>INDEX(Agences!$C:$C,MATCH(F2427,Agences!$A:$A,0))</f>
        <v>Est</v>
      </c>
      <c r="P2427" t="str">
        <f>INDEX(Produits!$C:$C,MATCH(H2427,Produits!$A:$A,0))</f>
        <v>Maintenance</v>
      </c>
      <c r="Q2427" s="3">
        <f>I2427*INDEX(Produits!$E:$E,MATCH(H2427,Produits!$A:$A,0))</f>
        <v>55.2</v>
      </c>
      <c r="R2427" s="3">
        <f>L2427-Q2427</f>
        <v>58.8</v>
      </c>
      <c r="S2427" s="2">
        <f>NETWORKDAYS(B2427,C2427)-1</f>
        <v>2</v>
      </c>
      <c r="T2427" s="1">
        <f>WORKDAY(B2427,5)</f>
        <v>45925</v>
      </c>
      <c r="U2427" t="b">
        <f>C2427&gt;T2427</f>
        <v>0</v>
      </c>
    </row>
    <row r="2428" spans="1:21" x14ac:dyDescent="0.25">
      <c r="A2428" t="s">
        <v>1615</v>
      </c>
      <c r="B2428" s="1">
        <v>45917</v>
      </c>
      <c r="C2428" s="1">
        <v>45918</v>
      </c>
      <c r="D2428" t="s">
        <v>599</v>
      </c>
      <c r="E2428" t="s">
        <v>307</v>
      </c>
      <c r="F2428" t="s">
        <v>76</v>
      </c>
      <c r="G2428" t="s">
        <v>77</v>
      </c>
      <c r="H2428" t="s">
        <v>233</v>
      </c>
      <c r="I2428" s="2">
        <v>20</v>
      </c>
      <c r="J2428" s="3">
        <v>27.5</v>
      </c>
      <c r="K2428" s="4">
        <v>0.05</v>
      </c>
      <c r="L2428" s="3">
        <v>522.5</v>
      </c>
      <c r="M2428" t="b">
        <v>1</v>
      </c>
      <c r="N2428" s="2">
        <f>YEAR(B2428)</f>
        <v>2025</v>
      </c>
      <c r="O2428" t="str">
        <f>INDEX(Agences!$C:$C,MATCH(F2428,Agences!$A:$A,0))</f>
        <v>Île-de-France</v>
      </c>
      <c r="P2428" t="str">
        <f>INDEX(Produits!$C:$C,MATCH(H2428,Produits!$A:$A,0))</f>
        <v>Fournitures</v>
      </c>
      <c r="Q2428" s="3">
        <f>I2428*INDEX(Produits!$E:$E,MATCH(H2428,Produits!$A:$A,0))</f>
        <v>308</v>
      </c>
      <c r="R2428" s="3">
        <f>L2428-Q2428</f>
        <v>214.5</v>
      </c>
      <c r="S2428" s="2">
        <f>NETWORKDAYS(B2428,C2428)-1</f>
        <v>1</v>
      </c>
      <c r="T2428" s="1">
        <f>WORKDAY(B2428,5)</f>
        <v>45924</v>
      </c>
      <c r="U2428" t="b">
        <f>C2428&gt;T2428</f>
        <v>0</v>
      </c>
    </row>
    <row r="2429" spans="1:21" x14ac:dyDescent="0.25">
      <c r="A2429" t="s">
        <v>1615</v>
      </c>
      <c r="B2429" s="1">
        <v>45917</v>
      </c>
      <c r="C2429" s="1">
        <v>45918</v>
      </c>
      <c r="D2429" t="s">
        <v>599</v>
      </c>
      <c r="E2429" t="s">
        <v>307</v>
      </c>
      <c r="F2429" t="s">
        <v>76</v>
      </c>
      <c r="G2429" t="s">
        <v>77</v>
      </c>
      <c r="H2429" t="s">
        <v>34</v>
      </c>
      <c r="I2429" s="2">
        <v>1</v>
      </c>
      <c r="J2429" s="3">
        <v>340</v>
      </c>
      <c r="K2429" s="4">
        <v>0</v>
      </c>
      <c r="L2429" s="3">
        <v>340</v>
      </c>
      <c r="M2429" t="b">
        <v>1</v>
      </c>
      <c r="N2429" s="2">
        <f>YEAR(B2429)</f>
        <v>2025</v>
      </c>
      <c r="O2429" t="str">
        <f>INDEX(Agences!$C:$C,MATCH(F2429,Agences!$A:$A,0))</f>
        <v>Île-de-France</v>
      </c>
      <c r="P2429" t="str">
        <f>INDEX(Produits!$C:$C,MATCH(H2429,Produits!$A:$A,0))</f>
        <v>Informatique</v>
      </c>
      <c r="Q2429" s="3">
        <f>I2429*INDEX(Produits!$E:$E,MATCH(H2429,Produits!$A:$A,0))</f>
        <v>275.4</v>
      </c>
      <c r="R2429" s="3">
        <f>L2429-Q2429</f>
        <v>64.60000000000002</v>
      </c>
      <c r="S2429" s="2">
        <f>NETWORKDAYS(B2429,C2429)-1</f>
        <v>1</v>
      </c>
      <c r="T2429" s="1">
        <f>WORKDAY(B2429,5)</f>
        <v>45924</v>
      </c>
      <c r="U2429" t="b">
        <f>C2429&gt;T2429</f>
        <v>0</v>
      </c>
    </row>
    <row r="2430" spans="1:21" x14ac:dyDescent="0.25">
      <c r="A2430" t="s">
        <v>1616</v>
      </c>
      <c r="B2430" s="1">
        <v>45917</v>
      </c>
      <c r="C2430" s="1">
        <v>45923</v>
      </c>
      <c r="D2430" t="s">
        <v>567</v>
      </c>
      <c r="E2430" t="s">
        <v>374</v>
      </c>
      <c r="F2430" t="s">
        <v>31</v>
      </c>
      <c r="G2430" t="s">
        <v>32</v>
      </c>
      <c r="H2430" t="s">
        <v>51</v>
      </c>
      <c r="I2430" s="2">
        <v>1</v>
      </c>
      <c r="J2430" s="3">
        <v>180</v>
      </c>
      <c r="K2430" s="4">
        <v>0</v>
      </c>
      <c r="L2430" s="3">
        <v>180</v>
      </c>
      <c r="M2430" t="b">
        <v>1</v>
      </c>
      <c r="N2430" s="2">
        <f>YEAR(B2430)</f>
        <v>2025</v>
      </c>
      <c r="O2430" t="str">
        <f>INDEX(Agences!$C:$C,MATCH(F2430,Agences!$A:$A,0))</f>
        <v>Ouest</v>
      </c>
      <c r="P2430" t="str">
        <f>INDEX(Produits!$C:$C,MATCH(H2430,Produits!$A:$A,0))</f>
        <v>Maintenance</v>
      </c>
      <c r="Q2430" s="3">
        <f>I2430*INDEX(Produits!$E:$E,MATCH(H2430,Produits!$A:$A,0))</f>
        <v>82.8</v>
      </c>
      <c r="R2430" s="3">
        <f>L2430-Q2430</f>
        <v>97.2</v>
      </c>
      <c r="S2430" s="2">
        <f>NETWORKDAYS(B2430,C2430)-1</f>
        <v>4</v>
      </c>
      <c r="T2430" s="1">
        <f>WORKDAY(B2430,5)</f>
        <v>45924</v>
      </c>
      <c r="U2430" t="b">
        <f>C2430&gt;T2430</f>
        <v>0</v>
      </c>
    </row>
    <row r="2431" spans="1:21" x14ac:dyDescent="0.25">
      <c r="A2431" t="s">
        <v>1616</v>
      </c>
      <c r="B2431" s="1">
        <v>45917</v>
      </c>
      <c r="C2431" s="1">
        <v>45923</v>
      </c>
      <c r="D2431" t="s">
        <v>567</v>
      </c>
      <c r="E2431" t="s">
        <v>374</v>
      </c>
      <c r="F2431" t="s">
        <v>31</v>
      </c>
      <c r="G2431" t="s">
        <v>32</v>
      </c>
      <c r="H2431" t="s">
        <v>84</v>
      </c>
      <c r="I2431" s="2">
        <v>1</v>
      </c>
      <c r="J2431" s="3">
        <v>420</v>
      </c>
      <c r="K2431" s="4">
        <v>0</v>
      </c>
      <c r="L2431" s="3">
        <v>420</v>
      </c>
      <c r="M2431" t="b">
        <v>1</v>
      </c>
      <c r="N2431" s="2">
        <f>YEAR(B2431)</f>
        <v>2025</v>
      </c>
      <c r="O2431" t="str">
        <f>INDEX(Agences!$C:$C,MATCH(F2431,Agences!$A:$A,0))</f>
        <v>Ouest</v>
      </c>
      <c r="P2431" t="str">
        <f>INDEX(Produits!$C:$C,MATCH(H2431,Produits!$A:$A,0))</f>
        <v>Mobilier</v>
      </c>
      <c r="Q2431" s="3">
        <f>I2431*INDEX(Produits!$E:$E,MATCH(H2431,Produits!$A:$A,0))</f>
        <v>243.6</v>
      </c>
      <c r="R2431" s="3">
        <f>L2431-Q2431</f>
        <v>176.4</v>
      </c>
      <c r="S2431" s="2">
        <f>NETWORKDAYS(B2431,C2431)-1</f>
        <v>4</v>
      </c>
      <c r="T2431" s="1">
        <f>WORKDAY(B2431,5)</f>
        <v>45924</v>
      </c>
      <c r="U2431" t="b">
        <f>C2431&gt;T2431</f>
        <v>0</v>
      </c>
    </row>
    <row r="2432" spans="1:21" x14ac:dyDescent="0.25">
      <c r="A2432" t="s">
        <v>1617</v>
      </c>
      <c r="B2432" s="1">
        <v>45917</v>
      </c>
      <c r="C2432" s="1">
        <v>45922</v>
      </c>
      <c r="D2432" t="s">
        <v>341</v>
      </c>
      <c r="E2432" t="s">
        <v>30</v>
      </c>
      <c r="F2432" t="s">
        <v>31</v>
      </c>
      <c r="G2432" t="s">
        <v>32</v>
      </c>
      <c r="H2432" t="s">
        <v>79</v>
      </c>
      <c r="I2432" s="2">
        <v>5</v>
      </c>
      <c r="J2432" s="3">
        <v>14.9</v>
      </c>
      <c r="K2432" s="4">
        <v>0.02</v>
      </c>
      <c r="L2432" s="3">
        <v>73.01</v>
      </c>
      <c r="M2432" t="b">
        <v>1</v>
      </c>
      <c r="N2432" s="2">
        <f>YEAR(B2432)</f>
        <v>2025</v>
      </c>
      <c r="O2432" t="str">
        <f>INDEX(Agences!$C:$C,MATCH(F2432,Agences!$A:$A,0))</f>
        <v>Ouest</v>
      </c>
      <c r="P2432" t="str">
        <f>INDEX(Produits!$C:$C,MATCH(H2432,Produits!$A:$A,0))</f>
        <v>Fournitures</v>
      </c>
      <c r="Q2432" s="3">
        <f>I2432*INDEX(Produits!$E:$E,MATCH(H2432,Produits!$A:$A,0))</f>
        <v>40.25</v>
      </c>
      <c r="R2432" s="3">
        <f>L2432-Q2432</f>
        <v>32.760000000000005</v>
      </c>
      <c r="S2432" s="2">
        <f>NETWORKDAYS(B2432,C2432)-1</f>
        <v>3</v>
      </c>
      <c r="T2432" s="1">
        <f>WORKDAY(B2432,5)</f>
        <v>45924</v>
      </c>
      <c r="U2432" t="b">
        <f>C2432&gt;T2432</f>
        <v>0</v>
      </c>
    </row>
    <row r="2433" spans="1:21" x14ac:dyDescent="0.25">
      <c r="A2433" t="s">
        <v>1617</v>
      </c>
      <c r="B2433" s="1">
        <v>45917</v>
      </c>
      <c r="C2433" s="1">
        <v>45922</v>
      </c>
      <c r="D2433" t="s">
        <v>341</v>
      </c>
      <c r="E2433" t="s">
        <v>30</v>
      </c>
      <c r="F2433" t="s">
        <v>31</v>
      </c>
      <c r="G2433" t="s">
        <v>32</v>
      </c>
      <c r="H2433" t="s">
        <v>35</v>
      </c>
      <c r="I2433" s="2">
        <v>1</v>
      </c>
      <c r="J2433" s="3">
        <v>79</v>
      </c>
      <c r="K2433" s="4">
        <v>0</v>
      </c>
      <c r="L2433" s="3">
        <v>79</v>
      </c>
      <c r="M2433" t="b">
        <v>1</v>
      </c>
      <c r="N2433" s="2">
        <f>YEAR(B2433)</f>
        <v>2025</v>
      </c>
      <c r="O2433" t="str">
        <f>INDEX(Agences!$C:$C,MATCH(F2433,Agences!$A:$A,0))</f>
        <v>Ouest</v>
      </c>
      <c r="P2433" t="str">
        <f>INDEX(Produits!$C:$C,MATCH(H2433,Produits!$A:$A,0))</f>
        <v>Mobilier</v>
      </c>
      <c r="Q2433" s="3">
        <f>I2433*INDEX(Produits!$E:$E,MATCH(H2433,Produits!$A:$A,0))</f>
        <v>46.61</v>
      </c>
      <c r="R2433" s="3">
        <f>L2433-Q2433</f>
        <v>32.39</v>
      </c>
      <c r="S2433" s="2">
        <f>NETWORKDAYS(B2433,C2433)-1</f>
        <v>3</v>
      </c>
      <c r="T2433" s="1">
        <f>WORKDAY(B2433,5)</f>
        <v>45924</v>
      </c>
      <c r="U2433" t="b">
        <f>C2433&gt;T2433</f>
        <v>0</v>
      </c>
    </row>
    <row r="2434" spans="1:21" x14ac:dyDescent="0.25">
      <c r="A2434" t="s">
        <v>1617</v>
      </c>
      <c r="B2434" s="1">
        <v>45917</v>
      </c>
      <c r="C2434" s="1">
        <v>45922</v>
      </c>
      <c r="D2434" t="s">
        <v>341</v>
      </c>
      <c r="E2434" t="s">
        <v>30</v>
      </c>
      <c r="F2434" t="s">
        <v>31</v>
      </c>
      <c r="G2434" t="s">
        <v>32</v>
      </c>
      <c r="H2434" t="s">
        <v>33</v>
      </c>
      <c r="I2434" s="2">
        <v>1</v>
      </c>
      <c r="J2434" s="3">
        <v>219</v>
      </c>
      <c r="K2434" s="4">
        <v>0.02</v>
      </c>
      <c r="L2434" s="3">
        <v>214.62</v>
      </c>
      <c r="M2434" t="b">
        <v>1</v>
      </c>
      <c r="N2434" s="2">
        <f>YEAR(B2434)</f>
        <v>2025</v>
      </c>
      <c r="O2434" t="str">
        <f>INDEX(Agences!$C:$C,MATCH(F2434,Agences!$A:$A,0))</f>
        <v>Ouest</v>
      </c>
      <c r="P2434" t="str">
        <f>INDEX(Produits!$C:$C,MATCH(H2434,Produits!$A:$A,0))</f>
        <v>Informatique</v>
      </c>
      <c r="Q2434" s="3">
        <f>I2434*INDEX(Produits!$E:$E,MATCH(H2434,Produits!$A:$A,0))</f>
        <v>179.58</v>
      </c>
      <c r="R2434" s="3">
        <f>L2434-Q2434</f>
        <v>35.03999999999999</v>
      </c>
      <c r="S2434" s="2">
        <f>NETWORKDAYS(B2434,C2434)-1</f>
        <v>3</v>
      </c>
      <c r="T2434" s="1">
        <f>WORKDAY(B2434,5)</f>
        <v>45924</v>
      </c>
      <c r="U2434" t="b">
        <f>C2434&gt;T2434</f>
        <v>0</v>
      </c>
    </row>
    <row r="2435" spans="1:21" x14ac:dyDescent="0.25">
      <c r="A2435" t="s">
        <v>1617</v>
      </c>
      <c r="B2435" s="1">
        <v>45917</v>
      </c>
      <c r="C2435" s="1">
        <v>45922</v>
      </c>
      <c r="D2435" t="s">
        <v>341</v>
      </c>
      <c r="E2435" t="s">
        <v>30</v>
      </c>
      <c r="F2435" t="s">
        <v>31</v>
      </c>
      <c r="G2435" t="s">
        <v>32</v>
      </c>
      <c r="H2435" t="s">
        <v>84</v>
      </c>
      <c r="I2435" s="2">
        <v>2</v>
      </c>
      <c r="J2435" s="3">
        <v>420</v>
      </c>
      <c r="K2435" s="4">
        <v>0</v>
      </c>
      <c r="L2435" s="3">
        <v>840</v>
      </c>
      <c r="M2435" t="b">
        <v>1</v>
      </c>
      <c r="N2435" s="2">
        <f>YEAR(B2435)</f>
        <v>2025</v>
      </c>
      <c r="O2435" t="str">
        <f>INDEX(Agences!$C:$C,MATCH(F2435,Agences!$A:$A,0))</f>
        <v>Ouest</v>
      </c>
      <c r="P2435" t="str">
        <f>INDEX(Produits!$C:$C,MATCH(H2435,Produits!$A:$A,0))</f>
        <v>Mobilier</v>
      </c>
      <c r="Q2435" s="3">
        <f>I2435*INDEX(Produits!$E:$E,MATCH(H2435,Produits!$A:$A,0))</f>
        <v>487.2</v>
      </c>
      <c r="R2435" s="3">
        <f>L2435-Q2435</f>
        <v>352.8</v>
      </c>
      <c r="S2435" s="2">
        <f>NETWORKDAYS(B2435,C2435)-1</f>
        <v>3</v>
      </c>
      <c r="T2435" s="1">
        <f>WORKDAY(B2435,5)</f>
        <v>45924</v>
      </c>
      <c r="U2435" t="b">
        <f>C2435&gt;T2435</f>
        <v>0</v>
      </c>
    </row>
    <row r="2436" spans="1:21" x14ac:dyDescent="0.25">
      <c r="A2436" t="s">
        <v>1618</v>
      </c>
      <c r="B2436" s="1">
        <v>45916</v>
      </c>
      <c r="C2436" s="1">
        <v>45918</v>
      </c>
      <c r="D2436" t="s">
        <v>1256</v>
      </c>
      <c r="E2436" t="s">
        <v>213</v>
      </c>
      <c r="F2436" t="s">
        <v>138</v>
      </c>
      <c r="G2436" t="s">
        <v>139</v>
      </c>
      <c r="H2436" t="s">
        <v>33</v>
      </c>
      <c r="I2436" s="2">
        <v>1</v>
      </c>
      <c r="J2436" s="3">
        <v>219</v>
      </c>
      <c r="K2436" s="4">
        <v>0.02</v>
      </c>
      <c r="L2436" s="3">
        <v>214.62</v>
      </c>
      <c r="M2436" t="b">
        <v>1</v>
      </c>
      <c r="N2436" s="2">
        <f>YEAR(B2436)</f>
        <v>2025</v>
      </c>
      <c r="O2436" t="str">
        <f>INDEX(Agences!$C:$C,MATCH(F2436,Agences!$A:$A,0))</f>
        <v>Île-de-France</v>
      </c>
      <c r="P2436" t="str">
        <f>INDEX(Produits!$C:$C,MATCH(H2436,Produits!$A:$A,0))</f>
        <v>Informatique</v>
      </c>
      <c r="Q2436" s="3">
        <f>I2436*INDEX(Produits!$E:$E,MATCH(H2436,Produits!$A:$A,0))</f>
        <v>179.58</v>
      </c>
      <c r="R2436" s="3">
        <f>L2436-Q2436</f>
        <v>35.03999999999999</v>
      </c>
      <c r="S2436" s="2">
        <f>NETWORKDAYS(B2436,C2436)-1</f>
        <v>2</v>
      </c>
      <c r="T2436" s="1">
        <f>WORKDAY(B2436,5)</f>
        <v>45923</v>
      </c>
      <c r="U2436" t="b">
        <f>C2436&gt;T2436</f>
        <v>0</v>
      </c>
    </row>
    <row r="2437" spans="1:21" x14ac:dyDescent="0.25">
      <c r="A2437" t="s">
        <v>1618</v>
      </c>
      <c r="B2437" s="1">
        <v>45916</v>
      </c>
      <c r="C2437" s="1">
        <v>45918</v>
      </c>
      <c r="D2437" t="s">
        <v>1256</v>
      </c>
      <c r="E2437" t="s">
        <v>213</v>
      </c>
      <c r="F2437" t="s">
        <v>138</v>
      </c>
      <c r="G2437" t="s">
        <v>139</v>
      </c>
      <c r="H2437" t="s">
        <v>35</v>
      </c>
      <c r="I2437" s="2">
        <v>1</v>
      </c>
      <c r="J2437" s="3">
        <v>79</v>
      </c>
      <c r="K2437" s="4">
        <v>0.08</v>
      </c>
      <c r="L2437" s="3">
        <v>72.68</v>
      </c>
      <c r="M2437" t="b">
        <v>1</v>
      </c>
      <c r="N2437" s="2">
        <f>YEAR(B2437)</f>
        <v>2025</v>
      </c>
      <c r="O2437" t="str">
        <f>INDEX(Agences!$C:$C,MATCH(F2437,Agences!$A:$A,0))</f>
        <v>Île-de-France</v>
      </c>
      <c r="P2437" t="str">
        <f>INDEX(Produits!$C:$C,MATCH(H2437,Produits!$A:$A,0))</f>
        <v>Mobilier</v>
      </c>
      <c r="Q2437" s="3">
        <f>I2437*INDEX(Produits!$E:$E,MATCH(H2437,Produits!$A:$A,0))</f>
        <v>46.61</v>
      </c>
      <c r="R2437" s="3">
        <f>L2437-Q2437</f>
        <v>26.070000000000007</v>
      </c>
      <c r="S2437" s="2">
        <f>NETWORKDAYS(B2437,C2437)-1</f>
        <v>2</v>
      </c>
      <c r="T2437" s="1">
        <f>WORKDAY(B2437,5)</f>
        <v>45923</v>
      </c>
      <c r="U2437" t="b">
        <f>C2437&gt;T2437</f>
        <v>0</v>
      </c>
    </row>
    <row r="2438" spans="1:21" x14ac:dyDescent="0.25">
      <c r="A2438" t="s">
        <v>1618</v>
      </c>
      <c r="B2438" s="1">
        <v>45916</v>
      </c>
      <c r="C2438" s="1">
        <v>45918</v>
      </c>
      <c r="D2438" t="s">
        <v>1256</v>
      </c>
      <c r="E2438" t="s">
        <v>213</v>
      </c>
      <c r="F2438" t="s">
        <v>138</v>
      </c>
      <c r="G2438" t="s">
        <v>139</v>
      </c>
      <c r="H2438" t="s">
        <v>57</v>
      </c>
      <c r="I2438" s="2">
        <v>6</v>
      </c>
      <c r="J2438" s="3">
        <v>149</v>
      </c>
      <c r="K2438" s="4">
        <v>0.05</v>
      </c>
      <c r="L2438" s="3">
        <v>849.3</v>
      </c>
      <c r="M2438" t="b">
        <v>1</v>
      </c>
      <c r="N2438" s="2">
        <f>YEAR(B2438)</f>
        <v>2025</v>
      </c>
      <c r="O2438" t="str">
        <f>INDEX(Agences!$C:$C,MATCH(F2438,Agences!$A:$A,0))</f>
        <v>Île-de-France</v>
      </c>
      <c r="P2438" t="str">
        <f>INDEX(Produits!$C:$C,MATCH(H2438,Produits!$A:$A,0))</f>
        <v>Informatique</v>
      </c>
      <c r="Q2438" s="3">
        <f>I2438*INDEX(Produits!$E:$E,MATCH(H2438,Produits!$A:$A,0))</f>
        <v>688.38</v>
      </c>
      <c r="R2438" s="3">
        <f>L2438-Q2438</f>
        <v>160.91999999999996</v>
      </c>
      <c r="S2438" s="2">
        <f>NETWORKDAYS(B2438,C2438)-1</f>
        <v>2</v>
      </c>
      <c r="T2438" s="1">
        <f>WORKDAY(B2438,5)</f>
        <v>45923</v>
      </c>
      <c r="U2438" t="b">
        <f>C2438&gt;T2438</f>
        <v>0</v>
      </c>
    </row>
    <row r="2439" spans="1:21" x14ac:dyDescent="0.25">
      <c r="A2439" t="s">
        <v>1618</v>
      </c>
      <c r="B2439" s="1">
        <v>45916</v>
      </c>
      <c r="C2439" s="1">
        <v>45918</v>
      </c>
      <c r="D2439" t="s">
        <v>1256</v>
      </c>
      <c r="E2439" t="s">
        <v>213</v>
      </c>
      <c r="F2439" t="s">
        <v>138</v>
      </c>
      <c r="G2439" t="s">
        <v>139</v>
      </c>
      <c r="H2439" t="s">
        <v>162</v>
      </c>
      <c r="I2439" s="2">
        <v>4</v>
      </c>
      <c r="J2439" s="3">
        <v>289</v>
      </c>
      <c r="K2439" s="4">
        <v>0</v>
      </c>
      <c r="L2439" s="3">
        <v>1156</v>
      </c>
      <c r="M2439" t="b">
        <v>1</v>
      </c>
      <c r="N2439" s="2">
        <f>YEAR(B2439)</f>
        <v>2025</v>
      </c>
      <c r="O2439" t="str">
        <f>INDEX(Agences!$C:$C,MATCH(F2439,Agences!$A:$A,0))</f>
        <v>Île-de-France</v>
      </c>
      <c r="P2439" t="str">
        <f>INDEX(Produits!$C:$C,MATCH(H2439,Produits!$A:$A,0))</f>
        <v>Mobilier</v>
      </c>
      <c r="Q2439" s="3">
        <f>I2439*INDEX(Produits!$E:$E,MATCH(H2439,Produits!$A:$A,0))</f>
        <v>774.52</v>
      </c>
      <c r="R2439" s="3">
        <f>L2439-Q2439</f>
        <v>381.48</v>
      </c>
      <c r="S2439" s="2">
        <f>NETWORKDAYS(B2439,C2439)-1</f>
        <v>2</v>
      </c>
      <c r="T2439" s="1">
        <f>WORKDAY(B2439,5)</f>
        <v>45923</v>
      </c>
      <c r="U2439" t="b">
        <f>C2439&gt;T2439</f>
        <v>0</v>
      </c>
    </row>
    <row r="2440" spans="1:21" x14ac:dyDescent="0.25">
      <c r="A2440" t="s">
        <v>1618</v>
      </c>
      <c r="B2440" s="1">
        <v>45916</v>
      </c>
      <c r="C2440" s="1">
        <v>45918</v>
      </c>
      <c r="D2440" t="s">
        <v>1256</v>
      </c>
      <c r="E2440" t="s">
        <v>213</v>
      </c>
      <c r="F2440" t="s">
        <v>138</v>
      </c>
      <c r="G2440" t="s">
        <v>139</v>
      </c>
      <c r="H2440" t="s">
        <v>42</v>
      </c>
      <c r="I2440" s="2">
        <v>3</v>
      </c>
      <c r="J2440" s="3">
        <v>55</v>
      </c>
      <c r="K2440" s="4">
        <v>0</v>
      </c>
      <c r="L2440" s="3">
        <v>165</v>
      </c>
      <c r="M2440" t="b">
        <v>1</v>
      </c>
      <c r="N2440" s="2">
        <f>YEAR(B2440)</f>
        <v>2025</v>
      </c>
      <c r="O2440" t="str">
        <f>INDEX(Agences!$C:$C,MATCH(F2440,Agences!$A:$A,0))</f>
        <v>Île-de-France</v>
      </c>
      <c r="P2440" t="str">
        <f>INDEX(Produits!$C:$C,MATCH(H2440,Produits!$A:$A,0))</f>
        <v>Maintenance</v>
      </c>
      <c r="Q2440" s="3">
        <f>I2440*INDEX(Produits!$E:$E,MATCH(H2440,Produits!$A:$A,0))</f>
        <v>74.25</v>
      </c>
      <c r="R2440" s="3">
        <f>L2440-Q2440</f>
        <v>90.75</v>
      </c>
      <c r="S2440" s="2">
        <f>NETWORKDAYS(B2440,C2440)-1</f>
        <v>2</v>
      </c>
      <c r="T2440" s="1">
        <f>WORKDAY(B2440,5)</f>
        <v>45923</v>
      </c>
      <c r="U2440" t="b">
        <f>C2440&gt;T2440</f>
        <v>0</v>
      </c>
    </row>
    <row r="2441" spans="1:21" x14ac:dyDescent="0.25">
      <c r="A2441" t="s">
        <v>1619</v>
      </c>
      <c r="B2441" s="1">
        <v>45916</v>
      </c>
      <c r="C2441" s="1">
        <v>45918</v>
      </c>
      <c r="D2441" t="s">
        <v>1620</v>
      </c>
      <c r="E2441" t="s">
        <v>137</v>
      </c>
      <c r="F2441" t="s">
        <v>138</v>
      </c>
      <c r="G2441" t="s">
        <v>214</v>
      </c>
      <c r="H2441" t="s">
        <v>50</v>
      </c>
      <c r="I2441" s="2">
        <v>1</v>
      </c>
      <c r="J2441" s="3">
        <v>69</v>
      </c>
      <c r="K2441" s="4">
        <v>0.05</v>
      </c>
      <c r="L2441" s="3">
        <v>65.55</v>
      </c>
      <c r="M2441" t="b">
        <v>1</v>
      </c>
      <c r="N2441" s="2">
        <f>YEAR(B2441)</f>
        <v>2025</v>
      </c>
      <c r="O2441" t="str">
        <f>INDEX(Agences!$C:$C,MATCH(F2441,Agences!$A:$A,0))</f>
        <v>Île-de-France</v>
      </c>
      <c r="P2441" t="str">
        <f>INDEX(Produits!$C:$C,MATCH(H2441,Produits!$A:$A,0))</f>
        <v>Informatique</v>
      </c>
      <c r="Q2441" s="3">
        <f>I2441*INDEX(Produits!$E:$E,MATCH(H2441,Produits!$A:$A,0))</f>
        <v>54.51</v>
      </c>
      <c r="R2441" s="3">
        <f>L2441-Q2441</f>
        <v>11.04</v>
      </c>
      <c r="S2441" s="2">
        <f>NETWORKDAYS(B2441,C2441)-1</f>
        <v>2</v>
      </c>
      <c r="T2441" s="1">
        <f>WORKDAY(B2441,5)</f>
        <v>45923</v>
      </c>
      <c r="U2441" t="b">
        <f>C2441&gt;T2441</f>
        <v>0</v>
      </c>
    </row>
    <row r="2442" spans="1:21" x14ac:dyDescent="0.25">
      <c r="A2442" t="s">
        <v>1619</v>
      </c>
      <c r="B2442" s="1">
        <v>45916</v>
      </c>
      <c r="C2442" s="1">
        <v>45918</v>
      </c>
      <c r="D2442" t="s">
        <v>1620</v>
      </c>
      <c r="E2442" t="s">
        <v>137</v>
      </c>
      <c r="F2442" t="s">
        <v>138</v>
      </c>
      <c r="G2442" t="s">
        <v>214</v>
      </c>
      <c r="H2442" t="s">
        <v>79</v>
      </c>
      <c r="I2442" s="2">
        <v>25</v>
      </c>
      <c r="J2442" s="3">
        <v>14.9</v>
      </c>
      <c r="K2442" s="4">
        <v>0</v>
      </c>
      <c r="L2442" s="3">
        <v>372.5</v>
      </c>
      <c r="M2442" t="b">
        <v>1</v>
      </c>
      <c r="N2442" s="2">
        <f>YEAR(B2442)</f>
        <v>2025</v>
      </c>
      <c r="O2442" t="str">
        <f>INDEX(Agences!$C:$C,MATCH(F2442,Agences!$A:$A,0))</f>
        <v>Île-de-France</v>
      </c>
      <c r="P2442" t="str">
        <f>INDEX(Produits!$C:$C,MATCH(H2442,Produits!$A:$A,0))</f>
        <v>Fournitures</v>
      </c>
      <c r="Q2442" s="3">
        <f>I2442*INDEX(Produits!$E:$E,MATCH(H2442,Produits!$A:$A,0))</f>
        <v>201.25000000000003</v>
      </c>
      <c r="R2442" s="3">
        <f>L2442-Q2442</f>
        <v>171.24999999999997</v>
      </c>
      <c r="S2442" s="2">
        <f>NETWORKDAYS(B2442,C2442)-1</f>
        <v>2</v>
      </c>
      <c r="T2442" s="1">
        <f>WORKDAY(B2442,5)</f>
        <v>45923</v>
      </c>
      <c r="U2442" t="b">
        <f>C2442&gt;T2442</f>
        <v>0</v>
      </c>
    </row>
    <row r="2443" spans="1:21" x14ac:dyDescent="0.25">
      <c r="A2443" t="s">
        <v>1619</v>
      </c>
      <c r="B2443" s="1">
        <v>45916</v>
      </c>
      <c r="C2443" s="1">
        <v>45918</v>
      </c>
      <c r="D2443" t="s">
        <v>1620</v>
      </c>
      <c r="E2443" t="s">
        <v>137</v>
      </c>
      <c r="F2443" t="s">
        <v>138</v>
      </c>
      <c r="G2443" t="s">
        <v>214</v>
      </c>
      <c r="H2443" t="s">
        <v>90</v>
      </c>
      <c r="I2443" s="2">
        <v>20</v>
      </c>
      <c r="J2443" s="3">
        <v>22.9</v>
      </c>
      <c r="K2443" s="4">
        <v>0</v>
      </c>
      <c r="L2443" s="3">
        <v>458</v>
      </c>
      <c r="M2443" t="b">
        <v>1</v>
      </c>
      <c r="N2443" s="2">
        <f>YEAR(B2443)</f>
        <v>2025</v>
      </c>
      <c r="O2443" t="str">
        <f>INDEX(Agences!$C:$C,MATCH(F2443,Agences!$A:$A,0))</f>
        <v>Île-de-France</v>
      </c>
      <c r="P2443" t="str">
        <f>INDEX(Produits!$C:$C,MATCH(H2443,Produits!$A:$A,0))</f>
        <v>Fournitures</v>
      </c>
      <c r="Q2443" s="3">
        <f>I2443*INDEX(Produits!$E:$E,MATCH(H2443,Produits!$A:$A,0))</f>
        <v>256.4</v>
      </c>
      <c r="R2443" s="3">
        <f>L2443-Q2443</f>
        <v>201.60000000000002</v>
      </c>
      <c r="S2443" s="2">
        <f>NETWORKDAYS(B2443,C2443)-1</f>
        <v>2</v>
      </c>
      <c r="T2443" s="1">
        <f>WORKDAY(B2443,5)</f>
        <v>45923</v>
      </c>
      <c r="U2443" t="b">
        <f>C2443&gt;T2443</f>
        <v>0</v>
      </c>
    </row>
    <row r="2444" spans="1:21" x14ac:dyDescent="0.25">
      <c r="A2444" t="s">
        <v>1621</v>
      </c>
      <c r="B2444" s="1">
        <v>45916</v>
      </c>
      <c r="C2444" s="1">
        <v>45917</v>
      </c>
      <c r="D2444" t="s">
        <v>543</v>
      </c>
      <c r="E2444" t="s">
        <v>130</v>
      </c>
      <c r="F2444" t="s">
        <v>39</v>
      </c>
      <c r="G2444" t="s">
        <v>40</v>
      </c>
      <c r="H2444" t="s">
        <v>33</v>
      </c>
      <c r="I2444" s="2">
        <v>2</v>
      </c>
      <c r="J2444" s="3">
        <v>219</v>
      </c>
      <c r="K2444" s="4">
        <v>0</v>
      </c>
      <c r="L2444" s="3">
        <v>438</v>
      </c>
      <c r="M2444" t="b">
        <v>1</v>
      </c>
      <c r="N2444" s="2">
        <f>YEAR(B2444)</f>
        <v>2025</v>
      </c>
      <c r="O2444" t="str">
        <f>INDEX(Agences!$C:$C,MATCH(F2444,Agences!$A:$A,0))</f>
        <v>Sud-Ouest</v>
      </c>
      <c r="P2444" t="str">
        <f>INDEX(Produits!$C:$C,MATCH(H2444,Produits!$A:$A,0))</f>
        <v>Informatique</v>
      </c>
      <c r="Q2444" s="3">
        <f>I2444*INDEX(Produits!$E:$E,MATCH(H2444,Produits!$A:$A,0))</f>
        <v>359.16</v>
      </c>
      <c r="R2444" s="3">
        <f>L2444-Q2444</f>
        <v>78.83999999999997</v>
      </c>
      <c r="S2444" s="2">
        <f>NETWORKDAYS(B2444,C2444)-1</f>
        <v>1</v>
      </c>
      <c r="T2444" s="1">
        <f>WORKDAY(B2444,5)</f>
        <v>45923</v>
      </c>
      <c r="U2444" t="b">
        <f>C2444&gt;T2444</f>
        <v>0</v>
      </c>
    </row>
    <row r="2445" spans="1:21" x14ac:dyDescent="0.25">
      <c r="A2445" t="s">
        <v>1621</v>
      </c>
      <c r="B2445" s="1">
        <v>45916</v>
      </c>
      <c r="C2445" s="1">
        <v>45917</v>
      </c>
      <c r="D2445" t="s">
        <v>543</v>
      </c>
      <c r="E2445" t="s">
        <v>130</v>
      </c>
      <c r="F2445" t="s">
        <v>39</v>
      </c>
      <c r="G2445" t="s">
        <v>40</v>
      </c>
      <c r="H2445" t="s">
        <v>83</v>
      </c>
      <c r="I2445" s="2">
        <v>4</v>
      </c>
      <c r="J2445" s="3">
        <v>49</v>
      </c>
      <c r="K2445" s="4">
        <v>0</v>
      </c>
      <c r="L2445" s="3">
        <v>196</v>
      </c>
      <c r="M2445" t="b">
        <v>1</v>
      </c>
      <c r="N2445" s="2">
        <f>YEAR(B2445)</f>
        <v>2025</v>
      </c>
      <c r="O2445" t="str">
        <f>INDEX(Agences!$C:$C,MATCH(F2445,Agences!$A:$A,0))</f>
        <v>Sud-Ouest</v>
      </c>
      <c r="P2445" t="str">
        <f>INDEX(Produits!$C:$C,MATCH(H2445,Produits!$A:$A,0))</f>
        <v>Mobilier</v>
      </c>
      <c r="Q2445" s="3">
        <f>I2445*INDEX(Produits!$E:$E,MATCH(H2445,Produits!$A:$A,0))</f>
        <v>113.68</v>
      </c>
      <c r="R2445" s="3">
        <f>L2445-Q2445</f>
        <v>82.32</v>
      </c>
      <c r="S2445" s="2">
        <f>NETWORKDAYS(B2445,C2445)-1</f>
        <v>1</v>
      </c>
      <c r="T2445" s="1">
        <f>WORKDAY(B2445,5)</f>
        <v>45923</v>
      </c>
      <c r="U2445" t="b">
        <f>C2445&gt;T2445</f>
        <v>0</v>
      </c>
    </row>
    <row r="2446" spans="1:21" x14ac:dyDescent="0.25">
      <c r="A2446" t="s">
        <v>1621</v>
      </c>
      <c r="B2446" s="1">
        <v>45916</v>
      </c>
      <c r="C2446" s="1">
        <v>45917</v>
      </c>
      <c r="D2446" t="s">
        <v>543</v>
      </c>
      <c r="E2446" t="s">
        <v>130</v>
      </c>
      <c r="F2446" t="s">
        <v>39</v>
      </c>
      <c r="G2446" t="s">
        <v>40</v>
      </c>
      <c r="H2446" t="s">
        <v>42</v>
      </c>
      <c r="I2446" s="2">
        <v>1</v>
      </c>
      <c r="J2446" s="3">
        <v>55</v>
      </c>
      <c r="K2446" s="4">
        <v>0.08</v>
      </c>
      <c r="L2446" s="3">
        <v>50.6</v>
      </c>
      <c r="M2446" t="b">
        <v>1</v>
      </c>
      <c r="N2446" s="2">
        <f>YEAR(B2446)</f>
        <v>2025</v>
      </c>
      <c r="O2446" t="str">
        <f>INDEX(Agences!$C:$C,MATCH(F2446,Agences!$A:$A,0))</f>
        <v>Sud-Ouest</v>
      </c>
      <c r="P2446" t="str">
        <f>INDEX(Produits!$C:$C,MATCH(H2446,Produits!$A:$A,0))</f>
        <v>Maintenance</v>
      </c>
      <c r="Q2446" s="3">
        <f>I2446*INDEX(Produits!$E:$E,MATCH(H2446,Produits!$A:$A,0))</f>
        <v>24.75</v>
      </c>
      <c r="R2446" s="3">
        <f>L2446-Q2446</f>
        <v>25.85</v>
      </c>
      <c r="S2446" s="2">
        <f>NETWORKDAYS(B2446,C2446)-1</f>
        <v>1</v>
      </c>
      <c r="T2446" s="1">
        <f>WORKDAY(B2446,5)</f>
        <v>45923</v>
      </c>
      <c r="U2446" t="b">
        <f>C2446&gt;T2446</f>
        <v>0</v>
      </c>
    </row>
    <row r="2447" spans="1:21" x14ac:dyDescent="0.25">
      <c r="A2447" t="s">
        <v>1621</v>
      </c>
      <c r="B2447" s="1">
        <v>45916</v>
      </c>
      <c r="C2447" s="1">
        <v>45917</v>
      </c>
      <c r="D2447" t="s">
        <v>543</v>
      </c>
      <c r="E2447" t="s">
        <v>130</v>
      </c>
      <c r="F2447" t="s">
        <v>39</v>
      </c>
      <c r="G2447" t="s">
        <v>40</v>
      </c>
      <c r="H2447" t="s">
        <v>196</v>
      </c>
      <c r="I2447" s="2">
        <v>15</v>
      </c>
      <c r="J2447" s="3">
        <v>18.5</v>
      </c>
      <c r="K2447" s="4">
        <v>0</v>
      </c>
      <c r="L2447" s="3">
        <v>277.5</v>
      </c>
      <c r="M2447" t="b">
        <v>1</v>
      </c>
      <c r="N2447" s="2">
        <f>YEAR(B2447)</f>
        <v>2025</v>
      </c>
      <c r="O2447" t="str">
        <f>INDEX(Agences!$C:$C,MATCH(F2447,Agences!$A:$A,0))</f>
        <v>Sud-Ouest</v>
      </c>
      <c r="P2447" t="str">
        <f>INDEX(Produits!$C:$C,MATCH(H2447,Produits!$A:$A,0))</f>
        <v>Fournitures</v>
      </c>
      <c r="Q2447" s="3">
        <f>I2447*INDEX(Produits!$E:$E,MATCH(H2447,Produits!$A:$A,0))</f>
        <v>141.6</v>
      </c>
      <c r="R2447" s="3">
        <f>L2447-Q2447</f>
        <v>135.9</v>
      </c>
      <c r="S2447" s="2">
        <f>NETWORKDAYS(B2447,C2447)-1</f>
        <v>1</v>
      </c>
      <c r="T2447" s="1">
        <f>WORKDAY(B2447,5)</f>
        <v>45923</v>
      </c>
      <c r="U2447" t="b">
        <f>C2447&gt;T2447</f>
        <v>0</v>
      </c>
    </row>
    <row r="2448" spans="1:21" x14ac:dyDescent="0.25">
      <c r="A2448" t="s">
        <v>1622</v>
      </c>
      <c r="B2448" s="1">
        <v>45915</v>
      </c>
      <c r="C2448" s="1">
        <v>45917</v>
      </c>
      <c r="D2448" t="s">
        <v>1178</v>
      </c>
      <c r="E2448" t="s">
        <v>191</v>
      </c>
      <c r="F2448" t="s">
        <v>62</v>
      </c>
      <c r="G2448" t="s">
        <v>68</v>
      </c>
      <c r="H2448" t="s">
        <v>103</v>
      </c>
      <c r="I2448" s="2">
        <v>3</v>
      </c>
      <c r="J2448" s="3">
        <v>245</v>
      </c>
      <c r="K2448" s="4">
        <v>0</v>
      </c>
      <c r="L2448" s="3">
        <v>735</v>
      </c>
      <c r="M2448" t="b">
        <v>1</v>
      </c>
      <c r="N2448" s="2">
        <f>YEAR(B2448)</f>
        <v>2025</v>
      </c>
      <c r="O2448" t="str">
        <f>INDEX(Agences!$C:$C,MATCH(F2448,Agences!$A:$A,0))</f>
        <v>Méditerranée</v>
      </c>
      <c r="P2448" t="str">
        <f>INDEX(Produits!$C:$C,MATCH(H2448,Produits!$A:$A,0))</f>
        <v>Mobilier</v>
      </c>
      <c r="Q2448" s="3">
        <f>I2448*INDEX(Produits!$E:$E,MATCH(H2448,Produits!$A:$A,0))</f>
        <v>492.45000000000005</v>
      </c>
      <c r="R2448" s="3">
        <f>L2448-Q2448</f>
        <v>242.54999999999995</v>
      </c>
      <c r="S2448" s="2">
        <f>NETWORKDAYS(B2448,C2448)-1</f>
        <v>2</v>
      </c>
      <c r="T2448" s="1">
        <f>WORKDAY(B2448,5)</f>
        <v>45922</v>
      </c>
      <c r="U2448" t="b">
        <f>C2448&gt;T2448</f>
        <v>0</v>
      </c>
    </row>
    <row r="2449" spans="1:21" x14ac:dyDescent="0.25">
      <c r="A2449" t="s">
        <v>1622</v>
      </c>
      <c r="B2449" s="1">
        <v>45915</v>
      </c>
      <c r="C2449" s="1">
        <v>45917</v>
      </c>
      <c r="D2449" t="s">
        <v>1178</v>
      </c>
      <c r="E2449" t="s">
        <v>191</v>
      </c>
      <c r="F2449" t="s">
        <v>62</v>
      </c>
      <c r="G2449" t="s">
        <v>68</v>
      </c>
      <c r="H2449" t="s">
        <v>127</v>
      </c>
      <c r="I2449" s="2">
        <v>1</v>
      </c>
      <c r="J2449" s="3">
        <v>649</v>
      </c>
      <c r="K2449" s="4">
        <v>0</v>
      </c>
      <c r="L2449" s="3">
        <v>649</v>
      </c>
      <c r="M2449" t="b">
        <v>1</v>
      </c>
      <c r="N2449" s="2">
        <f>YEAR(B2449)</f>
        <v>2025</v>
      </c>
      <c r="O2449" t="str">
        <f>INDEX(Agences!$C:$C,MATCH(F2449,Agences!$A:$A,0))</f>
        <v>Méditerranée</v>
      </c>
      <c r="P2449" t="str">
        <f>INDEX(Produits!$C:$C,MATCH(H2449,Produits!$A:$A,0))</f>
        <v>Informatique</v>
      </c>
      <c r="Q2449" s="3">
        <f>I2449*INDEX(Produits!$E:$E,MATCH(H2449,Produits!$A:$A,0))</f>
        <v>480.26</v>
      </c>
      <c r="R2449" s="3">
        <f>L2449-Q2449</f>
        <v>168.74</v>
      </c>
      <c r="S2449" s="2">
        <f>NETWORKDAYS(B2449,C2449)-1</f>
        <v>2</v>
      </c>
      <c r="T2449" s="1">
        <f>WORKDAY(B2449,5)</f>
        <v>45922</v>
      </c>
      <c r="U2449" t="b">
        <f>C2449&gt;T2449</f>
        <v>0</v>
      </c>
    </row>
    <row r="2450" spans="1:21" x14ac:dyDescent="0.25">
      <c r="A2450" t="s">
        <v>1622</v>
      </c>
      <c r="B2450" s="1">
        <v>45915</v>
      </c>
      <c r="C2450" s="1">
        <v>45917</v>
      </c>
      <c r="D2450" t="s">
        <v>1178</v>
      </c>
      <c r="E2450" t="s">
        <v>191</v>
      </c>
      <c r="F2450" t="s">
        <v>62</v>
      </c>
      <c r="G2450" t="s">
        <v>68</v>
      </c>
      <c r="H2450" t="s">
        <v>26</v>
      </c>
      <c r="I2450" s="2">
        <v>1</v>
      </c>
      <c r="J2450" s="3">
        <v>290</v>
      </c>
      <c r="K2450" s="4">
        <v>0.05</v>
      </c>
      <c r="L2450" s="3">
        <v>275.5</v>
      </c>
      <c r="M2450" t="b">
        <v>1</v>
      </c>
      <c r="N2450" s="2">
        <f>YEAR(B2450)</f>
        <v>2025</v>
      </c>
      <c r="O2450" t="str">
        <f>INDEX(Agences!$C:$C,MATCH(F2450,Agences!$A:$A,0))</f>
        <v>Méditerranée</v>
      </c>
      <c r="P2450" t="str">
        <f>INDEX(Produits!$C:$C,MATCH(H2450,Produits!$A:$A,0))</f>
        <v>Maintenance</v>
      </c>
      <c r="Q2450" s="3">
        <f>I2450*INDEX(Produits!$E:$E,MATCH(H2450,Produits!$A:$A,0))</f>
        <v>139.2</v>
      </c>
      <c r="R2450" s="3">
        <f>L2450-Q2450</f>
        <v>136.3</v>
      </c>
      <c r="S2450" s="2">
        <f>NETWORKDAYS(B2450,C2450)-1</f>
        <v>2</v>
      </c>
      <c r="T2450" s="1">
        <f>WORKDAY(B2450,5)</f>
        <v>45922</v>
      </c>
      <c r="U2450" t="b">
        <f>C2450&gt;T2450</f>
        <v>0</v>
      </c>
    </row>
    <row r="2451" spans="1:21" x14ac:dyDescent="0.25">
      <c r="A2451" t="s">
        <v>1622</v>
      </c>
      <c r="B2451" s="1">
        <v>45915</v>
      </c>
      <c r="C2451" s="1">
        <v>45917</v>
      </c>
      <c r="D2451" t="s">
        <v>1178</v>
      </c>
      <c r="E2451" t="s">
        <v>191</v>
      </c>
      <c r="F2451" t="s">
        <v>62</v>
      </c>
      <c r="G2451" t="s">
        <v>68</v>
      </c>
      <c r="H2451" t="s">
        <v>72</v>
      </c>
      <c r="I2451" s="2">
        <v>1</v>
      </c>
      <c r="J2451" s="3">
        <v>179</v>
      </c>
      <c r="K2451" s="4">
        <v>0.05</v>
      </c>
      <c r="L2451" s="3">
        <v>170.05</v>
      </c>
      <c r="M2451" t="b">
        <v>1</v>
      </c>
      <c r="N2451" s="2">
        <f>YEAR(B2451)</f>
        <v>2025</v>
      </c>
      <c r="O2451" t="str">
        <f>INDEX(Agences!$C:$C,MATCH(F2451,Agences!$A:$A,0))</f>
        <v>Méditerranée</v>
      </c>
      <c r="P2451" t="str">
        <f>INDEX(Produits!$C:$C,MATCH(H2451,Produits!$A:$A,0))</f>
        <v>Informatique</v>
      </c>
      <c r="Q2451" s="3">
        <f>I2451*INDEX(Produits!$E:$E,MATCH(H2451,Produits!$A:$A,0))</f>
        <v>146.78</v>
      </c>
      <c r="R2451" s="3">
        <f>L2451-Q2451</f>
        <v>23.27000000000001</v>
      </c>
      <c r="S2451" s="2">
        <f>NETWORKDAYS(B2451,C2451)-1</f>
        <v>2</v>
      </c>
      <c r="T2451" s="1">
        <f>WORKDAY(B2451,5)</f>
        <v>45922</v>
      </c>
      <c r="U2451" t="b">
        <f>C2451&gt;T2451</f>
        <v>0</v>
      </c>
    </row>
    <row r="2452" spans="1:21" x14ac:dyDescent="0.25">
      <c r="A2452" t="s">
        <v>1623</v>
      </c>
      <c r="B2452" s="1">
        <v>45912</v>
      </c>
      <c r="C2452" s="1">
        <v>45916</v>
      </c>
      <c r="D2452" t="s">
        <v>1394</v>
      </c>
      <c r="E2452" t="s">
        <v>209</v>
      </c>
      <c r="F2452" t="s">
        <v>99</v>
      </c>
      <c r="G2452" t="s">
        <v>265</v>
      </c>
      <c r="H2452" t="s">
        <v>162</v>
      </c>
      <c r="I2452" s="2">
        <v>3</v>
      </c>
      <c r="J2452" s="3">
        <v>289</v>
      </c>
      <c r="K2452" s="4">
        <v>0</v>
      </c>
      <c r="L2452" s="3">
        <v>867</v>
      </c>
      <c r="M2452" t="b">
        <v>1</v>
      </c>
      <c r="N2452" s="2">
        <f>YEAR(B2452)</f>
        <v>2025</v>
      </c>
      <c r="O2452" t="str">
        <f>INDEX(Agences!$C:$C,MATCH(F2452,Agences!$A:$A,0))</f>
        <v>Nord</v>
      </c>
      <c r="P2452" t="str">
        <f>INDEX(Produits!$C:$C,MATCH(H2452,Produits!$A:$A,0))</f>
        <v>Mobilier</v>
      </c>
      <c r="Q2452" s="3">
        <f>I2452*INDEX(Produits!$E:$E,MATCH(H2452,Produits!$A:$A,0))</f>
        <v>580.89</v>
      </c>
      <c r="R2452" s="3">
        <f>L2452-Q2452</f>
        <v>286.11</v>
      </c>
      <c r="S2452" s="2">
        <f>NETWORKDAYS(B2452,C2452)-1</f>
        <v>2</v>
      </c>
      <c r="T2452" s="1">
        <f>WORKDAY(B2452,5)</f>
        <v>45919</v>
      </c>
      <c r="U2452" t="b">
        <f>C2452&gt;T2452</f>
        <v>0</v>
      </c>
    </row>
    <row r="2453" spans="1:21" x14ac:dyDescent="0.25">
      <c r="A2453" t="s">
        <v>1623</v>
      </c>
      <c r="B2453" s="1">
        <v>45912</v>
      </c>
      <c r="C2453" s="1">
        <v>45916</v>
      </c>
      <c r="D2453" t="s">
        <v>1394</v>
      </c>
      <c r="E2453" t="s">
        <v>209</v>
      </c>
      <c r="F2453" t="s">
        <v>99</v>
      </c>
      <c r="G2453" t="s">
        <v>265</v>
      </c>
      <c r="H2453" t="s">
        <v>42</v>
      </c>
      <c r="I2453" s="2">
        <v>1</v>
      </c>
      <c r="J2453" s="3">
        <v>55</v>
      </c>
      <c r="K2453" s="4">
        <v>0.02</v>
      </c>
      <c r="L2453" s="3">
        <v>53.9</v>
      </c>
      <c r="M2453" t="b">
        <v>1</v>
      </c>
      <c r="N2453" s="2">
        <f>YEAR(B2453)</f>
        <v>2025</v>
      </c>
      <c r="O2453" t="str">
        <f>INDEX(Agences!$C:$C,MATCH(F2453,Agences!$A:$A,0))</f>
        <v>Nord</v>
      </c>
      <c r="P2453" t="str">
        <f>INDEX(Produits!$C:$C,MATCH(H2453,Produits!$A:$A,0))</f>
        <v>Maintenance</v>
      </c>
      <c r="Q2453" s="3">
        <f>I2453*INDEX(Produits!$E:$E,MATCH(H2453,Produits!$A:$A,0))</f>
        <v>24.75</v>
      </c>
      <c r="R2453" s="3">
        <f>L2453-Q2453</f>
        <v>29.15</v>
      </c>
      <c r="S2453" s="2">
        <f>NETWORKDAYS(B2453,C2453)-1</f>
        <v>2</v>
      </c>
      <c r="T2453" s="1">
        <f>WORKDAY(B2453,5)</f>
        <v>45919</v>
      </c>
      <c r="U2453" t="b">
        <f>C2453&gt;T2453</f>
        <v>0</v>
      </c>
    </row>
    <row r="2454" spans="1:21" x14ac:dyDescent="0.25">
      <c r="A2454" t="s">
        <v>1624</v>
      </c>
      <c r="B2454" s="1">
        <v>45912</v>
      </c>
      <c r="C2454" s="1">
        <v>45916</v>
      </c>
      <c r="D2454" t="s">
        <v>74</v>
      </c>
      <c r="E2454" t="s">
        <v>75</v>
      </c>
      <c r="F2454" t="s">
        <v>76</v>
      </c>
      <c r="G2454" t="s">
        <v>77</v>
      </c>
      <c r="H2454" t="s">
        <v>49</v>
      </c>
      <c r="I2454" s="2">
        <v>1</v>
      </c>
      <c r="J2454" s="3">
        <v>120</v>
      </c>
      <c r="K2454" s="4">
        <v>0</v>
      </c>
      <c r="L2454" s="3">
        <v>120</v>
      </c>
      <c r="M2454" t="b">
        <v>1</v>
      </c>
      <c r="N2454" s="2">
        <f>YEAR(B2454)</f>
        <v>2025</v>
      </c>
      <c r="O2454" t="str">
        <f>INDEX(Agences!$C:$C,MATCH(F2454,Agences!$A:$A,0))</f>
        <v>Île-de-France</v>
      </c>
      <c r="P2454" t="str">
        <f>INDEX(Produits!$C:$C,MATCH(H2454,Produits!$A:$A,0))</f>
        <v>Maintenance</v>
      </c>
      <c r="Q2454" s="3">
        <f>I2454*INDEX(Produits!$E:$E,MATCH(H2454,Produits!$A:$A,0))</f>
        <v>55.2</v>
      </c>
      <c r="R2454" s="3">
        <f>L2454-Q2454</f>
        <v>64.8</v>
      </c>
      <c r="S2454" s="2">
        <f>NETWORKDAYS(B2454,C2454)-1</f>
        <v>2</v>
      </c>
      <c r="T2454" s="1">
        <f>WORKDAY(B2454,5)</f>
        <v>45919</v>
      </c>
      <c r="U2454" t="b">
        <f>C2454&gt;T2454</f>
        <v>0</v>
      </c>
    </row>
    <row r="2455" spans="1:21" x14ac:dyDescent="0.25">
      <c r="A2455" t="s">
        <v>1625</v>
      </c>
      <c r="B2455" s="1">
        <v>45912</v>
      </c>
      <c r="C2455" s="1">
        <v>45918</v>
      </c>
      <c r="D2455" t="s">
        <v>60</v>
      </c>
      <c r="E2455" t="s">
        <v>61</v>
      </c>
      <c r="F2455" t="s">
        <v>62</v>
      </c>
      <c r="G2455" t="s">
        <v>68</v>
      </c>
      <c r="H2455" t="s">
        <v>90</v>
      </c>
      <c r="I2455" s="2">
        <v>5</v>
      </c>
      <c r="J2455" s="3">
        <v>22.9</v>
      </c>
      <c r="K2455" s="4">
        <v>0</v>
      </c>
      <c r="L2455" s="3">
        <v>114.5</v>
      </c>
      <c r="M2455" t="b">
        <v>1</v>
      </c>
      <c r="N2455" s="2">
        <f>YEAR(B2455)</f>
        <v>2025</v>
      </c>
      <c r="O2455" t="str">
        <f>INDEX(Agences!$C:$C,MATCH(F2455,Agences!$A:$A,0))</f>
        <v>Méditerranée</v>
      </c>
      <c r="P2455" t="str">
        <f>INDEX(Produits!$C:$C,MATCH(H2455,Produits!$A:$A,0))</f>
        <v>Fournitures</v>
      </c>
      <c r="Q2455" s="3">
        <f>I2455*INDEX(Produits!$E:$E,MATCH(H2455,Produits!$A:$A,0))</f>
        <v>64.1</v>
      </c>
      <c r="R2455" s="3">
        <f>L2455-Q2455</f>
        <v>50.400000000000006</v>
      </c>
      <c r="S2455" s="2">
        <f>NETWORKDAYS(B2455,C2455)-1</f>
        <v>4</v>
      </c>
      <c r="T2455" s="1">
        <f>WORKDAY(B2455,5)</f>
        <v>45919</v>
      </c>
      <c r="U2455" t="b">
        <f>C2455&gt;T2455</f>
        <v>0</v>
      </c>
    </row>
    <row r="2456" spans="1:21" x14ac:dyDescent="0.25">
      <c r="A2456" t="s">
        <v>1625</v>
      </c>
      <c r="B2456" s="1">
        <v>45912</v>
      </c>
      <c r="C2456" s="1">
        <v>45918</v>
      </c>
      <c r="D2456" t="s">
        <v>60</v>
      </c>
      <c r="E2456" t="s">
        <v>61</v>
      </c>
      <c r="F2456" t="s">
        <v>62</v>
      </c>
      <c r="G2456" t="s">
        <v>68</v>
      </c>
      <c r="H2456" t="s">
        <v>42</v>
      </c>
      <c r="I2456" s="2">
        <v>1</v>
      </c>
      <c r="J2456" s="3">
        <v>55</v>
      </c>
      <c r="K2456" s="4">
        <v>0</v>
      </c>
      <c r="L2456" s="3">
        <v>55</v>
      </c>
      <c r="M2456" t="b">
        <v>1</v>
      </c>
      <c r="N2456" s="2">
        <f>YEAR(B2456)</f>
        <v>2025</v>
      </c>
      <c r="O2456" t="str">
        <f>INDEX(Agences!$C:$C,MATCH(F2456,Agences!$A:$A,0))</f>
        <v>Méditerranée</v>
      </c>
      <c r="P2456" t="str">
        <f>INDEX(Produits!$C:$C,MATCH(H2456,Produits!$A:$A,0))</f>
        <v>Maintenance</v>
      </c>
      <c r="Q2456" s="3">
        <f>I2456*INDEX(Produits!$E:$E,MATCH(H2456,Produits!$A:$A,0))</f>
        <v>24.75</v>
      </c>
      <c r="R2456" s="3">
        <f>L2456-Q2456</f>
        <v>30.25</v>
      </c>
      <c r="S2456" s="2">
        <f>NETWORKDAYS(B2456,C2456)-1</f>
        <v>4</v>
      </c>
      <c r="T2456" s="1">
        <f>WORKDAY(B2456,5)</f>
        <v>45919</v>
      </c>
      <c r="U2456" t="b">
        <f>C2456&gt;T2456</f>
        <v>0</v>
      </c>
    </row>
    <row r="2457" spans="1:21" x14ac:dyDescent="0.25">
      <c r="A2457" t="s">
        <v>1626</v>
      </c>
      <c r="B2457" s="1">
        <v>45911</v>
      </c>
      <c r="C2457" s="1">
        <v>45916</v>
      </c>
      <c r="D2457" t="s">
        <v>675</v>
      </c>
      <c r="E2457" t="s">
        <v>98</v>
      </c>
      <c r="F2457" t="s">
        <v>99</v>
      </c>
      <c r="G2457" t="s">
        <v>265</v>
      </c>
      <c r="H2457" t="s">
        <v>72</v>
      </c>
      <c r="I2457" s="2">
        <v>1</v>
      </c>
      <c r="J2457" s="3">
        <v>179</v>
      </c>
      <c r="K2457" s="4">
        <v>0</v>
      </c>
      <c r="L2457" s="3">
        <v>179</v>
      </c>
      <c r="M2457" t="b">
        <v>1</v>
      </c>
      <c r="N2457" s="2">
        <f>YEAR(B2457)</f>
        <v>2025</v>
      </c>
      <c r="O2457" t="str">
        <f>INDEX(Agences!$C:$C,MATCH(F2457,Agences!$A:$A,0))</f>
        <v>Nord</v>
      </c>
      <c r="P2457" t="str">
        <f>INDEX(Produits!$C:$C,MATCH(H2457,Produits!$A:$A,0))</f>
        <v>Informatique</v>
      </c>
      <c r="Q2457" s="3">
        <f>I2457*INDEX(Produits!$E:$E,MATCH(H2457,Produits!$A:$A,0))</f>
        <v>146.78</v>
      </c>
      <c r="R2457" s="3">
        <f>L2457-Q2457</f>
        <v>32.22</v>
      </c>
      <c r="S2457" s="2">
        <f>NETWORKDAYS(B2457,C2457)-1</f>
        <v>3</v>
      </c>
      <c r="T2457" s="1">
        <f>WORKDAY(B2457,5)</f>
        <v>45918</v>
      </c>
      <c r="U2457" t="b">
        <f>C2457&gt;T2457</f>
        <v>0</v>
      </c>
    </row>
    <row r="2458" spans="1:21" x14ac:dyDescent="0.25">
      <c r="A2458" t="s">
        <v>1627</v>
      </c>
      <c r="B2458" s="1">
        <v>45911</v>
      </c>
      <c r="C2458" s="1">
        <v>45916</v>
      </c>
      <c r="D2458" t="s">
        <v>1628</v>
      </c>
      <c r="E2458" t="s">
        <v>251</v>
      </c>
      <c r="F2458" t="s">
        <v>166</v>
      </c>
      <c r="G2458" t="s">
        <v>248</v>
      </c>
      <c r="H2458" t="s">
        <v>42</v>
      </c>
      <c r="I2458" s="2">
        <v>1</v>
      </c>
      <c r="J2458" s="3">
        <v>55</v>
      </c>
      <c r="K2458" s="4">
        <v>0</v>
      </c>
      <c r="L2458" s="3">
        <v>55</v>
      </c>
      <c r="M2458" t="b">
        <v>1</v>
      </c>
      <c r="N2458" s="2">
        <f>YEAR(B2458)</f>
        <v>2025</v>
      </c>
      <c r="O2458" t="str">
        <f>INDEX(Agences!$C:$C,MATCH(F2458,Agences!$A:$A,0))</f>
        <v>Ouest</v>
      </c>
      <c r="P2458" t="str">
        <f>INDEX(Produits!$C:$C,MATCH(H2458,Produits!$A:$A,0))</f>
        <v>Maintenance</v>
      </c>
      <c r="Q2458" s="3">
        <f>I2458*INDEX(Produits!$E:$E,MATCH(H2458,Produits!$A:$A,0))</f>
        <v>24.75</v>
      </c>
      <c r="R2458" s="3">
        <f>L2458-Q2458</f>
        <v>30.25</v>
      </c>
      <c r="S2458" s="2">
        <f>NETWORKDAYS(B2458,C2458)-1</f>
        <v>3</v>
      </c>
      <c r="T2458" s="1">
        <f>WORKDAY(B2458,5)</f>
        <v>45918</v>
      </c>
      <c r="U2458" t="b">
        <f>C2458&gt;T2458</f>
        <v>0</v>
      </c>
    </row>
    <row r="2459" spans="1:21" x14ac:dyDescent="0.25">
      <c r="A2459" t="s">
        <v>1629</v>
      </c>
      <c r="B2459" s="1">
        <v>45911</v>
      </c>
      <c r="C2459" s="1">
        <v>45915</v>
      </c>
      <c r="D2459" t="s">
        <v>81</v>
      </c>
      <c r="E2459" t="s">
        <v>82</v>
      </c>
      <c r="F2459" t="s">
        <v>39</v>
      </c>
      <c r="G2459" t="s">
        <v>131</v>
      </c>
      <c r="H2459" t="s">
        <v>107</v>
      </c>
      <c r="I2459" s="2">
        <v>3</v>
      </c>
      <c r="J2459" s="3">
        <v>99</v>
      </c>
      <c r="K2459" s="4">
        <v>0.05</v>
      </c>
      <c r="L2459" s="3">
        <v>282.15</v>
      </c>
      <c r="M2459" t="b">
        <v>1</v>
      </c>
      <c r="N2459" s="2">
        <f>YEAR(B2459)</f>
        <v>2025</v>
      </c>
      <c r="O2459" t="str">
        <f>INDEX(Agences!$C:$C,MATCH(F2459,Agences!$A:$A,0))</f>
        <v>Sud-Ouest</v>
      </c>
      <c r="P2459" t="str">
        <f>INDEX(Produits!$C:$C,MATCH(H2459,Produits!$A:$A,0))</f>
        <v>Informatique</v>
      </c>
      <c r="Q2459" s="3">
        <f>I2459*INDEX(Produits!$E:$E,MATCH(H2459,Produits!$A:$A,0))</f>
        <v>225.71999999999997</v>
      </c>
      <c r="R2459" s="3">
        <f>L2459-Q2459</f>
        <v>56.43000000000001</v>
      </c>
      <c r="S2459" s="2">
        <f>NETWORKDAYS(B2459,C2459)-1</f>
        <v>2</v>
      </c>
      <c r="T2459" s="1">
        <f>WORKDAY(B2459,5)</f>
        <v>45918</v>
      </c>
      <c r="U2459" t="b">
        <f>C2459&gt;T2459</f>
        <v>0</v>
      </c>
    </row>
    <row r="2460" spans="1:21" x14ac:dyDescent="0.25">
      <c r="A2460" t="s">
        <v>1629</v>
      </c>
      <c r="B2460" s="1">
        <v>45911</v>
      </c>
      <c r="C2460" s="1">
        <v>45915</v>
      </c>
      <c r="D2460" t="s">
        <v>81</v>
      </c>
      <c r="E2460" t="s">
        <v>82</v>
      </c>
      <c r="F2460" t="s">
        <v>39</v>
      </c>
      <c r="G2460" t="s">
        <v>131</v>
      </c>
      <c r="H2460" t="s">
        <v>161</v>
      </c>
      <c r="I2460" s="2">
        <v>5</v>
      </c>
      <c r="J2460" s="3">
        <v>32</v>
      </c>
      <c r="K2460" s="4">
        <v>0</v>
      </c>
      <c r="L2460" s="3">
        <v>160</v>
      </c>
      <c r="M2460" t="b">
        <v>1</v>
      </c>
      <c r="N2460" s="2">
        <f>YEAR(B2460)</f>
        <v>2025</v>
      </c>
      <c r="O2460" t="str">
        <f>INDEX(Agences!$C:$C,MATCH(F2460,Agences!$A:$A,0))</f>
        <v>Sud-Ouest</v>
      </c>
      <c r="P2460" t="str">
        <f>INDEX(Produits!$C:$C,MATCH(H2460,Produits!$A:$A,0))</f>
        <v>Fournitures</v>
      </c>
      <c r="Q2460" s="3">
        <f>I2460*INDEX(Produits!$E:$E,MATCH(H2460,Produits!$A:$A,0))</f>
        <v>88</v>
      </c>
      <c r="R2460" s="3">
        <f>L2460-Q2460</f>
        <v>72</v>
      </c>
      <c r="S2460" s="2">
        <f>NETWORKDAYS(B2460,C2460)-1</f>
        <v>2</v>
      </c>
      <c r="T2460" s="1">
        <f>WORKDAY(B2460,5)</f>
        <v>45918</v>
      </c>
      <c r="U2460" t="b">
        <f>C2460&gt;T2460</f>
        <v>0</v>
      </c>
    </row>
    <row r="2461" spans="1:21" x14ac:dyDescent="0.25">
      <c r="A2461" t="s">
        <v>1630</v>
      </c>
      <c r="B2461" s="1">
        <v>45911</v>
      </c>
      <c r="C2461" s="1">
        <v>45917</v>
      </c>
      <c r="D2461" t="s">
        <v>446</v>
      </c>
      <c r="E2461" t="s">
        <v>191</v>
      </c>
      <c r="F2461" t="s">
        <v>62</v>
      </c>
      <c r="G2461" t="s">
        <v>68</v>
      </c>
      <c r="H2461" t="s">
        <v>42</v>
      </c>
      <c r="I2461" s="2">
        <v>3</v>
      </c>
      <c r="J2461" s="3">
        <v>55</v>
      </c>
      <c r="K2461" s="4">
        <v>0</v>
      </c>
      <c r="L2461" s="3">
        <v>165</v>
      </c>
      <c r="M2461" t="b">
        <v>1</v>
      </c>
      <c r="N2461" s="2">
        <f>YEAR(B2461)</f>
        <v>2025</v>
      </c>
      <c r="O2461" t="str">
        <f>INDEX(Agences!$C:$C,MATCH(F2461,Agences!$A:$A,0))</f>
        <v>Méditerranée</v>
      </c>
      <c r="P2461" t="str">
        <f>INDEX(Produits!$C:$C,MATCH(H2461,Produits!$A:$A,0))</f>
        <v>Maintenance</v>
      </c>
      <c r="Q2461" s="3">
        <f>I2461*INDEX(Produits!$E:$E,MATCH(H2461,Produits!$A:$A,0))</f>
        <v>74.25</v>
      </c>
      <c r="R2461" s="3">
        <f>L2461-Q2461</f>
        <v>90.75</v>
      </c>
      <c r="S2461" s="2">
        <f>NETWORKDAYS(B2461,C2461)-1</f>
        <v>4</v>
      </c>
      <c r="T2461" s="1">
        <f>WORKDAY(B2461,5)</f>
        <v>45918</v>
      </c>
      <c r="U2461" t="b">
        <f>C2461&gt;T2461</f>
        <v>0</v>
      </c>
    </row>
    <row r="2462" spans="1:21" x14ac:dyDescent="0.25">
      <c r="A2462" t="s">
        <v>1630</v>
      </c>
      <c r="B2462" s="1">
        <v>45911</v>
      </c>
      <c r="C2462" s="1">
        <v>45917</v>
      </c>
      <c r="D2462" t="s">
        <v>446</v>
      </c>
      <c r="E2462" t="s">
        <v>191</v>
      </c>
      <c r="F2462" t="s">
        <v>62</v>
      </c>
      <c r="G2462" t="s">
        <v>68</v>
      </c>
      <c r="H2462" t="s">
        <v>33</v>
      </c>
      <c r="I2462" s="2">
        <v>3</v>
      </c>
      <c r="J2462" s="3">
        <v>219</v>
      </c>
      <c r="K2462" s="4">
        <v>0.02</v>
      </c>
      <c r="L2462" s="3">
        <v>643.86</v>
      </c>
      <c r="M2462" t="b">
        <v>1</v>
      </c>
      <c r="N2462" s="2">
        <f>YEAR(B2462)</f>
        <v>2025</v>
      </c>
      <c r="O2462" t="str">
        <f>INDEX(Agences!$C:$C,MATCH(F2462,Agences!$A:$A,0))</f>
        <v>Méditerranée</v>
      </c>
      <c r="P2462" t="str">
        <f>INDEX(Produits!$C:$C,MATCH(H2462,Produits!$A:$A,0))</f>
        <v>Informatique</v>
      </c>
      <c r="Q2462" s="3">
        <f>I2462*INDEX(Produits!$E:$E,MATCH(H2462,Produits!$A:$A,0))</f>
        <v>538.74</v>
      </c>
      <c r="R2462" s="3">
        <f>L2462-Q2462</f>
        <v>105.12</v>
      </c>
      <c r="S2462" s="2">
        <f>NETWORKDAYS(B2462,C2462)-1</f>
        <v>4</v>
      </c>
      <c r="T2462" s="1">
        <f>WORKDAY(B2462,5)</f>
        <v>45918</v>
      </c>
      <c r="U2462" t="b">
        <f>C2462&gt;T2462</f>
        <v>0</v>
      </c>
    </row>
    <row r="2463" spans="1:21" x14ac:dyDescent="0.25">
      <c r="A2463" t="s">
        <v>1631</v>
      </c>
      <c r="B2463" s="1">
        <v>45911</v>
      </c>
      <c r="C2463" s="1">
        <v>45915</v>
      </c>
      <c r="D2463" t="s">
        <v>951</v>
      </c>
      <c r="E2463" t="s">
        <v>384</v>
      </c>
      <c r="F2463" t="s">
        <v>46</v>
      </c>
      <c r="G2463" t="s">
        <v>47</v>
      </c>
      <c r="H2463" t="s">
        <v>48</v>
      </c>
      <c r="I2463" s="2">
        <v>1</v>
      </c>
      <c r="J2463" s="3">
        <v>165</v>
      </c>
      <c r="K2463" s="4">
        <v>0.05</v>
      </c>
      <c r="L2463" s="3">
        <v>156.75</v>
      </c>
      <c r="M2463" t="b">
        <v>1</v>
      </c>
      <c r="N2463" s="2">
        <f>YEAR(B2463)</f>
        <v>2025</v>
      </c>
      <c r="O2463" t="str">
        <f>INDEX(Agences!$C:$C,MATCH(F2463,Agences!$A:$A,0))</f>
        <v>Est</v>
      </c>
      <c r="P2463" t="str">
        <f>INDEX(Produits!$C:$C,MATCH(H2463,Produits!$A:$A,0))</f>
        <v>Mobilier</v>
      </c>
      <c r="Q2463" s="3">
        <f>I2463*INDEX(Produits!$E:$E,MATCH(H2463,Produits!$A:$A,0))</f>
        <v>107.25</v>
      </c>
      <c r="R2463" s="3">
        <f>L2463-Q2463</f>
        <v>49.5</v>
      </c>
      <c r="S2463" s="2">
        <f>NETWORKDAYS(B2463,C2463)-1</f>
        <v>2</v>
      </c>
      <c r="T2463" s="1">
        <f>WORKDAY(B2463,5)</f>
        <v>45918</v>
      </c>
      <c r="U2463" t="b">
        <f>C2463&gt;T2463</f>
        <v>0</v>
      </c>
    </row>
    <row r="2464" spans="1:21" x14ac:dyDescent="0.25">
      <c r="A2464" t="s">
        <v>1631</v>
      </c>
      <c r="B2464" s="1">
        <v>45911</v>
      </c>
      <c r="C2464" s="1">
        <v>45915</v>
      </c>
      <c r="D2464" t="s">
        <v>951</v>
      </c>
      <c r="E2464" t="s">
        <v>384</v>
      </c>
      <c r="F2464" t="s">
        <v>46</v>
      </c>
      <c r="G2464" t="s">
        <v>47</v>
      </c>
      <c r="H2464" t="s">
        <v>123</v>
      </c>
      <c r="I2464" s="2">
        <v>5</v>
      </c>
      <c r="J2464" s="3">
        <v>39.9</v>
      </c>
      <c r="K2464" s="4">
        <v>0.05</v>
      </c>
      <c r="L2464" s="3">
        <v>189.53</v>
      </c>
      <c r="M2464" t="b">
        <v>1</v>
      </c>
      <c r="N2464" s="2">
        <f>YEAR(B2464)</f>
        <v>2025</v>
      </c>
      <c r="O2464" t="str">
        <f>INDEX(Agences!$C:$C,MATCH(F2464,Agences!$A:$A,0))</f>
        <v>Est</v>
      </c>
      <c r="P2464" t="str">
        <f>INDEX(Produits!$C:$C,MATCH(H2464,Produits!$A:$A,0))</f>
        <v>Fournitures</v>
      </c>
      <c r="Q2464" s="3">
        <f>I2464*INDEX(Produits!$E:$E,MATCH(H2464,Produits!$A:$A,0))</f>
        <v>111.7</v>
      </c>
      <c r="R2464" s="3">
        <f>L2464-Q2464</f>
        <v>77.83</v>
      </c>
      <c r="S2464" s="2">
        <f>NETWORKDAYS(B2464,C2464)-1</f>
        <v>2</v>
      </c>
      <c r="T2464" s="1">
        <f>WORKDAY(B2464,5)</f>
        <v>45918</v>
      </c>
      <c r="U2464" t="b">
        <f>C2464&gt;T2464</f>
        <v>0</v>
      </c>
    </row>
    <row r="2465" spans="1:21" x14ac:dyDescent="0.25">
      <c r="A2465" t="s">
        <v>1631</v>
      </c>
      <c r="B2465" s="1">
        <v>45911</v>
      </c>
      <c r="C2465" s="1">
        <v>45915</v>
      </c>
      <c r="D2465" t="s">
        <v>951</v>
      </c>
      <c r="E2465" t="s">
        <v>384</v>
      </c>
      <c r="F2465" t="s">
        <v>46</v>
      </c>
      <c r="G2465" t="s">
        <v>47</v>
      </c>
      <c r="H2465" t="s">
        <v>57</v>
      </c>
      <c r="I2465" s="2">
        <v>1</v>
      </c>
      <c r="J2465" s="3">
        <v>149</v>
      </c>
      <c r="K2465" s="4">
        <v>0</v>
      </c>
      <c r="L2465" s="3">
        <v>149</v>
      </c>
      <c r="M2465" t="b">
        <v>1</v>
      </c>
      <c r="N2465" s="2">
        <f>YEAR(B2465)</f>
        <v>2025</v>
      </c>
      <c r="O2465" t="str">
        <f>INDEX(Agences!$C:$C,MATCH(F2465,Agences!$A:$A,0))</f>
        <v>Est</v>
      </c>
      <c r="P2465" t="str">
        <f>INDEX(Produits!$C:$C,MATCH(H2465,Produits!$A:$A,0))</f>
        <v>Informatique</v>
      </c>
      <c r="Q2465" s="3">
        <f>I2465*INDEX(Produits!$E:$E,MATCH(H2465,Produits!$A:$A,0))</f>
        <v>114.73</v>
      </c>
      <c r="R2465" s="3">
        <f>L2465-Q2465</f>
        <v>34.269999999999996</v>
      </c>
      <c r="S2465" s="2">
        <f>NETWORKDAYS(B2465,C2465)-1</f>
        <v>2</v>
      </c>
      <c r="T2465" s="1">
        <f>WORKDAY(B2465,5)</f>
        <v>45918</v>
      </c>
      <c r="U2465" t="b">
        <f>C2465&gt;T2465</f>
        <v>0</v>
      </c>
    </row>
    <row r="2466" spans="1:21" x14ac:dyDescent="0.25">
      <c r="A2466" t="s">
        <v>1631</v>
      </c>
      <c r="B2466" s="1">
        <v>45911</v>
      </c>
      <c r="C2466" s="1">
        <v>45915</v>
      </c>
      <c r="D2466" t="s">
        <v>951</v>
      </c>
      <c r="E2466" t="s">
        <v>384</v>
      </c>
      <c r="F2466" t="s">
        <v>46</v>
      </c>
      <c r="G2466" t="s">
        <v>47</v>
      </c>
      <c r="H2466" t="s">
        <v>162</v>
      </c>
      <c r="I2466" s="2">
        <v>1</v>
      </c>
      <c r="J2466" s="3">
        <v>289</v>
      </c>
      <c r="K2466" s="4">
        <v>0</v>
      </c>
      <c r="L2466" s="3">
        <v>289</v>
      </c>
      <c r="M2466" t="b">
        <v>1</v>
      </c>
      <c r="N2466" s="2">
        <f>YEAR(B2466)</f>
        <v>2025</v>
      </c>
      <c r="O2466" t="str">
        <f>INDEX(Agences!$C:$C,MATCH(F2466,Agences!$A:$A,0))</f>
        <v>Est</v>
      </c>
      <c r="P2466" t="str">
        <f>INDEX(Produits!$C:$C,MATCH(H2466,Produits!$A:$A,0))</f>
        <v>Mobilier</v>
      </c>
      <c r="Q2466" s="3">
        <f>I2466*INDEX(Produits!$E:$E,MATCH(H2466,Produits!$A:$A,0))</f>
        <v>193.63</v>
      </c>
      <c r="R2466" s="3">
        <f>L2466-Q2466</f>
        <v>95.37</v>
      </c>
      <c r="S2466" s="2">
        <f>NETWORKDAYS(B2466,C2466)-1</f>
        <v>2</v>
      </c>
      <c r="T2466" s="1">
        <f>WORKDAY(B2466,5)</f>
        <v>45918</v>
      </c>
      <c r="U2466" t="b">
        <f>C2466&gt;T2466</f>
        <v>0</v>
      </c>
    </row>
    <row r="2467" spans="1:21" x14ac:dyDescent="0.25">
      <c r="A2467" t="s">
        <v>1632</v>
      </c>
      <c r="B2467" s="1">
        <v>45910</v>
      </c>
      <c r="C2467" s="1">
        <v>45915</v>
      </c>
      <c r="D2467" t="s">
        <v>330</v>
      </c>
      <c r="E2467" t="s">
        <v>23</v>
      </c>
      <c r="F2467" t="s">
        <v>24</v>
      </c>
      <c r="G2467" t="s">
        <v>199</v>
      </c>
      <c r="H2467" t="s">
        <v>107</v>
      </c>
      <c r="I2467" s="2">
        <v>4</v>
      </c>
      <c r="J2467" s="3">
        <v>99</v>
      </c>
      <c r="K2467" s="4">
        <v>0.05</v>
      </c>
      <c r="L2467" s="3">
        <v>376.2</v>
      </c>
      <c r="M2467" t="b">
        <v>1</v>
      </c>
      <c r="N2467" s="2">
        <f>YEAR(B2467)</f>
        <v>2025</v>
      </c>
      <c r="O2467" t="str">
        <f>INDEX(Agences!$C:$C,MATCH(F2467,Agences!$A:$A,0))</f>
        <v>Nord</v>
      </c>
      <c r="P2467" t="str">
        <f>INDEX(Produits!$C:$C,MATCH(H2467,Produits!$A:$A,0))</f>
        <v>Informatique</v>
      </c>
      <c r="Q2467" s="3">
        <f>I2467*INDEX(Produits!$E:$E,MATCH(H2467,Produits!$A:$A,0))</f>
        <v>300.96</v>
      </c>
      <c r="R2467" s="3">
        <f>L2467-Q2467</f>
        <v>75.24000000000001</v>
      </c>
      <c r="S2467" s="2">
        <f>NETWORKDAYS(B2467,C2467)-1</f>
        <v>3</v>
      </c>
      <c r="T2467" s="1">
        <f>WORKDAY(B2467,5)</f>
        <v>45917</v>
      </c>
      <c r="U2467" t="b">
        <f>C2467&gt;T2467</f>
        <v>0</v>
      </c>
    </row>
    <row r="2468" spans="1:21" x14ac:dyDescent="0.25">
      <c r="A2468" t="s">
        <v>1632</v>
      </c>
      <c r="B2468" s="1">
        <v>45910</v>
      </c>
      <c r="C2468" s="1">
        <v>45915</v>
      </c>
      <c r="D2468" t="s">
        <v>330</v>
      </c>
      <c r="E2468" t="s">
        <v>23</v>
      </c>
      <c r="F2468" t="s">
        <v>24</v>
      </c>
      <c r="G2468" t="s">
        <v>199</v>
      </c>
      <c r="H2468" t="s">
        <v>161</v>
      </c>
      <c r="I2468" s="2">
        <v>10</v>
      </c>
      <c r="J2468" s="3">
        <v>32</v>
      </c>
      <c r="K2468" s="4">
        <v>0.05</v>
      </c>
      <c r="L2468" s="3">
        <v>304</v>
      </c>
      <c r="M2468" t="b">
        <v>1</v>
      </c>
      <c r="N2468" s="2">
        <f>YEAR(B2468)</f>
        <v>2025</v>
      </c>
      <c r="O2468" t="str">
        <f>INDEX(Agences!$C:$C,MATCH(F2468,Agences!$A:$A,0))</f>
        <v>Nord</v>
      </c>
      <c r="P2468" t="str">
        <f>INDEX(Produits!$C:$C,MATCH(H2468,Produits!$A:$A,0))</f>
        <v>Fournitures</v>
      </c>
      <c r="Q2468" s="3">
        <f>I2468*INDEX(Produits!$E:$E,MATCH(H2468,Produits!$A:$A,0))</f>
        <v>176</v>
      </c>
      <c r="R2468" s="3">
        <f>L2468-Q2468</f>
        <v>128</v>
      </c>
      <c r="S2468" s="2">
        <f>NETWORKDAYS(B2468,C2468)-1</f>
        <v>3</v>
      </c>
      <c r="T2468" s="1">
        <f>WORKDAY(B2468,5)</f>
        <v>45917</v>
      </c>
      <c r="U2468" t="b">
        <f>C2468&gt;T2468</f>
        <v>0</v>
      </c>
    </row>
    <row r="2469" spans="1:21" x14ac:dyDescent="0.25">
      <c r="A2469" t="s">
        <v>1632</v>
      </c>
      <c r="B2469" s="1">
        <v>45910</v>
      </c>
      <c r="C2469" s="1">
        <v>45915</v>
      </c>
      <c r="D2469" t="s">
        <v>330</v>
      </c>
      <c r="E2469" t="s">
        <v>23</v>
      </c>
      <c r="F2469" t="s">
        <v>24</v>
      </c>
      <c r="G2469" t="s">
        <v>199</v>
      </c>
      <c r="H2469" t="s">
        <v>112</v>
      </c>
      <c r="I2469" s="2">
        <v>2</v>
      </c>
      <c r="J2469" s="3">
        <v>129</v>
      </c>
      <c r="K2469" s="4">
        <v>0.1</v>
      </c>
      <c r="L2469" s="3">
        <v>232.2</v>
      </c>
      <c r="M2469" t="b">
        <v>1</v>
      </c>
      <c r="N2469" s="2">
        <f>YEAR(B2469)</f>
        <v>2025</v>
      </c>
      <c r="O2469" t="str">
        <f>INDEX(Agences!$C:$C,MATCH(F2469,Agences!$A:$A,0))</f>
        <v>Nord</v>
      </c>
      <c r="P2469" t="str">
        <f>INDEX(Produits!$C:$C,MATCH(H2469,Produits!$A:$A,0))</f>
        <v>Mobilier</v>
      </c>
      <c r="Q2469" s="3">
        <f>I2469*INDEX(Produits!$E:$E,MATCH(H2469,Produits!$A:$A,0))</f>
        <v>172.86</v>
      </c>
      <c r="R2469" s="3">
        <f>L2469-Q2469</f>
        <v>59.339999999999975</v>
      </c>
      <c r="S2469" s="2">
        <f>NETWORKDAYS(B2469,C2469)-1</f>
        <v>3</v>
      </c>
      <c r="T2469" s="1">
        <f>WORKDAY(B2469,5)</f>
        <v>45917</v>
      </c>
      <c r="U2469" t="b">
        <f>C2469&gt;T2469</f>
        <v>0</v>
      </c>
    </row>
    <row r="2470" spans="1:21" x14ac:dyDescent="0.25">
      <c r="A2470" t="s">
        <v>1632</v>
      </c>
      <c r="B2470" s="1">
        <v>45910</v>
      </c>
      <c r="C2470" s="1">
        <v>45915</v>
      </c>
      <c r="D2470" t="s">
        <v>330</v>
      </c>
      <c r="E2470" t="s">
        <v>23</v>
      </c>
      <c r="F2470" t="s">
        <v>24</v>
      </c>
      <c r="G2470" t="s">
        <v>199</v>
      </c>
      <c r="H2470" t="s">
        <v>34</v>
      </c>
      <c r="I2470" s="2">
        <v>4</v>
      </c>
      <c r="J2470" s="3">
        <v>340</v>
      </c>
      <c r="K2470" s="4">
        <v>0.05</v>
      </c>
      <c r="L2470" s="3">
        <v>1292</v>
      </c>
      <c r="M2470" t="b">
        <v>1</v>
      </c>
      <c r="N2470" s="2">
        <f>YEAR(B2470)</f>
        <v>2025</v>
      </c>
      <c r="O2470" t="str">
        <f>INDEX(Agences!$C:$C,MATCH(F2470,Agences!$A:$A,0))</f>
        <v>Nord</v>
      </c>
      <c r="P2470" t="str">
        <f>INDEX(Produits!$C:$C,MATCH(H2470,Produits!$A:$A,0))</f>
        <v>Informatique</v>
      </c>
      <c r="Q2470" s="3">
        <f>I2470*INDEX(Produits!$E:$E,MATCH(H2470,Produits!$A:$A,0))</f>
        <v>1101.6</v>
      </c>
      <c r="R2470" s="3">
        <f>L2470-Q2470</f>
        <v>190.4000000000001</v>
      </c>
      <c r="S2470" s="2">
        <f>NETWORKDAYS(B2470,C2470)-1</f>
        <v>3</v>
      </c>
      <c r="T2470" s="1">
        <f>WORKDAY(B2470,5)</f>
        <v>45917</v>
      </c>
      <c r="U2470" t="b">
        <f>C2470&gt;T2470</f>
        <v>0</v>
      </c>
    </row>
    <row r="2471" spans="1:21" x14ac:dyDescent="0.25">
      <c r="A2471" t="s">
        <v>1632</v>
      </c>
      <c r="B2471" s="1">
        <v>45910</v>
      </c>
      <c r="C2471" s="1">
        <v>45915</v>
      </c>
      <c r="D2471" t="s">
        <v>330</v>
      </c>
      <c r="E2471" t="s">
        <v>23</v>
      </c>
      <c r="F2471" t="s">
        <v>24</v>
      </c>
      <c r="G2471" t="s">
        <v>199</v>
      </c>
      <c r="H2471" t="s">
        <v>27</v>
      </c>
      <c r="I2471" s="2">
        <v>6</v>
      </c>
      <c r="J2471" s="3">
        <v>310</v>
      </c>
      <c r="K2471" s="4">
        <v>0</v>
      </c>
      <c r="L2471" s="3">
        <v>1860</v>
      </c>
      <c r="M2471" t="b">
        <v>1</v>
      </c>
      <c r="N2471" s="2">
        <f>YEAR(B2471)</f>
        <v>2025</v>
      </c>
      <c r="O2471" t="str">
        <f>INDEX(Agences!$C:$C,MATCH(F2471,Agences!$A:$A,0))</f>
        <v>Nord</v>
      </c>
      <c r="P2471" t="str">
        <f>INDEX(Produits!$C:$C,MATCH(H2471,Produits!$A:$A,0))</f>
        <v>Mobilier</v>
      </c>
      <c r="Q2471" s="3">
        <f>I2471*INDEX(Produits!$E:$E,MATCH(H2471,Produits!$A:$A,0))</f>
        <v>1116</v>
      </c>
      <c r="R2471" s="3">
        <f>L2471-Q2471</f>
        <v>744</v>
      </c>
      <c r="S2471" s="2">
        <f>NETWORKDAYS(B2471,C2471)-1</f>
        <v>3</v>
      </c>
      <c r="T2471" s="1">
        <f>WORKDAY(B2471,5)</f>
        <v>45917</v>
      </c>
      <c r="U2471" t="b">
        <f>C2471&gt;T2471</f>
        <v>0</v>
      </c>
    </row>
    <row r="2472" spans="1:21" x14ac:dyDescent="0.25">
      <c r="A2472" t="s">
        <v>1633</v>
      </c>
      <c r="B2472" s="1">
        <v>45910</v>
      </c>
      <c r="C2472" s="1">
        <v>45916</v>
      </c>
      <c r="D2472" t="s">
        <v>442</v>
      </c>
      <c r="E2472" t="s">
        <v>251</v>
      </c>
      <c r="F2472" t="s">
        <v>166</v>
      </c>
      <c r="G2472" t="s">
        <v>167</v>
      </c>
      <c r="H2472" t="s">
        <v>108</v>
      </c>
      <c r="I2472" s="2">
        <v>5</v>
      </c>
      <c r="J2472" s="3">
        <v>24.5</v>
      </c>
      <c r="K2472" s="4">
        <v>0.05</v>
      </c>
      <c r="L2472" s="3">
        <v>116.38</v>
      </c>
      <c r="M2472" t="b">
        <v>1</v>
      </c>
      <c r="N2472" s="2">
        <f>YEAR(B2472)</f>
        <v>2025</v>
      </c>
      <c r="O2472" t="str">
        <f>INDEX(Agences!$C:$C,MATCH(F2472,Agences!$A:$A,0))</f>
        <v>Ouest</v>
      </c>
      <c r="P2472" t="str">
        <f>INDEX(Produits!$C:$C,MATCH(H2472,Produits!$A:$A,0))</f>
        <v>Fournitures</v>
      </c>
      <c r="Q2472" s="3">
        <f>I2472*INDEX(Produits!$E:$E,MATCH(H2472,Produits!$A:$A,0))</f>
        <v>73.5</v>
      </c>
      <c r="R2472" s="3">
        <f>L2472-Q2472</f>
        <v>42.879999999999995</v>
      </c>
      <c r="S2472" s="2">
        <f>NETWORKDAYS(B2472,C2472)-1</f>
        <v>4</v>
      </c>
      <c r="T2472" s="1">
        <f>WORKDAY(B2472,5)</f>
        <v>45917</v>
      </c>
      <c r="U2472" t="b">
        <f>C2472&gt;T2472</f>
        <v>0</v>
      </c>
    </row>
    <row r="2473" spans="1:21" x14ac:dyDescent="0.25">
      <c r="A2473" t="s">
        <v>1633</v>
      </c>
      <c r="B2473" s="1">
        <v>45910</v>
      </c>
      <c r="C2473" s="1">
        <v>45916</v>
      </c>
      <c r="D2473" t="s">
        <v>442</v>
      </c>
      <c r="E2473" t="s">
        <v>251</v>
      </c>
      <c r="F2473" t="s">
        <v>166</v>
      </c>
      <c r="G2473" t="s">
        <v>167</v>
      </c>
      <c r="H2473" t="s">
        <v>42</v>
      </c>
      <c r="I2473" s="2">
        <v>2</v>
      </c>
      <c r="J2473" s="3">
        <v>55</v>
      </c>
      <c r="K2473" s="4">
        <v>0</v>
      </c>
      <c r="L2473" s="3">
        <v>110</v>
      </c>
      <c r="M2473" t="b">
        <v>1</v>
      </c>
      <c r="N2473" s="2">
        <f>YEAR(B2473)</f>
        <v>2025</v>
      </c>
      <c r="O2473" t="str">
        <f>INDEX(Agences!$C:$C,MATCH(F2473,Agences!$A:$A,0))</f>
        <v>Ouest</v>
      </c>
      <c r="P2473" t="str">
        <f>INDEX(Produits!$C:$C,MATCH(H2473,Produits!$A:$A,0))</f>
        <v>Maintenance</v>
      </c>
      <c r="Q2473" s="3">
        <f>I2473*INDEX(Produits!$E:$E,MATCH(H2473,Produits!$A:$A,0))</f>
        <v>49.5</v>
      </c>
      <c r="R2473" s="3">
        <f>L2473-Q2473</f>
        <v>60.5</v>
      </c>
      <c r="S2473" s="2">
        <f>NETWORKDAYS(B2473,C2473)-1</f>
        <v>4</v>
      </c>
      <c r="T2473" s="1">
        <f>WORKDAY(B2473,5)</f>
        <v>45917</v>
      </c>
      <c r="U2473" t="b">
        <f>C2473&gt;T2473</f>
        <v>0</v>
      </c>
    </row>
    <row r="2474" spans="1:21" x14ac:dyDescent="0.25">
      <c r="A2474" t="s">
        <v>1633</v>
      </c>
      <c r="B2474" s="1">
        <v>45910</v>
      </c>
      <c r="C2474" s="1">
        <v>45916</v>
      </c>
      <c r="D2474" t="s">
        <v>442</v>
      </c>
      <c r="E2474" t="s">
        <v>251</v>
      </c>
      <c r="F2474" t="s">
        <v>166</v>
      </c>
      <c r="G2474" t="s">
        <v>167</v>
      </c>
      <c r="H2474" t="s">
        <v>72</v>
      </c>
      <c r="I2474" s="2">
        <v>5</v>
      </c>
      <c r="J2474" s="3">
        <v>179</v>
      </c>
      <c r="K2474" s="4">
        <v>0</v>
      </c>
      <c r="L2474" s="3">
        <v>895</v>
      </c>
      <c r="M2474" t="b">
        <v>1</v>
      </c>
      <c r="N2474" s="2">
        <f>YEAR(B2474)</f>
        <v>2025</v>
      </c>
      <c r="O2474" t="str">
        <f>INDEX(Agences!$C:$C,MATCH(F2474,Agences!$A:$A,0))</f>
        <v>Ouest</v>
      </c>
      <c r="P2474" t="str">
        <f>INDEX(Produits!$C:$C,MATCH(H2474,Produits!$A:$A,0))</f>
        <v>Informatique</v>
      </c>
      <c r="Q2474" s="3">
        <f>I2474*INDEX(Produits!$E:$E,MATCH(H2474,Produits!$A:$A,0))</f>
        <v>733.9</v>
      </c>
      <c r="R2474" s="3">
        <f>L2474-Q2474</f>
        <v>161.10000000000002</v>
      </c>
      <c r="S2474" s="2">
        <f>NETWORKDAYS(B2474,C2474)-1</f>
        <v>4</v>
      </c>
      <c r="T2474" s="1">
        <f>WORKDAY(B2474,5)</f>
        <v>45917</v>
      </c>
      <c r="U2474" t="b">
        <f>C2474&gt;T2474</f>
        <v>0</v>
      </c>
    </row>
    <row r="2475" spans="1:21" x14ac:dyDescent="0.25">
      <c r="A2475" t="s">
        <v>1634</v>
      </c>
      <c r="B2475" s="1">
        <v>45909</v>
      </c>
      <c r="C2475" s="1">
        <v>45910</v>
      </c>
      <c r="D2475" t="s">
        <v>1635</v>
      </c>
      <c r="E2475" t="s">
        <v>172</v>
      </c>
      <c r="F2475" t="s">
        <v>99</v>
      </c>
      <c r="G2475" t="s">
        <v>100</v>
      </c>
      <c r="H2475" t="s">
        <v>72</v>
      </c>
      <c r="I2475" s="2">
        <v>3</v>
      </c>
      <c r="J2475" s="3">
        <v>179</v>
      </c>
      <c r="K2475" s="4">
        <v>0.05</v>
      </c>
      <c r="L2475" s="3">
        <v>510.15</v>
      </c>
      <c r="M2475" t="b">
        <v>1</v>
      </c>
      <c r="N2475" s="2">
        <f>YEAR(B2475)</f>
        <v>2025</v>
      </c>
      <c r="O2475" t="str">
        <f>INDEX(Agences!$C:$C,MATCH(F2475,Agences!$A:$A,0))</f>
        <v>Nord</v>
      </c>
      <c r="P2475" t="str">
        <f>INDEX(Produits!$C:$C,MATCH(H2475,Produits!$A:$A,0))</f>
        <v>Informatique</v>
      </c>
      <c r="Q2475" s="3">
        <f>I2475*INDEX(Produits!$E:$E,MATCH(H2475,Produits!$A:$A,0))</f>
        <v>440.34000000000003</v>
      </c>
      <c r="R2475" s="3">
        <f>L2475-Q2475</f>
        <v>69.80999999999995</v>
      </c>
      <c r="S2475" s="2">
        <f>NETWORKDAYS(B2475,C2475)-1</f>
        <v>1</v>
      </c>
      <c r="T2475" s="1">
        <f>WORKDAY(B2475,5)</f>
        <v>45916</v>
      </c>
      <c r="U2475" t="b">
        <f>C2475&gt;T2475</f>
        <v>0</v>
      </c>
    </row>
    <row r="2476" spans="1:21" x14ac:dyDescent="0.25">
      <c r="A2476" t="s">
        <v>1634</v>
      </c>
      <c r="B2476" s="1">
        <v>45909</v>
      </c>
      <c r="C2476" s="1">
        <v>45910</v>
      </c>
      <c r="D2476" t="s">
        <v>1635</v>
      </c>
      <c r="E2476" t="s">
        <v>172</v>
      </c>
      <c r="F2476" t="s">
        <v>99</v>
      </c>
      <c r="G2476" t="s">
        <v>100</v>
      </c>
      <c r="H2476" t="s">
        <v>50</v>
      </c>
      <c r="I2476" s="2">
        <v>2</v>
      </c>
      <c r="J2476" s="3">
        <v>69</v>
      </c>
      <c r="K2476" s="4">
        <v>0</v>
      </c>
      <c r="L2476" s="3">
        <v>138</v>
      </c>
      <c r="M2476" t="b">
        <v>1</v>
      </c>
      <c r="N2476" s="2">
        <f>YEAR(B2476)</f>
        <v>2025</v>
      </c>
      <c r="O2476" t="str">
        <f>INDEX(Agences!$C:$C,MATCH(F2476,Agences!$A:$A,0))</f>
        <v>Nord</v>
      </c>
      <c r="P2476" t="str">
        <f>INDEX(Produits!$C:$C,MATCH(H2476,Produits!$A:$A,0))</f>
        <v>Informatique</v>
      </c>
      <c r="Q2476" s="3">
        <f>I2476*INDEX(Produits!$E:$E,MATCH(H2476,Produits!$A:$A,0))</f>
        <v>109.02</v>
      </c>
      <c r="R2476" s="3">
        <f>L2476-Q2476</f>
        <v>28.980000000000004</v>
      </c>
      <c r="S2476" s="2">
        <f>NETWORKDAYS(B2476,C2476)-1</f>
        <v>1</v>
      </c>
      <c r="T2476" s="1">
        <f>WORKDAY(B2476,5)</f>
        <v>45916</v>
      </c>
      <c r="U2476" t="b">
        <f>C2476&gt;T2476</f>
        <v>0</v>
      </c>
    </row>
    <row r="2477" spans="1:21" x14ac:dyDescent="0.25">
      <c r="A2477" t="s">
        <v>1636</v>
      </c>
      <c r="B2477" s="1">
        <v>45909</v>
      </c>
      <c r="C2477" s="1">
        <v>45912</v>
      </c>
      <c r="D2477" t="s">
        <v>678</v>
      </c>
      <c r="E2477" t="s">
        <v>137</v>
      </c>
      <c r="F2477" t="s">
        <v>138</v>
      </c>
      <c r="G2477" t="s">
        <v>214</v>
      </c>
      <c r="H2477" t="s">
        <v>42</v>
      </c>
      <c r="I2477" s="2">
        <v>2</v>
      </c>
      <c r="J2477" s="3">
        <v>55</v>
      </c>
      <c r="K2477" s="4">
        <v>0</v>
      </c>
      <c r="L2477" s="3">
        <v>110</v>
      </c>
      <c r="M2477" t="b">
        <v>1</v>
      </c>
      <c r="N2477" s="2">
        <f>YEAR(B2477)</f>
        <v>2025</v>
      </c>
      <c r="O2477" t="str">
        <f>INDEX(Agences!$C:$C,MATCH(F2477,Agences!$A:$A,0))</f>
        <v>Île-de-France</v>
      </c>
      <c r="P2477" t="str">
        <f>INDEX(Produits!$C:$C,MATCH(H2477,Produits!$A:$A,0))</f>
        <v>Maintenance</v>
      </c>
      <c r="Q2477" s="3">
        <f>I2477*INDEX(Produits!$E:$E,MATCH(H2477,Produits!$A:$A,0))</f>
        <v>49.5</v>
      </c>
      <c r="R2477" s="3">
        <f>L2477-Q2477</f>
        <v>60.5</v>
      </c>
      <c r="S2477" s="2">
        <f>NETWORKDAYS(B2477,C2477)-1</f>
        <v>3</v>
      </c>
      <c r="T2477" s="1">
        <f>WORKDAY(B2477,5)</f>
        <v>45916</v>
      </c>
      <c r="U2477" t="b">
        <f>C2477&gt;T2477</f>
        <v>0</v>
      </c>
    </row>
    <row r="2478" spans="1:21" x14ac:dyDescent="0.25">
      <c r="A2478" t="s">
        <v>1636</v>
      </c>
      <c r="B2478" s="1">
        <v>45909</v>
      </c>
      <c r="C2478" s="1">
        <v>45912</v>
      </c>
      <c r="D2478" t="s">
        <v>678</v>
      </c>
      <c r="E2478" t="s">
        <v>137</v>
      </c>
      <c r="F2478" t="s">
        <v>138</v>
      </c>
      <c r="G2478" t="s">
        <v>214</v>
      </c>
      <c r="H2478" t="s">
        <v>50</v>
      </c>
      <c r="I2478" s="2">
        <v>5</v>
      </c>
      <c r="J2478" s="3">
        <v>69</v>
      </c>
      <c r="K2478" s="4">
        <v>0.02</v>
      </c>
      <c r="L2478" s="3">
        <v>338.1</v>
      </c>
      <c r="M2478" t="b">
        <v>1</v>
      </c>
      <c r="N2478" s="2">
        <f>YEAR(B2478)</f>
        <v>2025</v>
      </c>
      <c r="O2478" t="str">
        <f>INDEX(Agences!$C:$C,MATCH(F2478,Agences!$A:$A,0))</f>
        <v>Île-de-France</v>
      </c>
      <c r="P2478" t="str">
        <f>INDEX(Produits!$C:$C,MATCH(H2478,Produits!$A:$A,0))</f>
        <v>Informatique</v>
      </c>
      <c r="Q2478" s="3">
        <f>I2478*INDEX(Produits!$E:$E,MATCH(H2478,Produits!$A:$A,0))</f>
        <v>272.55</v>
      </c>
      <c r="R2478" s="3">
        <f>L2478-Q2478</f>
        <v>65.55000000000001</v>
      </c>
      <c r="S2478" s="2">
        <f>NETWORKDAYS(B2478,C2478)-1</f>
        <v>3</v>
      </c>
      <c r="T2478" s="1">
        <f>WORKDAY(B2478,5)</f>
        <v>45916</v>
      </c>
      <c r="U2478" t="b">
        <f>C2478&gt;T2478</f>
        <v>0</v>
      </c>
    </row>
    <row r="2479" spans="1:21" x14ac:dyDescent="0.25">
      <c r="A2479" t="s">
        <v>1636</v>
      </c>
      <c r="B2479" s="1">
        <v>45909</v>
      </c>
      <c r="C2479" s="1">
        <v>45912</v>
      </c>
      <c r="D2479" t="s">
        <v>678</v>
      </c>
      <c r="E2479" t="s">
        <v>137</v>
      </c>
      <c r="F2479" t="s">
        <v>138</v>
      </c>
      <c r="G2479" t="s">
        <v>214</v>
      </c>
      <c r="H2479" t="s">
        <v>83</v>
      </c>
      <c r="I2479" s="2">
        <v>1</v>
      </c>
      <c r="J2479" s="3">
        <v>49</v>
      </c>
      <c r="K2479" s="4">
        <v>0.05</v>
      </c>
      <c r="L2479" s="3">
        <v>46.55</v>
      </c>
      <c r="M2479" t="b">
        <v>1</v>
      </c>
      <c r="N2479" s="2">
        <f>YEAR(B2479)</f>
        <v>2025</v>
      </c>
      <c r="O2479" t="str">
        <f>INDEX(Agences!$C:$C,MATCH(F2479,Agences!$A:$A,0))</f>
        <v>Île-de-France</v>
      </c>
      <c r="P2479" t="str">
        <f>INDEX(Produits!$C:$C,MATCH(H2479,Produits!$A:$A,0))</f>
        <v>Mobilier</v>
      </c>
      <c r="Q2479" s="3">
        <f>I2479*INDEX(Produits!$E:$E,MATCH(H2479,Produits!$A:$A,0))</f>
        <v>28.42</v>
      </c>
      <c r="R2479" s="3">
        <f>L2479-Q2479</f>
        <v>18.129999999999995</v>
      </c>
      <c r="S2479" s="2">
        <f>NETWORKDAYS(B2479,C2479)-1</f>
        <v>3</v>
      </c>
      <c r="T2479" s="1">
        <f>WORKDAY(B2479,5)</f>
        <v>45916</v>
      </c>
      <c r="U2479" t="b">
        <f>C2479&gt;T2479</f>
        <v>0</v>
      </c>
    </row>
    <row r="2480" spans="1:21" x14ac:dyDescent="0.25">
      <c r="A2480" t="s">
        <v>1636</v>
      </c>
      <c r="B2480" s="1">
        <v>45909</v>
      </c>
      <c r="C2480" s="1">
        <v>45912</v>
      </c>
      <c r="D2480" t="s">
        <v>678</v>
      </c>
      <c r="E2480" t="s">
        <v>137</v>
      </c>
      <c r="F2480" t="s">
        <v>138</v>
      </c>
      <c r="G2480" t="s">
        <v>214</v>
      </c>
      <c r="H2480" t="s">
        <v>49</v>
      </c>
      <c r="I2480" s="2">
        <v>3</v>
      </c>
      <c r="J2480" s="3">
        <v>120</v>
      </c>
      <c r="K2480" s="4">
        <v>0.08</v>
      </c>
      <c r="L2480" s="3">
        <v>331.2</v>
      </c>
      <c r="M2480" t="b">
        <v>1</v>
      </c>
      <c r="N2480" s="2">
        <f>YEAR(B2480)</f>
        <v>2025</v>
      </c>
      <c r="O2480" t="str">
        <f>INDEX(Agences!$C:$C,MATCH(F2480,Agences!$A:$A,0))</f>
        <v>Île-de-France</v>
      </c>
      <c r="P2480" t="str">
        <f>INDEX(Produits!$C:$C,MATCH(H2480,Produits!$A:$A,0))</f>
        <v>Maintenance</v>
      </c>
      <c r="Q2480" s="3">
        <f>I2480*INDEX(Produits!$E:$E,MATCH(H2480,Produits!$A:$A,0))</f>
        <v>165.60000000000002</v>
      </c>
      <c r="R2480" s="3">
        <f>L2480-Q2480</f>
        <v>165.59999999999997</v>
      </c>
      <c r="S2480" s="2">
        <f>NETWORKDAYS(B2480,C2480)-1</f>
        <v>3</v>
      </c>
      <c r="T2480" s="1">
        <f>WORKDAY(B2480,5)</f>
        <v>45916</v>
      </c>
      <c r="U2480" t="b">
        <f>C2480&gt;T2480</f>
        <v>0</v>
      </c>
    </row>
    <row r="2481" spans="1:21" x14ac:dyDescent="0.25">
      <c r="A2481" t="s">
        <v>1637</v>
      </c>
      <c r="B2481" s="1">
        <v>45909</v>
      </c>
      <c r="C2481" s="1">
        <v>45912</v>
      </c>
      <c r="D2481" t="s">
        <v>913</v>
      </c>
      <c r="E2481" t="s">
        <v>339</v>
      </c>
      <c r="F2481" t="s">
        <v>31</v>
      </c>
      <c r="G2481" t="s">
        <v>375</v>
      </c>
      <c r="H2481" t="s">
        <v>161</v>
      </c>
      <c r="I2481" s="2">
        <v>10</v>
      </c>
      <c r="J2481" s="3">
        <v>32</v>
      </c>
      <c r="K2481" s="4">
        <v>0</v>
      </c>
      <c r="L2481" s="3">
        <v>320</v>
      </c>
      <c r="M2481" t="b">
        <v>1</v>
      </c>
      <c r="N2481" s="2">
        <f>YEAR(B2481)</f>
        <v>2025</v>
      </c>
      <c r="O2481" t="str">
        <f>INDEX(Agences!$C:$C,MATCH(F2481,Agences!$A:$A,0))</f>
        <v>Ouest</v>
      </c>
      <c r="P2481" t="str">
        <f>INDEX(Produits!$C:$C,MATCH(H2481,Produits!$A:$A,0))</f>
        <v>Fournitures</v>
      </c>
      <c r="Q2481" s="3">
        <f>I2481*INDEX(Produits!$E:$E,MATCH(H2481,Produits!$A:$A,0))</f>
        <v>176</v>
      </c>
      <c r="R2481" s="3">
        <f>L2481-Q2481</f>
        <v>144</v>
      </c>
      <c r="S2481" s="2">
        <f>NETWORKDAYS(B2481,C2481)-1</f>
        <v>3</v>
      </c>
      <c r="T2481" s="1">
        <f>WORKDAY(B2481,5)</f>
        <v>45916</v>
      </c>
      <c r="U2481" t="b">
        <f>C2481&gt;T2481</f>
        <v>0</v>
      </c>
    </row>
    <row r="2482" spans="1:21" x14ac:dyDescent="0.25">
      <c r="A2482" t="s">
        <v>1637</v>
      </c>
      <c r="B2482" s="1">
        <v>45909</v>
      </c>
      <c r="C2482" s="1">
        <v>45912</v>
      </c>
      <c r="D2482" t="s">
        <v>913</v>
      </c>
      <c r="E2482" t="s">
        <v>339</v>
      </c>
      <c r="F2482" t="s">
        <v>31</v>
      </c>
      <c r="G2482" t="s">
        <v>375</v>
      </c>
      <c r="H2482" t="s">
        <v>79</v>
      </c>
      <c r="I2482" s="2">
        <v>5</v>
      </c>
      <c r="J2482" s="3">
        <v>14.9</v>
      </c>
      <c r="K2482" s="4">
        <v>0.02</v>
      </c>
      <c r="L2482" s="3">
        <v>73.01</v>
      </c>
      <c r="M2482" t="b">
        <v>1</v>
      </c>
      <c r="N2482" s="2">
        <f>YEAR(B2482)</f>
        <v>2025</v>
      </c>
      <c r="O2482" t="str">
        <f>INDEX(Agences!$C:$C,MATCH(F2482,Agences!$A:$A,0))</f>
        <v>Ouest</v>
      </c>
      <c r="P2482" t="str">
        <f>INDEX(Produits!$C:$C,MATCH(H2482,Produits!$A:$A,0))</f>
        <v>Fournitures</v>
      </c>
      <c r="Q2482" s="3">
        <f>I2482*INDEX(Produits!$E:$E,MATCH(H2482,Produits!$A:$A,0))</f>
        <v>40.25</v>
      </c>
      <c r="R2482" s="3">
        <f>L2482-Q2482</f>
        <v>32.760000000000005</v>
      </c>
      <c r="S2482" s="2">
        <f>NETWORKDAYS(B2482,C2482)-1</f>
        <v>3</v>
      </c>
      <c r="T2482" s="1">
        <f>WORKDAY(B2482,5)</f>
        <v>45916</v>
      </c>
      <c r="U2482" t="b">
        <f>C2482&gt;T2482</f>
        <v>0</v>
      </c>
    </row>
    <row r="2483" spans="1:21" x14ac:dyDescent="0.25">
      <c r="A2483" t="s">
        <v>1638</v>
      </c>
      <c r="B2483" s="1">
        <v>45909</v>
      </c>
      <c r="C2483" s="1">
        <v>45910</v>
      </c>
      <c r="D2483" t="s">
        <v>1356</v>
      </c>
      <c r="E2483" t="s">
        <v>67</v>
      </c>
      <c r="F2483" t="s">
        <v>62</v>
      </c>
      <c r="G2483" t="s">
        <v>68</v>
      </c>
      <c r="H2483" t="s">
        <v>103</v>
      </c>
      <c r="I2483" s="2">
        <v>1</v>
      </c>
      <c r="J2483" s="3">
        <v>245</v>
      </c>
      <c r="K2483" s="4">
        <v>0.02</v>
      </c>
      <c r="L2483" s="3">
        <v>240.1</v>
      </c>
      <c r="M2483" t="b">
        <v>1</v>
      </c>
      <c r="N2483" s="2">
        <f>YEAR(B2483)</f>
        <v>2025</v>
      </c>
      <c r="O2483" t="str">
        <f>INDEX(Agences!$C:$C,MATCH(F2483,Agences!$A:$A,0))</f>
        <v>Méditerranée</v>
      </c>
      <c r="P2483" t="str">
        <f>INDEX(Produits!$C:$C,MATCH(H2483,Produits!$A:$A,0))</f>
        <v>Mobilier</v>
      </c>
      <c r="Q2483" s="3">
        <f>I2483*INDEX(Produits!$E:$E,MATCH(H2483,Produits!$A:$A,0))</f>
        <v>164.15</v>
      </c>
      <c r="R2483" s="3">
        <f>L2483-Q2483</f>
        <v>75.94999999999999</v>
      </c>
      <c r="S2483" s="2">
        <f>NETWORKDAYS(B2483,C2483)-1</f>
        <v>1</v>
      </c>
      <c r="T2483" s="1">
        <f>WORKDAY(B2483,5)</f>
        <v>45916</v>
      </c>
      <c r="U2483" t="b">
        <f>C2483&gt;T2483</f>
        <v>0</v>
      </c>
    </row>
    <row r="2484" spans="1:21" x14ac:dyDescent="0.25">
      <c r="A2484" t="s">
        <v>1638</v>
      </c>
      <c r="B2484" s="1">
        <v>45909</v>
      </c>
      <c r="C2484" s="1">
        <v>45910</v>
      </c>
      <c r="D2484" t="s">
        <v>1356</v>
      </c>
      <c r="E2484" t="s">
        <v>67</v>
      </c>
      <c r="F2484" t="s">
        <v>62</v>
      </c>
      <c r="G2484" t="s">
        <v>68</v>
      </c>
      <c r="H2484" t="s">
        <v>49</v>
      </c>
      <c r="I2484" s="2">
        <v>1</v>
      </c>
      <c r="J2484" s="3">
        <v>120</v>
      </c>
      <c r="K2484" s="4">
        <v>0</v>
      </c>
      <c r="L2484" s="3">
        <v>120</v>
      </c>
      <c r="M2484" t="b">
        <v>1</v>
      </c>
      <c r="N2484" s="2">
        <f>YEAR(B2484)</f>
        <v>2025</v>
      </c>
      <c r="O2484" t="str">
        <f>INDEX(Agences!$C:$C,MATCH(F2484,Agences!$A:$A,0))</f>
        <v>Méditerranée</v>
      </c>
      <c r="P2484" t="str">
        <f>INDEX(Produits!$C:$C,MATCH(H2484,Produits!$A:$A,0))</f>
        <v>Maintenance</v>
      </c>
      <c r="Q2484" s="3">
        <f>I2484*INDEX(Produits!$E:$E,MATCH(H2484,Produits!$A:$A,0))</f>
        <v>55.2</v>
      </c>
      <c r="R2484" s="3">
        <f>L2484-Q2484</f>
        <v>64.8</v>
      </c>
      <c r="S2484" s="2">
        <f>NETWORKDAYS(B2484,C2484)-1</f>
        <v>1</v>
      </c>
      <c r="T2484" s="1">
        <f>WORKDAY(B2484,5)</f>
        <v>45916</v>
      </c>
      <c r="U2484" t="b">
        <f>C2484&gt;T2484</f>
        <v>0</v>
      </c>
    </row>
    <row r="2485" spans="1:21" x14ac:dyDescent="0.25">
      <c r="A2485" t="s">
        <v>1639</v>
      </c>
      <c r="B2485" s="1">
        <v>45909</v>
      </c>
      <c r="C2485" s="1">
        <v>45911</v>
      </c>
      <c r="D2485" t="s">
        <v>610</v>
      </c>
      <c r="E2485" t="s">
        <v>61</v>
      </c>
      <c r="F2485" t="s">
        <v>62</v>
      </c>
      <c r="G2485" t="s">
        <v>106</v>
      </c>
      <c r="H2485" t="s">
        <v>90</v>
      </c>
      <c r="I2485" s="2">
        <v>20</v>
      </c>
      <c r="J2485" s="3">
        <v>22.9</v>
      </c>
      <c r="K2485" s="4">
        <v>0</v>
      </c>
      <c r="L2485" s="3">
        <v>458</v>
      </c>
      <c r="M2485" t="b">
        <v>1</v>
      </c>
      <c r="N2485" s="2">
        <f>YEAR(B2485)</f>
        <v>2025</v>
      </c>
      <c r="O2485" t="str">
        <f>INDEX(Agences!$C:$C,MATCH(F2485,Agences!$A:$A,0))</f>
        <v>Méditerranée</v>
      </c>
      <c r="P2485" t="str">
        <f>INDEX(Produits!$C:$C,MATCH(H2485,Produits!$A:$A,0))</f>
        <v>Fournitures</v>
      </c>
      <c r="Q2485" s="3">
        <f>I2485*INDEX(Produits!$E:$E,MATCH(H2485,Produits!$A:$A,0))</f>
        <v>256.4</v>
      </c>
      <c r="R2485" s="3">
        <f>L2485-Q2485</f>
        <v>201.60000000000002</v>
      </c>
      <c r="S2485" s="2">
        <f>NETWORKDAYS(B2485,C2485)-1</f>
        <v>2</v>
      </c>
      <c r="T2485" s="1">
        <f>WORKDAY(B2485,5)</f>
        <v>45916</v>
      </c>
      <c r="U2485" t="b">
        <f>C2485&gt;T2485</f>
        <v>0</v>
      </c>
    </row>
    <row r="2486" spans="1:21" x14ac:dyDescent="0.25">
      <c r="A2486" t="s">
        <v>1639</v>
      </c>
      <c r="B2486" s="1">
        <v>45909</v>
      </c>
      <c r="C2486" s="1">
        <v>45911</v>
      </c>
      <c r="D2486" t="s">
        <v>610</v>
      </c>
      <c r="E2486" t="s">
        <v>61</v>
      </c>
      <c r="F2486" t="s">
        <v>62</v>
      </c>
      <c r="G2486" t="s">
        <v>106</v>
      </c>
      <c r="H2486" t="s">
        <v>84</v>
      </c>
      <c r="I2486" s="2">
        <v>2</v>
      </c>
      <c r="J2486" s="3">
        <v>420</v>
      </c>
      <c r="K2486" s="4">
        <v>0</v>
      </c>
      <c r="L2486" s="3">
        <v>840</v>
      </c>
      <c r="M2486" t="b">
        <v>1</v>
      </c>
      <c r="N2486" s="2">
        <f>YEAR(B2486)</f>
        <v>2025</v>
      </c>
      <c r="O2486" t="str">
        <f>INDEX(Agences!$C:$C,MATCH(F2486,Agences!$A:$A,0))</f>
        <v>Méditerranée</v>
      </c>
      <c r="P2486" t="str">
        <f>INDEX(Produits!$C:$C,MATCH(H2486,Produits!$A:$A,0))</f>
        <v>Mobilier</v>
      </c>
      <c r="Q2486" s="3">
        <f>I2486*INDEX(Produits!$E:$E,MATCH(H2486,Produits!$A:$A,0))</f>
        <v>487.2</v>
      </c>
      <c r="R2486" s="3">
        <f>L2486-Q2486</f>
        <v>352.8</v>
      </c>
      <c r="S2486" s="2">
        <f>NETWORKDAYS(B2486,C2486)-1</f>
        <v>2</v>
      </c>
      <c r="T2486" s="1">
        <f>WORKDAY(B2486,5)</f>
        <v>45916</v>
      </c>
      <c r="U2486" t="b">
        <f>C2486&gt;T2486</f>
        <v>0</v>
      </c>
    </row>
    <row r="2487" spans="1:21" x14ac:dyDescent="0.25">
      <c r="A2487" t="s">
        <v>1639</v>
      </c>
      <c r="B2487" s="1">
        <v>45909</v>
      </c>
      <c r="C2487" s="1">
        <v>45911</v>
      </c>
      <c r="D2487" t="s">
        <v>610</v>
      </c>
      <c r="E2487" t="s">
        <v>61</v>
      </c>
      <c r="F2487" t="s">
        <v>62</v>
      </c>
      <c r="G2487" t="s">
        <v>106</v>
      </c>
      <c r="H2487" t="s">
        <v>319</v>
      </c>
      <c r="I2487" s="2">
        <v>2</v>
      </c>
      <c r="J2487" s="3">
        <v>289</v>
      </c>
      <c r="K2487" s="4">
        <v>0</v>
      </c>
      <c r="L2487" s="3">
        <v>578</v>
      </c>
      <c r="M2487" t="b">
        <v>1</v>
      </c>
      <c r="N2487" s="2">
        <f>YEAR(B2487)</f>
        <v>2025</v>
      </c>
      <c r="O2487" t="str">
        <f>INDEX(Agences!$C:$C,MATCH(F2487,Agences!$A:$A,0))</f>
        <v>Méditerranée</v>
      </c>
      <c r="P2487" t="str">
        <f>INDEX(Produits!$C:$C,MATCH(H2487,Produits!$A:$A,0))</f>
        <v>Informatique</v>
      </c>
      <c r="Q2487" s="3">
        <f>I2487*INDEX(Produits!$E:$E,MATCH(H2487,Produits!$A:$A,0))</f>
        <v>427.72</v>
      </c>
      <c r="R2487" s="3">
        <f>L2487-Q2487</f>
        <v>150.27999999999997</v>
      </c>
      <c r="S2487" s="2">
        <f>NETWORKDAYS(B2487,C2487)-1</f>
        <v>2</v>
      </c>
      <c r="T2487" s="1">
        <f>WORKDAY(B2487,5)</f>
        <v>45916</v>
      </c>
      <c r="U2487" t="b">
        <f>C2487&gt;T2487</f>
        <v>0</v>
      </c>
    </row>
    <row r="2488" spans="1:21" x14ac:dyDescent="0.25">
      <c r="A2488" t="s">
        <v>1639</v>
      </c>
      <c r="B2488" s="1">
        <v>45909</v>
      </c>
      <c r="C2488" s="1">
        <v>45911</v>
      </c>
      <c r="D2488" t="s">
        <v>610</v>
      </c>
      <c r="E2488" t="s">
        <v>61</v>
      </c>
      <c r="F2488" t="s">
        <v>62</v>
      </c>
      <c r="G2488" t="s">
        <v>106</v>
      </c>
      <c r="H2488" t="s">
        <v>57</v>
      </c>
      <c r="I2488" s="2">
        <v>1</v>
      </c>
      <c r="J2488" s="3">
        <v>149</v>
      </c>
      <c r="K2488" s="4">
        <v>0.1</v>
      </c>
      <c r="L2488" s="3">
        <v>134.1</v>
      </c>
      <c r="M2488" t="b">
        <v>1</v>
      </c>
      <c r="N2488" s="2">
        <f>YEAR(B2488)</f>
        <v>2025</v>
      </c>
      <c r="O2488" t="str">
        <f>INDEX(Agences!$C:$C,MATCH(F2488,Agences!$A:$A,0))</f>
        <v>Méditerranée</v>
      </c>
      <c r="P2488" t="str">
        <f>INDEX(Produits!$C:$C,MATCH(H2488,Produits!$A:$A,0))</f>
        <v>Informatique</v>
      </c>
      <c r="Q2488" s="3">
        <f>I2488*INDEX(Produits!$E:$E,MATCH(H2488,Produits!$A:$A,0))</f>
        <v>114.73</v>
      </c>
      <c r="R2488" s="3">
        <f>L2488-Q2488</f>
        <v>19.36999999999999</v>
      </c>
      <c r="S2488" s="2">
        <f>NETWORKDAYS(B2488,C2488)-1</f>
        <v>2</v>
      </c>
      <c r="T2488" s="1">
        <f>WORKDAY(B2488,5)</f>
        <v>45916</v>
      </c>
      <c r="U2488" t="b">
        <f>C2488&gt;T2488</f>
        <v>0</v>
      </c>
    </row>
    <row r="2489" spans="1:21" x14ac:dyDescent="0.25">
      <c r="A2489" t="s">
        <v>1640</v>
      </c>
      <c r="B2489" s="1">
        <v>45909</v>
      </c>
      <c r="C2489" s="1">
        <v>45910</v>
      </c>
      <c r="D2489" t="s">
        <v>1641</v>
      </c>
      <c r="E2489" t="s">
        <v>45</v>
      </c>
      <c r="F2489" t="s">
        <v>46</v>
      </c>
      <c r="G2489" t="s">
        <v>111</v>
      </c>
      <c r="H2489" t="s">
        <v>83</v>
      </c>
      <c r="I2489" s="2">
        <v>4</v>
      </c>
      <c r="J2489" s="3">
        <v>49</v>
      </c>
      <c r="K2489" s="4">
        <v>0</v>
      </c>
      <c r="L2489" s="3">
        <v>196</v>
      </c>
      <c r="M2489" t="b">
        <v>1</v>
      </c>
      <c r="N2489" s="2">
        <f>YEAR(B2489)</f>
        <v>2025</v>
      </c>
      <c r="O2489" t="str">
        <f>INDEX(Agences!$C:$C,MATCH(F2489,Agences!$A:$A,0))</f>
        <v>Est</v>
      </c>
      <c r="P2489" t="str">
        <f>INDEX(Produits!$C:$C,MATCH(H2489,Produits!$A:$A,0))</f>
        <v>Mobilier</v>
      </c>
      <c r="Q2489" s="3">
        <f>I2489*INDEX(Produits!$E:$E,MATCH(H2489,Produits!$A:$A,0))</f>
        <v>113.68</v>
      </c>
      <c r="R2489" s="3">
        <f>L2489-Q2489</f>
        <v>82.32</v>
      </c>
      <c r="S2489" s="2">
        <f>NETWORKDAYS(B2489,C2489)-1</f>
        <v>1</v>
      </c>
      <c r="T2489" s="1">
        <f>WORKDAY(B2489,5)</f>
        <v>45916</v>
      </c>
      <c r="U2489" t="b">
        <f>C2489&gt;T2489</f>
        <v>0</v>
      </c>
    </row>
    <row r="2490" spans="1:21" x14ac:dyDescent="0.25">
      <c r="A2490" t="s">
        <v>1642</v>
      </c>
      <c r="B2490" s="1">
        <v>45908</v>
      </c>
      <c r="C2490" s="1">
        <v>45910</v>
      </c>
      <c r="D2490" t="s">
        <v>1643</v>
      </c>
      <c r="E2490" t="s">
        <v>137</v>
      </c>
      <c r="F2490" t="s">
        <v>138</v>
      </c>
      <c r="G2490" t="s">
        <v>214</v>
      </c>
      <c r="H2490" t="s">
        <v>83</v>
      </c>
      <c r="I2490" s="2">
        <v>4</v>
      </c>
      <c r="J2490" s="3">
        <v>49</v>
      </c>
      <c r="K2490" s="4">
        <v>0.05</v>
      </c>
      <c r="L2490" s="3">
        <v>186.2</v>
      </c>
      <c r="M2490" t="b">
        <v>1</v>
      </c>
      <c r="N2490" s="2">
        <f>YEAR(B2490)</f>
        <v>2025</v>
      </c>
      <c r="O2490" t="str">
        <f>INDEX(Agences!$C:$C,MATCH(F2490,Agences!$A:$A,0))</f>
        <v>Île-de-France</v>
      </c>
      <c r="P2490" t="str">
        <f>INDEX(Produits!$C:$C,MATCH(H2490,Produits!$A:$A,0))</f>
        <v>Mobilier</v>
      </c>
      <c r="Q2490" s="3">
        <f>I2490*INDEX(Produits!$E:$E,MATCH(H2490,Produits!$A:$A,0))</f>
        <v>113.68</v>
      </c>
      <c r="R2490" s="3">
        <f>L2490-Q2490</f>
        <v>72.51999999999998</v>
      </c>
      <c r="S2490" s="2">
        <f>NETWORKDAYS(B2490,C2490)-1</f>
        <v>2</v>
      </c>
      <c r="T2490" s="1">
        <f>WORKDAY(B2490,5)</f>
        <v>45915</v>
      </c>
      <c r="U2490" t="b">
        <f>C2490&gt;T2490</f>
        <v>0</v>
      </c>
    </row>
    <row r="2491" spans="1:21" x14ac:dyDescent="0.25">
      <c r="A2491" t="s">
        <v>1642</v>
      </c>
      <c r="B2491" s="1">
        <v>45908</v>
      </c>
      <c r="C2491" s="1">
        <v>45910</v>
      </c>
      <c r="D2491" t="s">
        <v>1643</v>
      </c>
      <c r="E2491" t="s">
        <v>137</v>
      </c>
      <c r="F2491" t="s">
        <v>138</v>
      </c>
      <c r="G2491" t="s">
        <v>214</v>
      </c>
      <c r="H2491" t="s">
        <v>51</v>
      </c>
      <c r="I2491" s="2">
        <v>1</v>
      </c>
      <c r="J2491" s="3">
        <v>180</v>
      </c>
      <c r="K2491" s="4">
        <v>0</v>
      </c>
      <c r="L2491" s="3">
        <v>180</v>
      </c>
      <c r="M2491" t="b">
        <v>1</v>
      </c>
      <c r="N2491" s="2">
        <f>YEAR(B2491)</f>
        <v>2025</v>
      </c>
      <c r="O2491" t="str">
        <f>INDEX(Agences!$C:$C,MATCH(F2491,Agences!$A:$A,0))</f>
        <v>Île-de-France</v>
      </c>
      <c r="P2491" t="str">
        <f>INDEX(Produits!$C:$C,MATCH(H2491,Produits!$A:$A,0))</f>
        <v>Maintenance</v>
      </c>
      <c r="Q2491" s="3">
        <f>I2491*INDEX(Produits!$E:$E,MATCH(H2491,Produits!$A:$A,0))</f>
        <v>82.8</v>
      </c>
      <c r="R2491" s="3">
        <f>L2491-Q2491</f>
        <v>97.2</v>
      </c>
      <c r="S2491" s="2">
        <f>NETWORKDAYS(B2491,C2491)-1</f>
        <v>2</v>
      </c>
      <c r="T2491" s="1">
        <f>WORKDAY(B2491,5)</f>
        <v>45915</v>
      </c>
      <c r="U2491" t="b">
        <f>C2491&gt;T2491</f>
        <v>0</v>
      </c>
    </row>
    <row r="2492" spans="1:21" x14ac:dyDescent="0.25">
      <c r="A2492" t="s">
        <v>1644</v>
      </c>
      <c r="B2492" s="1">
        <v>45908</v>
      </c>
      <c r="C2492" s="1">
        <v>45912</v>
      </c>
      <c r="D2492" t="s">
        <v>1645</v>
      </c>
      <c r="E2492" t="s">
        <v>449</v>
      </c>
      <c r="F2492" t="s">
        <v>94</v>
      </c>
      <c r="G2492" t="s">
        <v>154</v>
      </c>
      <c r="H2492" t="s">
        <v>49</v>
      </c>
      <c r="I2492" s="2">
        <v>3</v>
      </c>
      <c r="J2492" s="3">
        <v>120</v>
      </c>
      <c r="K2492" s="4">
        <v>0.05</v>
      </c>
      <c r="L2492" s="3">
        <v>342</v>
      </c>
      <c r="M2492" t="b">
        <v>1</v>
      </c>
      <c r="N2492" s="2">
        <f>YEAR(B2492)</f>
        <v>2025</v>
      </c>
      <c r="O2492" t="str">
        <f>INDEX(Agences!$C:$C,MATCH(F2492,Agences!$A:$A,0))</f>
        <v>Méditerranée</v>
      </c>
      <c r="P2492" t="str">
        <f>INDEX(Produits!$C:$C,MATCH(H2492,Produits!$A:$A,0))</f>
        <v>Maintenance</v>
      </c>
      <c r="Q2492" s="3">
        <f>I2492*INDEX(Produits!$E:$E,MATCH(H2492,Produits!$A:$A,0))</f>
        <v>165.60000000000002</v>
      </c>
      <c r="R2492" s="3">
        <f>L2492-Q2492</f>
        <v>176.39999999999998</v>
      </c>
      <c r="S2492" s="2">
        <f>NETWORKDAYS(B2492,C2492)-1</f>
        <v>4</v>
      </c>
      <c r="T2492" s="1">
        <f>WORKDAY(B2492,5)</f>
        <v>45915</v>
      </c>
      <c r="U2492" t="b">
        <f>C2492&gt;T2492</f>
        <v>0</v>
      </c>
    </row>
    <row r="2493" spans="1:21" x14ac:dyDescent="0.25">
      <c r="A2493" t="s">
        <v>1644</v>
      </c>
      <c r="B2493" s="1">
        <v>45908</v>
      </c>
      <c r="C2493" s="1">
        <v>45912</v>
      </c>
      <c r="D2493" t="s">
        <v>1645</v>
      </c>
      <c r="E2493" t="s">
        <v>449</v>
      </c>
      <c r="F2493" t="s">
        <v>94</v>
      </c>
      <c r="G2493" t="s">
        <v>154</v>
      </c>
      <c r="H2493" t="s">
        <v>35</v>
      </c>
      <c r="I2493" s="2">
        <v>2</v>
      </c>
      <c r="J2493" s="3">
        <v>79</v>
      </c>
      <c r="K2493" s="4">
        <v>0.08</v>
      </c>
      <c r="L2493" s="3">
        <v>145.36</v>
      </c>
      <c r="M2493" t="b">
        <v>1</v>
      </c>
      <c r="N2493" s="2">
        <f>YEAR(B2493)</f>
        <v>2025</v>
      </c>
      <c r="O2493" t="str">
        <f>INDEX(Agences!$C:$C,MATCH(F2493,Agences!$A:$A,0))</f>
        <v>Méditerranée</v>
      </c>
      <c r="P2493" t="str">
        <f>INDEX(Produits!$C:$C,MATCH(H2493,Produits!$A:$A,0))</f>
        <v>Mobilier</v>
      </c>
      <c r="Q2493" s="3">
        <f>I2493*INDEX(Produits!$E:$E,MATCH(H2493,Produits!$A:$A,0))</f>
        <v>93.22</v>
      </c>
      <c r="R2493" s="3">
        <f>L2493-Q2493</f>
        <v>52.140000000000015</v>
      </c>
      <c r="S2493" s="2">
        <f>NETWORKDAYS(B2493,C2493)-1</f>
        <v>4</v>
      </c>
      <c r="T2493" s="1">
        <f>WORKDAY(B2493,5)</f>
        <v>45915</v>
      </c>
      <c r="U2493" t="b">
        <f>C2493&gt;T2493</f>
        <v>0</v>
      </c>
    </row>
    <row r="2494" spans="1:21" x14ac:dyDescent="0.25">
      <c r="A2494" t="s">
        <v>1644</v>
      </c>
      <c r="B2494" s="1">
        <v>45908</v>
      </c>
      <c r="C2494" s="1">
        <v>45912</v>
      </c>
      <c r="D2494" t="s">
        <v>1645</v>
      </c>
      <c r="E2494" t="s">
        <v>449</v>
      </c>
      <c r="F2494" t="s">
        <v>94</v>
      </c>
      <c r="G2494" t="s">
        <v>154</v>
      </c>
      <c r="H2494" t="s">
        <v>27</v>
      </c>
      <c r="I2494" s="2">
        <v>3</v>
      </c>
      <c r="J2494" s="3">
        <v>310</v>
      </c>
      <c r="K2494" s="4">
        <v>0.05</v>
      </c>
      <c r="L2494" s="3">
        <v>883.5</v>
      </c>
      <c r="M2494" t="b">
        <v>1</v>
      </c>
      <c r="N2494" s="2">
        <f>YEAR(B2494)</f>
        <v>2025</v>
      </c>
      <c r="O2494" t="str">
        <f>INDEX(Agences!$C:$C,MATCH(F2494,Agences!$A:$A,0))</f>
        <v>Méditerranée</v>
      </c>
      <c r="P2494" t="str">
        <f>INDEX(Produits!$C:$C,MATCH(H2494,Produits!$A:$A,0))</f>
        <v>Mobilier</v>
      </c>
      <c r="Q2494" s="3">
        <f>I2494*INDEX(Produits!$E:$E,MATCH(H2494,Produits!$A:$A,0))</f>
        <v>558</v>
      </c>
      <c r="R2494" s="3">
        <f>L2494-Q2494</f>
        <v>325.5</v>
      </c>
      <c r="S2494" s="2">
        <f>NETWORKDAYS(B2494,C2494)-1</f>
        <v>4</v>
      </c>
      <c r="T2494" s="1">
        <f>WORKDAY(B2494,5)</f>
        <v>45915</v>
      </c>
      <c r="U2494" t="b">
        <f>C2494&gt;T2494</f>
        <v>0</v>
      </c>
    </row>
    <row r="2495" spans="1:21" x14ac:dyDescent="0.25">
      <c r="A2495" t="s">
        <v>1644</v>
      </c>
      <c r="B2495" s="1">
        <v>45908</v>
      </c>
      <c r="C2495" s="1">
        <v>45912</v>
      </c>
      <c r="D2495" t="s">
        <v>1645</v>
      </c>
      <c r="E2495" t="s">
        <v>449</v>
      </c>
      <c r="F2495" t="s">
        <v>94</v>
      </c>
      <c r="G2495" t="s">
        <v>154</v>
      </c>
      <c r="H2495" t="s">
        <v>319</v>
      </c>
      <c r="I2495" s="2">
        <v>3</v>
      </c>
      <c r="J2495" s="3">
        <v>289</v>
      </c>
      <c r="K2495" s="4">
        <v>0.05</v>
      </c>
      <c r="L2495" s="3">
        <v>823.65</v>
      </c>
      <c r="M2495" t="b">
        <v>1</v>
      </c>
      <c r="N2495" s="2">
        <f>YEAR(B2495)</f>
        <v>2025</v>
      </c>
      <c r="O2495" t="str">
        <f>INDEX(Agences!$C:$C,MATCH(F2495,Agences!$A:$A,0))</f>
        <v>Méditerranée</v>
      </c>
      <c r="P2495" t="str">
        <f>INDEX(Produits!$C:$C,MATCH(H2495,Produits!$A:$A,0))</f>
        <v>Informatique</v>
      </c>
      <c r="Q2495" s="3">
        <f>I2495*INDEX(Produits!$E:$E,MATCH(H2495,Produits!$A:$A,0))</f>
        <v>641.58</v>
      </c>
      <c r="R2495" s="3">
        <f>L2495-Q2495</f>
        <v>182.06999999999994</v>
      </c>
      <c r="S2495" s="2">
        <f>NETWORKDAYS(B2495,C2495)-1</f>
        <v>4</v>
      </c>
      <c r="T2495" s="1">
        <f>WORKDAY(B2495,5)</f>
        <v>45915</v>
      </c>
      <c r="U2495" t="b">
        <f>C2495&gt;T2495</f>
        <v>0</v>
      </c>
    </row>
    <row r="2496" spans="1:21" x14ac:dyDescent="0.25">
      <c r="A2496" t="s">
        <v>1644</v>
      </c>
      <c r="B2496" s="1">
        <v>45908</v>
      </c>
      <c r="C2496" s="1">
        <v>45912</v>
      </c>
      <c r="D2496" t="s">
        <v>1645</v>
      </c>
      <c r="E2496" t="s">
        <v>449</v>
      </c>
      <c r="F2496" t="s">
        <v>94</v>
      </c>
      <c r="G2496" t="s">
        <v>154</v>
      </c>
      <c r="H2496" t="s">
        <v>83</v>
      </c>
      <c r="I2496" s="2">
        <v>3</v>
      </c>
      <c r="J2496" s="3">
        <v>49</v>
      </c>
      <c r="K2496" s="4">
        <v>0</v>
      </c>
      <c r="L2496" s="3">
        <v>147</v>
      </c>
      <c r="M2496" t="b">
        <v>1</v>
      </c>
      <c r="N2496" s="2">
        <f>YEAR(B2496)</f>
        <v>2025</v>
      </c>
      <c r="O2496" t="str">
        <f>INDEX(Agences!$C:$C,MATCH(F2496,Agences!$A:$A,0))</f>
        <v>Méditerranée</v>
      </c>
      <c r="P2496" t="str">
        <f>INDEX(Produits!$C:$C,MATCH(H2496,Produits!$A:$A,0))</f>
        <v>Mobilier</v>
      </c>
      <c r="Q2496" s="3">
        <f>I2496*INDEX(Produits!$E:$E,MATCH(H2496,Produits!$A:$A,0))</f>
        <v>85.26</v>
      </c>
      <c r="R2496" s="3">
        <f>L2496-Q2496</f>
        <v>61.739999999999995</v>
      </c>
      <c r="S2496" s="2">
        <f>NETWORKDAYS(B2496,C2496)-1</f>
        <v>4</v>
      </c>
      <c r="T2496" s="1">
        <f>WORKDAY(B2496,5)</f>
        <v>45915</v>
      </c>
      <c r="U2496" t="b">
        <f>C2496&gt;T2496</f>
        <v>0</v>
      </c>
    </row>
    <row r="2497" spans="1:21" x14ac:dyDescent="0.25">
      <c r="A2497" t="s">
        <v>1646</v>
      </c>
      <c r="B2497" s="1">
        <v>45908</v>
      </c>
      <c r="C2497" s="1">
        <v>45911</v>
      </c>
      <c r="D2497" t="s">
        <v>1002</v>
      </c>
      <c r="E2497" t="s">
        <v>229</v>
      </c>
      <c r="F2497" t="s">
        <v>55</v>
      </c>
      <c r="G2497" t="s">
        <v>71</v>
      </c>
      <c r="H2497" t="s">
        <v>161</v>
      </c>
      <c r="I2497" s="2">
        <v>15</v>
      </c>
      <c r="J2497" s="3">
        <v>32</v>
      </c>
      <c r="K2497" s="4">
        <v>0</v>
      </c>
      <c r="L2497" s="3">
        <v>480</v>
      </c>
      <c r="M2497" t="b">
        <v>1</v>
      </c>
      <c r="N2497" s="2">
        <f>YEAR(B2497)</f>
        <v>2025</v>
      </c>
      <c r="O2497" t="str">
        <f>INDEX(Agences!$C:$C,MATCH(F2497,Agences!$A:$A,0))</f>
        <v>Est</v>
      </c>
      <c r="P2497" t="str">
        <f>INDEX(Produits!$C:$C,MATCH(H2497,Produits!$A:$A,0))</f>
        <v>Fournitures</v>
      </c>
      <c r="Q2497" s="3">
        <f>I2497*INDEX(Produits!$E:$E,MATCH(H2497,Produits!$A:$A,0))</f>
        <v>264</v>
      </c>
      <c r="R2497" s="3">
        <f>L2497-Q2497</f>
        <v>216</v>
      </c>
      <c r="S2497" s="2">
        <f>NETWORKDAYS(B2497,C2497)-1</f>
        <v>3</v>
      </c>
      <c r="T2497" s="1">
        <f>WORKDAY(B2497,5)</f>
        <v>45915</v>
      </c>
      <c r="U2497" t="b">
        <f>C2497&gt;T2497</f>
        <v>0</v>
      </c>
    </row>
    <row r="2498" spans="1:21" x14ac:dyDescent="0.25">
      <c r="A2498" t="s">
        <v>1646</v>
      </c>
      <c r="B2498" s="1">
        <v>45908</v>
      </c>
      <c r="C2498" s="1">
        <v>45911</v>
      </c>
      <c r="D2498" t="s">
        <v>1002</v>
      </c>
      <c r="E2498" t="s">
        <v>229</v>
      </c>
      <c r="F2498" t="s">
        <v>55</v>
      </c>
      <c r="G2498" t="s">
        <v>71</v>
      </c>
      <c r="H2498" t="s">
        <v>64</v>
      </c>
      <c r="I2498" s="2">
        <v>5</v>
      </c>
      <c r="J2498" s="3">
        <v>16.8</v>
      </c>
      <c r="K2498" s="4">
        <v>0.02</v>
      </c>
      <c r="L2498" s="3">
        <v>82.32</v>
      </c>
      <c r="M2498" t="b">
        <v>1</v>
      </c>
      <c r="N2498" s="2">
        <f>YEAR(B2498)</f>
        <v>2025</v>
      </c>
      <c r="O2498" t="str">
        <f>INDEX(Agences!$C:$C,MATCH(F2498,Agences!$A:$A,0))</f>
        <v>Est</v>
      </c>
      <c r="P2498" t="str">
        <f>INDEX(Produits!$C:$C,MATCH(H2498,Produits!$A:$A,0))</f>
        <v>Fournitures</v>
      </c>
      <c r="Q2498" s="3">
        <f>I2498*INDEX(Produits!$E:$E,MATCH(H2498,Produits!$A:$A,0))</f>
        <v>43.7</v>
      </c>
      <c r="R2498" s="3">
        <f>L2498-Q2498</f>
        <v>38.61999999999999</v>
      </c>
      <c r="S2498" s="2">
        <f>NETWORKDAYS(B2498,C2498)-1</f>
        <v>3</v>
      </c>
      <c r="T2498" s="1">
        <f>WORKDAY(B2498,5)</f>
        <v>45915</v>
      </c>
      <c r="U2498" t="b">
        <f>C2498&gt;T2498</f>
        <v>0</v>
      </c>
    </row>
    <row r="2499" spans="1:21" x14ac:dyDescent="0.25">
      <c r="A2499" t="s">
        <v>1647</v>
      </c>
      <c r="B2499" s="1">
        <v>45905</v>
      </c>
      <c r="C2499" s="1">
        <v>45909</v>
      </c>
      <c r="D2499" t="s">
        <v>1648</v>
      </c>
      <c r="E2499" t="s">
        <v>119</v>
      </c>
      <c r="F2499" t="s">
        <v>24</v>
      </c>
      <c r="G2499" t="s">
        <v>25</v>
      </c>
      <c r="H2499" t="s">
        <v>132</v>
      </c>
      <c r="I2499" s="2">
        <v>1</v>
      </c>
      <c r="J2499" s="3">
        <v>650</v>
      </c>
      <c r="K2499" s="4">
        <v>0</v>
      </c>
      <c r="L2499" s="3">
        <v>650</v>
      </c>
      <c r="M2499" t="b">
        <v>1</v>
      </c>
      <c r="N2499" s="2">
        <f>YEAR(B2499)</f>
        <v>2025</v>
      </c>
      <c r="O2499" t="str">
        <f>INDEX(Agences!$C:$C,MATCH(F2499,Agences!$A:$A,0))</f>
        <v>Nord</v>
      </c>
      <c r="P2499" t="str">
        <f>INDEX(Produits!$C:$C,MATCH(H2499,Produits!$A:$A,0))</f>
        <v>Maintenance</v>
      </c>
      <c r="Q2499" s="3">
        <f>I2499*INDEX(Produits!$E:$E,MATCH(H2499,Produits!$A:$A,0))</f>
        <v>273</v>
      </c>
      <c r="R2499" s="3">
        <f>L2499-Q2499</f>
        <v>377</v>
      </c>
      <c r="S2499" s="2">
        <f>NETWORKDAYS(B2499,C2499)-1</f>
        <v>2</v>
      </c>
      <c r="T2499" s="1">
        <f>WORKDAY(B2499,5)</f>
        <v>45912</v>
      </c>
      <c r="U2499" t="b">
        <f>C2499&gt;T2499</f>
        <v>0</v>
      </c>
    </row>
    <row r="2500" spans="1:21" x14ac:dyDescent="0.25">
      <c r="A2500" t="s">
        <v>1649</v>
      </c>
      <c r="B2500" s="1">
        <v>45905</v>
      </c>
      <c r="C2500" s="1">
        <v>45912</v>
      </c>
      <c r="D2500" t="s">
        <v>427</v>
      </c>
      <c r="E2500" t="s">
        <v>236</v>
      </c>
      <c r="F2500" t="s">
        <v>39</v>
      </c>
      <c r="G2500" t="s">
        <v>131</v>
      </c>
      <c r="H2500" t="s">
        <v>27</v>
      </c>
      <c r="I2500" s="2">
        <v>2</v>
      </c>
      <c r="J2500" s="3">
        <v>310</v>
      </c>
      <c r="K2500" s="4">
        <v>0.02</v>
      </c>
      <c r="L2500" s="3">
        <v>607.6</v>
      </c>
      <c r="M2500" t="b">
        <v>1</v>
      </c>
      <c r="N2500" s="2">
        <f>YEAR(B2500)</f>
        <v>2025</v>
      </c>
      <c r="O2500" t="str">
        <f>INDEX(Agences!$C:$C,MATCH(F2500,Agences!$A:$A,0))</f>
        <v>Sud-Ouest</v>
      </c>
      <c r="P2500" t="str">
        <f>INDEX(Produits!$C:$C,MATCH(H2500,Produits!$A:$A,0))</f>
        <v>Mobilier</v>
      </c>
      <c r="Q2500" s="3">
        <f>I2500*INDEX(Produits!$E:$E,MATCH(H2500,Produits!$A:$A,0))</f>
        <v>372</v>
      </c>
      <c r="R2500" s="3">
        <f>L2500-Q2500</f>
        <v>235.60000000000002</v>
      </c>
      <c r="S2500" s="2">
        <f>NETWORKDAYS(B2500,C2500)-1</f>
        <v>5</v>
      </c>
      <c r="T2500" s="1">
        <f>WORKDAY(B2500,5)</f>
        <v>45912</v>
      </c>
      <c r="U2500" t="b">
        <f>C2500&gt;T2500</f>
        <v>0</v>
      </c>
    </row>
    <row r="2501" spans="1:21" x14ac:dyDescent="0.25">
      <c r="A2501" t="s">
        <v>1649</v>
      </c>
      <c r="B2501" s="1">
        <v>45905</v>
      </c>
      <c r="C2501" s="1">
        <v>45912</v>
      </c>
      <c r="D2501" t="s">
        <v>427</v>
      </c>
      <c r="E2501" t="s">
        <v>236</v>
      </c>
      <c r="F2501" t="s">
        <v>39</v>
      </c>
      <c r="G2501" t="s">
        <v>131</v>
      </c>
      <c r="H2501" t="s">
        <v>79</v>
      </c>
      <c r="I2501" s="2">
        <v>5</v>
      </c>
      <c r="J2501" s="3">
        <v>14.9</v>
      </c>
      <c r="K2501" s="4">
        <v>0.02</v>
      </c>
      <c r="L2501" s="3">
        <v>73.01</v>
      </c>
      <c r="M2501" t="b">
        <v>1</v>
      </c>
      <c r="N2501" s="2">
        <f>YEAR(B2501)</f>
        <v>2025</v>
      </c>
      <c r="O2501" t="str">
        <f>INDEX(Agences!$C:$C,MATCH(F2501,Agences!$A:$A,0))</f>
        <v>Sud-Ouest</v>
      </c>
      <c r="P2501" t="str">
        <f>INDEX(Produits!$C:$C,MATCH(H2501,Produits!$A:$A,0))</f>
        <v>Fournitures</v>
      </c>
      <c r="Q2501" s="3">
        <f>I2501*INDEX(Produits!$E:$E,MATCH(H2501,Produits!$A:$A,0))</f>
        <v>40.25</v>
      </c>
      <c r="R2501" s="3">
        <f>L2501-Q2501</f>
        <v>32.760000000000005</v>
      </c>
      <c r="S2501" s="2">
        <f>NETWORKDAYS(B2501,C2501)-1</f>
        <v>5</v>
      </c>
      <c r="T2501" s="1">
        <f>WORKDAY(B2501,5)</f>
        <v>45912</v>
      </c>
      <c r="U2501" t="b">
        <f>C2501&gt;T2501</f>
        <v>0</v>
      </c>
    </row>
    <row r="2502" spans="1:21" x14ac:dyDescent="0.25">
      <c r="A2502" t="s">
        <v>1649</v>
      </c>
      <c r="B2502" s="1">
        <v>45905</v>
      </c>
      <c r="C2502" s="1">
        <v>45912</v>
      </c>
      <c r="D2502" t="s">
        <v>427</v>
      </c>
      <c r="E2502" t="s">
        <v>236</v>
      </c>
      <c r="F2502" t="s">
        <v>39</v>
      </c>
      <c r="G2502" t="s">
        <v>131</v>
      </c>
      <c r="H2502" t="s">
        <v>107</v>
      </c>
      <c r="I2502" s="2">
        <v>5</v>
      </c>
      <c r="J2502" s="3">
        <v>99</v>
      </c>
      <c r="K2502" s="4">
        <v>0</v>
      </c>
      <c r="L2502" s="3">
        <v>495</v>
      </c>
      <c r="M2502" t="b">
        <v>1</v>
      </c>
      <c r="N2502" s="2">
        <f>YEAR(B2502)</f>
        <v>2025</v>
      </c>
      <c r="O2502" t="str">
        <f>INDEX(Agences!$C:$C,MATCH(F2502,Agences!$A:$A,0))</f>
        <v>Sud-Ouest</v>
      </c>
      <c r="P2502" t="str">
        <f>INDEX(Produits!$C:$C,MATCH(H2502,Produits!$A:$A,0))</f>
        <v>Informatique</v>
      </c>
      <c r="Q2502" s="3">
        <f>I2502*INDEX(Produits!$E:$E,MATCH(H2502,Produits!$A:$A,0))</f>
        <v>376.2</v>
      </c>
      <c r="R2502" s="3">
        <f>L2502-Q2502</f>
        <v>118.80000000000001</v>
      </c>
      <c r="S2502" s="2">
        <f>NETWORKDAYS(B2502,C2502)-1</f>
        <v>5</v>
      </c>
      <c r="T2502" s="1">
        <f>WORKDAY(B2502,5)</f>
        <v>45912</v>
      </c>
      <c r="U2502" t="b">
        <f>C2502&gt;T2502</f>
        <v>0</v>
      </c>
    </row>
    <row r="2503" spans="1:21" x14ac:dyDescent="0.25">
      <c r="A2503" t="s">
        <v>1649</v>
      </c>
      <c r="B2503" s="1">
        <v>45905</v>
      </c>
      <c r="C2503" s="1">
        <v>45912</v>
      </c>
      <c r="D2503" t="s">
        <v>427</v>
      </c>
      <c r="E2503" t="s">
        <v>236</v>
      </c>
      <c r="F2503" t="s">
        <v>39</v>
      </c>
      <c r="G2503" t="s">
        <v>131</v>
      </c>
      <c r="H2503" t="s">
        <v>57</v>
      </c>
      <c r="I2503" s="2">
        <v>3</v>
      </c>
      <c r="J2503" s="3">
        <v>149</v>
      </c>
      <c r="K2503" s="4">
        <v>0.05</v>
      </c>
      <c r="L2503" s="3">
        <v>424.65</v>
      </c>
      <c r="M2503" t="b">
        <v>1</v>
      </c>
      <c r="N2503" s="2">
        <f>YEAR(B2503)</f>
        <v>2025</v>
      </c>
      <c r="O2503" t="str">
        <f>INDEX(Agences!$C:$C,MATCH(F2503,Agences!$A:$A,0))</f>
        <v>Sud-Ouest</v>
      </c>
      <c r="P2503" t="str">
        <f>INDEX(Produits!$C:$C,MATCH(H2503,Produits!$A:$A,0))</f>
        <v>Informatique</v>
      </c>
      <c r="Q2503" s="3">
        <f>I2503*INDEX(Produits!$E:$E,MATCH(H2503,Produits!$A:$A,0))</f>
        <v>344.19</v>
      </c>
      <c r="R2503" s="3">
        <f>L2503-Q2503</f>
        <v>80.45999999999998</v>
      </c>
      <c r="S2503" s="2">
        <f>NETWORKDAYS(B2503,C2503)-1</f>
        <v>5</v>
      </c>
      <c r="T2503" s="1">
        <f>WORKDAY(B2503,5)</f>
        <v>45912</v>
      </c>
      <c r="U2503" t="b">
        <f>C2503&gt;T2503</f>
        <v>0</v>
      </c>
    </row>
    <row r="2504" spans="1:21" x14ac:dyDescent="0.25">
      <c r="A2504" t="s">
        <v>1650</v>
      </c>
      <c r="B2504" s="1">
        <v>45905</v>
      </c>
      <c r="C2504" s="1">
        <v>45910</v>
      </c>
      <c r="D2504" t="s">
        <v>288</v>
      </c>
      <c r="E2504" t="s">
        <v>256</v>
      </c>
      <c r="F2504" t="s">
        <v>88</v>
      </c>
      <c r="G2504" t="s">
        <v>89</v>
      </c>
      <c r="H2504" t="s">
        <v>34</v>
      </c>
      <c r="I2504" s="2">
        <v>1</v>
      </c>
      <c r="J2504" s="3">
        <v>340</v>
      </c>
      <c r="K2504" s="4">
        <v>0.08</v>
      </c>
      <c r="L2504" s="3">
        <v>312.8</v>
      </c>
      <c r="M2504" t="b">
        <v>1</v>
      </c>
      <c r="N2504" s="2">
        <f>YEAR(B2504)</f>
        <v>2025</v>
      </c>
      <c r="O2504" t="str">
        <f>INDEX(Agences!$C:$C,MATCH(F2504,Agences!$A:$A,0))</f>
        <v>Sud-Ouest</v>
      </c>
      <c r="P2504" t="str">
        <f>INDEX(Produits!$C:$C,MATCH(H2504,Produits!$A:$A,0))</f>
        <v>Informatique</v>
      </c>
      <c r="Q2504" s="3">
        <f>I2504*INDEX(Produits!$E:$E,MATCH(H2504,Produits!$A:$A,0))</f>
        <v>275.4</v>
      </c>
      <c r="R2504" s="3">
        <f>L2504-Q2504</f>
        <v>37.400000000000034</v>
      </c>
      <c r="S2504" s="2">
        <f>NETWORKDAYS(B2504,C2504)-1</f>
        <v>3</v>
      </c>
      <c r="T2504" s="1">
        <f>WORKDAY(B2504,5)</f>
        <v>45912</v>
      </c>
      <c r="U2504" t="b">
        <f>C2504&gt;T2504</f>
        <v>0</v>
      </c>
    </row>
    <row r="2505" spans="1:21" x14ac:dyDescent="0.25">
      <c r="A2505" t="s">
        <v>1651</v>
      </c>
      <c r="B2505" s="1">
        <v>45905</v>
      </c>
      <c r="C2505" s="1">
        <v>45911</v>
      </c>
      <c r="D2505" t="s">
        <v>292</v>
      </c>
      <c r="E2505" t="s">
        <v>45</v>
      </c>
      <c r="F2505" t="s">
        <v>46</v>
      </c>
      <c r="G2505" t="s">
        <v>47</v>
      </c>
      <c r="H2505" t="s">
        <v>42</v>
      </c>
      <c r="I2505" s="2">
        <v>2</v>
      </c>
      <c r="J2505" s="3">
        <v>55</v>
      </c>
      <c r="K2505" s="4">
        <v>0</v>
      </c>
      <c r="L2505" s="3">
        <v>110</v>
      </c>
      <c r="M2505" t="b">
        <v>1</v>
      </c>
      <c r="N2505" s="2">
        <f>YEAR(B2505)</f>
        <v>2025</v>
      </c>
      <c r="O2505" t="str">
        <f>INDEX(Agences!$C:$C,MATCH(F2505,Agences!$A:$A,0))</f>
        <v>Est</v>
      </c>
      <c r="P2505" t="str">
        <f>INDEX(Produits!$C:$C,MATCH(H2505,Produits!$A:$A,0))</f>
        <v>Maintenance</v>
      </c>
      <c r="Q2505" s="3">
        <f>I2505*INDEX(Produits!$E:$E,MATCH(H2505,Produits!$A:$A,0))</f>
        <v>49.5</v>
      </c>
      <c r="R2505" s="3">
        <f>L2505-Q2505</f>
        <v>60.5</v>
      </c>
      <c r="S2505" s="2">
        <f>NETWORKDAYS(B2505,C2505)-1</f>
        <v>4</v>
      </c>
      <c r="T2505" s="1">
        <f>WORKDAY(B2505,5)</f>
        <v>45912</v>
      </c>
      <c r="U2505" t="b">
        <f>C2505&gt;T2505</f>
        <v>0</v>
      </c>
    </row>
    <row r="2506" spans="1:21" x14ac:dyDescent="0.25">
      <c r="A2506" t="s">
        <v>1651</v>
      </c>
      <c r="B2506" s="1">
        <v>45905</v>
      </c>
      <c r="C2506" s="1">
        <v>45911</v>
      </c>
      <c r="D2506" t="s">
        <v>292</v>
      </c>
      <c r="E2506" t="s">
        <v>45</v>
      </c>
      <c r="F2506" t="s">
        <v>46</v>
      </c>
      <c r="G2506" t="s">
        <v>47</v>
      </c>
      <c r="H2506" t="s">
        <v>108</v>
      </c>
      <c r="I2506" s="2">
        <v>10</v>
      </c>
      <c r="J2506" s="3">
        <v>24.5</v>
      </c>
      <c r="K2506" s="4">
        <v>0.05</v>
      </c>
      <c r="L2506" s="3">
        <v>232.75</v>
      </c>
      <c r="M2506" t="b">
        <v>1</v>
      </c>
      <c r="N2506" s="2">
        <f>YEAR(B2506)</f>
        <v>2025</v>
      </c>
      <c r="O2506" t="str">
        <f>INDEX(Agences!$C:$C,MATCH(F2506,Agences!$A:$A,0))</f>
        <v>Est</v>
      </c>
      <c r="P2506" t="str">
        <f>INDEX(Produits!$C:$C,MATCH(H2506,Produits!$A:$A,0))</f>
        <v>Fournitures</v>
      </c>
      <c r="Q2506" s="3">
        <f>I2506*INDEX(Produits!$E:$E,MATCH(H2506,Produits!$A:$A,0))</f>
        <v>147</v>
      </c>
      <c r="R2506" s="3">
        <f>L2506-Q2506</f>
        <v>85.75</v>
      </c>
      <c r="S2506" s="2">
        <f>NETWORKDAYS(B2506,C2506)-1</f>
        <v>4</v>
      </c>
      <c r="T2506" s="1">
        <f>WORKDAY(B2506,5)</f>
        <v>45912</v>
      </c>
      <c r="U2506" t="b">
        <f>C2506&gt;T2506</f>
        <v>0</v>
      </c>
    </row>
    <row r="2507" spans="1:21" x14ac:dyDescent="0.25">
      <c r="A2507" t="s">
        <v>1652</v>
      </c>
      <c r="B2507" s="1">
        <v>45905</v>
      </c>
      <c r="C2507" s="1">
        <v>45912</v>
      </c>
      <c r="D2507" t="s">
        <v>1058</v>
      </c>
      <c r="E2507" t="s">
        <v>157</v>
      </c>
      <c r="F2507" t="s">
        <v>46</v>
      </c>
      <c r="G2507" t="s">
        <v>111</v>
      </c>
      <c r="H2507" t="s">
        <v>83</v>
      </c>
      <c r="I2507" s="2">
        <v>2</v>
      </c>
      <c r="J2507" s="3">
        <v>49</v>
      </c>
      <c r="K2507" s="4">
        <v>0.02</v>
      </c>
      <c r="L2507" s="3">
        <v>96.04</v>
      </c>
      <c r="M2507" t="b">
        <v>1</v>
      </c>
      <c r="N2507" s="2">
        <f>YEAR(B2507)</f>
        <v>2025</v>
      </c>
      <c r="O2507" t="str">
        <f>INDEX(Agences!$C:$C,MATCH(F2507,Agences!$A:$A,0))</f>
        <v>Est</v>
      </c>
      <c r="P2507" t="str">
        <f>INDEX(Produits!$C:$C,MATCH(H2507,Produits!$A:$A,0))</f>
        <v>Mobilier</v>
      </c>
      <c r="Q2507" s="3">
        <f>I2507*INDEX(Produits!$E:$E,MATCH(H2507,Produits!$A:$A,0))</f>
        <v>56.84</v>
      </c>
      <c r="R2507" s="3">
        <f>L2507-Q2507</f>
        <v>39.2</v>
      </c>
      <c r="S2507" s="2">
        <f>NETWORKDAYS(B2507,C2507)-1</f>
        <v>5</v>
      </c>
      <c r="T2507" s="1">
        <f>WORKDAY(B2507,5)</f>
        <v>45912</v>
      </c>
      <c r="U2507" t="b">
        <f>C2507&gt;T2507</f>
        <v>0</v>
      </c>
    </row>
    <row r="2508" spans="1:21" x14ac:dyDescent="0.25">
      <c r="A2508" t="s">
        <v>1652</v>
      </c>
      <c r="B2508" s="1">
        <v>45905</v>
      </c>
      <c r="C2508" s="1">
        <v>45912</v>
      </c>
      <c r="D2508" t="s">
        <v>1058</v>
      </c>
      <c r="E2508" t="s">
        <v>157</v>
      </c>
      <c r="F2508" t="s">
        <v>46</v>
      </c>
      <c r="G2508" t="s">
        <v>111</v>
      </c>
      <c r="H2508" t="s">
        <v>49</v>
      </c>
      <c r="I2508" s="2">
        <v>2</v>
      </c>
      <c r="J2508" s="3">
        <v>120</v>
      </c>
      <c r="K2508" s="4">
        <v>0.02</v>
      </c>
      <c r="L2508" s="3">
        <v>235.2</v>
      </c>
      <c r="M2508" t="b">
        <v>1</v>
      </c>
      <c r="N2508" s="2">
        <f>YEAR(B2508)</f>
        <v>2025</v>
      </c>
      <c r="O2508" t="str">
        <f>INDEX(Agences!$C:$C,MATCH(F2508,Agences!$A:$A,0))</f>
        <v>Est</v>
      </c>
      <c r="P2508" t="str">
        <f>INDEX(Produits!$C:$C,MATCH(H2508,Produits!$A:$A,0))</f>
        <v>Maintenance</v>
      </c>
      <c r="Q2508" s="3">
        <f>I2508*INDEX(Produits!$E:$E,MATCH(H2508,Produits!$A:$A,0))</f>
        <v>110.4</v>
      </c>
      <c r="R2508" s="3">
        <f>L2508-Q2508</f>
        <v>124.79999999999998</v>
      </c>
      <c r="S2508" s="2">
        <f>NETWORKDAYS(B2508,C2508)-1</f>
        <v>5</v>
      </c>
      <c r="T2508" s="1">
        <f>WORKDAY(B2508,5)</f>
        <v>45912</v>
      </c>
      <c r="U2508" t="b">
        <f>C2508&gt;T2508</f>
        <v>0</v>
      </c>
    </row>
    <row r="2509" spans="1:21" x14ac:dyDescent="0.25">
      <c r="A2509" t="s">
        <v>1653</v>
      </c>
      <c r="B2509" s="1">
        <v>45905</v>
      </c>
      <c r="C2509" s="1">
        <v>45912</v>
      </c>
      <c r="D2509" t="s">
        <v>1002</v>
      </c>
      <c r="E2509" t="s">
        <v>229</v>
      </c>
      <c r="F2509" t="s">
        <v>55</v>
      </c>
      <c r="G2509" t="s">
        <v>195</v>
      </c>
      <c r="H2509" t="s">
        <v>83</v>
      </c>
      <c r="I2509" s="2">
        <v>1</v>
      </c>
      <c r="J2509" s="3">
        <v>49</v>
      </c>
      <c r="K2509" s="4">
        <v>0</v>
      </c>
      <c r="L2509" s="3">
        <v>49</v>
      </c>
      <c r="M2509" t="b">
        <v>1</v>
      </c>
      <c r="N2509" s="2">
        <f>YEAR(B2509)</f>
        <v>2025</v>
      </c>
      <c r="O2509" t="str">
        <f>INDEX(Agences!$C:$C,MATCH(F2509,Agences!$A:$A,0))</f>
        <v>Est</v>
      </c>
      <c r="P2509" t="str">
        <f>INDEX(Produits!$C:$C,MATCH(H2509,Produits!$A:$A,0))</f>
        <v>Mobilier</v>
      </c>
      <c r="Q2509" s="3">
        <f>I2509*INDEX(Produits!$E:$E,MATCH(H2509,Produits!$A:$A,0))</f>
        <v>28.42</v>
      </c>
      <c r="R2509" s="3">
        <f>L2509-Q2509</f>
        <v>20.58</v>
      </c>
      <c r="S2509" s="2">
        <f>NETWORKDAYS(B2509,C2509)-1</f>
        <v>5</v>
      </c>
      <c r="T2509" s="1">
        <f>WORKDAY(B2509,5)</f>
        <v>45912</v>
      </c>
      <c r="U2509" t="b">
        <f>C2509&gt;T2509</f>
        <v>0</v>
      </c>
    </row>
    <row r="2510" spans="1:21" x14ac:dyDescent="0.25">
      <c r="A2510" t="s">
        <v>1653</v>
      </c>
      <c r="B2510" s="1">
        <v>45905</v>
      </c>
      <c r="C2510" s="1">
        <v>45912</v>
      </c>
      <c r="D2510" t="s">
        <v>1002</v>
      </c>
      <c r="E2510" t="s">
        <v>229</v>
      </c>
      <c r="F2510" t="s">
        <v>55</v>
      </c>
      <c r="G2510" t="s">
        <v>195</v>
      </c>
      <c r="H2510" t="s">
        <v>42</v>
      </c>
      <c r="I2510" s="2">
        <v>1</v>
      </c>
      <c r="J2510" s="3">
        <v>55</v>
      </c>
      <c r="K2510" s="4">
        <v>0.05</v>
      </c>
      <c r="L2510" s="3">
        <v>52.25</v>
      </c>
      <c r="M2510" t="b">
        <v>1</v>
      </c>
      <c r="N2510" s="2">
        <f>YEAR(B2510)</f>
        <v>2025</v>
      </c>
      <c r="O2510" t="str">
        <f>INDEX(Agences!$C:$C,MATCH(F2510,Agences!$A:$A,0))</f>
        <v>Est</v>
      </c>
      <c r="P2510" t="str">
        <f>INDEX(Produits!$C:$C,MATCH(H2510,Produits!$A:$A,0))</f>
        <v>Maintenance</v>
      </c>
      <c r="Q2510" s="3">
        <f>I2510*INDEX(Produits!$E:$E,MATCH(H2510,Produits!$A:$A,0))</f>
        <v>24.75</v>
      </c>
      <c r="R2510" s="3">
        <f>L2510-Q2510</f>
        <v>27.5</v>
      </c>
      <c r="S2510" s="2">
        <f>NETWORKDAYS(B2510,C2510)-1</f>
        <v>5</v>
      </c>
      <c r="T2510" s="1">
        <f>WORKDAY(B2510,5)</f>
        <v>45912</v>
      </c>
      <c r="U2510" t="b">
        <f>C2510&gt;T2510</f>
        <v>0</v>
      </c>
    </row>
    <row r="2511" spans="1:21" x14ac:dyDescent="0.25">
      <c r="A2511" t="s">
        <v>1653</v>
      </c>
      <c r="B2511" s="1">
        <v>45905</v>
      </c>
      <c r="C2511" s="1">
        <v>45912</v>
      </c>
      <c r="D2511" t="s">
        <v>1002</v>
      </c>
      <c r="E2511" t="s">
        <v>229</v>
      </c>
      <c r="F2511" t="s">
        <v>55</v>
      </c>
      <c r="G2511" t="s">
        <v>195</v>
      </c>
      <c r="H2511" t="s">
        <v>72</v>
      </c>
      <c r="I2511" s="2">
        <v>1</v>
      </c>
      <c r="J2511" s="3">
        <v>179</v>
      </c>
      <c r="K2511" s="4">
        <v>0</v>
      </c>
      <c r="L2511" s="3">
        <v>179</v>
      </c>
      <c r="M2511" t="b">
        <v>1</v>
      </c>
      <c r="N2511" s="2">
        <f>YEAR(B2511)</f>
        <v>2025</v>
      </c>
      <c r="O2511" t="str">
        <f>INDEX(Agences!$C:$C,MATCH(F2511,Agences!$A:$A,0))</f>
        <v>Est</v>
      </c>
      <c r="P2511" t="str">
        <f>INDEX(Produits!$C:$C,MATCH(H2511,Produits!$A:$A,0))</f>
        <v>Informatique</v>
      </c>
      <c r="Q2511" s="3">
        <f>I2511*INDEX(Produits!$E:$E,MATCH(H2511,Produits!$A:$A,0))</f>
        <v>146.78</v>
      </c>
      <c r="R2511" s="3">
        <f>L2511-Q2511</f>
        <v>32.22</v>
      </c>
      <c r="S2511" s="2">
        <f>NETWORKDAYS(B2511,C2511)-1</f>
        <v>5</v>
      </c>
      <c r="T2511" s="1">
        <f>WORKDAY(B2511,5)</f>
        <v>45912</v>
      </c>
      <c r="U2511" t="b">
        <f>C2511&gt;T2511</f>
        <v>0</v>
      </c>
    </row>
    <row r="2512" spans="1:21" x14ac:dyDescent="0.25">
      <c r="A2512" t="s">
        <v>1654</v>
      </c>
      <c r="B2512" s="1">
        <v>45905</v>
      </c>
      <c r="C2512" s="1">
        <v>45909</v>
      </c>
      <c r="D2512" t="s">
        <v>1515</v>
      </c>
      <c r="E2512" t="s">
        <v>194</v>
      </c>
      <c r="F2512" t="s">
        <v>55</v>
      </c>
      <c r="G2512" t="s">
        <v>195</v>
      </c>
      <c r="H2512" t="s">
        <v>49</v>
      </c>
      <c r="I2512" s="2">
        <v>1</v>
      </c>
      <c r="J2512" s="3">
        <v>120</v>
      </c>
      <c r="K2512" s="4">
        <v>0.1</v>
      </c>
      <c r="L2512" s="3">
        <v>108</v>
      </c>
      <c r="M2512" t="b">
        <v>1</v>
      </c>
      <c r="N2512" s="2">
        <f>YEAR(B2512)</f>
        <v>2025</v>
      </c>
      <c r="O2512" t="str">
        <f>INDEX(Agences!$C:$C,MATCH(F2512,Agences!$A:$A,0))</f>
        <v>Est</v>
      </c>
      <c r="P2512" t="str">
        <f>INDEX(Produits!$C:$C,MATCH(H2512,Produits!$A:$A,0))</f>
        <v>Maintenance</v>
      </c>
      <c r="Q2512" s="3">
        <f>I2512*INDEX(Produits!$E:$E,MATCH(H2512,Produits!$A:$A,0))</f>
        <v>55.2</v>
      </c>
      <c r="R2512" s="3">
        <f>L2512-Q2512</f>
        <v>52.8</v>
      </c>
      <c r="S2512" s="2">
        <f>NETWORKDAYS(B2512,C2512)-1</f>
        <v>2</v>
      </c>
      <c r="T2512" s="1">
        <f>WORKDAY(B2512,5)</f>
        <v>45912</v>
      </c>
      <c r="U2512" t="b">
        <f>C2512&gt;T2512</f>
        <v>0</v>
      </c>
    </row>
    <row r="2513" spans="1:21" x14ac:dyDescent="0.25">
      <c r="A2513" t="s">
        <v>1654</v>
      </c>
      <c r="B2513" s="1">
        <v>45905</v>
      </c>
      <c r="C2513" s="1">
        <v>45909</v>
      </c>
      <c r="D2513" t="s">
        <v>1515</v>
      </c>
      <c r="E2513" t="s">
        <v>194</v>
      </c>
      <c r="F2513" t="s">
        <v>55</v>
      </c>
      <c r="G2513" t="s">
        <v>195</v>
      </c>
      <c r="H2513" t="s">
        <v>237</v>
      </c>
      <c r="I2513" s="2">
        <v>1</v>
      </c>
      <c r="J2513" s="3">
        <v>890</v>
      </c>
      <c r="K2513" s="4">
        <v>0.05</v>
      </c>
      <c r="L2513" s="3">
        <v>845.5</v>
      </c>
      <c r="M2513" t="b">
        <v>1</v>
      </c>
      <c r="N2513" s="2">
        <f>YEAR(B2513)</f>
        <v>2025</v>
      </c>
      <c r="O2513" t="str">
        <f>INDEX(Agences!$C:$C,MATCH(F2513,Agences!$A:$A,0))</f>
        <v>Est</v>
      </c>
      <c r="P2513" t="str">
        <f>INDEX(Produits!$C:$C,MATCH(H2513,Produits!$A:$A,0))</f>
        <v>Mobilier</v>
      </c>
      <c r="Q2513" s="3">
        <f>I2513*INDEX(Produits!$E:$E,MATCH(H2513,Produits!$A:$A,0))</f>
        <v>596.3</v>
      </c>
      <c r="R2513" s="3">
        <f>L2513-Q2513</f>
        <v>249.20000000000005</v>
      </c>
      <c r="S2513" s="2">
        <f>NETWORKDAYS(B2513,C2513)-1</f>
        <v>2</v>
      </c>
      <c r="T2513" s="1">
        <f>WORKDAY(B2513,5)</f>
        <v>45912</v>
      </c>
      <c r="U2513" t="b">
        <f>C2513&gt;T2513</f>
        <v>0</v>
      </c>
    </row>
    <row r="2514" spans="1:21" x14ac:dyDescent="0.25">
      <c r="A2514" t="s">
        <v>1655</v>
      </c>
      <c r="B2514" s="1">
        <v>45904</v>
      </c>
      <c r="C2514" s="1">
        <v>45908</v>
      </c>
      <c r="D2514" t="s">
        <v>1305</v>
      </c>
      <c r="E2514" t="s">
        <v>236</v>
      </c>
      <c r="F2514" t="s">
        <v>39</v>
      </c>
      <c r="G2514" t="s">
        <v>322</v>
      </c>
      <c r="H2514" t="s">
        <v>42</v>
      </c>
      <c r="I2514" s="2">
        <v>1</v>
      </c>
      <c r="J2514" s="3">
        <v>55</v>
      </c>
      <c r="K2514" s="4">
        <v>0</v>
      </c>
      <c r="L2514" s="3">
        <v>55</v>
      </c>
      <c r="M2514" t="b">
        <v>1</v>
      </c>
      <c r="N2514" s="2">
        <f>YEAR(B2514)</f>
        <v>2025</v>
      </c>
      <c r="O2514" t="str">
        <f>INDEX(Agences!$C:$C,MATCH(F2514,Agences!$A:$A,0))</f>
        <v>Sud-Ouest</v>
      </c>
      <c r="P2514" t="str">
        <f>INDEX(Produits!$C:$C,MATCH(H2514,Produits!$A:$A,0))</f>
        <v>Maintenance</v>
      </c>
      <c r="Q2514" s="3">
        <f>I2514*INDEX(Produits!$E:$E,MATCH(H2514,Produits!$A:$A,0))</f>
        <v>24.75</v>
      </c>
      <c r="R2514" s="3">
        <f>L2514-Q2514</f>
        <v>30.25</v>
      </c>
      <c r="S2514" s="2">
        <f>NETWORKDAYS(B2514,C2514)-1</f>
        <v>2</v>
      </c>
      <c r="T2514" s="1">
        <f>WORKDAY(B2514,5)</f>
        <v>45911</v>
      </c>
      <c r="U2514" t="b">
        <f>C2514&gt;T2514</f>
        <v>0</v>
      </c>
    </row>
    <row r="2515" spans="1:21" x14ac:dyDescent="0.25">
      <c r="A2515" t="s">
        <v>1655</v>
      </c>
      <c r="B2515" s="1">
        <v>45904</v>
      </c>
      <c r="C2515" s="1">
        <v>45908</v>
      </c>
      <c r="D2515" t="s">
        <v>1305</v>
      </c>
      <c r="E2515" t="s">
        <v>236</v>
      </c>
      <c r="F2515" t="s">
        <v>39</v>
      </c>
      <c r="G2515" t="s">
        <v>322</v>
      </c>
      <c r="H2515" t="s">
        <v>50</v>
      </c>
      <c r="I2515" s="2">
        <v>1</v>
      </c>
      <c r="J2515" s="3">
        <v>69</v>
      </c>
      <c r="K2515" s="4">
        <v>0.02</v>
      </c>
      <c r="L2515" s="3">
        <v>67.62</v>
      </c>
      <c r="M2515" t="b">
        <v>1</v>
      </c>
      <c r="N2515" s="2">
        <f>YEAR(B2515)</f>
        <v>2025</v>
      </c>
      <c r="O2515" t="str">
        <f>INDEX(Agences!$C:$C,MATCH(F2515,Agences!$A:$A,0))</f>
        <v>Sud-Ouest</v>
      </c>
      <c r="P2515" t="str">
        <f>INDEX(Produits!$C:$C,MATCH(H2515,Produits!$A:$A,0))</f>
        <v>Informatique</v>
      </c>
      <c r="Q2515" s="3">
        <f>I2515*INDEX(Produits!$E:$E,MATCH(H2515,Produits!$A:$A,0))</f>
        <v>54.51</v>
      </c>
      <c r="R2515" s="3">
        <f>L2515-Q2515</f>
        <v>13.110000000000007</v>
      </c>
      <c r="S2515" s="2">
        <f>NETWORKDAYS(B2515,C2515)-1</f>
        <v>2</v>
      </c>
      <c r="T2515" s="1">
        <f>WORKDAY(B2515,5)</f>
        <v>45911</v>
      </c>
      <c r="U2515" t="b">
        <f>C2515&gt;T2515</f>
        <v>0</v>
      </c>
    </row>
    <row r="2516" spans="1:21" x14ac:dyDescent="0.25">
      <c r="A2516" t="s">
        <v>1656</v>
      </c>
      <c r="B2516" s="1">
        <v>45903</v>
      </c>
      <c r="C2516" s="1">
        <v>45905</v>
      </c>
      <c r="D2516" t="s">
        <v>1657</v>
      </c>
      <c r="E2516" t="s">
        <v>209</v>
      </c>
      <c r="F2516" t="s">
        <v>99</v>
      </c>
      <c r="G2516" t="s">
        <v>210</v>
      </c>
      <c r="H2516" t="s">
        <v>50</v>
      </c>
      <c r="I2516" s="2">
        <v>1</v>
      </c>
      <c r="J2516" s="3">
        <v>69</v>
      </c>
      <c r="K2516" s="4">
        <v>0</v>
      </c>
      <c r="L2516" s="3">
        <v>69</v>
      </c>
      <c r="M2516" t="b">
        <v>1</v>
      </c>
      <c r="N2516" s="2">
        <f>YEAR(B2516)</f>
        <v>2025</v>
      </c>
      <c r="O2516" t="str">
        <f>INDEX(Agences!$C:$C,MATCH(F2516,Agences!$A:$A,0))</f>
        <v>Nord</v>
      </c>
      <c r="P2516" t="str">
        <f>INDEX(Produits!$C:$C,MATCH(H2516,Produits!$A:$A,0))</f>
        <v>Informatique</v>
      </c>
      <c r="Q2516" s="3">
        <f>I2516*INDEX(Produits!$E:$E,MATCH(H2516,Produits!$A:$A,0))</f>
        <v>54.51</v>
      </c>
      <c r="R2516" s="3">
        <f>L2516-Q2516</f>
        <v>14.490000000000002</v>
      </c>
      <c r="S2516" s="2">
        <f>NETWORKDAYS(B2516,C2516)-1</f>
        <v>2</v>
      </c>
      <c r="T2516" s="1">
        <f>WORKDAY(B2516,5)</f>
        <v>45910</v>
      </c>
      <c r="U2516" t="b">
        <f>C2516&gt;T2516</f>
        <v>0</v>
      </c>
    </row>
    <row r="2517" spans="1:21" x14ac:dyDescent="0.25">
      <c r="A2517" t="s">
        <v>1656</v>
      </c>
      <c r="B2517" s="1">
        <v>45903</v>
      </c>
      <c r="C2517" s="1">
        <v>45905</v>
      </c>
      <c r="D2517" t="s">
        <v>1657</v>
      </c>
      <c r="E2517" t="s">
        <v>209</v>
      </c>
      <c r="F2517" t="s">
        <v>99</v>
      </c>
      <c r="G2517" t="s">
        <v>210</v>
      </c>
      <c r="H2517" t="s">
        <v>162</v>
      </c>
      <c r="I2517" s="2">
        <v>2</v>
      </c>
      <c r="J2517" s="3">
        <v>289</v>
      </c>
      <c r="K2517" s="4">
        <v>0.1</v>
      </c>
      <c r="L2517" s="3">
        <v>520.2</v>
      </c>
      <c r="M2517" t="b">
        <v>1</v>
      </c>
      <c r="N2517" s="2">
        <f>YEAR(B2517)</f>
        <v>2025</v>
      </c>
      <c r="O2517" t="str">
        <f>INDEX(Agences!$C:$C,MATCH(F2517,Agences!$A:$A,0))</f>
        <v>Nord</v>
      </c>
      <c r="P2517" t="str">
        <f>INDEX(Produits!$C:$C,MATCH(H2517,Produits!$A:$A,0))</f>
        <v>Mobilier</v>
      </c>
      <c r="Q2517" s="3">
        <f>I2517*INDEX(Produits!$E:$E,MATCH(H2517,Produits!$A:$A,0))</f>
        <v>387.26</v>
      </c>
      <c r="R2517" s="3">
        <f>L2517-Q2517</f>
        <v>132.94000000000005</v>
      </c>
      <c r="S2517" s="2">
        <f>NETWORKDAYS(B2517,C2517)-1</f>
        <v>2</v>
      </c>
      <c r="T2517" s="1">
        <f>WORKDAY(B2517,5)</f>
        <v>45910</v>
      </c>
      <c r="U2517" t="b">
        <f>C2517&gt;T2517</f>
        <v>0</v>
      </c>
    </row>
    <row r="2518" spans="1:21" x14ac:dyDescent="0.25">
      <c r="A2518" t="s">
        <v>1656</v>
      </c>
      <c r="B2518" s="1">
        <v>45903</v>
      </c>
      <c r="C2518" s="1">
        <v>45905</v>
      </c>
      <c r="D2518" t="s">
        <v>1657</v>
      </c>
      <c r="E2518" t="s">
        <v>209</v>
      </c>
      <c r="F2518" t="s">
        <v>99</v>
      </c>
      <c r="G2518" t="s">
        <v>210</v>
      </c>
      <c r="H2518" t="s">
        <v>57</v>
      </c>
      <c r="I2518" s="2">
        <v>4</v>
      </c>
      <c r="J2518" s="3">
        <v>149</v>
      </c>
      <c r="K2518" s="4">
        <v>0</v>
      </c>
      <c r="L2518" s="3">
        <v>596</v>
      </c>
      <c r="M2518" t="b">
        <v>1</v>
      </c>
      <c r="N2518" s="2">
        <f>YEAR(B2518)</f>
        <v>2025</v>
      </c>
      <c r="O2518" t="str">
        <f>INDEX(Agences!$C:$C,MATCH(F2518,Agences!$A:$A,0))</f>
        <v>Nord</v>
      </c>
      <c r="P2518" t="str">
        <f>INDEX(Produits!$C:$C,MATCH(H2518,Produits!$A:$A,0))</f>
        <v>Informatique</v>
      </c>
      <c r="Q2518" s="3">
        <f>I2518*INDEX(Produits!$E:$E,MATCH(H2518,Produits!$A:$A,0))</f>
        <v>458.92</v>
      </c>
      <c r="R2518" s="3">
        <f>L2518-Q2518</f>
        <v>137.07999999999998</v>
      </c>
      <c r="S2518" s="2">
        <f>NETWORKDAYS(B2518,C2518)-1</f>
        <v>2</v>
      </c>
      <c r="T2518" s="1">
        <f>WORKDAY(B2518,5)</f>
        <v>45910</v>
      </c>
      <c r="U2518" t="b">
        <f>C2518&gt;T2518</f>
        <v>0</v>
      </c>
    </row>
    <row r="2519" spans="1:21" x14ac:dyDescent="0.25">
      <c r="A2519" t="s">
        <v>1658</v>
      </c>
      <c r="B2519" s="1">
        <v>45903</v>
      </c>
      <c r="C2519" s="1">
        <v>45905</v>
      </c>
      <c r="D2519" t="s">
        <v>889</v>
      </c>
      <c r="E2519" t="s">
        <v>399</v>
      </c>
      <c r="F2519" t="s">
        <v>166</v>
      </c>
      <c r="G2519" t="s">
        <v>248</v>
      </c>
      <c r="H2519" t="s">
        <v>34</v>
      </c>
      <c r="I2519" s="2">
        <v>2</v>
      </c>
      <c r="J2519" s="3">
        <v>340</v>
      </c>
      <c r="K2519" s="4">
        <v>0.05</v>
      </c>
      <c r="L2519" s="3">
        <v>646</v>
      </c>
      <c r="M2519" t="b">
        <v>1</v>
      </c>
      <c r="N2519" s="2">
        <f>YEAR(B2519)</f>
        <v>2025</v>
      </c>
      <c r="O2519" t="str">
        <f>INDEX(Agences!$C:$C,MATCH(F2519,Agences!$A:$A,0))</f>
        <v>Ouest</v>
      </c>
      <c r="P2519" t="str">
        <f>INDEX(Produits!$C:$C,MATCH(H2519,Produits!$A:$A,0))</f>
        <v>Informatique</v>
      </c>
      <c r="Q2519" s="3">
        <f>I2519*INDEX(Produits!$E:$E,MATCH(H2519,Produits!$A:$A,0))</f>
        <v>550.8</v>
      </c>
      <c r="R2519" s="3">
        <f>L2519-Q2519</f>
        <v>95.20000000000005</v>
      </c>
      <c r="S2519" s="2">
        <f>NETWORKDAYS(B2519,C2519)-1</f>
        <v>2</v>
      </c>
      <c r="T2519" s="1">
        <f>WORKDAY(B2519,5)</f>
        <v>45910</v>
      </c>
      <c r="U2519" t="b">
        <f>C2519&gt;T2519</f>
        <v>0</v>
      </c>
    </row>
    <row r="2520" spans="1:21" x14ac:dyDescent="0.25">
      <c r="A2520" t="s">
        <v>1659</v>
      </c>
      <c r="B2520" s="1">
        <v>45903</v>
      </c>
      <c r="C2520" s="1">
        <v>45908</v>
      </c>
      <c r="D2520" t="s">
        <v>1660</v>
      </c>
      <c r="E2520" t="s">
        <v>185</v>
      </c>
      <c r="F2520" t="s">
        <v>31</v>
      </c>
      <c r="G2520" t="s">
        <v>32</v>
      </c>
      <c r="H2520" t="s">
        <v>319</v>
      </c>
      <c r="I2520" s="2">
        <v>1</v>
      </c>
      <c r="J2520" s="3">
        <v>289</v>
      </c>
      <c r="K2520" s="4">
        <v>0</v>
      </c>
      <c r="L2520" s="3">
        <v>289</v>
      </c>
      <c r="M2520" t="b">
        <v>1</v>
      </c>
      <c r="N2520" s="2">
        <f>YEAR(B2520)</f>
        <v>2025</v>
      </c>
      <c r="O2520" t="str">
        <f>INDEX(Agences!$C:$C,MATCH(F2520,Agences!$A:$A,0))</f>
        <v>Ouest</v>
      </c>
      <c r="P2520" t="str">
        <f>INDEX(Produits!$C:$C,MATCH(H2520,Produits!$A:$A,0))</f>
        <v>Informatique</v>
      </c>
      <c r="Q2520" s="3">
        <f>I2520*INDEX(Produits!$E:$E,MATCH(H2520,Produits!$A:$A,0))</f>
        <v>213.86</v>
      </c>
      <c r="R2520" s="3">
        <f>L2520-Q2520</f>
        <v>75.13999999999999</v>
      </c>
      <c r="S2520" s="2">
        <f>NETWORKDAYS(B2520,C2520)-1</f>
        <v>3</v>
      </c>
      <c r="T2520" s="1">
        <f>WORKDAY(B2520,5)</f>
        <v>45910</v>
      </c>
      <c r="U2520" t="b">
        <f>C2520&gt;T2520</f>
        <v>0</v>
      </c>
    </row>
    <row r="2521" spans="1:21" x14ac:dyDescent="0.25">
      <c r="A2521" t="s">
        <v>1659</v>
      </c>
      <c r="B2521" s="1">
        <v>45903</v>
      </c>
      <c r="C2521" s="1">
        <v>45908</v>
      </c>
      <c r="D2521" t="s">
        <v>1660</v>
      </c>
      <c r="E2521" t="s">
        <v>185</v>
      </c>
      <c r="F2521" t="s">
        <v>31</v>
      </c>
      <c r="G2521" t="s">
        <v>32</v>
      </c>
      <c r="H2521" t="s">
        <v>42</v>
      </c>
      <c r="I2521" s="2">
        <v>1</v>
      </c>
      <c r="J2521" s="3">
        <v>55</v>
      </c>
      <c r="K2521" s="4">
        <v>0</v>
      </c>
      <c r="L2521" s="3">
        <v>55</v>
      </c>
      <c r="M2521" t="b">
        <v>1</v>
      </c>
      <c r="N2521" s="2">
        <f>YEAR(B2521)</f>
        <v>2025</v>
      </c>
      <c r="O2521" t="str">
        <f>INDEX(Agences!$C:$C,MATCH(F2521,Agences!$A:$A,0))</f>
        <v>Ouest</v>
      </c>
      <c r="P2521" t="str">
        <f>INDEX(Produits!$C:$C,MATCH(H2521,Produits!$A:$A,0))</f>
        <v>Maintenance</v>
      </c>
      <c r="Q2521" s="3">
        <f>I2521*INDEX(Produits!$E:$E,MATCH(H2521,Produits!$A:$A,0))</f>
        <v>24.75</v>
      </c>
      <c r="R2521" s="3">
        <f>L2521-Q2521</f>
        <v>30.25</v>
      </c>
      <c r="S2521" s="2">
        <f>NETWORKDAYS(B2521,C2521)-1</f>
        <v>3</v>
      </c>
      <c r="T2521" s="1">
        <f>WORKDAY(B2521,5)</f>
        <v>45910</v>
      </c>
      <c r="U2521" t="b">
        <f>C2521&gt;T2521</f>
        <v>0</v>
      </c>
    </row>
    <row r="2522" spans="1:21" x14ac:dyDescent="0.25">
      <c r="A2522" t="s">
        <v>1659</v>
      </c>
      <c r="B2522" s="1">
        <v>45903</v>
      </c>
      <c r="C2522" s="1">
        <v>45908</v>
      </c>
      <c r="D2522" t="s">
        <v>1660</v>
      </c>
      <c r="E2522" t="s">
        <v>185</v>
      </c>
      <c r="F2522" t="s">
        <v>31</v>
      </c>
      <c r="G2522" t="s">
        <v>32</v>
      </c>
      <c r="H2522" t="s">
        <v>34</v>
      </c>
      <c r="I2522" s="2">
        <v>2</v>
      </c>
      <c r="J2522" s="3">
        <v>340</v>
      </c>
      <c r="K2522" s="4">
        <v>0.05</v>
      </c>
      <c r="L2522" s="3">
        <v>646</v>
      </c>
      <c r="M2522" t="b">
        <v>1</v>
      </c>
      <c r="N2522" s="2">
        <f>YEAR(B2522)</f>
        <v>2025</v>
      </c>
      <c r="O2522" t="str">
        <f>INDEX(Agences!$C:$C,MATCH(F2522,Agences!$A:$A,0))</f>
        <v>Ouest</v>
      </c>
      <c r="P2522" t="str">
        <f>INDEX(Produits!$C:$C,MATCH(H2522,Produits!$A:$A,0))</f>
        <v>Informatique</v>
      </c>
      <c r="Q2522" s="3">
        <f>I2522*INDEX(Produits!$E:$E,MATCH(H2522,Produits!$A:$A,0))</f>
        <v>550.8</v>
      </c>
      <c r="R2522" s="3">
        <f>L2522-Q2522</f>
        <v>95.20000000000005</v>
      </c>
      <c r="S2522" s="2">
        <f>NETWORKDAYS(B2522,C2522)-1</f>
        <v>3</v>
      </c>
      <c r="T2522" s="1">
        <f>WORKDAY(B2522,5)</f>
        <v>45910</v>
      </c>
      <c r="U2522" t="b">
        <f>C2522&gt;T2522</f>
        <v>0</v>
      </c>
    </row>
    <row r="2523" spans="1:21" x14ac:dyDescent="0.25">
      <c r="A2523" t="s">
        <v>1661</v>
      </c>
      <c r="B2523" s="1">
        <v>45903</v>
      </c>
      <c r="C2523" s="1">
        <v>45904</v>
      </c>
      <c r="D2523" t="s">
        <v>1660</v>
      </c>
      <c r="E2523" t="s">
        <v>185</v>
      </c>
      <c r="F2523" t="s">
        <v>31</v>
      </c>
      <c r="G2523" t="s">
        <v>32</v>
      </c>
      <c r="H2523" t="s">
        <v>79</v>
      </c>
      <c r="I2523" s="2">
        <v>5</v>
      </c>
      <c r="J2523" s="3">
        <v>14.9</v>
      </c>
      <c r="K2523" s="4">
        <v>0</v>
      </c>
      <c r="L2523" s="3">
        <v>74.5</v>
      </c>
      <c r="M2523" t="b">
        <v>1</v>
      </c>
      <c r="N2523" s="2">
        <f>YEAR(B2523)</f>
        <v>2025</v>
      </c>
      <c r="O2523" t="str">
        <f>INDEX(Agences!$C:$C,MATCH(F2523,Agences!$A:$A,0))</f>
        <v>Ouest</v>
      </c>
      <c r="P2523" t="str">
        <f>INDEX(Produits!$C:$C,MATCH(H2523,Produits!$A:$A,0))</f>
        <v>Fournitures</v>
      </c>
      <c r="Q2523" s="3">
        <f>I2523*INDEX(Produits!$E:$E,MATCH(H2523,Produits!$A:$A,0))</f>
        <v>40.25</v>
      </c>
      <c r="R2523" s="3">
        <f>L2523-Q2523</f>
        <v>34.25</v>
      </c>
      <c r="S2523" s="2">
        <f>NETWORKDAYS(B2523,C2523)-1</f>
        <v>1</v>
      </c>
      <c r="T2523" s="1">
        <f>WORKDAY(B2523,5)</f>
        <v>45910</v>
      </c>
      <c r="U2523" t="b">
        <f>C2523&gt;T2523</f>
        <v>0</v>
      </c>
    </row>
    <row r="2524" spans="1:21" x14ac:dyDescent="0.25">
      <c r="A2524" t="s">
        <v>1661</v>
      </c>
      <c r="B2524" s="1">
        <v>45903</v>
      </c>
      <c r="C2524" s="1">
        <v>45904</v>
      </c>
      <c r="D2524" t="s">
        <v>1660</v>
      </c>
      <c r="E2524" t="s">
        <v>185</v>
      </c>
      <c r="F2524" t="s">
        <v>31</v>
      </c>
      <c r="G2524" t="s">
        <v>32</v>
      </c>
      <c r="H2524" t="s">
        <v>319</v>
      </c>
      <c r="I2524" s="2">
        <v>2</v>
      </c>
      <c r="J2524" s="3">
        <v>289</v>
      </c>
      <c r="K2524" s="4">
        <v>0.05</v>
      </c>
      <c r="L2524" s="3">
        <v>549.1</v>
      </c>
      <c r="M2524" t="b">
        <v>1</v>
      </c>
      <c r="N2524" s="2">
        <f>YEAR(B2524)</f>
        <v>2025</v>
      </c>
      <c r="O2524" t="str">
        <f>INDEX(Agences!$C:$C,MATCH(F2524,Agences!$A:$A,0))</f>
        <v>Ouest</v>
      </c>
      <c r="P2524" t="str">
        <f>INDEX(Produits!$C:$C,MATCH(H2524,Produits!$A:$A,0))</f>
        <v>Informatique</v>
      </c>
      <c r="Q2524" s="3">
        <f>I2524*INDEX(Produits!$E:$E,MATCH(H2524,Produits!$A:$A,0))</f>
        <v>427.72</v>
      </c>
      <c r="R2524" s="3">
        <f>L2524-Q2524</f>
        <v>121.38</v>
      </c>
      <c r="S2524" s="2">
        <f>NETWORKDAYS(B2524,C2524)-1</f>
        <v>1</v>
      </c>
      <c r="T2524" s="1">
        <f>WORKDAY(B2524,5)</f>
        <v>45910</v>
      </c>
      <c r="U2524" t="b">
        <f>C2524&gt;T2524</f>
        <v>0</v>
      </c>
    </row>
    <row r="2525" spans="1:21" x14ac:dyDescent="0.25">
      <c r="A2525" t="s">
        <v>1662</v>
      </c>
      <c r="B2525" s="1">
        <v>45903</v>
      </c>
      <c r="C2525" s="1">
        <v>45904</v>
      </c>
      <c r="D2525" t="s">
        <v>446</v>
      </c>
      <c r="E2525" t="s">
        <v>191</v>
      </c>
      <c r="F2525" t="s">
        <v>62</v>
      </c>
      <c r="G2525" t="s">
        <v>68</v>
      </c>
      <c r="H2525" t="s">
        <v>48</v>
      </c>
      <c r="I2525" s="2">
        <v>1</v>
      </c>
      <c r="J2525" s="3">
        <v>165</v>
      </c>
      <c r="K2525" s="4">
        <v>0.05</v>
      </c>
      <c r="L2525" s="3">
        <v>156.75</v>
      </c>
      <c r="M2525" t="b">
        <v>1</v>
      </c>
      <c r="N2525" s="2">
        <f>YEAR(B2525)</f>
        <v>2025</v>
      </c>
      <c r="O2525" t="str">
        <f>INDEX(Agences!$C:$C,MATCH(F2525,Agences!$A:$A,0))</f>
        <v>Méditerranée</v>
      </c>
      <c r="P2525" t="str">
        <f>INDEX(Produits!$C:$C,MATCH(H2525,Produits!$A:$A,0))</f>
        <v>Mobilier</v>
      </c>
      <c r="Q2525" s="3">
        <f>I2525*INDEX(Produits!$E:$E,MATCH(H2525,Produits!$A:$A,0))</f>
        <v>107.25</v>
      </c>
      <c r="R2525" s="3">
        <f>L2525-Q2525</f>
        <v>49.5</v>
      </c>
      <c r="S2525" s="2">
        <f>NETWORKDAYS(B2525,C2525)-1</f>
        <v>1</v>
      </c>
      <c r="T2525" s="1">
        <f>WORKDAY(B2525,5)</f>
        <v>45910</v>
      </c>
      <c r="U2525" t="b">
        <f>C2525&gt;T2525</f>
        <v>0</v>
      </c>
    </row>
    <row r="2526" spans="1:21" x14ac:dyDescent="0.25">
      <c r="A2526" t="s">
        <v>1662</v>
      </c>
      <c r="B2526" s="1">
        <v>45903</v>
      </c>
      <c r="C2526" s="1">
        <v>45904</v>
      </c>
      <c r="D2526" t="s">
        <v>446</v>
      </c>
      <c r="E2526" t="s">
        <v>191</v>
      </c>
      <c r="F2526" t="s">
        <v>62</v>
      </c>
      <c r="G2526" t="s">
        <v>68</v>
      </c>
      <c r="H2526" t="s">
        <v>196</v>
      </c>
      <c r="I2526" s="2">
        <v>5</v>
      </c>
      <c r="J2526" s="3">
        <v>18.5</v>
      </c>
      <c r="K2526" s="4">
        <v>0</v>
      </c>
      <c r="L2526" s="3">
        <v>92.5</v>
      </c>
      <c r="M2526" t="b">
        <v>1</v>
      </c>
      <c r="N2526" s="2">
        <f>YEAR(B2526)</f>
        <v>2025</v>
      </c>
      <c r="O2526" t="str">
        <f>INDEX(Agences!$C:$C,MATCH(F2526,Agences!$A:$A,0))</f>
        <v>Méditerranée</v>
      </c>
      <c r="P2526" t="str">
        <f>INDEX(Produits!$C:$C,MATCH(H2526,Produits!$A:$A,0))</f>
        <v>Fournitures</v>
      </c>
      <c r="Q2526" s="3">
        <f>I2526*INDEX(Produits!$E:$E,MATCH(H2526,Produits!$A:$A,0))</f>
        <v>47.199999999999996</v>
      </c>
      <c r="R2526" s="3">
        <f>L2526-Q2526</f>
        <v>45.300000000000004</v>
      </c>
      <c r="S2526" s="2">
        <f>NETWORKDAYS(B2526,C2526)-1</f>
        <v>1</v>
      </c>
      <c r="T2526" s="1">
        <f>WORKDAY(B2526,5)</f>
        <v>45910</v>
      </c>
      <c r="U2526" t="b">
        <f>C2526&gt;T2526</f>
        <v>0</v>
      </c>
    </row>
    <row r="2527" spans="1:21" x14ac:dyDescent="0.25">
      <c r="A2527" t="s">
        <v>1662</v>
      </c>
      <c r="B2527" s="1">
        <v>45903</v>
      </c>
      <c r="C2527" s="1">
        <v>45904</v>
      </c>
      <c r="D2527" t="s">
        <v>446</v>
      </c>
      <c r="E2527" t="s">
        <v>191</v>
      </c>
      <c r="F2527" t="s">
        <v>62</v>
      </c>
      <c r="G2527" t="s">
        <v>68</v>
      </c>
      <c r="H2527" t="s">
        <v>84</v>
      </c>
      <c r="I2527" s="2">
        <v>1</v>
      </c>
      <c r="J2527" s="3">
        <v>420</v>
      </c>
      <c r="K2527" s="4">
        <v>0.08</v>
      </c>
      <c r="L2527" s="3">
        <v>386.4</v>
      </c>
      <c r="M2527" t="b">
        <v>1</v>
      </c>
      <c r="N2527" s="2">
        <f>YEAR(B2527)</f>
        <v>2025</v>
      </c>
      <c r="O2527" t="str">
        <f>INDEX(Agences!$C:$C,MATCH(F2527,Agences!$A:$A,0))</f>
        <v>Méditerranée</v>
      </c>
      <c r="P2527" t="str">
        <f>INDEX(Produits!$C:$C,MATCH(H2527,Produits!$A:$A,0))</f>
        <v>Mobilier</v>
      </c>
      <c r="Q2527" s="3">
        <f>I2527*INDEX(Produits!$E:$E,MATCH(H2527,Produits!$A:$A,0))</f>
        <v>243.6</v>
      </c>
      <c r="R2527" s="3">
        <f>L2527-Q2527</f>
        <v>142.79999999999998</v>
      </c>
      <c r="S2527" s="2">
        <f>NETWORKDAYS(B2527,C2527)-1</f>
        <v>1</v>
      </c>
      <c r="T2527" s="1">
        <f>WORKDAY(B2527,5)</f>
        <v>45910</v>
      </c>
      <c r="U2527" t="b">
        <f>C2527&gt;T2527</f>
        <v>0</v>
      </c>
    </row>
    <row r="2528" spans="1:21" x14ac:dyDescent="0.25">
      <c r="A2528" t="s">
        <v>1663</v>
      </c>
      <c r="B2528" s="1">
        <v>45903</v>
      </c>
      <c r="C2528" s="1">
        <v>45908</v>
      </c>
      <c r="D2528" t="s">
        <v>1529</v>
      </c>
      <c r="E2528" t="s">
        <v>153</v>
      </c>
      <c r="F2528" t="s">
        <v>94</v>
      </c>
      <c r="G2528" t="s">
        <v>95</v>
      </c>
      <c r="H2528" t="s">
        <v>112</v>
      </c>
      <c r="I2528" s="2">
        <v>1</v>
      </c>
      <c r="J2528" s="3">
        <v>129</v>
      </c>
      <c r="K2528" s="4">
        <v>0</v>
      </c>
      <c r="L2528" s="3">
        <v>129</v>
      </c>
      <c r="M2528" t="b">
        <v>1</v>
      </c>
      <c r="N2528" s="2">
        <f>YEAR(B2528)</f>
        <v>2025</v>
      </c>
      <c r="O2528" t="str">
        <f>INDEX(Agences!$C:$C,MATCH(F2528,Agences!$A:$A,0))</f>
        <v>Méditerranée</v>
      </c>
      <c r="P2528" t="str">
        <f>INDEX(Produits!$C:$C,MATCH(H2528,Produits!$A:$A,0))</f>
        <v>Mobilier</v>
      </c>
      <c r="Q2528" s="3">
        <f>I2528*INDEX(Produits!$E:$E,MATCH(H2528,Produits!$A:$A,0))</f>
        <v>86.43</v>
      </c>
      <c r="R2528" s="3">
        <f>L2528-Q2528</f>
        <v>42.56999999999999</v>
      </c>
      <c r="S2528" s="2">
        <f>NETWORKDAYS(B2528,C2528)-1</f>
        <v>3</v>
      </c>
      <c r="T2528" s="1">
        <f>WORKDAY(B2528,5)</f>
        <v>45910</v>
      </c>
      <c r="U2528" t="b">
        <f>C2528&gt;T2528</f>
        <v>0</v>
      </c>
    </row>
    <row r="2529" spans="1:21" x14ac:dyDescent="0.25">
      <c r="A2529" t="s">
        <v>1663</v>
      </c>
      <c r="B2529" s="1">
        <v>45903</v>
      </c>
      <c r="C2529" s="1">
        <v>45908</v>
      </c>
      <c r="D2529" t="s">
        <v>1529</v>
      </c>
      <c r="E2529" t="s">
        <v>153</v>
      </c>
      <c r="F2529" t="s">
        <v>94</v>
      </c>
      <c r="G2529" t="s">
        <v>95</v>
      </c>
      <c r="H2529" t="s">
        <v>42</v>
      </c>
      <c r="I2529" s="2">
        <v>1</v>
      </c>
      <c r="J2529" s="3">
        <v>55</v>
      </c>
      <c r="K2529" s="4">
        <v>0</v>
      </c>
      <c r="L2529" s="3">
        <v>55</v>
      </c>
      <c r="M2529" t="b">
        <v>1</v>
      </c>
      <c r="N2529" s="2">
        <f>YEAR(B2529)</f>
        <v>2025</v>
      </c>
      <c r="O2529" t="str">
        <f>INDEX(Agences!$C:$C,MATCH(F2529,Agences!$A:$A,0))</f>
        <v>Méditerranée</v>
      </c>
      <c r="P2529" t="str">
        <f>INDEX(Produits!$C:$C,MATCH(H2529,Produits!$A:$A,0))</f>
        <v>Maintenance</v>
      </c>
      <c r="Q2529" s="3">
        <f>I2529*INDEX(Produits!$E:$E,MATCH(H2529,Produits!$A:$A,0))</f>
        <v>24.75</v>
      </c>
      <c r="R2529" s="3">
        <f>L2529-Q2529</f>
        <v>30.25</v>
      </c>
      <c r="S2529" s="2">
        <f>NETWORKDAYS(B2529,C2529)-1</f>
        <v>3</v>
      </c>
      <c r="T2529" s="1">
        <f>WORKDAY(B2529,5)</f>
        <v>45910</v>
      </c>
      <c r="U2529" t="b">
        <f>C2529&gt;T2529</f>
        <v>0</v>
      </c>
    </row>
    <row r="2530" spans="1:21" x14ac:dyDescent="0.25">
      <c r="A2530" t="s">
        <v>1664</v>
      </c>
      <c r="B2530" s="1">
        <v>45902</v>
      </c>
      <c r="C2530" s="1">
        <v>45904</v>
      </c>
      <c r="D2530" t="s">
        <v>1665</v>
      </c>
      <c r="E2530" t="s">
        <v>336</v>
      </c>
      <c r="F2530" t="s">
        <v>166</v>
      </c>
      <c r="G2530" t="s">
        <v>248</v>
      </c>
      <c r="H2530" t="s">
        <v>205</v>
      </c>
      <c r="I2530" s="2">
        <v>4</v>
      </c>
      <c r="J2530" s="3">
        <v>359</v>
      </c>
      <c r="K2530" s="4">
        <v>0.05</v>
      </c>
      <c r="L2530" s="3">
        <v>1364.2</v>
      </c>
      <c r="M2530" t="b">
        <v>1</v>
      </c>
      <c r="N2530" s="2">
        <f>YEAR(B2530)</f>
        <v>2025</v>
      </c>
      <c r="O2530" t="str">
        <f>INDEX(Agences!$C:$C,MATCH(F2530,Agences!$A:$A,0))</f>
        <v>Ouest</v>
      </c>
      <c r="P2530" t="str">
        <f>INDEX(Produits!$C:$C,MATCH(H2530,Produits!$A:$A,0))</f>
        <v>Mobilier</v>
      </c>
      <c r="Q2530" s="3">
        <f>I2530*INDEX(Produits!$E:$E,MATCH(H2530,Produits!$A:$A,0))</f>
        <v>818.52</v>
      </c>
      <c r="R2530" s="3">
        <f>L2530-Q2530</f>
        <v>545.6800000000001</v>
      </c>
      <c r="S2530" s="2">
        <f>NETWORKDAYS(B2530,C2530)-1</f>
        <v>2</v>
      </c>
      <c r="T2530" s="1">
        <f>WORKDAY(B2530,5)</f>
        <v>45909</v>
      </c>
      <c r="U2530" t="b">
        <f>C2530&gt;T2530</f>
        <v>0</v>
      </c>
    </row>
    <row r="2531" spans="1:21" x14ac:dyDescent="0.25">
      <c r="A2531" t="s">
        <v>1664</v>
      </c>
      <c r="B2531" s="1">
        <v>45902</v>
      </c>
      <c r="C2531" s="1">
        <v>45904</v>
      </c>
      <c r="D2531" t="s">
        <v>1665</v>
      </c>
      <c r="E2531" t="s">
        <v>336</v>
      </c>
      <c r="F2531" t="s">
        <v>166</v>
      </c>
      <c r="G2531" t="s">
        <v>248</v>
      </c>
      <c r="H2531" t="s">
        <v>57</v>
      </c>
      <c r="I2531" s="2">
        <v>1</v>
      </c>
      <c r="J2531" s="3">
        <v>149</v>
      </c>
      <c r="K2531" s="4">
        <v>0</v>
      </c>
      <c r="L2531" s="3">
        <v>149</v>
      </c>
      <c r="M2531" t="b">
        <v>1</v>
      </c>
      <c r="N2531" s="2">
        <f>YEAR(B2531)</f>
        <v>2025</v>
      </c>
      <c r="O2531" t="str">
        <f>INDEX(Agences!$C:$C,MATCH(F2531,Agences!$A:$A,0))</f>
        <v>Ouest</v>
      </c>
      <c r="P2531" t="str">
        <f>INDEX(Produits!$C:$C,MATCH(H2531,Produits!$A:$A,0))</f>
        <v>Informatique</v>
      </c>
      <c r="Q2531" s="3">
        <f>I2531*INDEX(Produits!$E:$E,MATCH(H2531,Produits!$A:$A,0))</f>
        <v>114.73</v>
      </c>
      <c r="R2531" s="3">
        <f>L2531-Q2531</f>
        <v>34.269999999999996</v>
      </c>
      <c r="S2531" s="2">
        <f>NETWORKDAYS(B2531,C2531)-1</f>
        <v>2</v>
      </c>
      <c r="T2531" s="1">
        <f>WORKDAY(B2531,5)</f>
        <v>45909</v>
      </c>
      <c r="U2531" t="b">
        <f>C2531&gt;T2531</f>
        <v>0</v>
      </c>
    </row>
    <row r="2532" spans="1:21" x14ac:dyDescent="0.25">
      <c r="A2532" t="s">
        <v>1664</v>
      </c>
      <c r="B2532" s="1">
        <v>45902</v>
      </c>
      <c r="C2532" s="1">
        <v>45904</v>
      </c>
      <c r="D2532" t="s">
        <v>1665</v>
      </c>
      <c r="E2532" t="s">
        <v>336</v>
      </c>
      <c r="F2532" t="s">
        <v>166</v>
      </c>
      <c r="G2532" t="s">
        <v>248</v>
      </c>
      <c r="H2532" t="s">
        <v>42</v>
      </c>
      <c r="I2532" s="2">
        <v>2</v>
      </c>
      <c r="J2532" s="3">
        <v>55</v>
      </c>
      <c r="K2532" s="4">
        <v>0.05</v>
      </c>
      <c r="L2532" s="3">
        <v>104.5</v>
      </c>
      <c r="M2532" t="b">
        <v>1</v>
      </c>
      <c r="N2532" s="2">
        <f>YEAR(B2532)</f>
        <v>2025</v>
      </c>
      <c r="O2532" t="str">
        <f>INDEX(Agences!$C:$C,MATCH(F2532,Agences!$A:$A,0))</f>
        <v>Ouest</v>
      </c>
      <c r="P2532" t="str">
        <f>INDEX(Produits!$C:$C,MATCH(H2532,Produits!$A:$A,0))</f>
        <v>Maintenance</v>
      </c>
      <c r="Q2532" s="3">
        <f>I2532*INDEX(Produits!$E:$E,MATCH(H2532,Produits!$A:$A,0))</f>
        <v>49.5</v>
      </c>
      <c r="R2532" s="3">
        <f>L2532-Q2532</f>
        <v>55</v>
      </c>
      <c r="S2532" s="2">
        <f>NETWORKDAYS(B2532,C2532)-1</f>
        <v>2</v>
      </c>
      <c r="T2532" s="1">
        <f>WORKDAY(B2532,5)</f>
        <v>45909</v>
      </c>
      <c r="U2532" t="b">
        <f>C2532&gt;T2532</f>
        <v>0</v>
      </c>
    </row>
    <row r="2533" spans="1:21" x14ac:dyDescent="0.25">
      <c r="A2533" t="s">
        <v>1666</v>
      </c>
      <c r="B2533" s="1">
        <v>45902</v>
      </c>
      <c r="C2533" s="1">
        <v>45909</v>
      </c>
      <c r="D2533" t="s">
        <v>288</v>
      </c>
      <c r="E2533" t="s">
        <v>256</v>
      </c>
      <c r="F2533" t="s">
        <v>88</v>
      </c>
      <c r="G2533" t="s">
        <v>89</v>
      </c>
      <c r="H2533" t="s">
        <v>50</v>
      </c>
      <c r="I2533" s="2">
        <v>1</v>
      </c>
      <c r="J2533" s="3">
        <v>69</v>
      </c>
      <c r="K2533" s="4">
        <v>0.02</v>
      </c>
      <c r="L2533" s="3">
        <v>67.62</v>
      </c>
      <c r="M2533" t="b">
        <v>1</v>
      </c>
      <c r="N2533" s="2">
        <f>YEAR(B2533)</f>
        <v>2025</v>
      </c>
      <c r="O2533" t="str">
        <f>INDEX(Agences!$C:$C,MATCH(F2533,Agences!$A:$A,0))</f>
        <v>Sud-Ouest</v>
      </c>
      <c r="P2533" t="str">
        <f>INDEX(Produits!$C:$C,MATCH(H2533,Produits!$A:$A,0))</f>
        <v>Informatique</v>
      </c>
      <c r="Q2533" s="3">
        <f>I2533*INDEX(Produits!$E:$E,MATCH(H2533,Produits!$A:$A,0))</f>
        <v>54.51</v>
      </c>
      <c r="R2533" s="3">
        <f>L2533-Q2533</f>
        <v>13.110000000000007</v>
      </c>
      <c r="S2533" s="2">
        <f>NETWORKDAYS(B2533,C2533)-1</f>
        <v>5</v>
      </c>
      <c r="T2533" s="1">
        <f>WORKDAY(B2533,5)</f>
        <v>45909</v>
      </c>
      <c r="U2533" t="b">
        <f>C2533&gt;T2533</f>
        <v>0</v>
      </c>
    </row>
    <row r="2534" spans="1:21" x14ac:dyDescent="0.25">
      <c r="A2534" t="s">
        <v>1666</v>
      </c>
      <c r="B2534" s="1">
        <v>45902</v>
      </c>
      <c r="C2534" s="1">
        <v>45909</v>
      </c>
      <c r="D2534" t="s">
        <v>288</v>
      </c>
      <c r="E2534" t="s">
        <v>256</v>
      </c>
      <c r="F2534" t="s">
        <v>88</v>
      </c>
      <c r="G2534" t="s">
        <v>89</v>
      </c>
      <c r="H2534" t="s">
        <v>79</v>
      </c>
      <c r="I2534" s="2">
        <v>5</v>
      </c>
      <c r="J2534" s="3">
        <v>14.9</v>
      </c>
      <c r="K2534" s="4">
        <v>0.08</v>
      </c>
      <c r="L2534" s="3">
        <v>68.54</v>
      </c>
      <c r="M2534" t="b">
        <v>1</v>
      </c>
      <c r="N2534" s="2">
        <f>YEAR(B2534)</f>
        <v>2025</v>
      </c>
      <c r="O2534" t="str">
        <f>INDEX(Agences!$C:$C,MATCH(F2534,Agences!$A:$A,0))</f>
        <v>Sud-Ouest</v>
      </c>
      <c r="P2534" t="str">
        <f>INDEX(Produits!$C:$C,MATCH(H2534,Produits!$A:$A,0))</f>
        <v>Fournitures</v>
      </c>
      <c r="Q2534" s="3">
        <f>I2534*INDEX(Produits!$E:$E,MATCH(H2534,Produits!$A:$A,0))</f>
        <v>40.25</v>
      </c>
      <c r="R2534" s="3">
        <f>L2534-Q2534</f>
        <v>28.290000000000006</v>
      </c>
      <c r="S2534" s="2">
        <f>NETWORKDAYS(B2534,C2534)-1</f>
        <v>5</v>
      </c>
      <c r="T2534" s="1">
        <f>WORKDAY(B2534,5)</f>
        <v>45909</v>
      </c>
      <c r="U2534" t="b">
        <f>C2534&gt;T2534</f>
        <v>0</v>
      </c>
    </row>
    <row r="2535" spans="1:21" x14ac:dyDescent="0.25">
      <c r="A2535" t="s">
        <v>1666</v>
      </c>
      <c r="B2535" s="1">
        <v>45902</v>
      </c>
      <c r="C2535" s="1">
        <v>45909</v>
      </c>
      <c r="D2535" t="s">
        <v>288</v>
      </c>
      <c r="E2535" t="s">
        <v>256</v>
      </c>
      <c r="F2535" t="s">
        <v>88</v>
      </c>
      <c r="G2535" t="s">
        <v>89</v>
      </c>
      <c r="H2535" t="s">
        <v>233</v>
      </c>
      <c r="I2535" s="2">
        <v>10</v>
      </c>
      <c r="J2535" s="3">
        <v>27.5</v>
      </c>
      <c r="K2535" s="4">
        <v>0</v>
      </c>
      <c r="L2535" s="3">
        <v>275</v>
      </c>
      <c r="M2535" t="b">
        <v>1</v>
      </c>
      <c r="N2535" s="2">
        <f>YEAR(B2535)</f>
        <v>2025</v>
      </c>
      <c r="O2535" t="str">
        <f>INDEX(Agences!$C:$C,MATCH(F2535,Agences!$A:$A,0))</f>
        <v>Sud-Ouest</v>
      </c>
      <c r="P2535" t="str">
        <f>INDEX(Produits!$C:$C,MATCH(H2535,Produits!$A:$A,0))</f>
        <v>Fournitures</v>
      </c>
      <c r="Q2535" s="3">
        <f>I2535*INDEX(Produits!$E:$E,MATCH(H2535,Produits!$A:$A,0))</f>
        <v>154</v>
      </c>
      <c r="R2535" s="3">
        <f>L2535-Q2535</f>
        <v>121</v>
      </c>
      <c r="S2535" s="2">
        <f>NETWORKDAYS(B2535,C2535)-1</f>
        <v>5</v>
      </c>
      <c r="T2535" s="1">
        <f>WORKDAY(B2535,5)</f>
        <v>45909</v>
      </c>
      <c r="U2535" t="b">
        <f>C2535&gt;T2535</f>
        <v>0</v>
      </c>
    </row>
    <row r="2536" spans="1:21" x14ac:dyDescent="0.25">
      <c r="A2536" t="s">
        <v>1666</v>
      </c>
      <c r="B2536" s="1">
        <v>45902</v>
      </c>
      <c r="C2536" s="1">
        <v>45909</v>
      </c>
      <c r="D2536" t="s">
        <v>288</v>
      </c>
      <c r="E2536" t="s">
        <v>256</v>
      </c>
      <c r="F2536" t="s">
        <v>88</v>
      </c>
      <c r="G2536" t="s">
        <v>89</v>
      </c>
      <c r="H2536" t="s">
        <v>107</v>
      </c>
      <c r="I2536" s="2">
        <v>2</v>
      </c>
      <c r="J2536" s="3">
        <v>99</v>
      </c>
      <c r="K2536" s="4">
        <v>0.05</v>
      </c>
      <c r="L2536" s="3">
        <v>188.1</v>
      </c>
      <c r="M2536" t="b">
        <v>1</v>
      </c>
      <c r="N2536" s="2">
        <f>YEAR(B2536)</f>
        <v>2025</v>
      </c>
      <c r="O2536" t="str">
        <f>INDEX(Agences!$C:$C,MATCH(F2536,Agences!$A:$A,0))</f>
        <v>Sud-Ouest</v>
      </c>
      <c r="P2536" t="str">
        <f>INDEX(Produits!$C:$C,MATCH(H2536,Produits!$A:$A,0))</f>
        <v>Informatique</v>
      </c>
      <c r="Q2536" s="3">
        <f>I2536*INDEX(Produits!$E:$E,MATCH(H2536,Produits!$A:$A,0))</f>
        <v>150.48</v>
      </c>
      <c r="R2536" s="3">
        <f>L2536-Q2536</f>
        <v>37.620000000000005</v>
      </c>
      <c r="S2536" s="2">
        <f>NETWORKDAYS(B2536,C2536)-1</f>
        <v>5</v>
      </c>
      <c r="T2536" s="1">
        <f>WORKDAY(B2536,5)</f>
        <v>45909</v>
      </c>
      <c r="U2536" t="b">
        <f>C2536&gt;T2536</f>
        <v>0</v>
      </c>
    </row>
    <row r="2537" spans="1:21" x14ac:dyDescent="0.25">
      <c r="A2537" t="s">
        <v>1667</v>
      </c>
      <c r="B2537" s="1">
        <v>45901</v>
      </c>
      <c r="C2537" s="1">
        <v>45903</v>
      </c>
      <c r="D2537" t="s">
        <v>1212</v>
      </c>
      <c r="E2537" t="s">
        <v>307</v>
      </c>
      <c r="F2537" t="s">
        <v>76</v>
      </c>
      <c r="G2537" t="s">
        <v>232</v>
      </c>
      <c r="H2537" t="s">
        <v>57</v>
      </c>
      <c r="I2537" s="2">
        <v>1</v>
      </c>
      <c r="J2537" s="3">
        <v>149</v>
      </c>
      <c r="K2537" s="4">
        <v>0</v>
      </c>
      <c r="L2537" s="3">
        <v>149</v>
      </c>
      <c r="M2537" t="b">
        <v>1</v>
      </c>
      <c r="N2537" s="2">
        <f>YEAR(B2537)</f>
        <v>2025</v>
      </c>
      <c r="O2537" t="str">
        <f>INDEX(Agences!$C:$C,MATCH(F2537,Agences!$A:$A,0))</f>
        <v>Île-de-France</v>
      </c>
      <c r="P2537" t="str">
        <f>INDEX(Produits!$C:$C,MATCH(H2537,Produits!$A:$A,0))</f>
        <v>Informatique</v>
      </c>
      <c r="Q2537" s="3">
        <f>I2537*INDEX(Produits!$E:$E,MATCH(H2537,Produits!$A:$A,0))</f>
        <v>114.73</v>
      </c>
      <c r="R2537" s="3">
        <f>L2537-Q2537</f>
        <v>34.269999999999996</v>
      </c>
      <c r="S2537" s="2">
        <f>NETWORKDAYS(B2537,C2537)-1</f>
        <v>2</v>
      </c>
      <c r="T2537" s="1">
        <f>WORKDAY(B2537,5)</f>
        <v>45908</v>
      </c>
      <c r="U2537" t="b">
        <f>C2537&gt;T2537</f>
        <v>0</v>
      </c>
    </row>
    <row r="2538" spans="1:21" x14ac:dyDescent="0.25">
      <c r="A2538" t="s">
        <v>1667</v>
      </c>
      <c r="B2538" s="1">
        <v>45901</v>
      </c>
      <c r="C2538" s="1">
        <v>45903</v>
      </c>
      <c r="D2538" t="s">
        <v>1212</v>
      </c>
      <c r="E2538" t="s">
        <v>307</v>
      </c>
      <c r="F2538" t="s">
        <v>76</v>
      </c>
      <c r="G2538" t="s">
        <v>232</v>
      </c>
      <c r="H2538" t="s">
        <v>42</v>
      </c>
      <c r="I2538" s="2">
        <v>3</v>
      </c>
      <c r="J2538" s="3">
        <v>55</v>
      </c>
      <c r="K2538" s="4">
        <v>0.05</v>
      </c>
      <c r="L2538" s="3">
        <v>156.75</v>
      </c>
      <c r="M2538" t="b">
        <v>1</v>
      </c>
      <c r="N2538" s="2">
        <f>YEAR(B2538)</f>
        <v>2025</v>
      </c>
      <c r="O2538" t="str">
        <f>INDEX(Agences!$C:$C,MATCH(F2538,Agences!$A:$A,0))</f>
        <v>Île-de-France</v>
      </c>
      <c r="P2538" t="str">
        <f>INDEX(Produits!$C:$C,MATCH(H2538,Produits!$A:$A,0))</f>
        <v>Maintenance</v>
      </c>
      <c r="Q2538" s="3">
        <f>I2538*INDEX(Produits!$E:$E,MATCH(H2538,Produits!$A:$A,0))</f>
        <v>74.25</v>
      </c>
      <c r="R2538" s="3">
        <f>L2538-Q2538</f>
        <v>82.5</v>
      </c>
      <c r="S2538" s="2">
        <f>NETWORKDAYS(B2538,C2538)-1</f>
        <v>2</v>
      </c>
      <c r="T2538" s="1">
        <f>WORKDAY(B2538,5)</f>
        <v>45908</v>
      </c>
      <c r="U2538" t="b">
        <f>C2538&gt;T2538</f>
        <v>0</v>
      </c>
    </row>
    <row r="2539" spans="1:21" x14ac:dyDescent="0.25">
      <c r="A2539" t="s">
        <v>1667</v>
      </c>
      <c r="B2539" s="1">
        <v>45901</v>
      </c>
      <c r="C2539" s="1">
        <v>45903</v>
      </c>
      <c r="D2539" t="s">
        <v>1212</v>
      </c>
      <c r="E2539" t="s">
        <v>307</v>
      </c>
      <c r="F2539" t="s">
        <v>76</v>
      </c>
      <c r="G2539" t="s">
        <v>232</v>
      </c>
      <c r="H2539" t="s">
        <v>27</v>
      </c>
      <c r="I2539" s="2">
        <v>1</v>
      </c>
      <c r="J2539" s="3">
        <v>310</v>
      </c>
      <c r="K2539" s="4">
        <v>0.05</v>
      </c>
      <c r="L2539" s="3">
        <v>294.5</v>
      </c>
      <c r="M2539" t="b">
        <v>1</v>
      </c>
      <c r="N2539" s="2">
        <f>YEAR(B2539)</f>
        <v>2025</v>
      </c>
      <c r="O2539" t="str">
        <f>INDEX(Agences!$C:$C,MATCH(F2539,Agences!$A:$A,0))</f>
        <v>Île-de-France</v>
      </c>
      <c r="P2539" t="str">
        <f>INDEX(Produits!$C:$C,MATCH(H2539,Produits!$A:$A,0))</f>
        <v>Mobilier</v>
      </c>
      <c r="Q2539" s="3">
        <f>I2539*INDEX(Produits!$E:$E,MATCH(H2539,Produits!$A:$A,0))</f>
        <v>186</v>
      </c>
      <c r="R2539" s="3">
        <f>L2539-Q2539</f>
        <v>108.5</v>
      </c>
      <c r="S2539" s="2">
        <f>NETWORKDAYS(B2539,C2539)-1</f>
        <v>2</v>
      </c>
      <c r="T2539" s="1">
        <f>WORKDAY(B2539,5)</f>
        <v>45908</v>
      </c>
      <c r="U2539" t="b">
        <f>C2539&gt;T2539</f>
        <v>0</v>
      </c>
    </row>
    <row r="2540" spans="1:21" x14ac:dyDescent="0.25">
      <c r="A2540" t="s">
        <v>1668</v>
      </c>
      <c r="B2540" s="1">
        <v>45901</v>
      </c>
      <c r="C2540" s="1">
        <v>45904</v>
      </c>
      <c r="D2540" t="s">
        <v>250</v>
      </c>
      <c r="E2540" t="s">
        <v>251</v>
      </c>
      <c r="F2540" t="s">
        <v>166</v>
      </c>
      <c r="G2540" t="s">
        <v>179</v>
      </c>
      <c r="H2540" t="s">
        <v>42</v>
      </c>
      <c r="I2540" s="2">
        <v>1</v>
      </c>
      <c r="J2540" s="3">
        <v>55</v>
      </c>
      <c r="K2540" s="4">
        <v>0.05</v>
      </c>
      <c r="L2540" s="3">
        <v>52.25</v>
      </c>
      <c r="M2540" t="b">
        <v>1</v>
      </c>
      <c r="N2540" s="2">
        <f>YEAR(B2540)</f>
        <v>2025</v>
      </c>
      <c r="O2540" t="str">
        <f>INDEX(Agences!$C:$C,MATCH(F2540,Agences!$A:$A,0))</f>
        <v>Ouest</v>
      </c>
      <c r="P2540" t="str">
        <f>INDEX(Produits!$C:$C,MATCH(H2540,Produits!$A:$A,0))</f>
        <v>Maintenance</v>
      </c>
      <c r="Q2540" s="3">
        <f>I2540*INDEX(Produits!$E:$E,MATCH(H2540,Produits!$A:$A,0))</f>
        <v>24.75</v>
      </c>
      <c r="R2540" s="3">
        <f>L2540-Q2540</f>
        <v>27.5</v>
      </c>
      <c r="S2540" s="2">
        <f>NETWORKDAYS(B2540,C2540)-1</f>
        <v>3</v>
      </c>
      <c r="T2540" s="1">
        <f>WORKDAY(B2540,5)</f>
        <v>45908</v>
      </c>
      <c r="U2540" t="b">
        <f>C2540&gt;T2540</f>
        <v>0</v>
      </c>
    </row>
    <row r="2541" spans="1:21" x14ac:dyDescent="0.25">
      <c r="A2541" t="s">
        <v>1668</v>
      </c>
      <c r="B2541" s="1">
        <v>45901</v>
      </c>
      <c r="C2541" s="1">
        <v>45904</v>
      </c>
      <c r="D2541" t="s">
        <v>250</v>
      </c>
      <c r="E2541" t="s">
        <v>251</v>
      </c>
      <c r="F2541" t="s">
        <v>166</v>
      </c>
      <c r="G2541" t="s">
        <v>179</v>
      </c>
      <c r="H2541" t="s">
        <v>64</v>
      </c>
      <c r="I2541" s="2">
        <v>5</v>
      </c>
      <c r="J2541" s="3">
        <v>16.8</v>
      </c>
      <c r="K2541" s="4">
        <v>0.05</v>
      </c>
      <c r="L2541" s="3">
        <v>79.8</v>
      </c>
      <c r="M2541" t="b">
        <v>1</v>
      </c>
      <c r="N2541" s="2">
        <f>YEAR(B2541)</f>
        <v>2025</v>
      </c>
      <c r="O2541" t="str">
        <f>INDEX(Agences!$C:$C,MATCH(F2541,Agences!$A:$A,0))</f>
        <v>Ouest</v>
      </c>
      <c r="P2541" t="str">
        <f>INDEX(Produits!$C:$C,MATCH(H2541,Produits!$A:$A,0))</f>
        <v>Fournitures</v>
      </c>
      <c r="Q2541" s="3">
        <f>I2541*INDEX(Produits!$E:$E,MATCH(H2541,Produits!$A:$A,0))</f>
        <v>43.7</v>
      </c>
      <c r="R2541" s="3">
        <f>L2541-Q2541</f>
        <v>36.099999999999994</v>
      </c>
      <c r="S2541" s="2">
        <f>NETWORKDAYS(B2541,C2541)-1</f>
        <v>3</v>
      </c>
      <c r="T2541" s="1">
        <f>WORKDAY(B2541,5)</f>
        <v>45908</v>
      </c>
      <c r="U2541" t="b">
        <f>C2541&gt;T2541</f>
        <v>0</v>
      </c>
    </row>
    <row r="2542" spans="1:21" x14ac:dyDescent="0.25">
      <c r="A2542" t="s">
        <v>1668</v>
      </c>
      <c r="B2542" s="1">
        <v>45901</v>
      </c>
      <c r="C2542" s="1">
        <v>45904</v>
      </c>
      <c r="D2542" t="s">
        <v>250</v>
      </c>
      <c r="E2542" t="s">
        <v>251</v>
      </c>
      <c r="F2542" t="s">
        <v>166</v>
      </c>
      <c r="G2542" t="s">
        <v>179</v>
      </c>
      <c r="H2542" t="s">
        <v>57</v>
      </c>
      <c r="I2542" s="2">
        <v>1</v>
      </c>
      <c r="J2542" s="3">
        <v>149</v>
      </c>
      <c r="K2542" s="4">
        <v>0.02</v>
      </c>
      <c r="L2542" s="3">
        <v>146.02</v>
      </c>
      <c r="M2542" t="b">
        <v>1</v>
      </c>
      <c r="N2542" s="2">
        <f>YEAR(B2542)</f>
        <v>2025</v>
      </c>
      <c r="O2542" t="str">
        <f>INDEX(Agences!$C:$C,MATCH(F2542,Agences!$A:$A,0))</f>
        <v>Ouest</v>
      </c>
      <c r="P2542" t="str">
        <f>INDEX(Produits!$C:$C,MATCH(H2542,Produits!$A:$A,0))</f>
        <v>Informatique</v>
      </c>
      <c r="Q2542" s="3">
        <f>I2542*INDEX(Produits!$E:$E,MATCH(H2542,Produits!$A:$A,0))</f>
        <v>114.73</v>
      </c>
      <c r="R2542" s="3">
        <f>L2542-Q2542</f>
        <v>31.290000000000006</v>
      </c>
      <c r="S2542" s="2">
        <f>NETWORKDAYS(B2542,C2542)-1</f>
        <v>3</v>
      </c>
      <c r="T2542" s="1">
        <f>WORKDAY(B2542,5)</f>
        <v>45908</v>
      </c>
      <c r="U2542" t="b">
        <f>C2542&gt;T2542</f>
        <v>0</v>
      </c>
    </row>
    <row r="2543" spans="1:21" x14ac:dyDescent="0.25">
      <c r="A2543" t="s">
        <v>1668</v>
      </c>
      <c r="B2543" s="1">
        <v>45901</v>
      </c>
      <c r="C2543" s="1">
        <v>45904</v>
      </c>
      <c r="D2543" t="s">
        <v>250</v>
      </c>
      <c r="E2543" t="s">
        <v>251</v>
      </c>
      <c r="F2543" t="s">
        <v>166</v>
      </c>
      <c r="G2543" t="s">
        <v>179</v>
      </c>
      <c r="H2543" t="s">
        <v>33</v>
      </c>
      <c r="I2543" s="2">
        <v>1</v>
      </c>
      <c r="J2543" s="3">
        <v>219</v>
      </c>
      <c r="K2543" s="4">
        <v>0</v>
      </c>
      <c r="L2543" s="3">
        <v>219</v>
      </c>
      <c r="M2543" t="b">
        <v>1</v>
      </c>
      <c r="N2543" s="2">
        <f>YEAR(B2543)</f>
        <v>2025</v>
      </c>
      <c r="O2543" t="str">
        <f>INDEX(Agences!$C:$C,MATCH(F2543,Agences!$A:$A,0))</f>
        <v>Ouest</v>
      </c>
      <c r="P2543" t="str">
        <f>INDEX(Produits!$C:$C,MATCH(H2543,Produits!$A:$A,0))</f>
        <v>Informatique</v>
      </c>
      <c r="Q2543" s="3">
        <f>I2543*INDEX(Produits!$E:$E,MATCH(H2543,Produits!$A:$A,0))</f>
        <v>179.58</v>
      </c>
      <c r="R2543" s="3">
        <f>L2543-Q2543</f>
        <v>39.41999999999999</v>
      </c>
      <c r="S2543" s="2">
        <f>NETWORKDAYS(B2543,C2543)-1</f>
        <v>3</v>
      </c>
      <c r="T2543" s="1">
        <f>WORKDAY(B2543,5)</f>
        <v>45908</v>
      </c>
      <c r="U2543" t="b">
        <f>C2543&gt;T2543</f>
        <v>0</v>
      </c>
    </row>
    <row r="2544" spans="1:21" x14ac:dyDescent="0.25">
      <c r="A2544" t="s">
        <v>1669</v>
      </c>
      <c r="B2544" s="1">
        <v>45901</v>
      </c>
      <c r="C2544" s="1">
        <v>45904</v>
      </c>
      <c r="D2544" t="s">
        <v>654</v>
      </c>
      <c r="E2544" t="s">
        <v>87</v>
      </c>
      <c r="F2544" t="s">
        <v>88</v>
      </c>
      <c r="G2544" t="s">
        <v>226</v>
      </c>
      <c r="H2544" t="s">
        <v>35</v>
      </c>
      <c r="I2544" s="2">
        <v>1</v>
      </c>
      <c r="J2544" s="3">
        <v>79</v>
      </c>
      <c r="K2544" s="4">
        <v>0.08</v>
      </c>
      <c r="L2544" s="3">
        <v>72.68</v>
      </c>
      <c r="M2544" t="b">
        <v>1</v>
      </c>
      <c r="N2544" s="2">
        <f>YEAR(B2544)</f>
        <v>2025</v>
      </c>
      <c r="O2544" t="str">
        <f>INDEX(Agences!$C:$C,MATCH(F2544,Agences!$A:$A,0))</f>
        <v>Sud-Ouest</v>
      </c>
      <c r="P2544" t="str">
        <f>INDEX(Produits!$C:$C,MATCH(H2544,Produits!$A:$A,0))</f>
        <v>Mobilier</v>
      </c>
      <c r="Q2544" s="3">
        <f>I2544*INDEX(Produits!$E:$E,MATCH(H2544,Produits!$A:$A,0))</f>
        <v>46.61</v>
      </c>
      <c r="R2544" s="3">
        <f>L2544-Q2544</f>
        <v>26.070000000000007</v>
      </c>
      <c r="S2544" s="2">
        <f>NETWORKDAYS(B2544,C2544)-1</f>
        <v>3</v>
      </c>
      <c r="T2544" s="1">
        <f>WORKDAY(B2544,5)</f>
        <v>45908</v>
      </c>
      <c r="U2544" t="b">
        <f>C2544&gt;T2544</f>
        <v>0</v>
      </c>
    </row>
    <row r="2545" spans="1:21" x14ac:dyDescent="0.25">
      <c r="A2545" t="s">
        <v>1669</v>
      </c>
      <c r="B2545" s="1">
        <v>45901</v>
      </c>
      <c r="C2545" s="1">
        <v>45904</v>
      </c>
      <c r="D2545" t="s">
        <v>654</v>
      </c>
      <c r="E2545" t="s">
        <v>87</v>
      </c>
      <c r="F2545" t="s">
        <v>88</v>
      </c>
      <c r="G2545" t="s">
        <v>226</v>
      </c>
      <c r="H2545" t="s">
        <v>107</v>
      </c>
      <c r="I2545" s="2">
        <v>6</v>
      </c>
      <c r="J2545" s="3">
        <v>99</v>
      </c>
      <c r="K2545" s="4">
        <v>0</v>
      </c>
      <c r="L2545" s="3">
        <v>594</v>
      </c>
      <c r="M2545" t="b">
        <v>1</v>
      </c>
      <c r="N2545" s="2">
        <f>YEAR(B2545)</f>
        <v>2025</v>
      </c>
      <c r="O2545" t="str">
        <f>INDEX(Agences!$C:$C,MATCH(F2545,Agences!$A:$A,0))</f>
        <v>Sud-Ouest</v>
      </c>
      <c r="P2545" t="str">
        <f>INDEX(Produits!$C:$C,MATCH(H2545,Produits!$A:$A,0))</f>
        <v>Informatique</v>
      </c>
      <c r="Q2545" s="3">
        <f>I2545*INDEX(Produits!$E:$E,MATCH(H2545,Produits!$A:$A,0))</f>
        <v>451.43999999999994</v>
      </c>
      <c r="R2545" s="3">
        <f>L2545-Q2545</f>
        <v>142.56000000000006</v>
      </c>
      <c r="S2545" s="2">
        <f>NETWORKDAYS(B2545,C2545)-1</f>
        <v>3</v>
      </c>
      <c r="T2545" s="1">
        <f>WORKDAY(B2545,5)</f>
        <v>45908</v>
      </c>
      <c r="U2545" t="b">
        <f>C2545&gt;T2545</f>
        <v>0</v>
      </c>
    </row>
    <row r="2546" spans="1:21" x14ac:dyDescent="0.25">
      <c r="A2546" t="s">
        <v>1670</v>
      </c>
      <c r="B2546" s="1">
        <v>45901</v>
      </c>
      <c r="C2546" s="1">
        <v>45903</v>
      </c>
      <c r="D2546" t="s">
        <v>767</v>
      </c>
      <c r="E2546" t="s">
        <v>93</v>
      </c>
      <c r="F2546" t="s">
        <v>94</v>
      </c>
      <c r="G2546" t="s">
        <v>154</v>
      </c>
      <c r="H2546" t="s">
        <v>196</v>
      </c>
      <c r="I2546" s="2">
        <v>5</v>
      </c>
      <c r="J2546" s="3">
        <v>18.5</v>
      </c>
      <c r="K2546" s="4">
        <v>0</v>
      </c>
      <c r="L2546" s="3">
        <v>92.5</v>
      </c>
      <c r="M2546" t="b">
        <v>1</v>
      </c>
      <c r="N2546" s="2">
        <f>YEAR(B2546)</f>
        <v>2025</v>
      </c>
      <c r="O2546" t="str">
        <f>INDEX(Agences!$C:$C,MATCH(F2546,Agences!$A:$A,0))</f>
        <v>Méditerranée</v>
      </c>
      <c r="P2546" t="str">
        <f>INDEX(Produits!$C:$C,MATCH(H2546,Produits!$A:$A,0))</f>
        <v>Fournitures</v>
      </c>
      <c r="Q2546" s="3">
        <f>I2546*INDEX(Produits!$E:$E,MATCH(H2546,Produits!$A:$A,0))</f>
        <v>47.199999999999996</v>
      </c>
      <c r="R2546" s="3">
        <f>L2546-Q2546</f>
        <v>45.300000000000004</v>
      </c>
      <c r="S2546" s="2">
        <f>NETWORKDAYS(B2546,C2546)-1</f>
        <v>2</v>
      </c>
      <c r="T2546" s="1">
        <f>WORKDAY(B2546,5)</f>
        <v>45908</v>
      </c>
      <c r="U2546" t="b">
        <f>C2546&gt;T2546</f>
        <v>0</v>
      </c>
    </row>
    <row r="2547" spans="1:21" x14ac:dyDescent="0.25">
      <c r="A2547" t="s">
        <v>1670</v>
      </c>
      <c r="B2547" s="1">
        <v>45901</v>
      </c>
      <c r="C2547" s="1">
        <v>45903</v>
      </c>
      <c r="D2547" t="s">
        <v>767</v>
      </c>
      <c r="E2547" t="s">
        <v>93</v>
      </c>
      <c r="F2547" t="s">
        <v>94</v>
      </c>
      <c r="G2547" t="s">
        <v>154</v>
      </c>
      <c r="H2547" t="s">
        <v>42</v>
      </c>
      <c r="I2547" s="2">
        <v>1</v>
      </c>
      <c r="J2547" s="3">
        <v>55</v>
      </c>
      <c r="K2547" s="4">
        <v>0.05</v>
      </c>
      <c r="L2547" s="3">
        <v>52.25</v>
      </c>
      <c r="M2547" t="b">
        <v>1</v>
      </c>
      <c r="N2547" s="2">
        <f>YEAR(B2547)</f>
        <v>2025</v>
      </c>
      <c r="O2547" t="str">
        <f>INDEX(Agences!$C:$C,MATCH(F2547,Agences!$A:$A,0))</f>
        <v>Méditerranée</v>
      </c>
      <c r="P2547" t="str">
        <f>INDEX(Produits!$C:$C,MATCH(H2547,Produits!$A:$A,0))</f>
        <v>Maintenance</v>
      </c>
      <c r="Q2547" s="3">
        <f>I2547*INDEX(Produits!$E:$E,MATCH(H2547,Produits!$A:$A,0))</f>
        <v>24.75</v>
      </c>
      <c r="R2547" s="3">
        <f>L2547-Q2547</f>
        <v>27.5</v>
      </c>
      <c r="S2547" s="2">
        <f>NETWORKDAYS(B2547,C2547)-1</f>
        <v>2</v>
      </c>
      <c r="T2547" s="1">
        <f>WORKDAY(B2547,5)</f>
        <v>45908</v>
      </c>
      <c r="U2547" t="b">
        <f>C2547&gt;T2547</f>
        <v>0</v>
      </c>
    </row>
    <row r="2548" spans="1:21" x14ac:dyDescent="0.25">
      <c r="A2548" t="s">
        <v>1670</v>
      </c>
      <c r="B2548" s="1">
        <v>45901</v>
      </c>
      <c r="C2548" s="1">
        <v>45903</v>
      </c>
      <c r="D2548" t="s">
        <v>767</v>
      </c>
      <c r="E2548" t="s">
        <v>93</v>
      </c>
      <c r="F2548" t="s">
        <v>94</v>
      </c>
      <c r="G2548" t="s">
        <v>154</v>
      </c>
      <c r="H2548" t="s">
        <v>35</v>
      </c>
      <c r="I2548" s="2">
        <v>2</v>
      </c>
      <c r="J2548" s="3">
        <v>79</v>
      </c>
      <c r="K2548" s="4">
        <v>0.02</v>
      </c>
      <c r="L2548" s="3">
        <v>154.84</v>
      </c>
      <c r="M2548" t="b">
        <v>1</v>
      </c>
      <c r="N2548" s="2">
        <f>YEAR(B2548)</f>
        <v>2025</v>
      </c>
      <c r="O2548" t="str">
        <f>INDEX(Agences!$C:$C,MATCH(F2548,Agences!$A:$A,0))</f>
        <v>Méditerranée</v>
      </c>
      <c r="P2548" t="str">
        <f>INDEX(Produits!$C:$C,MATCH(H2548,Produits!$A:$A,0))</f>
        <v>Mobilier</v>
      </c>
      <c r="Q2548" s="3">
        <f>I2548*INDEX(Produits!$E:$E,MATCH(H2548,Produits!$A:$A,0))</f>
        <v>93.22</v>
      </c>
      <c r="R2548" s="3">
        <f>L2548-Q2548</f>
        <v>61.620000000000005</v>
      </c>
      <c r="S2548" s="2">
        <f>NETWORKDAYS(B2548,C2548)-1</f>
        <v>2</v>
      </c>
      <c r="T2548" s="1">
        <f>WORKDAY(B2548,5)</f>
        <v>45908</v>
      </c>
      <c r="U2548" t="b">
        <f>C2548&gt;T2548</f>
        <v>0</v>
      </c>
    </row>
    <row r="2549" spans="1:21" x14ac:dyDescent="0.25">
      <c r="A2549" t="s">
        <v>1671</v>
      </c>
      <c r="B2549" s="1">
        <v>45898</v>
      </c>
      <c r="C2549" s="1">
        <v>45901</v>
      </c>
      <c r="D2549" t="s">
        <v>118</v>
      </c>
      <c r="E2549" t="s">
        <v>119</v>
      </c>
      <c r="F2549" t="s">
        <v>24</v>
      </c>
      <c r="G2549" t="s">
        <v>199</v>
      </c>
      <c r="H2549" t="s">
        <v>51</v>
      </c>
      <c r="I2549" s="2">
        <v>2</v>
      </c>
      <c r="J2549" s="3">
        <v>180</v>
      </c>
      <c r="K2549" s="4">
        <v>0</v>
      </c>
      <c r="L2549" s="3">
        <v>360</v>
      </c>
      <c r="M2549" t="b">
        <v>1</v>
      </c>
      <c r="N2549" s="2">
        <f>YEAR(B2549)</f>
        <v>2025</v>
      </c>
      <c r="O2549" t="str">
        <f>INDEX(Agences!$C:$C,MATCH(F2549,Agences!$A:$A,0))</f>
        <v>Nord</v>
      </c>
      <c r="P2549" t="str">
        <f>INDEX(Produits!$C:$C,MATCH(H2549,Produits!$A:$A,0))</f>
        <v>Maintenance</v>
      </c>
      <c r="Q2549" s="3">
        <f>I2549*INDEX(Produits!$E:$E,MATCH(H2549,Produits!$A:$A,0))</f>
        <v>165.6</v>
      </c>
      <c r="R2549" s="3">
        <f>L2549-Q2549</f>
        <v>194.4</v>
      </c>
      <c r="S2549" s="2">
        <f>NETWORKDAYS(B2549,C2549)-1</f>
        <v>1</v>
      </c>
      <c r="T2549" s="1">
        <f>WORKDAY(B2549,5)</f>
        <v>45905</v>
      </c>
      <c r="U2549" t="b">
        <f>C2549&gt;T2549</f>
        <v>0</v>
      </c>
    </row>
    <row r="2550" spans="1:21" x14ac:dyDescent="0.25">
      <c r="A2550" t="s">
        <v>1672</v>
      </c>
      <c r="B2550" s="1">
        <v>45898</v>
      </c>
      <c r="C2550" s="1">
        <v>45902</v>
      </c>
      <c r="D2550" t="s">
        <v>1673</v>
      </c>
      <c r="E2550" t="s">
        <v>157</v>
      </c>
      <c r="F2550" t="s">
        <v>46</v>
      </c>
      <c r="G2550" t="s">
        <v>111</v>
      </c>
      <c r="H2550" t="s">
        <v>319</v>
      </c>
      <c r="I2550" s="2">
        <v>1</v>
      </c>
      <c r="J2550" s="3">
        <v>289</v>
      </c>
      <c r="K2550" s="4">
        <v>0</v>
      </c>
      <c r="L2550" s="3">
        <v>289</v>
      </c>
      <c r="M2550" t="b">
        <v>1</v>
      </c>
      <c r="N2550" s="2">
        <f>YEAR(B2550)</f>
        <v>2025</v>
      </c>
      <c r="O2550" t="str">
        <f>INDEX(Agences!$C:$C,MATCH(F2550,Agences!$A:$A,0))</f>
        <v>Est</v>
      </c>
      <c r="P2550" t="str">
        <f>INDEX(Produits!$C:$C,MATCH(H2550,Produits!$A:$A,0))</f>
        <v>Informatique</v>
      </c>
      <c r="Q2550" s="3">
        <f>I2550*INDEX(Produits!$E:$E,MATCH(H2550,Produits!$A:$A,0))</f>
        <v>213.86</v>
      </c>
      <c r="R2550" s="3">
        <f>L2550-Q2550</f>
        <v>75.13999999999999</v>
      </c>
      <c r="S2550" s="2">
        <f>NETWORKDAYS(B2550,C2550)-1</f>
        <v>2</v>
      </c>
      <c r="T2550" s="1">
        <f>WORKDAY(B2550,5)</f>
        <v>45905</v>
      </c>
      <c r="U2550" t="b">
        <f>C2550&gt;T2550</f>
        <v>0</v>
      </c>
    </row>
    <row r="2551" spans="1:21" x14ac:dyDescent="0.25">
      <c r="A2551" t="s">
        <v>1672</v>
      </c>
      <c r="B2551" s="1">
        <v>45898</v>
      </c>
      <c r="C2551" s="1">
        <v>45902</v>
      </c>
      <c r="D2551" t="s">
        <v>1673</v>
      </c>
      <c r="E2551" t="s">
        <v>157</v>
      </c>
      <c r="F2551" t="s">
        <v>46</v>
      </c>
      <c r="G2551" t="s">
        <v>111</v>
      </c>
      <c r="H2551" t="s">
        <v>107</v>
      </c>
      <c r="I2551" s="2">
        <v>1</v>
      </c>
      <c r="J2551" s="3">
        <v>99</v>
      </c>
      <c r="K2551" s="4">
        <v>0</v>
      </c>
      <c r="L2551" s="3">
        <v>99</v>
      </c>
      <c r="M2551" t="b">
        <v>1</v>
      </c>
      <c r="N2551" s="2">
        <f>YEAR(B2551)</f>
        <v>2025</v>
      </c>
      <c r="O2551" t="str">
        <f>INDEX(Agences!$C:$C,MATCH(F2551,Agences!$A:$A,0))</f>
        <v>Est</v>
      </c>
      <c r="P2551" t="str">
        <f>INDEX(Produits!$C:$C,MATCH(H2551,Produits!$A:$A,0))</f>
        <v>Informatique</v>
      </c>
      <c r="Q2551" s="3">
        <f>I2551*INDEX(Produits!$E:$E,MATCH(H2551,Produits!$A:$A,0))</f>
        <v>75.24</v>
      </c>
      <c r="R2551" s="3">
        <f>L2551-Q2551</f>
        <v>23.760000000000005</v>
      </c>
      <c r="S2551" s="2">
        <f>NETWORKDAYS(B2551,C2551)-1</f>
        <v>2</v>
      </c>
      <c r="T2551" s="1">
        <f>WORKDAY(B2551,5)</f>
        <v>45905</v>
      </c>
      <c r="U2551" t="b">
        <f>C2551&gt;T2551</f>
        <v>0</v>
      </c>
    </row>
    <row r="2552" spans="1:21" x14ac:dyDescent="0.25">
      <c r="A2552" t="s">
        <v>1672</v>
      </c>
      <c r="B2552" s="1">
        <v>45898</v>
      </c>
      <c r="C2552" s="1">
        <v>45902</v>
      </c>
      <c r="D2552" t="s">
        <v>1673</v>
      </c>
      <c r="E2552" t="s">
        <v>157</v>
      </c>
      <c r="F2552" t="s">
        <v>46</v>
      </c>
      <c r="G2552" t="s">
        <v>111</v>
      </c>
      <c r="H2552" t="s">
        <v>50</v>
      </c>
      <c r="I2552" s="2">
        <v>6</v>
      </c>
      <c r="J2552" s="3">
        <v>69</v>
      </c>
      <c r="K2552" s="4">
        <v>0</v>
      </c>
      <c r="L2552" s="3">
        <v>414</v>
      </c>
      <c r="M2552" t="b">
        <v>1</v>
      </c>
      <c r="N2552" s="2">
        <f>YEAR(B2552)</f>
        <v>2025</v>
      </c>
      <c r="O2552" t="str">
        <f>INDEX(Agences!$C:$C,MATCH(F2552,Agences!$A:$A,0))</f>
        <v>Est</v>
      </c>
      <c r="P2552" t="str">
        <f>INDEX(Produits!$C:$C,MATCH(H2552,Produits!$A:$A,0))</f>
        <v>Informatique</v>
      </c>
      <c r="Q2552" s="3">
        <f>I2552*INDEX(Produits!$E:$E,MATCH(H2552,Produits!$A:$A,0))</f>
        <v>327.06</v>
      </c>
      <c r="R2552" s="3">
        <f>L2552-Q2552</f>
        <v>86.94</v>
      </c>
      <c r="S2552" s="2">
        <f>NETWORKDAYS(B2552,C2552)-1</f>
        <v>2</v>
      </c>
      <c r="T2552" s="1">
        <f>WORKDAY(B2552,5)</f>
        <v>45905</v>
      </c>
      <c r="U2552" t="b">
        <f>C2552&gt;T2552</f>
        <v>0</v>
      </c>
    </row>
    <row r="2553" spans="1:21" x14ac:dyDescent="0.25">
      <c r="A2553" t="s">
        <v>1674</v>
      </c>
      <c r="B2553" s="1">
        <v>45897</v>
      </c>
      <c r="C2553" s="1">
        <v>45903</v>
      </c>
      <c r="D2553" t="s">
        <v>920</v>
      </c>
      <c r="E2553" t="s">
        <v>137</v>
      </c>
      <c r="F2553" t="s">
        <v>138</v>
      </c>
      <c r="G2553" t="s">
        <v>214</v>
      </c>
      <c r="H2553" t="s">
        <v>49</v>
      </c>
      <c r="I2553" s="2">
        <v>1</v>
      </c>
      <c r="J2553" s="3">
        <v>120</v>
      </c>
      <c r="K2553" s="4">
        <v>0.05</v>
      </c>
      <c r="L2553" s="3">
        <v>114</v>
      </c>
      <c r="M2553" t="b">
        <v>1</v>
      </c>
      <c r="N2553" s="2">
        <f>YEAR(B2553)</f>
        <v>2025</v>
      </c>
      <c r="O2553" t="str">
        <f>INDEX(Agences!$C:$C,MATCH(F2553,Agences!$A:$A,0))</f>
        <v>Île-de-France</v>
      </c>
      <c r="P2553" t="str">
        <f>INDEX(Produits!$C:$C,MATCH(H2553,Produits!$A:$A,0))</f>
        <v>Maintenance</v>
      </c>
      <c r="Q2553" s="3">
        <f>I2553*INDEX(Produits!$E:$E,MATCH(H2553,Produits!$A:$A,0))</f>
        <v>55.2</v>
      </c>
      <c r="R2553" s="3">
        <f>L2553-Q2553</f>
        <v>58.8</v>
      </c>
      <c r="S2553" s="2">
        <f>NETWORKDAYS(B2553,C2553)-1</f>
        <v>4</v>
      </c>
      <c r="T2553" s="1">
        <f>WORKDAY(B2553,5)</f>
        <v>45904</v>
      </c>
      <c r="U2553" t="b">
        <f>C2553&gt;T2553</f>
        <v>0</v>
      </c>
    </row>
    <row r="2554" spans="1:21" x14ac:dyDescent="0.25">
      <c r="A2554" t="s">
        <v>1675</v>
      </c>
      <c r="B2554" s="1">
        <v>45897</v>
      </c>
      <c r="C2554" s="1">
        <v>45901</v>
      </c>
      <c r="D2554" t="s">
        <v>913</v>
      </c>
      <c r="E2554" t="s">
        <v>339</v>
      </c>
      <c r="F2554" t="s">
        <v>31</v>
      </c>
      <c r="G2554" t="s">
        <v>186</v>
      </c>
      <c r="H2554" t="s">
        <v>196</v>
      </c>
      <c r="I2554" s="2">
        <v>10</v>
      </c>
      <c r="J2554" s="3">
        <v>18.5</v>
      </c>
      <c r="K2554" s="4">
        <v>0</v>
      </c>
      <c r="L2554" s="3">
        <v>185</v>
      </c>
      <c r="M2554" t="b">
        <v>1</v>
      </c>
      <c r="N2554" s="2">
        <f>YEAR(B2554)</f>
        <v>2025</v>
      </c>
      <c r="O2554" t="str">
        <f>INDEX(Agences!$C:$C,MATCH(F2554,Agences!$A:$A,0))</f>
        <v>Ouest</v>
      </c>
      <c r="P2554" t="str">
        <f>INDEX(Produits!$C:$C,MATCH(H2554,Produits!$A:$A,0))</f>
        <v>Fournitures</v>
      </c>
      <c r="Q2554" s="3">
        <f>I2554*INDEX(Produits!$E:$E,MATCH(H2554,Produits!$A:$A,0))</f>
        <v>94.39999999999999</v>
      </c>
      <c r="R2554" s="3">
        <f>L2554-Q2554</f>
        <v>90.60000000000001</v>
      </c>
      <c r="S2554" s="2">
        <f>NETWORKDAYS(B2554,C2554)-1</f>
        <v>2</v>
      </c>
      <c r="T2554" s="1">
        <f>WORKDAY(B2554,5)</f>
        <v>45904</v>
      </c>
      <c r="U2554" t="b">
        <f>C2554&gt;T2554</f>
        <v>0</v>
      </c>
    </row>
    <row r="2555" spans="1:21" x14ac:dyDescent="0.25">
      <c r="A2555" t="s">
        <v>1675</v>
      </c>
      <c r="B2555" s="1">
        <v>45897</v>
      </c>
      <c r="C2555" s="1">
        <v>45901</v>
      </c>
      <c r="D2555" t="s">
        <v>913</v>
      </c>
      <c r="E2555" t="s">
        <v>339</v>
      </c>
      <c r="F2555" t="s">
        <v>31</v>
      </c>
      <c r="G2555" t="s">
        <v>186</v>
      </c>
      <c r="H2555" t="s">
        <v>107</v>
      </c>
      <c r="I2555" s="2">
        <v>1</v>
      </c>
      <c r="J2555" s="3">
        <v>99</v>
      </c>
      <c r="K2555" s="4">
        <v>0.08</v>
      </c>
      <c r="L2555" s="3">
        <v>91.08</v>
      </c>
      <c r="M2555" t="b">
        <v>1</v>
      </c>
      <c r="N2555" s="2">
        <f>YEAR(B2555)</f>
        <v>2025</v>
      </c>
      <c r="O2555" t="str">
        <f>INDEX(Agences!$C:$C,MATCH(F2555,Agences!$A:$A,0))</f>
        <v>Ouest</v>
      </c>
      <c r="P2555" t="str">
        <f>INDEX(Produits!$C:$C,MATCH(H2555,Produits!$A:$A,0))</f>
        <v>Informatique</v>
      </c>
      <c r="Q2555" s="3">
        <f>I2555*INDEX(Produits!$E:$E,MATCH(H2555,Produits!$A:$A,0))</f>
        <v>75.24</v>
      </c>
      <c r="R2555" s="3">
        <f>L2555-Q2555</f>
        <v>15.840000000000003</v>
      </c>
      <c r="S2555" s="2">
        <f>NETWORKDAYS(B2555,C2555)-1</f>
        <v>2</v>
      </c>
      <c r="T2555" s="1">
        <f>WORKDAY(B2555,5)</f>
        <v>45904</v>
      </c>
      <c r="U2555" t="b">
        <f>C2555&gt;T2555</f>
        <v>0</v>
      </c>
    </row>
    <row r="2556" spans="1:21" x14ac:dyDescent="0.25">
      <c r="A2556" t="s">
        <v>1675</v>
      </c>
      <c r="B2556" s="1">
        <v>45897</v>
      </c>
      <c r="C2556" s="1">
        <v>45901</v>
      </c>
      <c r="D2556" t="s">
        <v>913</v>
      </c>
      <c r="E2556" t="s">
        <v>339</v>
      </c>
      <c r="F2556" t="s">
        <v>31</v>
      </c>
      <c r="G2556" t="s">
        <v>186</v>
      </c>
      <c r="H2556" t="s">
        <v>49</v>
      </c>
      <c r="I2556" s="2">
        <v>1</v>
      </c>
      <c r="J2556" s="3">
        <v>120</v>
      </c>
      <c r="K2556" s="4">
        <v>0</v>
      </c>
      <c r="L2556" s="3">
        <v>120</v>
      </c>
      <c r="M2556" t="b">
        <v>1</v>
      </c>
      <c r="N2556" s="2">
        <f>YEAR(B2556)</f>
        <v>2025</v>
      </c>
      <c r="O2556" t="str">
        <f>INDEX(Agences!$C:$C,MATCH(F2556,Agences!$A:$A,0))</f>
        <v>Ouest</v>
      </c>
      <c r="P2556" t="str">
        <f>INDEX(Produits!$C:$C,MATCH(H2556,Produits!$A:$A,0))</f>
        <v>Maintenance</v>
      </c>
      <c r="Q2556" s="3">
        <f>I2556*INDEX(Produits!$E:$E,MATCH(H2556,Produits!$A:$A,0))</f>
        <v>55.2</v>
      </c>
      <c r="R2556" s="3">
        <f>L2556-Q2556</f>
        <v>64.8</v>
      </c>
      <c r="S2556" s="2">
        <f>NETWORKDAYS(B2556,C2556)-1</f>
        <v>2</v>
      </c>
      <c r="T2556" s="1">
        <f>WORKDAY(B2556,5)</f>
        <v>45904</v>
      </c>
      <c r="U2556" t="b">
        <f>C2556&gt;T2556</f>
        <v>0</v>
      </c>
    </row>
    <row r="2557" spans="1:21" x14ac:dyDescent="0.25">
      <c r="A2557" t="s">
        <v>1676</v>
      </c>
      <c r="B2557" s="1">
        <v>45897</v>
      </c>
      <c r="C2557" s="1">
        <v>45901</v>
      </c>
      <c r="D2557" t="s">
        <v>848</v>
      </c>
      <c r="E2557" t="s">
        <v>242</v>
      </c>
      <c r="F2557" t="s">
        <v>94</v>
      </c>
      <c r="G2557" t="s">
        <v>95</v>
      </c>
      <c r="H2557" t="s">
        <v>196</v>
      </c>
      <c r="I2557" s="2">
        <v>10</v>
      </c>
      <c r="J2557" s="3">
        <v>18.5</v>
      </c>
      <c r="K2557" s="4">
        <v>0</v>
      </c>
      <c r="L2557" s="3">
        <v>185</v>
      </c>
      <c r="M2557" t="b">
        <v>1</v>
      </c>
      <c r="N2557" s="2">
        <f>YEAR(B2557)</f>
        <v>2025</v>
      </c>
      <c r="O2557" t="str">
        <f>INDEX(Agences!$C:$C,MATCH(F2557,Agences!$A:$A,0))</f>
        <v>Méditerranée</v>
      </c>
      <c r="P2557" t="str">
        <f>INDEX(Produits!$C:$C,MATCH(H2557,Produits!$A:$A,0))</f>
        <v>Fournitures</v>
      </c>
      <c r="Q2557" s="3">
        <f>I2557*INDEX(Produits!$E:$E,MATCH(H2557,Produits!$A:$A,0))</f>
        <v>94.39999999999999</v>
      </c>
      <c r="R2557" s="3">
        <f>L2557-Q2557</f>
        <v>90.60000000000001</v>
      </c>
      <c r="S2557" s="2">
        <f>NETWORKDAYS(B2557,C2557)-1</f>
        <v>2</v>
      </c>
      <c r="T2557" s="1">
        <f>WORKDAY(B2557,5)</f>
        <v>45904</v>
      </c>
      <c r="U2557" t="b">
        <f>C2557&gt;T2557</f>
        <v>0</v>
      </c>
    </row>
    <row r="2558" spans="1:21" x14ac:dyDescent="0.25">
      <c r="A2558" t="s">
        <v>1676</v>
      </c>
      <c r="B2558" s="1">
        <v>45897</v>
      </c>
      <c r="C2558" s="1">
        <v>45901</v>
      </c>
      <c r="D2558" t="s">
        <v>848</v>
      </c>
      <c r="E2558" t="s">
        <v>242</v>
      </c>
      <c r="F2558" t="s">
        <v>94</v>
      </c>
      <c r="G2558" t="s">
        <v>95</v>
      </c>
      <c r="H2558" t="s">
        <v>42</v>
      </c>
      <c r="I2558" s="2">
        <v>1</v>
      </c>
      <c r="J2558" s="3">
        <v>55</v>
      </c>
      <c r="K2558" s="4">
        <v>0.08</v>
      </c>
      <c r="L2558" s="3">
        <v>50.6</v>
      </c>
      <c r="M2558" t="b">
        <v>1</v>
      </c>
      <c r="N2558" s="2">
        <f>YEAR(B2558)</f>
        <v>2025</v>
      </c>
      <c r="O2558" t="str">
        <f>INDEX(Agences!$C:$C,MATCH(F2558,Agences!$A:$A,0))</f>
        <v>Méditerranée</v>
      </c>
      <c r="P2558" t="str">
        <f>INDEX(Produits!$C:$C,MATCH(H2558,Produits!$A:$A,0))</f>
        <v>Maintenance</v>
      </c>
      <c r="Q2558" s="3">
        <f>I2558*INDEX(Produits!$E:$E,MATCH(H2558,Produits!$A:$A,0))</f>
        <v>24.75</v>
      </c>
      <c r="R2558" s="3">
        <f>L2558-Q2558</f>
        <v>25.85</v>
      </c>
      <c r="S2558" s="2">
        <f>NETWORKDAYS(B2558,C2558)-1</f>
        <v>2</v>
      </c>
      <c r="T2558" s="1">
        <f>WORKDAY(B2558,5)</f>
        <v>45904</v>
      </c>
      <c r="U2558" t="b">
        <f>C2558&gt;T2558</f>
        <v>0</v>
      </c>
    </row>
    <row r="2559" spans="1:21" x14ac:dyDescent="0.25">
      <c r="A2559" t="s">
        <v>1676</v>
      </c>
      <c r="B2559" s="1">
        <v>45897</v>
      </c>
      <c r="C2559" s="1">
        <v>45901</v>
      </c>
      <c r="D2559" t="s">
        <v>848</v>
      </c>
      <c r="E2559" t="s">
        <v>242</v>
      </c>
      <c r="F2559" t="s">
        <v>94</v>
      </c>
      <c r="G2559" t="s">
        <v>95</v>
      </c>
      <c r="H2559" t="s">
        <v>35</v>
      </c>
      <c r="I2559" s="2">
        <v>6</v>
      </c>
      <c r="J2559" s="3">
        <v>79</v>
      </c>
      <c r="K2559" s="4">
        <v>0</v>
      </c>
      <c r="L2559" s="3">
        <v>474</v>
      </c>
      <c r="M2559" t="b">
        <v>1</v>
      </c>
      <c r="N2559" s="2">
        <f>YEAR(B2559)</f>
        <v>2025</v>
      </c>
      <c r="O2559" t="str">
        <f>INDEX(Agences!$C:$C,MATCH(F2559,Agences!$A:$A,0))</f>
        <v>Méditerranée</v>
      </c>
      <c r="P2559" t="str">
        <f>INDEX(Produits!$C:$C,MATCH(H2559,Produits!$A:$A,0))</f>
        <v>Mobilier</v>
      </c>
      <c r="Q2559" s="3">
        <f>I2559*INDEX(Produits!$E:$E,MATCH(H2559,Produits!$A:$A,0))</f>
        <v>279.65999999999997</v>
      </c>
      <c r="R2559" s="3">
        <f>L2559-Q2559</f>
        <v>194.34000000000003</v>
      </c>
      <c r="S2559" s="2">
        <f>NETWORKDAYS(B2559,C2559)-1</f>
        <v>2</v>
      </c>
      <c r="T2559" s="1">
        <f>WORKDAY(B2559,5)</f>
        <v>45904</v>
      </c>
      <c r="U2559" t="b">
        <f>C2559&gt;T2559</f>
        <v>0</v>
      </c>
    </row>
    <row r="2560" spans="1:21" x14ac:dyDescent="0.25">
      <c r="A2560" t="s">
        <v>1676</v>
      </c>
      <c r="B2560" s="1">
        <v>45897</v>
      </c>
      <c r="C2560" s="1">
        <v>45901</v>
      </c>
      <c r="D2560" t="s">
        <v>848</v>
      </c>
      <c r="E2560" t="s">
        <v>242</v>
      </c>
      <c r="F2560" t="s">
        <v>94</v>
      </c>
      <c r="G2560" t="s">
        <v>95</v>
      </c>
      <c r="H2560" t="s">
        <v>49</v>
      </c>
      <c r="I2560" s="2">
        <v>2</v>
      </c>
      <c r="J2560" s="3">
        <v>120</v>
      </c>
      <c r="K2560" s="4">
        <v>0.02</v>
      </c>
      <c r="L2560" s="3">
        <v>235.2</v>
      </c>
      <c r="M2560" t="b">
        <v>1</v>
      </c>
      <c r="N2560" s="2">
        <f>YEAR(B2560)</f>
        <v>2025</v>
      </c>
      <c r="O2560" t="str">
        <f>INDEX(Agences!$C:$C,MATCH(F2560,Agences!$A:$A,0))</f>
        <v>Méditerranée</v>
      </c>
      <c r="P2560" t="str">
        <f>INDEX(Produits!$C:$C,MATCH(H2560,Produits!$A:$A,0))</f>
        <v>Maintenance</v>
      </c>
      <c r="Q2560" s="3">
        <f>I2560*INDEX(Produits!$E:$E,MATCH(H2560,Produits!$A:$A,0))</f>
        <v>110.4</v>
      </c>
      <c r="R2560" s="3">
        <f>L2560-Q2560</f>
        <v>124.79999999999998</v>
      </c>
      <c r="S2560" s="2">
        <f>NETWORKDAYS(B2560,C2560)-1</f>
        <v>2</v>
      </c>
      <c r="T2560" s="1">
        <f>WORKDAY(B2560,5)</f>
        <v>45904</v>
      </c>
      <c r="U2560" t="b">
        <f>C2560&gt;T2560</f>
        <v>0</v>
      </c>
    </row>
    <row r="2561" spans="1:21" x14ac:dyDescent="0.25">
      <c r="A2561" t="s">
        <v>1677</v>
      </c>
      <c r="B2561" s="1">
        <v>45896</v>
      </c>
      <c r="C2561" s="1">
        <v>45897</v>
      </c>
      <c r="D2561" t="s">
        <v>565</v>
      </c>
      <c r="E2561" t="s">
        <v>122</v>
      </c>
      <c r="F2561" t="s">
        <v>24</v>
      </c>
      <c r="G2561" t="s">
        <v>199</v>
      </c>
      <c r="H2561" t="s">
        <v>33</v>
      </c>
      <c r="I2561" s="2">
        <v>1</v>
      </c>
      <c r="J2561" s="3">
        <v>219</v>
      </c>
      <c r="K2561" s="4">
        <v>0</v>
      </c>
      <c r="L2561" s="3">
        <v>219</v>
      </c>
      <c r="M2561" t="b">
        <v>1</v>
      </c>
      <c r="N2561" s="2">
        <f>YEAR(B2561)</f>
        <v>2025</v>
      </c>
      <c r="O2561" t="str">
        <f>INDEX(Agences!$C:$C,MATCH(F2561,Agences!$A:$A,0))</f>
        <v>Nord</v>
      </c>
      <c r="P2561" t="str">
        <f>INDEX(Produits!$C:$C,MATCH(H2561,Produits!$A:$A,0))</f>
        <v>Informatique</v>
      </c>
      <c r="Q2561" s="3">
        <f>I2561*INDEX(Produits!$E:$E,MATCH(H2561,Produits!$A:$A,0))</f>
        <v>179.58</v>
      </c>
      <c r="R2561" s="3">
        <f>L2561-Q2561</f>
        <v>39.41999999999999</v>
      </c>
      <c r="S2561" s="2">
        <f>NETWORKDAYS(B2561,C2561)-1</f>
        <v>1</v>
      </c>
      <c r="T2561" s="1">
        <f>WORKDAY(B2561,5)</f>
        <v>45903</v>
      </c>
      <c r="U2561" t="b">
        <f>C2561&gt;T2561</f>
        <v>0</v>
      </c>
    </row>
    <row r="2562" spans="1:21" x14ac:dyDescent="0.25">
      <c r="A2562" t="s">
        <v>1678</v>
      </c>
      <c r="B2562" s="1">
        <v>45896</v>
      </c>
      <c r="C2562" s="1">
        <v>45898</v>
      </c>
      <c r="D2562" t="s">
        <v>1679</v>
      </c>
      <c r="E2562" t="s">
        <v>172</v>
      </c>
      <c r="F2562" t="s">
        <v>99</v>
      </c>
      <c r="G2562" t="s">
        <v>210</v>
      </c>
      <c r="H2562" t="s">
        <v>50</v>
      </c>
      <c r="I2562" s="2">
        <v>2</v>
      </c>
      <c r="J2562" s="3">
        <v>69</v>
      </c>
      <c r="K2562" s="4">
        <v>0</v>
      </c>
      <c r="L2562" s="3">
        <v>138</v>
      </c>
      <c r="M2562" t="b">
        <v>1</v>
      </c>
      <c r="N2562" s="2">
        <f>YEAR(B2562)</f>
        <v>2025</v>
      </c>
      <c r="O2562" t="str">
        <f>INDEX(Agences!$C:$C,MATCH(F2562,Agences!$A:$A,0))</f>
        <v>Nord</v>
      </c>
      <c r="P2562" t="str">
        <f>INDEX(Produits!$C:$C,MATCH(H2562,Produits!$A:$A,0))</f>
        <v>Informatique</v>
      </c>
      <c r="Q2562" s="3">
        <f>I2562*INDEX(Produits!$E:$E,MATCH(H2562,Produits!$A:$A,0))</f>
        <v>109.02</v>
      </c>
      <c r="R2562" s="3">
        <f>L2562-Q2562</f>
        <v>28.980000000000004</v>
      </c>
      <c r="S2562" s="2">
        <f>NETWORKDAYS(B2562,C2562)-1</f>
        <v>2</v>
      </c>
      <c r="T2562" s="1">
        <f>WORKDAY(B2562,5)</f>
        <v>45903</v>
      </c>
      <c r="U2562" t="b">
        <f>C2562&gt;T2562</f>
        <v>0</v>
      </c>
    </row>
    <row r="2563" spans="1:21" x14ac:dyDescent="0.25">
      <c r="A2563" t="s">
        <v>1678</v>
      </c>
      <c r="B2563" s="1">
        <v>45896</v>
      </c>
      <c r="C2563" s="1">
        <v>45898</v>
      </c>
      <c r="D2563" t="s">
        <v>1679</v>
      </c>
      <c r="E2563" t="s">
        <v>172</v>
      </c>
      <c r="F2563" t="s">
        <v>99</v>
      </c>
      <c r="G2563" t="s">
        <v>210</v>
      </c>
      <c r="H2563" t="s">
        <v>26</v>
      </c>
      <c r="I2563" s="2">
        <v>1</v>
      </c>
      <c r="J2563" s="3">
        <v>290</v>
      </c>
      <c r="K2563" s="4">
        <v>0.05</v>
      </c>
      <c r="L2563" s="3">
        <v>275.5</v>
      </c>
      <c r="M2563" t="b">
        <v>1</v>
      </c>
      <c r="N2563" s="2">
        <f>YEAR(B2563)</f>
        <v>2025</v>
      </c>
      <c r="O2563" t="str">
        <f>INDEX(Agences!$C:$C,MATCH(F2563,Agences!$A:$A,0))</f>
        <v>Nord</v>
      </c>
      <c r="P2563" t="str">
        <f>INDEX(Produits!$C:$C,MATCH(H2563,Produits!$A:$A,0))</f>
        <v>Maintenance</v>
      </c>
      <c r="Q2563" s="3">
        <f>I2563*INDEX(Produits!$E:$E,MATCH(H2563,Produits!$A:$A,0))</f>
        <v>139.2</v>
      </c>
      <c r="R2563" s="3">
        <f>L2563-Q2563</f>
        <v>136.3</v>
      </c>
      <c r="S2563" s="2">
        <f>NETWORKDAYS(B2563,C2563)-1</f>
        <v>2</v>
      </c>
      <c r="T2563" s="1">
        <f>WORKDAY(B2563,5)</f>
        <v>45903</v>
      </c>
      <c r="U2563" t="b">
        <f>C2563&gt;T2563</f>
        <v>0</v>
      </c>
    </row>
    <row r="2564" spans="1:21" x14ac:dyDescent="0.25">
      <c r="A2564" t="s">
        <v>1680</v>
      </c>
      <c r="B2564" s="1">
        <v>45896</v>
      </c>
      <c r="C2564" s="1">
        <v>45902</v>
      </c>
      <c r="D2564" t="s">
        <v>796</v>
      </c>
      <c r="E2564" t="s">
        <v>45</v>
      </c>
      <c r="F2564" t="s">
        <v>46</v>
      </c>
      <c r="G2564" t="s">
        <v>47</v>
      </c>
      <c r="H2564" t="s">
        <v>237</v>
      </c>
      <c r="I2564" s="2">
        <v>1</v>
      </c>
      <c r="J2564" s="3">
        <v>890</v>
      </c>
      <c r="K2564" s="4">
        <v>0</v>
      </c>
      <c r="L2564" s="3">
        <v>890</v>
      </c>
      <c r="M2564" t="b">
        <v>1</v>
      </c>
      <c r="N2564" s="2">
        <f>YEAR(B2564)</f>
        <v>2025</v>
      </c>
      <c r="O2564" t="str">
        <f>INDEX(Agences!$C:$C,MATCH(F2564,Agences!$A:$A,0))</f>
        <v>Est</v>
      </c>
      <c r="P2564" t="str">
        <f>INDEX(Produits!$C:$C,MATCH(H2564,Produits!$A:$A,0))</f>
        <v>Mobilier</v>
      </c>
      <c r="Q2564" s="3">
        <f>I2564*INDEX(Produits!$E:$E,MATCH(H2564,Produits!$A:$A,0))</f>
        <v>596.3</v>
      </c>
      <c r="R2564" s="3">
        <f>L2564-Q2564</f>
        <v>293.70000000000005</v>
      </c>
      <c r="S2564" s="2">
        <f>NETWORKDAYS(B2564,C2564)-1</f>
        <v>4</v>
      </c>
      <c r="T2564" s="1">
        <f>WORKDAY(B2564,5)</f>
        <v>45903</v>
      </c>
      <c r="U2564" t="b">
        <f>C2564&gt;T2564</f>
        <v>0</v>
      </c>
    </row>
    <row r="2565" spans="1:21" x14ac:dyDescent="0.25">
      <c r="A2565" t="s">
        <v>1681</v>
      </c>
      <c r="B2565" s="1">
        <v>45895</v>
      </c>
      <c r="C2565" s="1">
        <v>45902</v>
      </c>
      <c r="D2565" t="s">
        <v>1682</v>
      </c>
      <c r="E2565" t="s">
        <v>119</v>
      </c>
      <c r="F2565" t="s">
        <v>24</v>
      </c>
      <c r="G2565" t="s">
        <v>199</v>
      </c>
      <c r="H2565" t="s">
        <v>107</v>
      </c>
      <c r="I2565" s="2">
        <v>3</v>
      </c>
      <c r="J2565" s="3">
        <v>99</v>
      </c>
      <c r="K2565" s="4">
        <v>0</v>
      </c>
      <c r="L2565" s="3">
        <v>297</v>
      </c>
      <c r="M2565" t="b">
        <v>1</v>
      </c>
      <c r="N2565" s="2">
        <f>YEAR(B2565)</f>
        <v>2025</v>
      </c>
      <c r="O2565" t="str">
        <f>INDEX(Agences!$C:$C,MATCH(F2565,Agences!$A:$A,0))</f>
        <v>Nord</v>
      </c>
      <c r="P2565" t="str">
        <f>INDEX(Produits!$C:$C,MATCH(H2565,Produits!$A:$A,0))</f>
        <v>Informatique</v>
      </c>
      <c r="Q2565" s="3">
        <f>I2565*INDEX(Produits!$E:$E,MATCH(H2565,Produits!$A:$A,0))</f>
        <v>225.71999999999997</v>
      </c>
      <c r="R2565" s="3">
        <f>L2565-Q2565</f>
        <v>71.28000000000003</v>
      </c>
      <c r="S2565" s="2">
        <f>NETWORKDAYS(B2565,C2565)-1</f>
        <v>5</v>
      </c>
      <c r="T2565" s="1">
        <f>WORKDAY(B2565,5)</f>
        <v>45902</v>
      </c>
      <c r="U2565" t="b">
        <f>C2565&gt;T2565</f>
        <v>0</v>
      </c>
    </row>
    <row r="2566" spans="1:21" x14ac:dyDescent="0.25">
      <c r="A2566" t="s">
        <v>1681</v>
      </c>
      <c r="B2566" s="1">
        <v>45895</v>
      </c>
      <c r="C2566" s="1">
        <v>45902</v>
      </c>
      <c r="D2566" t="s">
        <v>1682</v>
      </c>
      <c r="E2566" t="s">
        <v>119</v>
      </c>
      <c r="F2566" t="s">
        <v>24</v>
      </c>
      <c r="G2566" t="s">
        <v>199</v>
      </c>
      <c r="H2566" t="s">
        <v>83</v>
      </c>
      <c r="I2566" s="2">
        <v>2</v>
      </c>
      <c r="J2566" s="3">
        <v>49</v>
      </c>
      <c r="K2566" s="4">
        <v>0</v>
      </c>
      <c r="L2566" s="3">
        <v>98</v>
      </c>
      <c r="M2566" t="b">
        <v>1</v>
      </c>
      <c r="N2566" s="2">
        <f>YEAR(B2566)</f>
        <v>2025</v>
      </c>
      <c r="O2566" t="str">
        <f>INDEX(Agences!$C:$C,MATCH(F2566,Agences!$A:$A,0))</f>
        <v>Nord</v>
      </c>
      <c r="P2566" t="str">
        <f>INDEX(Produits!$C:$C,MATCH(H2566,Produits!$A:$A,0))</f>
        <v>Mobilier</v>
      </c>
      <c r="Q2566" s="3">
        <f>I2566*INDEX(Produits!$E:$E,MATCH(H2566,Produits!$A:$A,0))</f>
        <v>56.84</v>
      </c>
      <c r="R2566" s="3">
        <f>L2566-Q2566</f>
        <v>41.16</v>
      </c>
      <c r="S2566" s="2">
        <f>NETWORKDAYS(B2566,C2566)-1</f>
        <v>5</v>
      </c>
      <c r="T2566" s="1">
        <f>WORKDAY(B2566,5)</f>
        <v>45902</v>
      </c>
      <c r="U2566" t="b">
        <f>C2566&gt;T2566</f>
        <v>0</v>
      </c>
    </row>
    <row r="2567" spans="1:21" x14ac:dyDescent="0.25">
      <c r="A2567" t="s">
        <v>1681</v>
      </c>
      <c r="B2567" s="1">
        <v>45895</v>
      </c>
      <c r="C2567" s="1">
        <v>45902</v>
      </c>
      <c r="D2567" t="s">
        <v>1682</v>
      </c>
      <c r="E2567" t="s">
        <v>119</v>
      </c>
      <c r="F2567" t="s">
        <v>24</v>
      </c>
      <c r="G2567" t="s">
        <v>199</v>
      </c>
      <c r="H2567" t="s">
        <v>161</v>
      </c>
      <c r="I2567" s="2">
        <v>5</v>
      </c>
      <c r="J2567" s="3">
        <v>32</v>
      </c>
      <c r="K2567" s="4">
        <v>0.05</v>
      </c>
      <c r="L2567" s="3">
        <v>152</v>
      </c>
      <c r="M2567" t="b">
        <v>1</v>
      </c>
      <c r="N2567" s="2">
        <f>YEAR(B2567)</f>
        <v>2025</v>
      </c>
      <c r="O2567" t="str">
        <f>INDEX(Agences!$C:$C,MATCH(F2567,Agences!$A:$A,0))</f>
        <v>Nord</v>
      </c>
      <c r="P2567" t="str">
        <f>INDEX(Produits!$C:$C,MATCH(H2567,Produits!$A:$A,0))</f>
        <v>Fournitures</v>
      </c>
      <c r="Q2567" s="3">
        <f>I2567*INDEX(Produits!$E:$E,MATCH(H2567,Produits!$A:$A,0))</f>
        <v>88</v>
      </c>
      <c r="R2567" s="3">
        <f>L2567-Q2567</f>
        <v>64</v>
      </c>
      <c r="S2567" s="2">
        <f>NETWORKDAYS(B2567,C2567)-1</f>
        <v>5</v>
      </c>
      <c r="T2567" s="1">
        <f>WORKDAY(B2567,5)</f>
        <v>45902</v>
      </c>
      <c r="U2567" t="b">
        <f>C2567&gt;T2567</f>
        <v>0</v>
      </c>
    </row>
    <row r="2568" spans="1:21" x14ac:dyDescent="0.25">
      <c r="A2568" t="s">
        <v>1683</v>
      </c>
      <c r="B2568" s="1">
        <v>45895</v>
      </c>
      <c r="C2568" s="1">
        <v>45898</v>
      </c>
      <c r="D2568" t="s">
        <v>1684</v>
      </c>
      <c r="E2568" t="s">
        <v>119</v>
      </c>
      <c r="F2568" t="s">
        <v>24</v>
      </c>
      <c r="G2568" t="s">
        <v>199</v>
      </c>
      <c r="H2568" t="s">
        <v>196</v>
      </c>
      <c r="I2568" s="2">
        <v>5</v>
      </c>
      <c r="J2568" s="3">
        <v>18.5</v>
      </c>
      <c r="K2568" s="4">
        <v>0</v>
      </c>
      <c r="L2568" s="3">
        <v>92.5</v>
      </c>
      <c r="M2568" t="b">
        <v>1</v>
      </c>
      <c r="N2568" s="2">
        <f>YEAR(B2568)</f>
        <v>2025</v>
      </c>
      <c r="O2568" t="str">
        <f>INDEX(Agences!$C:$C,MATCH(F2568,Agences!$A:$A,0))</f>
        <v>Nord</v>
      </c>
      <c r="P2568" t="str">
        <f>INDEX(Produits!$C:$C,MATCH(H2568,Produits!$A:$A,0))</f>
        <v>Fournitures</v>
      </c>
      <c r="Q2568" s="3">
        <f>I2568*INDEX(Produits!$E:$E,MATCH(H2568,Produits!$A:$A,0))</f>
        <v>47.199999999999996</v>
      </c>
      <c r="R2568" s="3">
        <f>L2568-Q2568</f>
        <v>45.300000000000004</v>
      </c>
      <c r="S2568" s="2">
        <f>NETWORKDAYS(B2568,C2568)-1</f>
        <v>3</v>
      </c>
      <c r="T2568" s="1">
        <f>WORKDAY(B2568,5)</f>
        <v>45902</v>
      </c>
      <c r="U2568" t="b">
        <f>C2568&gt;T2568</f>
        <v>0</v>
      </c>
    </row>
    <row r="2569" spans="1:21" x14ac:dyDescent="0.25">
      <c r="A2569" t="s">
        <v>1683</v>
      </c>
      <c r="B2569" s="1">
        <v>45895</v>
      </c>
      <c r="C2569" s="1">
        <v>45898</v>
      </c>
      <c r="D2569" t="s">
        <v>1684</v>
      </c>
      <c r="E2569" t="s">
        <v>119</v>
      </c>
      <c r="F2569" t="s">
        <v>24</v>
      </c>
      <c r="G2569" t="s">
        <v>199</v>
      </c>
      <c r="H2569" t="s">
        <v>108</v>
      </c>
      <c r="I2569" s="2">
        <v>5</v>
      </c>
      <c r="J2569" s="3">
        <v>24.5</v>
      </c>
      <c r="K2569" s="4">
        <v>0.08</v>
      </c>
      <c r="L2569" s="3">
        <v>112.7</v>
      </c>
      <c r="M2569" t="b">
        <v>1</v>
      </c>
      <c r="N2569" s="2">
        <f>YEAR(B2569)</f>
        <v>2025</v>
      </c>
      <c r="O2569" t="str">
        <f>INDEX(Agences!$C:$C,MATCH(F2569,Agences!$A:$A,0))</f>
        <v>Nord</v>
      </c>
      <c r="P2569" t="str">
        <f>INDEX(Produits!$C:$C,MATCH(H2569,Produits!$A:$A,0))</f>
        <v>Fournitures</v>
      </c>
      <c r="Q2569" s="3">
        <f>I2569*INDEX(Produits!$E:$E,MATCH(H2569,Produits!$A:$A,0))</f>
        <v>73.5</v>
      </c>
      <c r="R2569" s="3">
        <f>L2569-Q2569</f>
        <v>39.2</v>
      </c>
      <c r="S2569" s="2">
        <f>NETWORKDAYS(B2569,C2569)-1</f>
        <v>3</v>
      </c>
      <c r="T2569" s="1">
        <f>WORKDAY(B2569,5)</f>
        <v>45902</v>
      </c>
      <c r="U2569" t="b">
        <f>C2569&gt;T2569</f>
        <v>0</v>
      </c>
    </row>
    <row r="2570" spans="1:21" x14ac:dyDescent="0.25">
      <c r="A2570" t="s">
        <v>1683</v>
      </c>
      <c r="B2570" s="1">
        <v>45895</v>
      </c>
      <c r="C2570" s="1">
        <v>45898</v>
      </c>
      <c r="D2570" t="s">
        <v>1684</v>
      </c>
      <c r="E2570" t="s">
        <v>119</v>
      </c>
      <c r="F2570" t="s">
        <v>24</v>
      </c>
      <c r="G2570" t="s">
        <v>199</v>
      </c>
      <c r="H2570" t="s">
        <v>50</v>
      </c>
      <c r="I2570" s="2">
        <v>4</v>
      </c>
      <c r="J2570" s="3">
        <v>69</v>
      </c>
      <c r="K2570" s="4">
        <v>0.05</v>
      </c>
      <c r="L2570" s="3">
        <v>262.2</v>
      </c>
      <c r="M2570" t="b">
        <v>1</v>
      </c>
      <c r="N2570" s="2">
        <f>YEAR(B2570)</f>
        <v>2025</v>
      </c>
      <c r="O2570" t="str">
        <f>INDEX(Agences!$C:$C,MATCH(F2570,Agences!$A:$A,0))</f>
        <v>Nord</v>
      </c>
      <c r="P2570" t="str">
        <f>INDEX(Produits!$C:$C,MATCH(H2570,Produits!$A:$A,0))</f>
        <v>Informatique</v>
      </c>
      <c r="Q2570" s="3">
        <f>I2570*INDEX(Produits!$E:$E,MATCH(H2570,Produits!$A:$A,0))</f>
        <v>218.04</v>
      </c>
      <c r="R2570" s="3">
        <f>L2570-Q2570</f>
        <v>44.16</v>
      </c>
      <c r="S2570" s="2">
        <f>NETWORKDAYS(B2570,C2570)-1</f>
        <v>3</v>
      </c>
      <c r="T2570" s="1">
        <f>WORKDAY(B2570,5)</f>
        <v>45902</v>
      </c>
      <c r="U2570" t="b">
        <f>C2570&gt;T2570</f>
        <v>0</v>
      </c>
    </row>
    <row r="2571" spans="1:21" x14ac:dyDescent="0.25">
      <c r="A2571" t="s">
        <v>1685</v>
      </c>
      <c r="B2571" s="1">
        <v>45895</v>
      </c>
      <c r="C2571" s="1">
        <v>45897</v>
      </c>
      <c r="D2571" t="s">
        <v>930</v>
      </c>
      <c r="E2571" t="s">
        <v>236</v>
      </c>
      <c r="F2571" t="s">
        <v>39</v>
      </c>
      <c r="G2571" t="s">
        <v>40</v>
      </c>
      <c r="H2571" t="s">
        <v>41</v>
      </c>
      <c r="I2571" s="2">
        <v>1</v>
      </c>
      <c r="J2571" s="3">
        <v>790</v>
      </c>
      <c r="K2571" s="4">
        <v>0</v>
      </c>
      <c r="L2571" s="3">
        <v>790</v>
      </c>
      <c r="M2571" t="b">
        <v>1</v>
      </c>
      <c r="N2571" s="2">
        <f>YEAR(B2571)</f>
        <v>2025</v>
      </c>
      <c r="O2571" t="str">
        <f>INDEX(Agences!$C:$C,MATCH(F2571,Agences!$A:$A,0))</f>
        <v>Sud-Ouest</v>
      </c>
      <c r="P2571" t="str">
        <f>INDEX(Produits!$C:$C,MATCH(H2571,Produits!$A:$A,0))</f>
        <v>Informatique</v>
      </c>
      <c r="Q2571" s="3">
        <f>I2571*INDEX(Produits!$E:$E,MATCH(H2571,Produits!$A:$A,0))</f>
        <v>576.7</v>
      </c>
      <c r="R2571" s="3">
        <f>L2571-Q2571</f>
        <v>213.29999999999995</v>
      </c>
      <c r="S2571" s="2">
        <f>NETWORKDAYS(B2571,C2571)-1</f>
        <v>2</v>
      </c>
      <c r="T2571" s="1">
        <f>WORKDAY(B2571,5)</f>
        <v>45902</v>
      </c>
      <c r="U2571" t="b">
        <f>C2571&gt;T2571</f>
        <v>0</v>
      </c>
    </row>
    <row r="2572" spans="1:21" x14ac:dyDescent="0.25">
      <c r="A2572" t="s">
        <v>1685</v>
      </c>
      <c r="B2572" s="1">
        <v>45895</v>
      </c>
      <c r="C2572" s="1">
        <v>45897</v>
      </c>
      <c r="D2572" t="s">
        <v>930</v>
      </c>
      <c r="E2572" t="s">
        <v>236</v>
      </c>
      <c r="F2572" t="s">
        <v>39</v>
      </c>
      <c r="G2572" t="s">
        <v>40</v>
      </c>
      <c r="H2572" t="s">
        <v>33</v>
      </c>
      <c r="I2572" s="2">
        <v>2</v>
      </c>
      <c r="J2572" s="3">
        <v>219</v>
      </c>
      <c r="K2572" s="4">
        <v>0</v>
      </c>
      <c r="L2572" s="3">
        <v>438</v>
      </c>
      <c r="M2572" t="b">
        <v>1</v>
      </c>
      <c r="N2572" s="2">
        <f>YEAR(B2572)</f>
        <v>2025</v>
      </c>
      <c r="O2572" t="str">
        <f>INDEX(Agences!$C:$C,MATCH(F2572,Agences!$A:$A,0))</f>
        <v>Sud-Ouest</v>
      </c>
      <c r="P2572" t="str">
        <f>INDEX(Produits!$C:$C,MATCH(H2572,Produits!$A:$A,0))</f>
        <v>Informatique</v>
      </c>
      <c r="Q2572" s="3">
        <f>I2572*INDEX(Produits!$E:$E,MATCH(H2572,Produits!$A:$A,0))</f>
        <v>359.16</v>
      </c>
      <c r="R2572" s="3">
        <f>L2572-Q2572</f>
        <v>78.83999999999997</v>
      </c>
      <c r="S2572" s="2">
        <f>NETWORKDAYS(B2572,C2572)-1</f>
        <v>2</v>
      </c>
      <c r="T2572" s="1">
        <f>WORKDAY(B2572,5)</f>
        <v>45902</v>
      </c>
      <c r="U2572" t="b">
        <f>C2572&gt;T2572</f>
        <v>0</v>
      </c>
    </row>
    <row r="2573" spans="1:21" x14ac:dyDescent="0.25">
      <c r="A2573" t="s">
        <v>1686</v>
      </c>
      <c r="B2573" s="1">
        <v>45895</v>
      </c>
      <c r="C2573" s="1">
        <v>45897</v>
      </c>
      <c r="D2573" t="s">
        <v>854</v>
      </c>
      <c r="E2573" t="s">
        <v>236</v>
      </c>
      <c r="F2573" t="s">
        <v>39</v>
      </c>
      <c r="G2573" t="s">
        <v>40</v>
      </c>
      <c r="H2573" t="s">
        <v>205</v>
      </c>
      <c r="I2573" s="2">
        <v>2</v>
      </c>
      <c r="J2573" s="3">
        <v>359</v>
      </c>
      <c r="K2573" s="4">
        <v>0</v>
      </c>
      <c r="L2573" s="3">
        <v>718</v>
      </c>
      <c r="M2573" t="b">
        <v>1</v>
      </c>
      <c r="N2573" s="2">
        <f>YEAR(B2573)</f>
        <v>2025</v>
      </c>
      <c r="O2573" t="str">
        <f>INDEX(Agences!$C:$C,MATCH(F2573,Agences!$A:$A,0))</f>
        <v>Sud-Ouest</v>
      </c>
      <c r="P2573" t="str">
        <f>INDEX(Produits!$C:$C,MATCH(H2573,Produits!$A:$A,0))</f>
        <v>Mobilier</v>
      </c>
      <c r="Q2573" s="3">
        <f>I2573*INDEX(Produits!$E:$E,MATCH(H2573,Produits!$A:$A,0))</f>
        <v>409.26</v>
      </c>
      <c r="R2573" s="3">
        <f>L2573-Q2573</f>
        <v>308.74</v>
      </c>
      <c r="S2573" s="2">
        <f>NETWORKDAYS(B2573,C2573)-1</f>
        <v>2</v>
      </c>
      <c r="T2573" s="1">
        <f>WORKDAY(B2573,5)</f>
        <v>45902</v>
      </c>
      <c r="U2573" t="b">
        <f>C2573&gt;T2573</f>
        <v>0</v>
      </c>
    </row>
    <row r="2574" spans="1:21" x14ac:dyDescent="0.25">
      <c r="A2574" t="s">
        <v>1686</v>
      </c>
      <c r="B2574" s="1">
        <v>45895</v>
      </c>
      <c r="C2574" s="1">
        <v>45897</v>
      </c>
      <c r="D2574" t="s">
        <v>854</v>
      </c>
      <c r="E2574" t="s">
        <v>236</v>
      </c>
      <c r="F2574" t="s">
        <v>39</v>
      </c>
      <c r="G2574" t="s">
        <v>40</v>
      </c>
      <c r="H2574" t="s">
        <v>64</v>
      </c>
      <c r="I2574" s="2">
        <v>20</v>
      </c>
      <c r="J2574" s="3">
        <v>16.8</v>
      </c>
      <c r="K2574" s="4">
        <v>0</v>
      </c>
      <c r="L2574" s="3">
        <v>336</v>
      </c>
      <c r="M2574" t="b">
        <v>1</v>
      </c>
      <c r="N2574" s="2">
        <f>YEAR(B2574)</f>
        <v>2025</v>
      </c>
      <c r="O2574" t="str">
        <f>INDEX(Agences!$C:$C,MATCH(F2574,Agences!$A:$A,0))</f>
        <v>Sud-Ouest</v>
      </c>
      <c r="P2574" t="str">
        <f>INDEX(Produits!$C:$C,MATCH(H2574,Produits!$A:$A,0))</f>
        <v>Fournitures</v>
      </c>
      <c r="Q2574" s="3">
        <f>I2574*INDEX(Produits!$E:$E,MATCH(H2574,Produits!$A:$A,0))</f>
        <v>174.8</v>
      </c>
      <c r="R2574" s="3">
        <f>L2574-Q2574</f>
        <v>161.2</v>
      </c>
      <c r="S2574" s="2">
        <f>NETWORKDAYS(B2574,C2574)-1</f>
        <v>2</v>
      </c>
      <c r="T2574" s="1">
        <f>WORKDAY(B2574,5)</f>
        <v>45902</v>
      </c>
      <c r="U2574" t="b">
        <f>C2574&gt;T2574</f>
        <v>0</v>
      </c>
    </row>
    <row r="2575" spans="1:21" x14ac:dyDescent="0.25">
      <c r="A2575" t="s">
        <v>1686</v>
      </c>
      <c r="B2575" s="1">
        <v>45895</v>
      </c>
      <c r="C2575" s="1">
        <v>45897</v>
      </c>
      <c r="D2575" t="s">
        <v>854</v>
      </c>
      <c r="E2575" t="s">
        <v>236</v>
      </c>
      <c r="F2575" t="s">
        <v>39</v>
      </c>
      <c r="G2575" t="s">
        <v>40</v>
      </c>
      <c r="H2575" t="s">
        <v>112</v>
      </c>
      <c r="I2575" s="2">
        <v>1</v>
      </c>
      <c r="J2575" s="3">
        <v>129</v>
      </c>
      <c r="K2575" s="4">
        <v>0.05</v>
      </c>
      <c r="L2575" s="3">
        <v>122.55</v>
      </c>
      <c r="M2575" t="b">
        <v>1</v>
      </c>
      <c r="N2575" s="2">
        <f>YEAR(B2575)</f>
        <v>2025</v>
      </c>
      <c r="O2575" t="str">
        <f>INDEX(Agences!$C:$C,MATCH(F2575,Agences!$A:$A,0))</f>
        <v>Sud-Ouest</v>
      </c>
      <c r="P2575" t="str">
        <f>INDEX(Produits!$C:$C,MATCH(H2575,Produits!$A:$A,0))</f>
        <v>Mobilier</v>
      </c>
      <c r="Q2575" s="3">
        <f>I2575*INDEX(Produits!$E:$E,MATCH(H2575,Produits!$A:$A,0))</f>
        <v>86.43</v>
      </c>
      <c r="R2575" s="3">
        <f>L2575-Q2575</f>
        <v>36.11999999999999</v>
      </c>
      <c r="S2575" s="2">
        <f>NETWORKDAYS(B2575,C2575)-1</f>
        <v>2</v>
      </c>
      <c r="T2575" s="1">
        <f>WORKDAY(B2575,5)</f>
        <v>45902</v>
      </c>
      <c r="U2575" t="b">
        <f>C2575&gt;T2575</f>
        <v>0</v>
      </c>
    </row>
    <row r="2576" spans="1:21" x14ac:dyDescent="0.25">
      <c r="A2576" t="s">
        <v>1686</v>
      </c>
      <c r="B2576" s="1">
        <v>45895</v>
      </c>
      <c r="C2576" s="1">
        <v>45897</v>
      </c>
      <c r="D2576" t="s">
        <v>854</v>
      </c>
      <c r="E2576" t="s">
        <v>236</v>
      </c>
      <c r="F2576" t="s">
        <v>39</v>
      </c>
      <c r="G2576" t="s">
        <v>40</v>
      </c>
      <c r="H2576" t="s">
        <v>42</v>
      </c>
      <c r="I2576" s="2">
        <v>1</v>
      </c>
      <c r="J2576" s="3">
        <v>55</v>
      </c>
      <c r="K2576" s="4">
        <v>0</v>
      </c>
      <c r="L2576" s="3">
        <v>55</v>
      </c>
      <c r="M2576" t="b">
        <v>1</v>
      </c>
      <c r="N2576" s="2">
        <f>YEAR(B2576)</f>
        <v>2025</v>
      </c>
      <c r="O2576" t="str">
        <f>INDEX(Agences!$C:$C,MATCH(F2576,Agences!$A:$A,0))</f>
        <v>Sud-Ouest</v>
      </c>
      <c r="P2576" t="str">
        <f>INDEX(Produits!$C:$C,MATCH(H2576,Produits!$A:$A,0))</f>
        <v>Maintenance</v>
      </c>
      <c r="Q2576" s="3">
        <f>I2576*INDEX(Produits!$E:$E,MATCH(H2576,Produits!$A:$A,0))</f>
        <v>24.75</v>
      </c>
      <c r="R2576" s="3">
        <f>L2576-Q2576</f>
        <v>30.25</v>
      </c>
      <c r="S2576" s="2">
        <f>NETWORKDAYS(B2576,C2576)-1</f>
        <v>2</v>
      </c>
      <c r="T2576" s="1">
        <f>WORKDAY(B2576,5)</f>
        <v>45902</v>
      </c>
      <c r="U2576" t="b">
        <f>C2576&gt;T2576</f>
        <v>0</v>
      </c>
    </row>
    <row r="2577" spans="1:21" x14ac:dyDescent="0.25">
      <c r="A2577" t="s">
        <v>1687</v>
      </c>
      <c r="B2577" s="1">
        <v>45895</v>
      </c>
      <c r="C2577" s="1">
        <v>45897</v>
      </c>
      <c r="D2577" t="s">
        <v>326</v>
      </c>
      <c r="E2577" t="s">
        <v>61</v>
      </c>
      <c r="F2577" t="s">
        <v>62</v>
      </c>
      <c r="G2577" t="s">
        <v>106</v>
      </c>
      <c r="H2577" t="s">
        <v>107</v>
      </c>
      <c r="I2577" s="2">
        <v>2</v>
      </c>
      <c r="J2577" s="3">
        <v>99</v>
      </c>
      <c r="K2577" s="4">
        <v>0</v>
      </c>
      <c r="L2577" s="3">
        <v>198</v>
      </c>
      <c r="M2577" t="b">
        <v>1</v>
      </c>
      <c r="N2577" s="2">
        <f>YEAR(B2577)</f>
        <v>2025</v>
      </c>
      <c r="O2577" t="str">
        <f>INDEX(Agences!$C:$C,MATCH(F2577,Agences!$A:$A,0))</f>
        <v>Méditerranée</v>
      </c>
      <c r="P2577" t="str">
        <f>INDEX(Produits!$C:$C,MATCH(H2577,Produits!$A:$A,0))</f>
        <v>Informatique</v>
      </c>
      <c r="Q2577" s="3">
        <f>I2577*INDEX(Produits!$E:$E,MATCH(H2577,Produits!$A:$A,0))</f>
        <v>150.48</v>
      </c>
      <c r="R2577" s="3">
        <f>L2577-Q2577</f>
        <v>47.52000000000001</v>
      </c>
      <c r="S2577" s="2">
        <f>NETWORKDAYS(B2577,C2577)-1</f>
        <v>2</v>
      </c>
      <c r="T2577" s="1">
        <f>WORKDAY(B2577,5)</f>
        <v>45902</v>
      </c>
      <c r="U2577" t="b">
        <f>C2577&gt;T2577</f>
        <v>0</v>
      </c>
    </row>
    <row r="2578" spans="1:21" x14ac:dyDescent="0.25">
      <c r="A2578" t="s">
        <v>1687</v>
      </c>
      <c r="B2578" s="1">
        <v>45895</v>
      </c>
      <c r="C2578" s="1">
        <v>45897</v>
      </c>
      <c r="D2578" t="s">
        <v>326</v>
      </c>
      <c r="E2578" t="s">
        <v>61</v>
      </c>
      <c r="F2578" t="s">
        <v>62</v>
      </c>
      <c r="G2578" t="s">
        <v>106</v>
      </c>
      <c r="H2578" t="s">
        <v>83</v>
      </c>
      <c r="I2578" s="2">
        <v>6</v>
      </c>
      <c r="J2578" s="3">
        <v>49</v>
      </c>
      <c r="K2578" s="4">
        <v>0.05</v>
      </c>
      <c r="L2578" s="3">
        <v>279.3</v>
      </c>
      <c r="M2578" t="b">
        <v>1</v>
      </c>
      <c r="N2578" s="2">
        <f>YEAR(B2578)</f>
        <v>2025</v>
      </c>
      <c r="O2578" t="str">
        <f>INDEX(Agences!$C:$C,MATCH(F2578,Agences!$A:$A,0))</f>
        <v>Méditerranée</v>
      </c>
      <c r="P2578" t="str">
        <f>INDEX(Produits!$C:$C,MATCH(H2578,Produits!$A:$A,0))</f>
        <v>Mobilier</v>
      </c>
      <c r="Q2578" s="3">
        <f>I2578*INDEX(Produits!$E:$E,MATCH(H2578,Produits!$A:$A,0))</f>
        <v>170.52</v>
      </c>
      <c r="R2578" s="3">
        <f>L2578-Q2578</f>
        <v>108.78</v>
      </c>
      <c r="S2578" s="2">
        <f>NETWORKDAYS(B2578,C2578)-1</f>
        <v>2</v>
      </c>
      <c r="T2578" s="1">
        <f>WORKDAY(B2578,5)</f>
        <v>45902</v>
      </c>
      <c r="U2578" t="b">
        <f>C2578&gt;T2578</f>
        <v>0</v>
      </c>
    </row>
    <row r="2579" spans="1:21" x14ac:dyDescent="0.25">
      <c r="A2579" t="s">
        <v>1687</v>
      </c>
      <c r="B2579" s="1">
        <v>45895</v>
      </c>
      <c r="C2579" s="1">
        <v>45897</v>
      </c>
      <c r="D2579" t="s">
        <v>326</v>
      </c>
      <c r="E2579" t="s">
        <v>61</v>
      </c>
      <c r="F2579" t="s">
        <v>62</v>
      </c>
      <c r="G2579" t="s">
        <v>106</v>
      </c>
      <c r="H2579" t="s">
        <v>57</v>
      </c>
      <c r="I2579" s="2">
        <v>2</v>
      </c>
      <c r="J2579" s="3">
        <v>149</v>
      </c>
      <c r="K2579" s="4">
        <v>0</v>
      </c>
      <c r="L2579" s="3">
        <v>298</v>
      </c>
      <c r="M2579" t="b">
        <v>1</v>
      </c>
      <c r="N2579" s="2">
        <f>YEAR(B2579)</f>
        <v>2025</v>
      </c>
      <c r="O2579" t="str">
        <f>INDEX(Agences!$C:$C,MATCH(F2579,Agences!$A:$A,0))</f>
        <v>Méditerranée</v>
      </c>
      <c r="P2579" t="str">
        <f>INDEX(Produits!$C:$C,MATCH(H2579,Produits!$A:$A,0))</f>
        <v>Informatique</v>
      </c>
      <c r="Q2579" s="3">
        <f>I2579*INDEX(Produits!$E:$E,MATCH(H2579,Produits!$A:$A,0))</f>
        <v>229.46</v>
      </c>
      <c r="R2579" s="3">
        <f>L2579-Q2579</f>
        <v>68.53999999999999</v>
      </c>
      <c r="S2579" s="2">
        <f>NETWORKDAYS(B2579,C2579)-1</f>
        <v>2</v>
      </c>
      <c r="T2579" s="1">
        <f>WORKDAY(B2579,5)</f>
        <v>45902</v>
      </c>
      <c r="U2579" t="b">
        <f>C2579&gt;T2579</f>
        <v>0</v>
      </c>
    </row>
    <row r="2580" spans="1:21" x14ac:dyDescent="0.25">
      <c r="A2580" t="s">
        <v>1687</v>
      </c>
      <c r="B2580" s="1">
        <v>45895</v>
      </c>
      <c r="C2580" s="1">
        <v>45897</v>
      </c>
      <c r="D2580" t="s">
        <v>326</v>
      </c>
      <c r="E2580" t="s">
        <v>61</v>
      </c>
      <c r="F2580" t="s">
        <v>62</v>
      </c>
      <c r="G2580" t="s">
        <v>106</v>
      </c>
      <c r="H2580" t="s">
        <v>26</v>
      </c>
      <c r="I2580" s="2">
        <v>1</v>
      </c>
      <c r="J2580" s="3">
        <v>290</v>
      </c>
      <c r="K2580" s="4">
        <v>0</v>
      </c>
      <c r="L2580" s="3">
        <v>290</v>
      </c>
      <c r="M2580" t="b">
        <v>1</v>
      </c>
      <c r="N2580" s="2">
        <f>YEAR(B2580)</f>
        <v>2025</v>
      </c>
      <c r="O2580" t="str">
        <f>INDEX(Agences!$C:$C,MATCH(F2580,Agences!$A:$A,0))</f>
        <v>Méditerranée</v>
      </c>
      <c r="P2580" t="str">
        <f>INDEX(Produits!$C:$C,MATCH(H2580,Produits!$A:$A,0))</f>
        <v>Maintenance</v>
      </c>
      <c r="Q2580" s="3">
        <f>I2580*INDEX(Produits!$E:$E,MATCH(H2580,Produits!$A:$A,0))</f>
        <v>139.2</v>
      </c>
      <c r="R2580" s="3">
        <f>L2580-Q2580</f>
        <v>150.8</v>
      </c>
      <c r="S2580" s="2">
        <f>NETWORKDAYS(B2580,C2580)-1</f>
        <v>2</v>
      </c>
      <c r="T2580" s="1">
        <f>WORKDAY(B2580,5)</f>
        <v>45902</v>
      </c>
      <c r="U2580" t="b">
        <f>C2580&gt;T2580</f>
        <v>0</v>
      </c>
    </row>
    <row r="2581" spans="1:21" x14ac:dyDescent="0.25">
      <c r="A2581" t="s">
        <v>1688</v>
      </c>
      <c r="B2581" s="1">
        <v>45894</v>
      </c>
      <c r="C2581" s="1">
        <v>45896</v>
      </c>
      <c r="D2581" t="s">
        <v>1689</v>
      </c>
      <c r="E2581" t="s">
        <v>175</v>
      </c>
      <c r="F2581" t="s">
        <v>76</v>
      </c>
      <c r="G2581" t="s">
        <v>232</v>
      </c>
      <c r="H2581" t="s">
        <v>107</v>
      </c>
      <c r="I2581" s="2">
        <v>1</v>
      </c>
      <c r="J2581" s="3">
        <v>99</v>
      </c>
      <c r="K2581" s="4">
        <v>0</v>
      </c>
      <c r="L2581" s="3">
        <v>99</v>
      </c>
      <c r="M2581" t="b">
        <v>1</v>
      </c>
      <c r="N2581" s="2">
        <f>YEAR(B2581)</f>
        <v>2025</v>
      </c>
      <c r="O2581" t="str">
        <f>INDEX(Agences!$C:$C,MATCH(F2581,Agences!$A:$A,0))</f>
        <v>Île-de-France</v>
      </c>
      <c r="P2581" t="str">
        <f>INDEX(Produits!$C:$C,MATCH(H2581,Produits!$A:$A,0))</f>
        <v>Informatique</v>
      </c>
      <c r="Q2581" s="3">
        <f>I2581*INDEX(Produits!$E:$E,MATCH(H2581,Produits!$A:$A,0))</f>
        <v>75.24</v>
      </c>
      <c r="R2581" s="3">
        <f>L2581-Q2581</f>
        <v>23.760000000000005</v>
      </c>
      <c r="S2581" s="2">
        <f>NETWORKDAYS(B2581,C2581)-1</f>
        <v>2</v>
      </c>
      <c r="T2581" s="1">
        <f>WORKDAY(B2581,5)</f>
        <v>45901</v>
      </c>
      <c r="U2581" t="b">
        <f>C2581&gt;T2581</f>
        <v>0</v>
      </c>
    </row>
    <row r="2582" spans="1:21" x14ac:dyDescent="0.25">
      <c r="A2582" t="s">
        <v>1690</v>
      </c>
      <c r="B2582" s="1">
        <v>45894</v>
      </c>
      <c r="C2582" s="1">
        <v>45895</v>
      </c>
      <c r="D2582" t="s">
        <v>1481</v>
      </c>
      <c r="E2582" t="s">
        <v>75</v>
      </c>
      <c r="F2582" t="s">
        <v>76</v>
      </c>
      <c r="G2582" t="s">
        <v>77</v>
      </c>
      <c r="H2582" t="s">
        <v>83</v>
      </c>
      <c r="I2582" s="2">
        <v>1</v>
      </c>
      <c r="J2582" s="3">
        <v>49</v>
      </c>
      <c r="K2582" s="4">
        <v>0</v>
      </c>
      <c r="L2582" s="3">
        <v>49</v>
      </c>
      <c r="M2582" t="b">
        <v>1</v>
      </c>
      <c r="N2582" s="2">
        <f>YEAR(B2582)</f>
        <v>2025</v>
      </c>
      <c r="O2582" t="str">
        <f>INDEX(Agences!$C:$C,MATCH(F2582,Agences!$A:$A,0))</f>
        <v>Île-de-France</v>
      </c>
      <c r="P2582" t="str">
        <f>INDEX(Produits!$C:$C,MATCH(H2582,Produits!$A:$A,0))</f>
        <v>Mobilier</v>
      </c>
      <c r="Q2582" s="3">
        <f>I2582*INDEX(Produits!$E:$E,MATCH(H2582,Produits!$A:$A,0))</f>
        <v>28.42</v>
      </c>
      <c r="R2582" s="3">
        <f>L2582-Q2582</f>
        <v>20.58</v>
      </c>
      <c r="S2582" s="2">
        <f>NETWORKDAYS(B2582,C2582)-1</f>
        <v>1</v>
      </c>
      <c r="T2582" s="1">
        <f>WORKDAY(B2582,5)</f>
        <v>45901</v>
      </c>
      <c r="U2582" t="b">
        <f>C2582&gt;T2582</f>
        <v>0</v>
      </c>
    </row>
    <row r="2583" spans="1:21" x14ac:dyDescent="0.25">
      <c r="A2583" t="s">
        <v>1690</v>
      </c>
      <c r="B2583" s="1">
        <v>45894</v>
      </c>
      <c r="C2583" s="1">
        <v>45895</v>
      </c>
      <c r="D2583" t="s">
        <v>1481</v>
      </c>
      <c r="E2583" t="s">
        <v>75</v>
      </c>
      <c r="F2583" t="s">
        <v>76</v>
      </c>
      <c r="G2583" t="s">
        <v>77</v>
      </c>
      <c r="H2583" t="s">
        <v>49</v>
      </c>
      <c r="I2583" s="2">
        <v>2</v>
      </c>
      <c r="J2583" s="3">
        <v>120</v>
      </c>
      <c r="K2583" s="4">
        <v>0.05</v>
      </c>
      <c r="L2583" s="3">
        <v>228</v>
      </c>
      <c r="M2583" t="b">
        <v>1</v>
      </c>
      <c r="N2583" s="2">
        <f>YEAR(B2583)</f>
        <v>2025</v>
      </c>
      <c r="O2583" t="str">
        <f>INDEX(Agences!$C:$C,MATCH(F2583,Agences!$A:$A,0))</f>
        <v>Île-de-France</v>
      </c>
      <c r="P2583" t="str">
        <f>INDEX(Produits!$C:$C,MATCH(H2583,Produits!$A:$A,0))</f>
        <v>Maintenance</v>
      </c>
      <c r="Q2583" s="3">
        <f>I2583*INDEX(Produits!$E:$E,MATCH(H2583,Produits!$A:$A,0))</f>
        <v>110.4</v>
      </c>
      <c r="R2583" s="3">
        <f>L2583-Q2583</f>
        <v>117.6</v>
      </c>
      <c r="S2583" s="2">
        <f>NETWORKDAYS(B2583,C2583)-1</f>
        <v>1</v>
      </c>
      <c r="T2583" s="1">
        <f>WORKDAY(B2583,5)</f>
        <v>45901</v>
      </c>
      <c r="U2583" t="b">
        <f>C2583&gt;T2583</f>
        <v>0</v>
      </c>
    </row>
    <row r="2584" spans="1:21" x14ac:dyDescent="0.25">
      <c r="A2584" t="s">
        <v>1690</v>
      </c>
      <c r="B2584" s="1">
        <v>45894</v>
      </c>
      <c r="C2584" s="1">
        <v>45895</v>
      </c>
      <c r="D2584" t="s">
        <v>1481</v>
      </c>
      <c r="E2584" t="s">
        <v>75</v>
      </c>
      <c r="F2584" t="s">
        <v>76</v>
      </c>
      <c r="G2584" t="s">
        <v>77</v>
      </c>
      <c r="H2584" t="s">
        <v>112</v>
      </c>
      <c r="I2584" s="2">
        <v>2</v>
      </c>
      <c r="J2584" s="3">
        <v>129</v>
      </c>
      <c r="K2584" s="4">
        <v>0.05</v>
      </c>
      <c r="L2584" s="3">
        <v>245.1</v>
      </c>
      <c r="M2584" t="b">
        <v>1</v>
      </c>
      <c r="N2584" s="2">
        <f>YEAR(B2584)</f>
        <v>2025</v>
      </c>
      <c r="O2584" t="str">
        <f>INDEX(Agences!$C:$C,MATCH(F2584,Agences!$A:$A,0))</f>
        <v>Île-de-France</v>
      </c>
      <c r="P2584" t="str">
        <f>INDEX(Produits!$C:$C,MATCH(H2584,Produits!$A:$A,0))</f>
        <v>Mobilier</v>
      </c>
      <c r="Q2584" s="3">
        <f>I2584*INDEX(Produits!$E:$E,MATCH(H2584,Produits!$A:$A,0))</f>
        <v>172.86</v>
      </c>
      <c r="R2584" s="3">
        <f>L2584-Q2584</f>
        <v>72.23999999999998</v>
      </c>
      <c r="S2584" s="2">
        <f>NETWORKDAYS(B2584,C2584)-1</f>
        <v>1</v>
      </c>
      <c r="T2584" s="1">
        <f>WORKDAY(B2584,5)</f>
        <v>45901</v>
      </c>
      <c r="U2584" t="b">
        <f>C2584&gt;T2584</f>
        <v>0</v>
      </c>
    </row>
    <row r="2585" spans="1:21" x14ac:dyDescent="0.25">
      <c r="A2585" t="s">
        <v>1691</v>
      </c>
      <c r="B2585" s="1">
        <v>45894</v>
      </c>
      <c r="C2585" s="1">
        <v>45897</v>
      </c>
      <c r="D2585" t="s">
        <v>1120</v>
      </c>
      <c r="E2585" t="s">
        <v>165</v>
      </c>
      <c r="F2585" t="s">
        <v>166</v>
      </c>
      <c r="G2585" t="s">
        <v>248</v>
      </c>
      <c r="H2585" t="s">
        <v>79</v>
      </c>
      <c r="I2585" s="2">
        <v>5</v>
      </c>
      <c r="J2585" s="3">
        <v>14.9</v>
      </c>
      <c r="K2585" s="4">
        <v>0</v>
      </c>
      <c r="L2585" s="3">
        <v>74.5</v>
      </c>
      <c r="M2585" t="b">
        <v>1</v>
      </c>
      <c r="N2585" s="2">
        <f>YEAR(B2585)</f>
        <v>2025</v>
      </c>
      <c r="O2585" t="str">
        <f>INDEX(Agences!$C:$C,MATCH(F2585,Agences!$A:$A,0))</f>
        <v>Ouest</v>
      </c>
      <c r="P2585" t="str">
        <f>INDEX(Produits!$C:$C,MATCH(H2585,Produits!$A:$A,0))</f>
        <v>Fournitures</v>
      </c>
      <c r="Q2585" s="3">
        <f>I2585*INDEX(Produits!$E:$E,MATCH(H2585,Produits!$A:$A,0))</f>
        <v>40.25</v>
      </c>
      <c r="R2585" s="3">
        <f>L2585-Q2585</f>
        <v>34.25</v>
      </c>
      <c r="S2585" s="2">
        <f>NETWORKDAYS(B2585,C2585)-1</f>
        <v>3</v>
      </c>
      <c r="T2585" s="1">
        <f>WORKDAY(B2585,5)</f>
        <v>45901</v>
      </c>
      <c r="U2585" t="b">
        <f>C2585&gt;T2585</f>
        <v>0</v>
      </c>
    </row>
    <row r="2586" spans="1:21" x14ac:dyDescent="0.25">
      <c r="A2586" t="s">
        <v>1691</v>
      </c>
      <c r="B2586" s="1">
        <v>45894</v>
      </c>
      <c r="C2586" s="1">
        <v>45897</v>
      </c>
      <c r="D2586" t="s">
        <v>1120</v>
      </c>
      <c r="E2586" t="s">
        <v>165</v>
      </c>
      <c r="F2586" t="s">
        <v>166</v>
      </c>
      <c r="G2586" t="s">
        <v>248</v>
      </c>
      <c r="H2586" t="s">
        <v>34</v>
      </c>
      <c r="I2586" s="2">
        <v>1</v>
      </c>
      <c r="J2586" s="3">
        <v>340</v>
      </c>
      <c r="K2586" s="4">
        <v>0.05</v>
      </c>
      <c r="L2586" s="3">
        <v>323</v>
      </c>
      <c r="M2586" t="b">
        <v>1</v>
      </c>
      <c r="N2586" s="2">
        <f>YEAR(B2586)</f>
        <v>2025</v>
      </c>
      <c r="O2586" t="str">
        <f>INDEX(Agences!$C:$C,MATCH(F2586,Agences!$A:$A,0))</f>
        <v>Ouest</v>
      </c>
      <c r="P2586" t="str">
        <f>INDEX(Produits!$C:$C,MATCH(H2586,Produits!$A:$A,0))</f>
        <v>Informatique</v>
      </c>
      <c r="Q2586" s="3">
        <f>I2586*INDEX(Produits!$E:$E,MATCH(H2586,Produits!$A:$A,0))</f>
        <v>275.4</v>
      </c>
      <c r="R2586" s="3">
        <f>L2586-Q2586</f>
        <v>47.60000000000002</v>
      </c>
      <c r="S2586" s="2">
        <f>NETWORKDAYS(B2586,C2586)-1</f>
        <v>3</v>
      </c>
      <c r="T2586" s="1">
        <f>WORKDAY(B2586,5)</f>
        <v>45901</v>
      </c>
      <c r="U2586" t="b">
        <f>C2586&gt;T2586</f>
        <v>0</v>
      </c>
    </row>
    <row r="2587" spans="1:21" x14ac:dyDescent="0.25">
      <c r="A2587" t="s">
        <v>1692</v>
      </c>
      <c r="B2587" s="1">
        <v>45891</v>
      </c>
      <c r="C2587" s="1">
        <v>45897</v>
      </c>
      <c r="D2587" t="s">
        <v>570</v>
      </c>
      <c r="E2587" t="s">
        <v>126</v>
      </c>
      <c r="F2587" t="s">
        <v>99</v>
      </c>
      <c r="G2587" t="s">
        <v>210</v>
      </c>
      <c r="H2587" t="s">
        <v>35</v>
      </c>
      <c r="I2587" s="2">
        <v>2</v>
      </c>
      <c r="J2587" s="3">
        <v>79</v>
      </c>
      <c r="K2587" s="4">
        <v>0</v>
      </c>
      <c r="L2587" s="3">
        <v>158</v>
      </c>
      <c r="M2587" t="b">
        <v>1</v>
      </c>
      <c r="N2587" s="2">
        <f>YEAR(B2587)</f>
        <v>2025</v>
      </c>
      <c r="O2587" t="str">
        <f>INDEX(Agences!$C:$C,MATCH(F2587,Agences!$A:$A,0))</f>
        <v>Nord</v>
      </c>
      <c r="P2587" t="str">
        <f>INDEX(Produits!$C:$C,MATCH(H2587,Produits!$A:$A,0))</f>
        <v>Mobilier</v>
      </c>
      <c r="Q2587" s="3">
        <f>I2587*INDEX(Produits!$E:$E,MATCH(H2587,Produits!$A:$A,0))</f>
        <v>93.22</v>
      </c>
      <c r="R2587" s="3">
        <f>L2587-Q2587</f>
        <v>64.78</v>
      </c>
      <c r="S2587" s="2">
        <f>NETWORKDAYS(B2587,C2587)-1</f>
        <v>4</v>
      </c>
      <c r="T2587" s="1">
        <f>WORKDAY(B2587,5)</f>
        <v>45898</v>
      </c>
      <c r="U2587" t="b">
        <f>C2587&gt;T2587</f>
        <v>0</v>
      </c>
    </row>
    <row r="2588" spans="1:21" x14ac:dyDescent="0.25">
      <c r="A2588" t="s">
        <v>1692</v>
      </c>
      <c r="B2588" s="1">
        <v>45891</v>
      </c>
      <c r="C2588" s="1">
        <v>45897</v>
      </c>
      <c r="D2588" t="s">
        <v>570</v>
      </c>
      <c r="E2588" t="s">
        <v>126</v>
      </c>
      <c r="F2588" t="s">
        <v>99</v>
      </c>
      <c r="G2588" t="s">
        <v>210</v>
      </c>
      <c r="H2588" t="s">
        <v>83</v>
      </c>
      <c r="I2588" s="2">
        <v>2</v>
      </c>
      <c r="J2588" s="3">
        <v>49</v>
      </c>
      <c r="K2588" s="4">
        <v>0</v>
      </c>
      <c r="L2588" s="3">
        <v>98</v>
      </c>
      <c r="M2588" t="b">
        <v>1</v>
      </c>
      <c r="N2588" s="2">
        <f>YEAR(B2588)</f>
        <v>2025</v>
      </c>
      <c r="O2588" t="str">
        <f>INDEX(Agences!$C:$C,MATCH(F2588,Agences!$A:$A,0))</f>
        <v>Nord</v>
      </c>
      <c r="P2588" t="str">
        <f>INDEX(Produits!$C:$C,MATCH(H2588,Produits!$A:$A,0))</f>
        <v>Mobilier</v>
      </c>
      <c r="Q2588" s="3">
        <f>I2588*INDEX(Produits!$E:$E,MATCH(H2588,Produits!$A:$A,0))</f>
        <v>56.84</v>
      </c>
      <c r="R2588" s="3">
        <f>L2588-Q2588</f>
        <v>41.16</v>
      </c>
      <c r="S2588" s="2">
        <f>NETWORKDAYS(B2588,C2588)-1</f>
        <v>4</v>
      </c>
      <c r="T2588" s="1">
        <f>WORKDAY(B2588,5)</f>
        <v>45898</v>
      </c>
      <c r="U2588" t="b">
        <f>C2588&gt;T2588</f>
        <v>0</v>
      </c>
    </row>
    <row r="2589" spans="1:21" x14ac:dyDescent="0.25">
      <c r="A2589" t="s">
        <v>1692</v>
      </c>
      <c r="B2589" s="1">
        <v>45891</v>
      </c>
      <c r="C2589" s="1">
        <v>45897</v>
      </c>
      <c r="D2589" t="s">
        <v>570</v>
      </c>
      <c r="E2589" t="s">
        <v>126</v>
      </c>
      <c r="F2589" t="s">
        <v>99</v>
      </c>
      <c r="G2589" t="s">
        <v>210</v>
      </c>
      <c r="H2589" t="s">
        <v>50</v>
      </c>
      <c r="I2589" s="2">
        <v>2</v>
      </c>
      <c r="J2589" s="3">
        <v>69</v>
      </c>
      <c r="K2589" s="4">
        <v>0.05</v>
      </c>
      <c r="L2589" s="3">
        <v>131.1</v>
      </c>
      <c r="M2589" t="b">
        <v>1</v>
      </c>
      <c r="N2589" s="2">
        <f>YEAR(B2589)</f>
        <v>2025</v>
      </c>
      <c r="O2589" t="str">
        <f>INDEX(Agences!$C:$C,MATCH(F2589,Agences!$A:$A,0))</f>
        <v>Nord</v>
      </c>
      <c r="P2589" t="str">
        <f>INDEX(Produits!$C:$C,MATCH(H2589,Produits!$A:$A,0))</f>
        <v>Informatique</v>
      </c>
      <c r="Q2589" s="3">
        <f>I2589*INDEX(Produits!$E:$E,MATCH(H2589,Produits!$A:$A,0))</f>
        <v>109.02</v>
      </c>
      <c r="R2589" s="3">
        <f>L2589-Q2589</f>
        <v>22.08</v>
      </c>
      <c r="S2589" s="2">
        <f>NETWORKDAYS(B2589,C2589)-1</f>
        <v>4</v>
      </c>
      <c r="T2589" s="1">
        <f>WORKDAY(B2589,5)</f>
        <v>45898</v>
      </c>
      <c r="U2589" t="b">
        <f>C2589&gt;T2589</f>
        <v>0</v>
      </c>
    </row>
    <row r="2590" spans="1:21" x14ac:dyDescent="0.25">
      <c r="A2590" t="s">
        <v>1692</v>
      </c>
      <c r="B2590" s="1">
        <v>45891</v>
      </c>
      <c r="C2590" s="1">
        <v>45897</v>
      </c>
      <c r="D2590" t="s">
        <v>570</v>
      </c>
      <c r="E2590" t="s">
        <v>126</v>
      </c>
      <c r="F2590" t="s">
        <v>99</v>
      </c>
      <c r="G2590" t="s">
        <v>210</v>
      </c>
      <c r="H2590" t="s">
        <v>72</v>
      </c>
      <c r="I2590" s="2">
        <v>3</v>
      </c>
      <c r="J2590" s="3">
        <v>179</v>
      </c>
      <c r="K2590" s="4">
        <v>0.05</v>
      </c>
      <c r="L2590" s="3">
        <v>510.15</v>
      </c>
      <c r="M2590" t="b">
        <v>1</v>
      </c>
      <c r="N2590" s="2">
        <f>YEAR(B2590)</f>
        <v>2025</v>
      </c>
      <c r="O2590" t="str">
        <f>INDEX(Agences!$C:$C,MATCH(F2590,Agences!$A:$A,0))</f>
        <v>Nord</v>
      </c>
      <c r="P2590" t="str">
        <f>INDEX(Produits!$C:$C,MATCH(H2590,Produits!$A:$A,0))</f>
        <v>Informatique</v>
      </c>
      <c r="Q2590" s="3">
        <f>I2590*INDEX(Produits!$E:$E,MATCH(H2590,Produits!$A:$A,0))</f>
        <v>440.34000000000003</v>
      </c>
      <c r="R2590" s="3">
        <f>L2590-Q2590</f>
        <v>69.80999999999995</v>
      </c>
      <c r="S2590" s="2">
        <f>NETWORKDAYS(B2590,C2590)-1</f>
        <v>4</v>
      </c>
      <c r="T2590" s="1">
        <f>WORKDAY(B2590,5)</f>
        <v>45898</v>
      </c>
      <c r="U2590" t="b">
        <f>C2590&gt;T2590</f>
        <v>0</v>
      </c>
    </row>
    <row r="2591" spans="1:21" x14ac:dyDescent="0.25">
      <c r="A2591" t="s">
        <v>1693</v>
      </c>
      <c r="B2591" s="1">
        <v>45891</v>
      </c>
      <c r="C2591" s="1">
        <v>45895</v>
      </c>
      <c r="D2591" t="s">
        <v>231</v>
      </c>
      <c r="E2591" t="s">
        <v>175</v>
      </c>
      <c r="F2591" t="s">
        <v>76</v>
      </c>
      <c r="G2591" t="s">
        <v>77</v>
      </c>
      <c r="H2591" t="s">
        <v>83</v>
      </c>
      <c r="I2591" s="2">
        <v>2</v>
      </c>
      <c r="J2591" s="3">
        <v>49</v>
      </c>
      <c r="K2591" s="4">
        <v>0.1</v>
      </c>
      <c r="L2591" s="3">
        <v>88.2</v>
      </c>
      <c r="M2591" t="b">
        <v>1</v>
      </c>
      <c r="N2591" s="2">
        <f>YEAR(B2591)</f>
        <v>2025</v>
      </c>
      <c r="O2591" t="str">
        <f>INDEX(Agences!$C:$C,MATCH(F2591,Agences!$A:$A,0))</f>
        <v>Île-de-France</v>
      </c>
      <c r="P2591" t="str">
        <f>INDEX(Produits!$C:$C,MATCH(H2591,Produits!$A:$A,0))</f>
        <v>Mobilier</v>
      </c>
      <c r="Q2591" s="3">
        <f>I2591*INDEX(Produits!$E:$E,MATCH(H2591,Produits!$A:$A,0))</f>
        <v>56.84</v>
      </c>
      <c r="R2591" s="3">
        <f>L2591-Q2591</f>
        <v>31.36</v>
      </c>
      <c r="S2591" s="2">
        <f>NETWORKDAYS(B2591,C2591)-1</f>
        <v>2</v>
      </c>
      <c r="T2591" s="1">
        <f>WORKDAY(B2591,5)</f>
        <v>45898</v>
      </c>
      <c r="U2591" t="b">
        <f>C2591&gt;T2591</f>
        <v>0</v>
      </c>
    </row>
    <row r="2592" spans="1:21" x14ac:dyDescent="0.25">
      <c r="A2592" t="s">
        <v>1693</v>
      </c>
      <c r="B2592" s="1">
        <v>45891</v>
      </c>
      <c r="C2592" s="1">
        <v>45895</v>
      </c>
      <c r="D2592" t="s">
        <v>231</v>
      </c>
      <c r="E2592" t="s">
        <v>175</v>
      </c>
      <c r="F2592" t="s">
        <v>76</v>
      </c>
      <c r="G2592" t="s">
        <v>77</v>
      </c>
      <c r="H2592" t="s">
        <v>205</v>
      </c>
      <c r="I2592" s="2">
        <v>1</v>
      </c>
      <c r="J2592" s="3">
        <v>359</v>
      </c>
      <c r="K2592" s="4">
        <v>0</v>
      </c>
      <c r="L2592" s="3">
        <v>359</v>
      </c>
      <c r="M2592" t="b">
        <v>1</v>
      </c>
      <c r="N2592" s="2">
        <f>YEAR(B2592)</f>
        <v>2025</v>
      </c>
      <c r="O2592" t="str">
        <f>INDEX(Agences!$C:$C,MATCH(F2592,Agences!$A:$A,0))</f>
        <v>Île-de-France</v>
      </c>
      <c r="P2592" t="str">
        <f>INDEX(Produits!$C:$C,MATCH(H2592,Produits!$A:$A,0))</f>
        <v>Mobilier</v>
      </c>
      <c r="Q2592" s="3">
        <f>I2592*INDEX(Produits!$E:$E,MATCH(H2592,Produits!$A:$A,0))</f>
        <v>204.63</v>
      </c>
      <c r="R2592" s="3">
        <f>L2592-Q2592</f>
        <v>154.37</v>
      </c>
      <c r="S2592" s="2">
        <f>NETWORKDAYS(B2592,C2592)-1</f>
        <v>2</v>
      </c>
      <c r="T2592" s="1">
        <f>WORKDAY(B2592,5)</f>
        <v>45898</v>
      </c>
      <c r="U2592" t="b">
        <f>C2592&gt;T2592</f>
        <v>0</v>
      </c>
    </row>
    <row r="2593" spans="1:21" x14ac:dyDescent="0.25">
      <c r="A2593" t="s">
        <v>1693</v>
      </c>
      <c r="B2593" s="1">
        <v>45891</v>
      </c>
      <c r="C2593" s="1">
        <v>45895</v>
      </c>
      <c r="D2593" t="s">
        <v>231</v>
      </c>
      <c r="E2593" t="s">
        <v>175</v>
      </c>
      <c r="F2593" t="s">
        <v>76</v>
      </c>
      <c r="G2593" t="s">
        <v>77</v>
      </c>
      <c r="H2593" t="s">
        <v>107</v>
      </c>
      <c r="I2593" s="2">
        <v>1</v>
      </c>
      <c r="J2593" s="3">
        <v>99</v>
      </c>
      <c r="K2593" s="4">
        <v>0</v>
      </c>
      <c r="L2593" s="3">
        <v>99</v>
      </c>
      <c r="M2593" t="b">
        <v>1</v>
      </c>
      <c r="N2593" s="2">
        <f>YEAR(B2593)</f>
        <v>2025</v>
      </c>
      <c r="O2593" t="str">
        <f>INDEX(Agences!$C:$C,MATCH(F2593,Agences!$A:$A,0))</f>
        <v>Île-de-France</v>
      </c>
      <c r="P2593" t="str">
        <f>INDEX(Produits!$C:$C,MATCH(H2593,Produits!$A:$A,0))</f>
        <v>Informatique</v>
      </c>
      <c r="Q2593" s="3">
        <f>I2593*INDEX(Produits!$E:$E,MATCH(H2593,Produits!$A:$A,0))</f>
        <v>75.24</v>
      </c>
      <c r="R2593" s="3">
        <f>L2593-Q2593</f>
        <v>23.760000000000005</v>
      </c>
      <c r="S2593" s="2">
        <f>NETWORKDAYS(B2593,C2593)-1</f>
        <v>2</v>
      </c>
      <c r="T2593" s="1">
        <f>WORKDAY(B2593,5)</f>
        <v>45898</v>
      </c>
      <c r="U2593" t="b">
        <f>C2593&gt;T2593</f>
        <v>0</v>
      </c>
    </row>
    <row r="2594" spans="1:21" x14ac:dyDescent="0.25">
      <c r="A2594" t="s">
        <v>1693</v>
      </c>
      <c r="B2594" s="1">
        <v>45891</v>
      </c>
      <c r="C2594" s="1">
        <v>45895</v>
      </c>
      <c r="D2594" t="s">
        <v>231</v>
      </c>
      <c r="E2594" t="s">
        <v>175</v>
      </c>
      <c r="F2594" t="s">
        <v>76</v>
      </c>
      <c r="G2594" t="s">
        <v>77</v>
      </c>
      <c r="H2594" t="s">
        <v>49</v>
      </c>
      <c r="I2594" s="2">
        <v>1</v>
      </c>
      <c r="J2594" s="3">
        <v>120</v>
      </c>
      <c r="K2594" s="4">
        <v>0.08</v>
      </c>
      <c r="L2594" s="3">
        <v>110.4</v>
      </c>
      <c r="M2594" t="b">
        <v>1</v>
      </c>
      <c r="N2594" s="2">
        <f>YEAR(B2594)</f>
        <v>2025</v>
      </c>
      <c r="O2594" t="str">
        <f>INDEX(Agences!$C:$C,MATCH(F2594,Agences!$A:$A,0))</f>
        <v>Île-de-France</v>
      </c>
      <c r="P2594" t="str">
        <f>INDEX(Produits!$C:$C,MATCH(H2594,Produits!$A:$A,0))</f>
        <v>Maintenance</v>
      </c>
      <c r="Q2594" s="3">
        <f>I2594*INDEX(Produits!$E:$E,MATCH(H2594,Produits!$A:$A,0))</f>
        <v>55.2</v>
      </c>
      <c r="R2594" s="3">
        <f>L2594-Q2594</f>
        <v>55.2</v>
      </c>
      <c r="S2594" s="2">
        <f>NETWORKDAYS(B2594,C2594)-1</f>
        <v>2</v>
      </c>
      <c r="T2594" s="1">
        <f>WORKDAY(B2594,5)</f>
        <v>45898</v>
      </c>
      <c r="U2594" t="b">
        <f>C2594&gt;T2594</f>
        <v>0</v>
      </c>
    </row>
    <row r="2595" spans="1:21" x14ac:dyDescent="0.25">
      <c r="A2595" t="s">
        <v>1694</v>
      </c>
      <c r="B2595" s="1">
        <v>45891</v>
      </c>
      <c r="C2595" s="1">
        <v>45895</v>
      </c>
      <c r="D2595" t="s">
        <v>1259</v>
      </c>
      <c r="E2595" t="s">
        <v>225</v>
      </c>
      <c r="F2595" t="s">
        <v>88</v>
      </c>
      <c r="G2595" t="s">
        <v>89</v>
      </c>
      <c r="H2595" t="s">
        <v>50</v>
      </c>
      <c r="I2595" s="2">
        <v>3</v>
      </c>
      <c r="J2595" s="3">
        <v>69</v>
      </c>
      <c r="K2595" s="4">
        <v>0</v>
      </c>
      <c r="L2595" s="3">
        <v>207</v>
      </c>
      <c r="M2595" t="b">
        <v>1</v>
      </c>
      <c r="N2595" s="2">
        <f>YEAR(B2595)</f>
        <v>2025</v>
      </c>
      <c r="O2595" t="str">
        <f>INDEX(Agences!$C:$C,MATCH(F2595,Agences!$A:$A,0))</f>
        <v>Sud-Ouest</v>
      </c>
      <c r="P2595" t="str">
        <f>INDEX(Produits!$C:$C,MATCH(H2595,Produits!$A:$A,0))</f>
        <v>Informatique</v>
      </c>
      <c r="Q2595" s="3">
        <f>I2595*INDEX(Produits!$E:$E,MATCH(H2595,Produits!$A:$A,0))</f>
        <v>163.53</v>
      </c>
      <c r="R2595" s="3">
        <f>L2595-Q2595</f>
        <v>43.47</v>
      </c>
      <c r="S2595" s="2">
        <f>NETWORKDAYS(B2595,C2595)-1</f>
        <v>2</v>
      </c>
      <c r="T2595" s="1">
        <f>WORKDAY(B2595,5)</f>
        <v>45898</v>
      </c>
      <c r="U2595" t="b">
        <f>C2595&gt;T2595</f>
        <v>0</v>
      </c>
    </row>
    <row r="2596" spans="1:21" x14ac:dyDescent="0.25">
      <c r="A2596" t="s">
        <v>1694</v>
      </c>
      <c r="B2596" s="1">
        <v>45891</v>
      </c>
      <c r="C2596" s="1">
        <v>45895</v>
      </c>
      <c r="D2596" t="s">
        <v>1259</v>
      </c>
      <c r="E2596" t="s">
        <v>225</v>
      </c>
      <c r="F2596" t="s">
        <v>88</v>
      </c>
      <c r="G2596" t="s">
        <v>89</v>
      </c>
      <c r="H2596" t="s">
        <v>49</v>
      </c>
      <c r="I2596" s="2">
        <v>2</v>
      </c>
      <c r="J2596" s="3">
        <v>120</v>
      </c>
      <c r="K2596" s="4">
        <v>0</v>
      </c>
      <c r="L2596" s="3">
        <v>240</v>
      </c>
      <c r="M2596" t="b">
        <v>1</v>
      </c>
      <c r="N2596" s="2">
        <f>YEAR(B2596)</f>
        <v>2025</v>
      </c>
      <c r="O2596" t="str">
        <f>INDEX(Agences!$C:$C,MATCH(F2596,Agences!$A:$A,0))</f>
        <v>Sud-Ouest</v>
      </c>
      <c r="P2596" t="str">
        <f>INDEX(Produits!$C:$C,MATCH(H2596,Produits!$A:$A,0))</f>
        <v>Maintenance</v>
      </c>
      <c r="Q2596" s="3">
        <f>I2596*INDEX(Produits!$E:$E,MATCH(H2596,Produits!$A:$A,0))</f>
        <v>110.4</v>
      </c>
      <c r="R2596" s="3">
        <f>L2596-Q2596</f>
        <v>129.6</v>
      </c>
      <c r="S2596" s="2">
        <f>NETWORKDAYS(B2596,C2596)-1</f>
        <v>2</v>
      </c>
      <c r="T2596" s="1">
        <f>WORKDAY(B2596,5)</f>
        <v>45898</v>
      </c>
      <c r="U2596" t="b">
        <f>C2596&gt;T2596</f>
        <v>0</v>
      </c>
    </row>
    <row r="2597" spans="1:21" x14ac:dyDescent="0.25">
      <c r="A2597" t="s">
        <v>1694</v>
      </c>
      <c r="B2597" s="1">
        <v>45891</v>
      </c>
      <c r="C2597" s="1">
        <v>45895</v>
      </c>
      <c r="D2597" t="s">
        <v>1259</v>
      </c>
      <c r="E2597" t="s">
        <v>225</v>
      </c>
      <c r="F2597" t="s">
        <v>88</v>
      </c>
      <c r="G2597" t="s">
        <v>89</v>
      </c>
      <c r="H2597" t="s">
        <v>64</v>
      </c>
      <c r="I2597" s="2">
        <v>5</v>
      </c>
      <c r="J2597" s="3">
        <v>16.8</v>
      </c>
      <c r="K2597" s="4">
        <v>0.05</v>
      </c>
      <c r="L2597" s="3">
        <v>79.8</v>
      </c>
      <c r="M2597" t="b">
        <v>1</v>
      </c>
      <c r="N2597" s="2">
        <f>YEAR(B2597)</f>
        <v>2025</v>
      </c>
      <c r="O2597" t="str">
        <f>INDEX(Agences!$C:$C,MATCH(F2597,Agences!$A:$A,0))</f>
        <v>Sud-Ouest</v>
      </c>
      <c r="P2597" t="str">
        <f>INDEX(Produits!$C:$C,MATCH(H2597,Produits!$A:$A,0))</f>
        <v>Fournitures</v>
      </c>
      <c r="Q2597" s="3">
        <f>I2597*INDEX(Produits!$E:$E,MATCH(H2597,Produits!$A:$A,0))</f>
        <v>43.7</v>
      </c>
      <c r="R2597" s="3">
        <f>L2597-Q2597</f>
        <v>36.099999999999994</v>
      </c>
      <c r="S2597" s="2">
        <f>NETWORKDAYS(B2597,C2597)-1</f>
        <v>2</v>
      </c>
      <c r="T2597" s="1">
        <f>WORKDAY(B2597,5)</f>
        <v>45898</v>
      </c>
      <c r="U2597" t="b">
        <f>C2597&gt;T2597</f>
        <v>0</v>
      </c>
    </row>
    <row r="2598" spans="1:21" x14ac:dyDescent="0.25">
      <c r="A2598" t="s">
        <v>1695</v>
      </c>
      <c r="B2598" s="1">
        <v>45890</v>
      </c>
      <c r="C2598" s="1">
        <v>45891</v>
      </c>
      <c r="D2598" t="s">
        <v>1696</v>
      </c>
      <c r="E2598" t="s">
        <v>336</v>
      </c>
      <c r="F2598" t="s">
        <v>166</v>
      </c>
      <c r="G2598" t="s">
        <v>248</v>
      </c>
      <c r="H2598" t="s">
        <v>42</v>
      </c>
      <c r="I2598" s="2">
        <v>1</v>
      </c>
      <c r="J2598" s="3">
        <v>55</v>
      </c>
      <c r="K2598" s="4">
        <v>0</v>
      </c>
      <c r="L2598" s="3">
        <v>55</v>
      </c>
      <c r="M2598" t="b">
        <v>1</v>
      </c>
      <c r="N2598" s="2">
        <f>YEAR(B2598)</f>
        <v>2025</v>
      </c>
      <c r="O2598" t="str">
        <f>INDEX(Agences!$C:$C,MATCH(F2598,Agences!$A:$A,0))</f>
        <v>Ouest</v>
      </c>
      <c r="P2598" t="str">
        <f>INDEX(Produits!$C:$C,MATCH(H2598,Produits!$A:$A,0))</f>
        <v>Maintenance</v>
      </c>
      <c r="Q2598" s="3">
        <f>I2598*INDEX(Produits!$E:$E,MATCH(H2598,Produits!$A:$A,0))</f>
        <v>24.75</v>
      </c>
      <c r="R2598" s="3">
        <f>L2598-Q2598</f>
        <v>30.25</v>
      </c>
      <c r="S2598" s="2">
        <f>NETWORKDAYS(B2598,C2598)-1</f>
        <v>1</v>
      </c>
      <c r="T2598" s="1">
        <f>WORKDAY(B2598,5)</f>
        <v>45897</v>
      </c>
      <c r="U2598" t="b">
        <f>C2598&gt;T2598</f>
        <v>0</v>
      </c>
    </row>
    <row r="2599" spans="1:21" x14ac:dyDescent="0.25">
      <c r="A2599" t="s">
        <v>1695</v>
      </c>
      <c r="B2599" s="1">
        <v>45890</v>
      </c>
      <c r="C2599" s="1">
        <v>45891</v>
      </c>
      <c r="D2599" t="s">
        <v>1696</v>
      </c>
      <c r="E2599" t="s">
        <v>336</v>
      </c>
      <c r="F2599" t="s">
        <v>166</v>
      </c>
      <c r="G2599" t="s">
        <v>248</v>
      </c>
      <c r="H2599" t="s">
        <v>107</v>
      </c>
      <c r="I2599" s="2">
        <v>4</v>
      </c>
      <c r="J2599" s="3">
        <v>99</v>
      </c>
      <c r="K2599" s="4">
        <v>0.08</v>
      </c>
      <c r="L2599" s="3">
        <v>364.32</v>
      </c>
      <c r="M2599" t="b">
        <v>1</v>
      </c>
      <c r="N2599" s="2">
        <f>YEAR(B2599)</f>
        <v>2025</v>
      </c>
      <c r="O2599" t="str">
        <f>INDEX(Agences!$C:$C,MATCH(F2599,Agences!$A:$A,0))</f>
        <v>Ouest</v>
      </c>
      <c r="P2599" t="str">
        <f>INDEX(Produits!$C:$C,MATCH(H2599,Produits!$A:$A,0))</f>
        <v>Informatique</v>
      </c>
      <c r="Q2599" s="3">
        <f>I2599*INDEX(Produits!$E:$E,MATCH(H2599,Produits!$A:$A,0))</f>
        <v>300.96</v>
      </c>
      <c r="R2599" s="3">
        <f>L2599-Q2599</f>
        <v>63.360000000000014</v>
      </c>
      <c r="S2599" s="2">
        <f>NETWORKDAYS(B2599,C2599)-1</f>
        <v>1</v>
      </c>
      <c r="T2599" s="1">
        <f>WORKDAY(B2599,5)</f>
        <v>45897</v>
      </c>
      <c r="U2599" t="b">
        <f>C2599&gt;T2599</f>
        <v>0</v>
      </c>
    </row>
    <row r="2600" spans="1:21" x14ac:dyDescent="0.25">
      <c r="A2600" t="s">
        <v>1695</v>
      </c>
      <c r="B2600" s="1">
        <v>45890</v>
      </c>
      <c r="C2600" s="1">
        <v>45891</v>
      </c>
      <c r="D2600" t="s">
        <v>1696</v>
      </c>
      <c r="E2600" t="s">
        <v>336</v>
      </c>
      <c r="F2600" t="s">
        <v>166</v>
      </c>
      <c r="G2600" t="s">
        <v>248</v>
      </c>
      <c r="H2600" t="s">
        <v>72</v>
      </c>
      <c r="I2600" s="2">
        <v>1</v>
      </c>
      <c r="J2600" s="3">
        <v>179</v>
      </c>
      <c r="K2600" s="4">
        <v>0.02</v>
      </c>
      <c r="L2600" s="3">
        <v>175.42</v>
      </c>
      <c r="M2600" t="b">
        <v>1</v>
      </c>
      <c r="N2600" s="2">
        <f>YEAR(B2600)</f>
        <v>2025</v>
      </c>
      <c r="O2600" t="str">
        <f>INDEX(Agences!$C:$C,MATCH(F2600,Agences!$A:$A,0))</f>
        <v>Ouest</v>
      </c>
      <c r="P2600" t="str">
        <f>INDEX(Produits!$C:$C,MATCH(H2600,Produits!$A:$A,0))</f>
        <v>Informatique</v>
      </c>
      <c r="Q2600" s="3">
        <f>I2600*INDEX(Produits!$E:$E,MATCH(H2600,Produits!$A:$A,0))</f>
        <v>146.78</v>
      </c>
      <c r="R2600" s="3">
        <f>L2600-Q2600</f>
        <v>28.639999999999986</v>
      </c>
      <c r="S2600" s="2">
        <f>NETWORKDAYS(B2600,C2600)-1</f>
        <v>1</v>
      </c>
      <c r="T2600" s="1">
        <f>WORKDAY(B2600,5)</f>
        <v>45897</v>
      </c>
      <c r="U2600" t="b">
        <f>C2600&gt;T2600</f>
        <v>0</v>
      </c>
    </row>
    <row r="2601" spans="1:21" x14ac:dyDescent="0.25">
      <c r="A2601" t="s">
        <v>1695</v>
      </c>
      <c r="B2601" s="1">
        <v>45890</v>
      </c>
      <c r="C2601" s="1">
        <v>45891</v>
      </c>
      <c r="D2601" t="s">
        <v>1696</v>
      </c>
      <c r="E2601" t="s">
        <v>336</v>
      </c>
      <c r="F2601" t="s">
        <v>166</v>
      </c>
      <c r="G2601" t="s">
        <v>248</v>
      </c>
      <c r="H2601" t="s">
        <v>83</v>
      </c>
      <c r="I2601" s="2">
        <v>2</v>
      </c>
      <c r="J2601" s="3">
        <v>49</v>
      </c>
      <c r="K2601" s="4">
        <v>0</v>
      </c>
      <c r="L2601" s="3">
        <v>98</v>
      </c>
      <c r="M2601" t="b">
        <v>1</v>
      </c>
      <c r="N2601" s="2">
        <f>YEAR(B2601)</f>
        <v>2025</v>
      </c>
      <c r="O2601" t="str">
        <f>INDEX(Agences!$C:$C,MATCH(F2601,Agences!$A:$A,0))</f>
        <v>Ouest</v>
      </c>
      <c r="P2601" t="str">
        <f>INDEX(Produits!$C:$C,MATCH(H2601,Produits!$A:$A,0))</f>
        <v>Mobilier</v>
      </c>
      <c r="Q2601" s="3">
        <f>I2601*INDEX(Produits!$E:$E,MATCH(H2601,Produits!$A:$A,0))</f>
        <v>56.84</v>
      </c>
      <c r="R2601" s="3">
        <f>L2601-Q2601</f>
        <v>41.16</v>
      </c>
      <c r="S2601" s="2">
        <f>NETWORKDAYS(B2601,C2601)-1</f>
        <v>1</v>
      </c>
      <c r="T2601" s="1">
        <f>WORKDAY(B2601,5)</f>
        <v>45897</v>
      </c>
      <c r="U2601" t="b">
        <f>C2601&gt;T2601</f>
        <v>0</v>
      </c>
    </row>
    <row r="2602" spans="1:21" x14ac:dyDescent="0.25">
      <c r="A2602" t="s">
        <v>1697</v>
      </c>
      <c r="B2602" s="1">
        <v>45890</v>
      </c>
      <c r="C2602" s="1">
        <v>45891</v>
      </c>
      <c r="D2602" t="s">
        <v>335</v>
      </c>
      <c r="E2602" t="s">
        <v>336</v>
      </c>
      <c r="F2602" t="s">
        <v>166</v>
      </c>
      <c r="G2602" t="s">
        <v>248</v>
      </c>
      <c r="H2602" t="s">
        <v>42</v>
      </c>
      <c r="I2602" s="2">
        <v>1</v>
      </c>
      <c r="J2602" s="3">
        <v>55</v>
      </c>
      <c r="K2602" s="4">
        <v>0.08</v>
      </c>
      <c r="L2602" s="3">
        <v>50.6</v>
      </c>
      <c r="M2602" t="b">
        <v>1</v>
      </c>
      <c r="N2602" s="2">
        <f>YEAR(B2602)</f>
        <v>2025</v>
      </c>
      <c r="O2602" t="str">
        <f>INDEX(Agences!$C:$C,MATCH(F2602,Agences!$A:$A,0))</f>
        <v>Ouest</v>
      </c>
      <c r="P2602" t="str">
        <f>INDEX(Produits!$C:$C,MATCH(H2602,Produits!$A:$A,0))</f>
        <v>Maintenance</v>
      </c>
      <c r="Q2602" s="3">
        <f>I2602*INDEX(Produits!$E:$E,MATCH(H2602,Produits!$A:$A,0))</f>
        <v>24.75</v>
      </c>
      <c r="R2602" s="3">
        <f>L2602-Q2602</f>
        <v>25.85</v>
      </c>
      <c r="S2602" s="2">
        <f>NETWORKDAYS(B2602,C2602)-1</f>
        <v>1</v>
      </c>
      <c r="T2602" s="1">
        <f>WORKDAY(B2602,5)</f>
        <v>45897</v>
      </c>
      <c r="U2602" t="b">
        <f>C2602&gt;T2602</f>
        <v>0</v>
      </c>
    </row>
    <row r="2603" spans="1:21" x14ac:dyDescent="0.25">
      <c r="A2603" t="s">
        <v>1697</v>
      </c>
      <c r="B2603" s="1">
        <v>45890</v>
      </c>
      <c r="C2603" s="1">
        <v>45891</v>
      </c>
      <c r="D2603" t="s">
        <v>335</v>
      </c>
      <c r="E2603" t="s">
        <v>336</v>
      </c>
      <c r="F2603" t="s">
        <v>166</v>
      </c>
      <c r="G2603" t="s">
        <v>248</v>
      </c>
      <c r="H2603" t="s">
        <v>51</v>
      </c>
      <c r="I2603" s="2">
        <v>1</v>
      </c>
      <c r="J2603" s="3">
        <v>180</v>
      </c>
      <c r="K2603" s="4">
        <v>0.1</v>
      </c>
      <c r="L2603" s="3">
        <v>162</v>
      </c>
      <c r="M2603" t="b">
        <v>1</v>
      </c>
      <c r="N2603" s="2">
        <f>YEAR(B2603)</f>
        <v>2025</v>
      </c>
      <c r="O2603" t="str">
        <f>INDEX(Agences!$C:$C,MATCH(F2603,Agences!$A:$A,0))</f>
        <v>Ouest</v>
      </c>
      <c r="P2603" t="str">
        <f>INDEX(Produits!$C:$C,MATCH(H2603,Produits!$A:$A,0))</f>
        <v>Maintenance</v>
      </c>
      <c r="Q2603" s="3">
        <f>I2603*INDEX(Produits!$E:$E,MATCH(H2603,Produits!$A:$A,0))</f>
        <v>82.8</v>
      </c>
      <c r="R2603" s="3">
        <f>L2603-Q2603</f>
        <v>79.2</v>
      </c>
      <c r="S2603" s="2">
        <f>NETWORKDAYS(B2603,C2603)-1</f>
        <v>1</v>
      </c>
      <c r="T2603" s="1">
        <f>WORKDAY(B2603,5)</f>
        <v>45897</v>
      </c>
      <c r="U2603" t="b">
        <f>C2603&gt;T2603</f>
        <v>0</v>
      </c>
    </row>
    <row r="2604" spans="1:21" x14ac:dyDescent="0.25">
      <c r="A2604" t="s">
        <v>1697</v>
      </c>
      <c r="B2604" s="1">
        <v>45890</v>
      </c>
      <c r="C2604" s="1">
        <v>45891</v>
      </c>
      <c r="D2604" t="s">
        <v>335</v>
      </c>
      <c r="E2604" t="s">
        <v>336</v>
      </c>
      <c r="F2604" t="s">
        <v>166</v>
      </c>
      <c r="G2604" t="s">
        <v>248</v>
      </c>
      <c r="H2604" t="s">
        <v>83</v>
      </c>
      <c r="I2604" s="2">
        <v>4</v>
      </c>
      <c r="J2604" s="3">
        <v>49</v>
      </c>
      <c r="K2604" s="4">
        <v>0</v>
      </c>
      <c r="L2604" s="3">
        <v>196</v>
      </c>
      <c r="M2604" t="b">
        <v>1</v>
      </c>
      <c r="N2604" s="2">
        <f>YEAR(B2604)</f>
        <v>2025</v>
      </c>
      <c r="O2604" t="str">
        <f>INDEX(Agences!$C:$C,MATCH(F2604,Agences!$A:$A,0))</f>
        <v>Ouest</v>
      </c>
      <c r="P2604" t="str">
        <f>INDEX(Produits!$C:$C,MATCH(H2604,Produits!$A:$A,0))</f>
        <v>Mobilier</v>
      </c>
      <c r="Q2604" s="3">
        <f>I2604*INDEX(Produits!$E:$E,MATCH(H2604,Produits!$A:$A,0))</f>
        <v>113.68</v>
      </c>
      <c r="R2604" s="3">
        <f>L2604-Q2604</f>
        <v>82.32</v>
      </c>
      <c r="S2604" s="2">
        <f>NETWORKDAYS(B2604,C2604)-1</f>
        <v>1</v>
      </c>
      <c r="T2604" s="1">
        <f>WORKDAY(B2604,5)</f>
        <v>45897</v>
      </c>
      <c r="U2604" t="b">
        <f>C2604&gt;T2604</f>
        <v>0</v>
      </c>
    </row>
    <row r="2605" spans="1:21" x14ac:dyDescent="0.25">
      <c r="A2605" t="s">
        <v>1698</v>
      </c>
      <c r="B2605" s="1">
        <v>45890</v>
      </c>
      <c r="C2605" s="1">
        <v>45896</v>
      </c>
      <c r="D2605" t="s">
        <v>1240</v>
      </c>
      <c r="E2605" t="s">
        <v>374</v>
      </c>
      <c r="F2605" t="s">
        <v>31</v>
      </c>
      <c r="G2605" t="s">
        <v>32</v>
      </c>
      <c r="H2605" t="s">
        <v>50</v>
      </c>
      <c r="I2605" s="2">
        <v>1</v>
      </c>
      <c r="J2605" s="3">
        <v>69</v>
      </c>
      <c r="K2605" s="4">
        <v>0.02</v>
      </c>
      <c r="L2605" s="3">
        <v>67.62</v>
      </c>
      <c r="M2605" t="b">
        <v>1</v>
      </c>
      <c r="N2605" s="2">
        <f>YEAR(B2605)</f>
        <v>2025</v>
      </c>
      <c r="O2605" t="str">
        <f>INDEX(Agences!$C:$C,MATCH(F2605,Agences!$A:$A,0))</f>
        <v>Ouest</v>
      </c>
      <c r="P2605" t="str">
        <f>INDEX(Produits!$C:$C,MATCH(H2605,Produits!$A:$A,0))</f>
        <v>Informatique</v>
      </c>
      <c r="Q2605" s="3">
        <f>I2605*INDEX(Produits!$E:$E,MATCH(H2605,Produits!$A:$A,0))</f>
        <v>54.51</v>
      </c>
      <c r="R2605" s="3">
        <f>L2605-Q2605</f>
        <v>13.110000000000007</v>
      </c>
      <c r="S2605" s="2">
        <f>NETWORKDAYS(B2605,C2605)-1</f>
        <v>4</v>
      </c>
      <c r="T2605" s="1">
        <f>WORKDAY(B2605,5)</f>
        <v>45897</v>
      </c>
      <c r="U2605" t="b">
        <f>C2605&gt;T2605</f>
        <v>0</v>
      </c>
    </row>
    <row r="2606" spans="1:21" x14ac:dyDescent="0.25">
      <c r="A2606" t="s">
        <v>1699</v>
      </c>
      <c r="B2606" s="1">
        <v>45890</v>
      </c>
      <c r="C2606" s="1">
        <v>45894</v>
      </c>
      <c r="D2606" t="s">
        <v>897</v>
      </c>
      <c r="E2606" t="s">
        <v>87</v>
      </c>
      <c r="F2606" t="s">
        <v>88</v>
      </c>
      <c r="G2606" t="s">
        <v>226</v>
      </c>
      <c r="H2606" t="s">
        <v>90</v>
      </c>
      <c r="I2606" s="2">
        <v>10</v>
      </c>
      <c r="J2606" s="3">
        <v>22.9</v>
      </c>
      <c r="K2606" s="4">
        <v>0.02</v>
      </c>
      <c r="L2606" s="3">
        <v>224.42</v>
      </c>
      <c r="M2606" t="b">
        <v>1</v>
      </c>
      <c r="N2606" s="2">
        <f>YEAR(B2606)</f>
        <v>2025</v>
      </c>
      <c r="O2606" t="str">
        <f>INDEX(Agences!$C:$C,MATCH(F2606,Agences!$A:$A,0))</f>
        <v>Sud-Ouest</v>
      </c>
      <c r="P2606" t="str">
        <f>INDEX(Produits!$C:$C,MATCH(H2606,Produits!$A:$A,0))</f>
        <v>Fournitures</v>
      </c>
      <c r="Q2606" s="3">
        <f>I2606*INDEX(Produits!$E:$E,MATCH(H2606,Produits!$A:$A,0))</f>
        <v>128.2</v>
      </c>
      <c r="R2606" s="3">
        <f>L2606-Q2606</f>
        <v>96.22</v>
      </c>
      <c r="S2606" s="2">
        <f>NETWORKDAYS(B2606,C2606)-1</f>
        <v>2</v>
      </c>
      <c r="T2606" s="1">
        <f>WORKDAY(B2606,5)</f>
        <v>45897</v>
      </c>
      <c r="U2606" t="b">
        <f>C2606&gt;T2606</f>
        <v>0</v>
      </c>
    </row>
    <row r="2607" spans="1:21" x14ac:dyDescent="0.25">
      <c r="A2607" t="s">
        <v>1700</v>
      </c>
      <c r="B2607" s="1">
        <v>45890</v>
      </c>
      <c r="C2607" s="1">
        <v>45896</v>
      </c>
      <c r="D2607" t="s">
        <v>458</v>
      </c>
      <c r="E2607" t="s">
        <v>419</v>
      </c>
      <c r="F2607" t="s">
        <v>62</v>
      </c>
      <c r="G2607" t="s">
        <v>68</v>
      </c>
      <c r="H2607" t="s">
        <v>205</v>
      </c>
      <c r="I2607" s="2">
        <v>3</v>
      </c>
      <c r="J2607" s="3">
        <v>359</v>
      </c>
      <c r="K2607" s="4">
        <v>0</v>
      </c>
      <c r="L2607" s="3">
        <v>1077</v>
      </c>
      <c r="M2607" t="b">
        <v>1</v>
      </c>
      <c r="N2607" s="2">
        <f>YEAR(B2607)</f>
        <v>2025</v>
      </c>
      <c r="O2607" t="str">
        <f>INDEX(Agences!$C:$C,MATCH(F2607,Agences!$A:$A,0))</f>
        <v>Méditerranée</v>
      </c>
      <c r="P2607" t="str">
        <f>INDEX(Produits!$C:$C,MATCH(H2607,Produits!$A:$A,0))</f>
        <v>Mobilier</v>
      </c>
      <c r="Q2607" s="3">
        <f>I2607*INDEX(Produits!$E:$E,MATCH(H2607,Produits!$A:$A,0))</f>
        <v>613.89</v>
      </c>
      <c r="R2607" s="3">
        <f>L2607-Q2607</f>
        <v>463.11</v>
      </c>
      <c r="S2607" s="2">
        <f>NETWORKDAYS(B2607,C2607)-1</f>
        <v>4</v>
      </c>
      <c r="T2607" s="1">
        <f>WORKDAY(B2607,5)</f>
        <v>45897</v>
      </c>
      <c r="U2607" t="b">
        <f>C2607&gt;T2607</f>
        <v>0</v>
      </c>
    </row>
    <row r="2608" spans="1:21" x14ac:dyDescent="0.25">
      <c r="A2608" t="s">
        <v>1700</v>
      </c>
      <c r="B2608" s="1">
        <v>45890</v>
      </c>
      <c r="C2608" s="1">
        <v>45896</v>
      </c>
      <c r="D2608" t="s">
        <v>458</v>
      </c>
      <c r="E2608" t="s">
        <v>419</v>
      </c>
      <c r="F2608" t="s">
        <v>62</v>
      </c>
      <c r="G2608" t="s">
        <v>68</v>
      </c>
      <c r="H2608" t="s">
        <v>64</v>
      </c>
      <c r="I2608" s="2">
        <v>20</v>
      </c>
      <c r="J2608" s="3">
        <v>16.8</v>
      </c>
      <c r="K2608" s="4">
        <v>0.05</v>
      </c>
      <c r="L2608" s="3">
        <v>319.2</v>
      </c>
      <c r="M2608" t="b">
        <v>1</v>
      </c>
      <c r="N2608" s="2">
        <f>YEAR(B2608)</f>
        <v>2025</v>
      </c>
      <c r="O2608" t="str">
        <f>INDEX(Agences!$C:$C,MATCH(F2608,Agences!$A:$A,0))</f>
        <v>Méditerranée</v>
      </c>
      <c r="P2608" t="str">
        <f>INDEX(Produits!$C:$C,MATCH(H2608,Produits!$A:$A,0))</f>
        <v>Fournitures</v>
      </c>
      <c r="Q2608" s="3">
        <f>I2608*INDEX(Produits!$E:$E,MATCH(H2608,Produits!$A:$A,0))</f>
        <v>174.8</v>
      </c>
      <c r="R2608" s="3">
        <f>L2608-Q2608</f>
        <v>144.39999999999998</v>
      </c>
      <c r="S2608" s="2">
        <f>NETWORKDAYS(B2608,C2608)-1</f>
        <v>4</v>
      </c>
      <c r="T2608" s="1">
        <f>WORKDAY(B2608,5)</f>
        <v>45897</v>
      </c>
      <c r="U2608" t="b">
        <f>C2608&gt;T2608</f>
        <v>0</v>
      </c>
    </row>
    <row r="2609" spans="1:21" x14ac:dyDescent="0.25">
      <c r="A2609" t="s">
        <v>1700</v>
      </c>
      <c r="B2609" s="1">
        <v>45890</v>
      </c>
      <c r="C2609" s="1">
        <v>45896</v>
      </c>
      <c r="D2609" t="s">
        <v>458</v>
      </c>
      <c r="E2609" t="s">
        <v>419</v>
      </c>
      <c r="F2609" t="s">
        <v>62</v>
      </c>
      <c r="G2609" t="s">
        <v>68</v>
      </c>
      <c r="H2609" t="s">
        <v>107</v>
      </c>
      <c r="I2609" s="2">
        <v>3</v>
      </c>
      <c r="J2609" s="3">
        <v>99</v>
      </c>
      <c r="K2609" s="4">
        <v>0.02</v>
      </c>
      <c r="L2609" s="3">
        <v>291.06</v>
      </c>
      <c r="M2609" t="b">
        <v>1</v>
      </c>
      <c r="N2609" s="2">
        <f>YEAR(B2609)</f>
        <v>2025</v>
      </c>
      <c r="O2609" t="str">
        <f>INDEX(Agences!$C:$C,MATCH(F2609,Agences!$A:$A,0))</f>
        <v>Méditerranée</v>
      </c>
      <c r="P2609" t="str">
        <f>INDEX(Produits!$C:$C,MATCH(H2609,Produits!$A:$A,0))</f>
        <v>Informatique</v>
      </c>
      <c r="Q2609" s="3">
        <f>I2609*INDEX(Produits!$E:$E,MATCH(H2609,Produits!$A:$A,0))</f>
        <v>225.71999999999997</v>
      </c>
      <c r="R2609" s="3">
        <f>L2609-Q2609</f>
        <v>65.34000000000003</v>
      </c>
      <c r="S2609" s="2">
        <f>NETWORKDAYS(B2609,C2609)-1</f>
        <v>4</v>
      </c>
      <c r="T2609" s="1">
        <f>WORKDAY(B2609,5)</f>
        <v>45897</v>
      </c>
      <c r="U2609" t="b">
        <f>C2609&gt;T2609</f>
        <v>0</v>
      </c>
    </row>
    <row r="2610" spans="1:21" x14ac:dyDescent="0.25">
      <c r="A2610" t="s">
        <v>1700</v>
      </c>
      <c r="B2610" s="1">
        <v>45890</v>
      </c>
      <c r="C2610" s="1">
        <v>45896</v>
      </c>
      <c r="D2610" t="s">
        <v>458</v>
      </c>
      <c r="E2610" t="s">
        <v>419</v>
      </c>
      <c r="F2610" t="s">
        <v>62</v>
      </c>
      <c r="G2610" t="s">
        <v>68</v>
      </c>
      <c r="H2610" t="s">
        <v>42</v>
      </c>
      <c r="I2610" s="2">
        <v>1</v>
      </c>
      <c r="J2610" s="3">
        <v>55</v>
      </c>
      <c r="K2610" s="4">
        <v>0</v>
      </c>
      <c r="L2610" s="3">
        <v>55</v>
      </c>
      <c r="M2610" t="b">
        <v>1</v>
      </c>
      <c r="N2610" s="2">
        <f>YEAR(B2610)</f>
        <v>2025</v>
      </c>
      <c r="O2610" t="str">
        <f>INDEX(Agences!$C:$C,MATCH(F2610,Agences!$A:$A,0))</f>
        <v>Méditerranée</v>
      </c>
      <c r="P2610" t="str">
        <f>INDEX(Produits!$C:$C,MATCH(H2610,Produits!$A:$A,0))</f>
        <v>Maintenance</v>
      </c>
      <c r="Q2610" s="3">
        <f>I2610*INDEX(Produits!$E:$E,MATCH(H2610,Produits!$A:$A,0))</f>
        <v>24.75</v>
      </c>
      <c r="R2610" s="3">
        <f>L2610-Q2610</f>
        <v>30.25</v>
      </c>
      <c r="S2610" s="2">
        <f>NETWORKDAYS(B2610,C2610)-1</f>
        <v>4</v>
      </c>
      <c r="T2610" s="1">
        <f>WORKDAY(B2610,5)</f>
        <v>45897</v>
      </c>
      <c r="U2610" t="b">
        <f>C2610&gt;T2610</f>
        <v>0</v>
      </c>
    </row>
    <row r="2611" spans="1:21" x14ac:dyDescent="0.25">
      <c r="A2611" t="s">
        <v>1701</v>
      </c>
      <c r="B2611" s="1">
        <v>45890</v>
      </c>
      <c r="C2611" s="1">
        <v>45894</v>
      </c>
      <c r="D2611" t="s">
        <v>267</v>
      </c>
      <c r="E2611" t="s">
        <v>157</v>
      </c>
      <c r="F2611" t="s">
        <v>46</v>
      </c>
      <c r="G2611" t="s">
        <v>158</v>
      </c>
      <c r="H2611" t="s">
        <v>103</v>
      </c>
      <c r="I2611" s="2">
        <v>1</v>
      </c>
      <c r="J2611" s="3">
        <v>245</v>
      </c>
      <c r="K2611" s="4">
        <v>0.1</v>
      </c>
      <c r="L2611" s="3">
        <v>220.5</v>
      </c>
      <c r="M2611" t="b">
        <v>1</v>
      </c>
      <c r="N2611" s="2">
        <f>YEAR(B2611)</f>
        <v>2025</v>
      </c>
      <c r="O2611" t="str">
        <f>INDEX(Agences!$C:$C,MATCH(F2611,Agences!$A:$A,0))</f>
        <v>Est</v>
      </c>
      <c r="P2611" t="str">
        <f>INDEX(Produits!$C:$C,MATCH(H2611,Produits!$A:$A,0))</f>
        <v>Mobilier</v>
      </c>
      <c r="Q2611" s="3">
        <f>I2611*INDEX(Produits!$E:$E,MATCH(H2611,Produits!$A:$A,0))</f>
        <v>164.15</v>
      </c>
      <c r="R2611" s="3">
        <f>L2611-Q2611</f>
        <v>56.349999999999994</v>
      </c>
      <c r="S2611" s="2">
        <f>NETWORKDAYS(B2611,C2611)-1</f>
        <v>2</v>
      </c>
      <c r="T2611" s="1">
        <f>WORKDAY(B2611,5)</f>
        <v>45897</v>
      </c>
      <c r="U2611" t="b">
        <f>C2611&gt;T2611</f>
        <v>0</v>
      </c>
    </row>
    <row r="2612" spans="1:21" x14ac:dyDescent="0.25">
      <c r="A2612" t="s">
        <v>1701</v>
      </c>
      <c r="B2612" s="1">
        <v>45890</v>
      </c>
      <c r="C2612" s="1">
        <v>45894</v>
      </c>
      <c r="D2612" t="s">
        <v>267</v>
      </c>
      <c r="E2612" t="s">
        <v>157</v>
      </c>
      <c r="F2612" t="s">
        <v>46</v>
      </c>
      <c r="G2612" t="s">
        <v>158</v>
      </c>
      <c r="H2612" t="s">
        <v>233</v>
      </c>
      <c r="I2612" s="2">
        <v>15</v>
      </c>
      <c r="J2612" s="3">
        <v>27.5</v>
      </c>
      <c r="K2612" s="4">
        <v>0</v>
      </c>
      <c r="L2612" s="3">
        <v>412.5</v>
      </c>
      <c r="M2612" t="b">
        <v>1</v>
      </c>
      <c r="N2612" s="2">
        <f>YEAR(B2612)</f>
        <v>2025</v>
      </c>
      <c r="O2612" t="str">
        <f>INDEX(Agences!$C:$C,MATCH(F2612,Agences!$A:$A,0))</f>
        <v>Est</v>
      </c>
      <c r="P2612" t="str">
        <f>INDEX(Produits!$C:$C,MATCH(H2612,Produits!$A:$A,0))</f>
        <v>Fournitures</v>
      </c>
      <c r="Q2612" s="3">
        <f>I2612*INDEX(Produits!$E:$E,MATCH(H2612,Produits!$A:$A,0))</f>
        <v>231</v>
      </c>
      <c r="R2612" s="3">
        <f>L2612-Q2612</f>
        <v>181.5</v>
      </c>
      <c r="S2612" s="2">
        <f>NETWORKDAYS(B2612,C2612)-1</f>
        <v>2</v>
      </c>
      <c r="T2612" s="1">
        <f>WORKDAY(B2612,5)</f>
        <v>45897</v>
      </c>
      <c r="U2612" t="b">
        <f>C2612&gt;T2612</f>
        <v>0</v>
      </c>
    </row>
    <row r="2613" spans="1:21" x14ac:dyDescent="0.25">
      <c r="A2613" t="s">
        <v>1701</v>
      </c>
      <c r="B2613" s="1">
        <v>45890</v>
      </c>
      <c r="C2613" s="1">
        <v>45894</v>
      </c>
      <c r="D2613" t="s">
        <v>267</v>
      </c>
      <c r="E2613" t="s">
        <v>157</v>
      </c>
      <c r="F2613" t="s">
        <v>46</v>
      </c>
      <c r="G2613" t="s">
        <v>158</v>
      </c>
      <c r="H2613" t="s">
        <v>50</v>
      </c>
      <c r="I2613" s="2">
        <v>1</v>
      </c>
      <c r="J2613" s="3">
        <v>69</v>
      </c>
      <c r="K2613" s="4">
        <v>0.08</v>
      </c>
      <c r="L2613" s="3">
        <v>63.48</v>
      </c>
      <c r="M2613" t="b">
        <v>1</v>
      </c>
      <c r="N2613" s="2">
        <f>YEAR(B2613)</f>
        <v>2025</v>
      </c>
      <c r="O2613" t="str">
        <f>INDEX(Agences!$C:$C,MATCH(F2613,Agences!$A:$A,0))</f>
        <v>Est</v>
      </c>
      <c r="P2613" t="str">
        <f>INDEX(Produits!$C:$C,MATCH(H2613,Produits!$A:$A,0))</f>
        <v>Informatique</v>
      </c>
      <c r="Q2613" s="3">
        <f>I2613*INDEX(Produits!$E:$E,MATCH(H2613,Produits!$A:$A,0))</f>
        <v>54.51</v>
      </c>
      <c r="R2613" s="3">
        <f>L2613-Q2613</f>
        <v>8.969999999999999</v>
      </c>
      <c r="S2613" s="2">
        <f>NETWORKDAYS(B2613,C2613)-1</f>
        <v>2</v>
      </c>
      <c r="T2613" s="1">
        <f>WORKDAY(B2613,5)</f>
        <v>45897</v>
      </c>
      <c r="U2613" t="b">
        <f>C2613&gt;T2613</f>
        <v>0</v>
      </c>
    </row>
    <row r="2614" spans="1:21" x14ac:dyDescent="0.25">
      <c r="A2614" t="s">
        <v>1701</v>
      </c>
      <c r="B2614" s="1">
        <v>45890</v>
      </c>
      <c r="C2614" s="1">
        <v>45894</v>
      </c>
      <c r="D2614" t="s">
        <v>267</v>
      </c>
      <c r="E2614" t="s">
        <v>157</v>
      </c>
      <c r="F2614" t="s">
        <v>46</v>
      </c>
      <c r="G2614" t="s">
        <v>158</v>
      </c>
      <c r="H2614" t="s">
        <v>51</v>
      </c>
      <c r="I2614" s="2">
        <v>1</v>
      </c>
      <c r="J2614" s="3">
        <v>180</v>
      </c>
      <c r="K2614" s="4">
        <v>0</v>
      </c>
      <c r="L2614" s="3">
        <v>180</v>
      </c>
      <c r="M2614" t="b">
        <v>1</v>
      </c>
      <c r="N2614" s="2">
        <f>YEAR(B2614)</f>
        <v>2025</v>
      </c>
      <c r="O2614" t="str">
        <f>INDEX(Agences!$C:$C,MATCH(F2614,Agences!$A:$A,0))</f>
        <v>Est</v>
      </c>
      <c r="P2614" t="str">
        <f>INDEX(Produits!$C:$C,MATCH(H2614,Produits!$A:$A,0))</f>
        <v>Maintenance</v>
      </c>
      <c r="Q2614" s="3">
        <f>I2614*INDEX(Produits!$E:$E,MATCH(H2614,Produits!$A:$A,0))</f>
        <v>82.8</v>
      </c>
      <c r="R2614" s="3">
        <f>L2614-Q2614</f>
        <v>97.2</v>
      </c>
      <c r="S2614" s="2">
        <f>NETWORKDAYS(B2614,C2614)-1</f>
        <v>2</v>
      </c>
      <c r="T2614" s="1">
        <f>WORKDAY(B2614,5)</f>
        <v>45897</v>
      </c>
      <c r="U2614" t="b">
        <f>C2614&gt;T2614</f>
        <v>0</v>
      </c>
    </row>
    <row r="2615" spans="1:21" x14ac:dyDescent="0.25">
      <c r="A2615" t="s">
        <v>1702</v>
      </c>
      <c r="B2615" s="1">
        <v>45890</v>
      </c>
      <c r="C2615" s="1">
        <v>45894</v>
      </c>
      <c r="D2615" t="s">
        <v>948</v>
      </c>
      <c r="E2615" t="s">
        <v>54</v>
      </c>
      <c r="F2615" t="s">
        <v>55</v>
      </c>
      <c r="G2615" t="s">
        <v>71</v>
      </c>
      <c r="H2615" t="s">
        <v>50</v>
      </c>
      <c r="I2615" s="2">
        <v>4</v>
      </c>
      <c r="J2615" s="3">
        <v>69</v>
      </c>
      <c r="K2615" s="4">
        <v>0</v>
      </c>
      <c r="L2615" s="3">
        <v>276</v>
      </c>
      <c r="M2615" t="b">
        <v>1</v>
      </c>
      <c r="N2615" s="2">
        <f>YEAR(B2615)</f>
        <v>2025</v>
      </c>
      <c r="O2615" t="str">
        <f>INDEX(Agences!$C:$C,MATCH(F2615,Agences!$A:$A,0))</f>
        <v>Est</v>
      </c>
      <c r="P2615" t="str">
        <f>INDEX(Produits!$C:$C,MATCH(H2615,Produits!$A:$A,0))</f>
        <v>Informatique</v>
      </c>
      <c r="Q2615" s="3">
        <f>I2615*INDEX(Produits!$E:$E,MATCH(H2615,Produits!$A:$A,0))</f>
        <v>218.04</v>
      </c>
      <c r="R2615" s="3">
        <f>L2615-Q2615</f>
        <v>57.96000000000001</v>
      </c>
      <c r="S2615" s="2">
        <f>NETWORKDAYS(B2615,C2615)-1</f>
        <v>2</v>
      </c>
      <c r="T2615" s="1">
        <f>WORKDAY(B2615,5)</f>
        <v>45897</v>
      </c>
      <c r="U2615" t="b">
        <f>C2615&gt;T2615</f>
        <v>0</v>
      </c>
    </row>
    <row r="2616" spans="1:21" x14ac:dyDescent="0.25">
      <c r="A2616" t="s">
        <v>1703</v>
      </c>
      <c r="B2616" s="1">
        <v>45889</v>
      </c>
      <c r="C2616" s="1">
        <v>45894</v>
      </c>
      <c r="D2616" t="s">
        <v>1109</v>
      </c>
      <c r="E2616" t="s">
        <v>229</v>
      </c>
      <c r="F2616" t="s">
        <v>55</v>
      </c>
      <c r="G2616" t="s">
        <v>56</v>
      </c>
      <c r="H2616" t="s">
        <v>79</v>
      </c>
      <c r="I2616" s="2">
        <v>5</v>
      </c>
      <c r="J2616" s="3">
        <v>14.9</v>
      </c>
      <c r="K2616" s="4">
        <v>0</v>
      </c>
      <c r="L2616" s="3">
        <v>74.5</v>
      </c>
      <c r="M2616" t="b">
        <v>1</v>
      </c>
      <c r="N2616" s="2">
        <f>YEAR(B2616)</f>
        <v>2025</v>
      </c>
      <c r="O2616" t="str">
        <f>INDEX(Agences!$C:$C,MATCH(F2616,Agences!$A:$A,0))</f>
        <v>Est</v>
      </c>
      <c r="P2616" t="str">
        <f>INDEX(Produits!$C:$C,MATCH(H2616,Produits!$A:$A,0))</f>
        <v>Fournitures</v>
      </c>
      <c r="Q2616" s="3">
        <f>I2616*INDEX(Produits!$E:$E,MATCH(H2616,Produits!$A:$A,0))</f>
        <v>40.25</v>
      </c>
      <c r="R2616" s="3">
        <f>L2616-Q2616</f>
        <v>34.25</v>
      </c>
      <c r="S2616" s="2">
        <f>NETWORKDAYS(B2616,C2616)-1</f>
        <v>3</v>
      </c>
      <c r="T2616" s="1">
        <f>WORKDAY(B2616,5)</f>
        <v>45896</v>
      </c>
      <c r="U2616" t="b">
        <f>C2616&gt;T2616</f>
        <v>0</v>
      </c>
    </row>
    <row r="2617" spans="1:21" x14ac:dyDescent="0.25">
      <c r="A2617" t="s">
        <v>1703</v>
      </c>
      <c r="B2617" s="1">
        <v>45889</v>
      </c>
      <c r="C2617" s="1">
        <v>45894</v>
      </c>
      <c r="D2617" t="s">
        <v>1109</v>
      </c>
      <c r="E2617" t="s">
        <v>229</v>
      </c>
      <c r="F2617" t="s">
        <v>55</v>
      </c>
      <c r="G2617" t="s">
        <v>56</v>
      </c>
      <c r="H2617" t="s">
        <v>108</v>
      </c>
      <c r="I2617" s="2">
        <v>10</v>
      </c>
      <c r="J2617" s="3">
        <v>24.5</v>
      </c>
      <c r="K2617" s="4">
        <v>0</v>
      </c>
      <c r="L2617" s="3">
        <v>245</v>
      </c>
      <c r="M2617" t="b">
        <v>1</v>
      </c>
      <c r="N2617" s="2">
        <f>YEAR(B2617)</f>
        <v>2025</v>
      </c>
      <c r="O2617" t="str">
        <f>INDEX(Agences!$C:$C,MATCH(F2617,Agences!$A:$A,0))</f>
        <v>Est</v>
      </c>
      <c r="P2617" t="str">
        <f>INDEX(Produits!$C:$C,MATCH(H2617,Produits!$A:$A,0))</f>
        <v>Fournitures</v>
      </c>
      <c r="Q2617" s="3">
        <f>I2617*INDEX(Produits!$E:$E,MATCH(H2617,Produits!$A:$A,0))</f>
        <v>147</v>
      </c>
      <c r="R2617" s="3">
        <f>L2617-Q2617</f>
        <v>98</v>
      </c>
      <c r="S2617" s="2">
        <f>NETWORKDAYS(B2617,C2617)-1</f>
        <v>3</v>
      </c>
      <c r="T2617" s="1">
        <f>WORKDAY(B2617,5)</f>
        <v>45896</v>
      </c>
      <c r="U2617" t="b">
        <f>C2617&gt;T2617</f>
        <v>0</v>
      </c>
    </row>
    <row r="2618" spans="1:21" x14ac:dyDescent="0.25">
      <c r="A2618" t="s">
        <v>1704</v>
      </c>
      <c r="B2618" s="1">
        <v>45888</v>
      </c>
      <c r="C2618" s="1">
        <v>45891</v>
      </c>
      <c r="D2618" t="s">
        <v>1705</v>
      </c>
      <c r="E2618" t="s">
        <v>165</v>
      </c>
      <c r="F2618" t="s">
        <v>166</v>
      </c>
      <c r="G2618" t="s">
        <v>248</v>
      </c>
      <c r="H2618" t="s">
        <v>27</v>
      </c>
      <c r="I2618" s="2">
        <v>2</v>
      </c>
      <c r="J2618" s="3">
        <v>310</v>
      </c>
      <c r="K2618" s="4">
        <v>0.05</v>
      </c>
      <c r="L2618" s="3">
        <v>589</v>
      </c>
      <c r="M2618" t="b">
        <v>1</v>
      </c>
      <c r="N2618" s="2">
        <f>YEAR(B2618)</f>
        <v>2025</v>
      </c>
      <c r="O2618" t="str">
        <f>INDEX(Agences!$C:$C,MATCH(F2618,Agences!$A:$A,0))</f>
        <v>Ouest</v>
      </c>
      <c r="P2618" t="str">
        <f>INDEX(Produits!$C:$C,MATCH(H2618,Produits!$A:$A,0))</f>
        <v>Mobilier</v>
      </c>
      <c r="Q2618" s="3">
        <f>I2618*INDEX(Produits!$E:$E,MATCH(H2618,Produits!$A:$A,0))</f>
        <v>372</v>
      </c>
      <c r="R2618" s="3">
        <f>L2618-Q2618</f>
        <v>217</v>
      </c>
      <c r="S2618" s="2">
        <f>NETWORKDAYS(B2618,C2618)-1</f>
        <v>3</v>
      </c>
      <c r="T2618" s="1">
        <f>WORKDAY(B2618,5)</f>
        <v>45895</v>
      </c>
      <c r="U2618" t="b">
        <f>C2618&gt;T2618</f>
        <v>0</v>
      </c>
    </row>
    <row r="2619" spans="1:21" x14ac:dyDescent="0.25">
      <c r="A2619" t="s">
        <v>1704</v>
      </c>
      <c r="B2619" s="1">
        <v>45888</v>
      </c>
      <c r="C2619" s="1">
        <v>45891</v>
      </c>
      <c r="D2619" t="s">
        <v>1705</v>
      </c>
      <c r="E2619" t="s">
        <v>165</v>
      </c>
      <c r="F2619" t="s">
        <v>166</v>
      </c>
      <c r="G2619" t="s">
        <v>248</v>
      </c>
      <c r="H2619" t="s">
        <v>83</v>
      </c>
      <c r="I2619" s="2">
        <v>2</v>
      </c>
      <c r="J2619" s="3">
        <v>49</v>
      </c>
      <c r="K2619" s="4">
        <v>0</v>
      </c>
      <c r="L2619" s="3">
        <v>98</v>
      </c>
      <c r="M2619" t="b">
        <v>1</v>
      </c>
      <c r="N2619" s="2">
        <f>YEAR(B2619)</f>
        <v>2025</v>
      </c>
      <c r="O2619" t="str">
        <f>INDEX(Agences!$C:$C,MATCH(F2619,Agences!$A:$A,0))</f>
        <v>Ouest</v>
      </c>
      <c r="P2619" t="str">
        <f>INDEX(Produits!$C:$C,MATCH(H2619,Produits!$A:$A,0))</f>
        <v>Mobilier</v>
      </c>
      <c r="Q2619" s="3">
        <f>I2619*INDEX(Produits!$E:$E,MATCH(H2619,Produits!$A:$A,0))</f>
        <v>56.84</v>
      </c>
      <c r="R2619" s="3">
        <f>L2619-Q2619</f>
        <v>41.16</v>
      </c>
      <c r="S2619" s="2">
        <f>NETWORKDAYS(B2619,C2619)-1</f>
        <v>3</v>
      </c>
      <c r="T2619" s="1">
        <f>WORKDAY(B2619,5)</f>
        <v>45895</v>
      </c>
      <c r="U2619" t="b">
        <f>C2619&gt;T2619</f>
        <v>0</v>
      </c>
    </row>
    <row r="2620" spans="1:21" x14ac:dyDescent="0.25">
      <c r="A2620" t="s">
        <v>1706</v>
      </c>
      <c r="B2620" s="1">
        <v>45888</v>
      </c>
      <c r="C2620" s="1">
        <v>45890</v>
      </c>
      <c r="D2620" t="s">
        <v>1515</v>
      </c>
      <c r="E2620" t="s">
        <v>194</v>
      </c>
      <c r="F2620" t="s">
        <v>55</v>
      </c>
      <c r="G2620" t="s">
        <v>56</v>
      </c>
      <c r="H2620" t="s">
        <v>51</v>
      </c>
      <c r="I2620" s="2">
        <v>1</v>
      </c>
      <c r="J2620" s="3">
        <v>180</v>
      </c>
      <c r="K2620" s="4">
        <v>0.08</v>
      </c>
      <c r="L2620" s="3">
        <v>165.6</v>
      </c>
      <c r="M2620" t="b">
        <v>1</v>
      </c>
      <c r="N2620" s="2">
        <f>YEAR(B2620)</f>
        <v>2025</v>
      </c>
      <c r="O2620" t="str">
        <f>INDEX(Agences!$C:$C,MATCH(F2620,Agences!$A:$A,0))</f>
        <v>Est</v>
      </c>
      <c r="P2620" t="str">
        <f>INDEX(Produits!$C:$C,MATCH(H2620,Produits!$A:$A,0))</f>
        <v>Maintenance</v>
      </c>
      <c r="Q2620" s="3">
        <f>I2620*INDEX(Produits!$E:$E,MATCH(H2620,Produits!$A:$A,0))</f>
        <v>82.8</v>
      </c>
      <c r="R2620" s="3">
        <f>L2620-Q2620</f>
        <v>82.8</v>
      </c>
      <c r="S2620" s="2">
        <f>NETWORKDAYS(B2620,C2620)-1</f>
        <v>2</v>
      </c>
      <c r="T2620" s="1">
        <f>WORKDAY(B2620,5)</f>
        <v>45895</v>
      </c>
      <c r="U2620" t="b">
        <f>C2620&gt;T2620</f>
        <v>0</v>
      </c>
    </row>
    <row r="2621" spans="1:21" x14ac:dyDescent="0.25">
      <c r="A2621" t="s">
        <v>1706</v>
      </c>
      <c r="B2621" s="1">
        <v>45888</v>
      </c>
      <c r="C2621" s="1">
        <v>45890</v>
      </c>
      <c r="D2621" t="s">
        <v>1515</v>
      </c>
      <c r="E2621" t="s">
        <v>194</v>
      </c>
      <c r="F2621" t="s">
        <v>55</v>
      </c>
      <c r="G2621" t="s">
        <v>56</v>
      </c>
      <c r="H2621" t="s">
        <v>48</v>
      </c>
      <c r="I2621" s="2">
        <v>5</v>
      </c>
      <c r="J2621" s="3">
        <v>165</v>
      </c>
      <c r="K2621" s="4">
        <v>0.05</v>
      </c>
      <c r="L2621" s="3">
        <v>783.75</v>
      </c>
      <c r="M2621" t="b">
        <v>1</v>
      </c>
      <c r="N2621" s="2">
        <f>YEAR(B2621)</f>
        <v>2025</v>
      </c>
      <c r="O2621" t="str">
        <f>INDEX(Agences!$C:$C,MATCH(F2621,Agences!$A:$A,0))</f>
        <v>Est</v>
      </c>
      <c r="P2621" t="str">
        <f>INDEX(Produits!$C:$C,MATCH(H2621,Produits!$A:$A,0))</f>
        <v>Mobilier</v>
      </c>
      <c r="Q2621" s="3">
        <f>I2621*INDEX(Produits!$E:$E,MATCH(H2621,Produits!$A:$A,0))</f>
        <v>536.25</v>
      </c>
      <c r="R2621" s="3">
        <f>L2621-Q2621</f>
        <v>247.5</v>
      </c>
      <c r="S2621" s="2">
        <f>NETWORKDAYS(B2621,C2621)-1</f>
        <v>2</v>
      </c>
      <c r="T2621" s="1">
        <f>WORKDAY(B2621,5)</f>
        <v>45895</v>
      </c>
      <c r="U2621" t="b">
        <f>C2621&gt;T2621</f>
        <v>0</v>
      </c>
    </row>
    <row r="2622" spans="1:21" x14ac:dyDescent="0.25">
      <c r="A2622" t="s">
        <v>1707</v>
      </c>
      <c r="B2622" s="1">
        <v>45887</v>
      </c>
      <c r="C2622" s="1">
        <v>45890</v>
      </c>
      <c r="D2622" t="s">
        <v>752</v>
      </c>
      <c r="E2622" t="s">
        <v>137</v>
      </c>
      <c r="F2622" t="s">
        <v>138</v>
      </c>
      <c r="G2622" t="s">
        <v>139</v>
      </c>
      <c r="H2622" t="s">
        <v>83</v>
      </c>
      <c r="I2622" s="2">
        <v>4</v>
      </c>
      <c r="J2622" s="3">
        <v>49</v>
      </c>
      <c r="K2622" s="4">
        <v>0.05</v>
      </c>
      <c r="L2622" s="3">
        <v>186.2</v>
      </c>
      <c r="M2622" t="b">
        <v>1</v>
      </c>
      <c r="N2622" s="2">
        <f>YEAR(B2622)</f>
        <v>2025</v>
      </c>
      <c r="O2622" t="str">
        <f>INDEX(Agences!$C:$C,MATCH(F2622,Agences!$A:$A,0))</f>
        <v>Île-de-France</v>
      </c>
      <c r="P2622" t="str">
        <f>INDEX(Produits!$C:$C,MATCH(H2622,Produits!$A:$A,0))</f>
        <v>Mobilier</v>
      </c>
      <c r="Q2622" s="3">
        <f>I2622*INDEX(Produits!$E:$E,MATCH(H2622,Produits!$A:$A,0))</f>
        <v>113.68</v>
      </c>
      <c r="R2622" s="3">
        <f>L2622-Q2622</f>
        <v>72.51999999999998</v>
      </c>
      <c r="S2622" s="2">
        <f>NETWORKDAYS(B2622,C2622)-1</f>
        <v>3</v>
      </c>
      <c r="T2622" s="1">
        <f>WORKDAY(B2622,5)</f>
        <v>45894</v>
      </c>
      <c r="U2622" t="b">
        <f>C2622&gt;T2622</f>
        <v>0</v>
      </c>
    </row>
    <row r="2623" spans="1:21" x14ac:dyDescent="0.25">
      <c r="A2623" t="s">
        <v>1707</v>
      </c>
      <c r="B2623" s="1">
        <v>45887</v>
      </c>
      <c r="C2623" s="1">
        <v>45890</v>
      </c>
      <c r="D2623" t="s">
        <v>752</v>
      </c>
      <c r="E2623" t="s">
        <v>137</v>
      </c>
      <c r="F2623" t="s">
        <v>138</v>
      </c>
      <c r="G2623" t="s">
        <v>139</v>
      </c>
      <c r="H2623" t="s">
        <v>162</v>
      </c>
      <c r="I2623" s="2">
        <v>1</v>
      </c>
      <c r="J2623" s="3">
        <v>289</v>
      </c>
      <c r="K2623" s="4">
        <v>0</v>
      </c>
      <c r="L2623" s="3">
        <v>289</v>
      </c>
      <c r="M2623" t="b">
        <v>1</v>
      </c>
      <c r="N2623" s="2">
        <f>YEAR(B2623)</f>
        <v>2025</v>
      </c>
      <c r="O2623" t="str">
        <f>INDEX(Agences!$C:$C,MATCH(F2623,Agences!$A:$A,0))</f>
        <v>Île-de-France</v>
      </c>
      <c r="P2623" t="str">
        <f>INDEX(Produits!$C:$C,MATCH(H2623,Produits!$A:$A,0))</f>
        <v>Mobilier</v>
      </c>
      <c r="Q2623" s="3">
        <f>I2623*INDEX(Produits!$E:$E,MATCH(H2623,Produits!$A:$A,0))</f>
        <v>193.63</v>
      </c>
      <c r="R2623" s="3">
        <f>L2623-Q2623</f>
        <v>95.37</v>
      </c>
      <c r="S2623" s="2">
        <f>NETWORKDAYS(B2623,C2623)-1</f>
        <v>3</v>
      </c>
      <c r="T2623" s="1">
        <f>WORKDAY(B2623,5)</f>
        <v>45894</v>
      </c>
      <c r="U2623" t="b">
        <f>C2623&gt;T2623</f>
        <v>0</v>
      </c>
    </row>
    <row r="2624" spans="1:21" x14ac:dyDescent="0.25">
      <c r="A2624" t="s">
        <v>1707</v>
      </c>
      <c r="B2624" s="1">
        <v>45887</v>
      </c>
      <c r="C2624" s="1">
        <v>45890</v>
      </c>
      <c r="D2624" t="s">
        <v>752</v>
      </c>
      <c r="E2624" t="s">
        <v>137</v>
      </c>
      <c r="F2624" t="s">
        <v>138</v>
      </c>
      <c r="G2624" t="s">
        <v>139</v>
      </c>
      <c r="H2624" t="s">
        <v>49</v>
      </c>
      <c r="I2624" s="2">
        <v>1</v>
      </c>
      <c r="J2624" s="3">
        <v>120</v>
      </c>
      <c r="K2624" s="4">
        <v>0.02</v>
      </c>
      <c r="L2624" s="3">
        <v>117.6</v>
      </c>
      <c r="M2624" t="b">
        <v>1</v>
      </c>
      <c r="N2624" s="2">
        <f>YEAR(B2624)</f>
        <v>2025</v>
      </c>
      <c r="O2624" t="str">
        <f>INDEX(Agences!$C:$C,MATCH(F2624,Agences!$A:$A,0))</f>
        <v>Île-de-France</v>
      </c>
      <c r="P2624" t="str">
        <f>INDEX(Produits!$C:$C,MATCH(H2624,Produits!$A:$A,0))</f>
        <v>Maintenance</v>
      </c>
      <c r="Q2624" s="3">
        <f>I2624*INDEX(Produits!$E:$E,MATCH(H2624,Produits!$A:$A,0))</f>
        <v>55.2</v>
      </c>
      <c r="R2624" s="3">
        <f>L2624-Q2624</f>
        <v>62.39999999999999</v>
      </c>
      <c r="S2624" s="2">
        <f>NETWORKDAYS(B2624,C2624)-1</f>
        <v>3</v>
      </c>
      <c r="T2624" s="1">
        <f>WORKDAY(B2624,5)</f>
        <v>45894</v>
      </c>
      <c r="U2624" t="b">
        <f>C2624&gt;T2624</f>
        <v>0</v>
      </c>
    </row>
    <row r="2625" spans="1:21" x14ac:dyDescent="0.25">
      <c r="A2625" t="s">
        <v>1708</v>
      </c>
      <c r="B2625" s="1">
        <v>45887</v>
      </c>
      <c r="C2625" s="1">
        <v>45890</v>
      </c>
      <c r="D2625" t="s">
        <v>934</v>
      </c>
      <c r="E2625" t="s">
        <v>419</v>
      </c>
      <c r="F2625" t="s">
        <v>62</v>
      </c>
      <c r="G2625" t="s">
        <v>68</v>
      </c>
      <c r="H2625" t="s">
        <v>50</v>
      </c>
      <c r="I2625" s="2">
        <v>1</v>
      </c>
      <c r="J2625" s="3">
        <v>69</v>
      </c>
      <c r="K2625" s="4">
        <v>0.08</v>
      </c>
      <c r="L2625" s="3">
        <v>63.48</v>
      </c>
      <c r="M2625" t="b">
        <v>1</v>
      </c>
      <c r="N2625" s="2">
        <f>YEAR(B2625)</f>
        <v>2025</v>
      </c>
      <c r="O2625" t="str">
        <f>INDEX(Agences!$C:$C,MATCH(F2625,Agences!$A:$A,0))</f>
        <v>Méditerranée</v>
      </c>
      <c r="P2625" t="str">
        <f>INDEX(Produits!$C:$C,MATCH(H2625,Produits!$A:$A,0))</f>
        <v>Informatique</v>
      </c>
      <c r="Q2625" s="3">
        <f>I2625*INDEX(Produits!$E:$E,MATCH(H2625,Produits!$A:$A,0))</f>
        <v>54.51</v>
      </c>
      <c r="R2625" s="3">
        <f>L2625-Q2625</f>
        <v>8.969999999999999</v>
      </c>
      <c r="S2625" s="2">
        <f>NETWORKDAYS(B2625,C2625)-1</f>
        <v>3</v>
      </c>
      <c r="T2625" s="1">
        <f>WORKDAY(B2625,5)</f>
        <v>45894</v>
      </c>
      <c r="U2625" t="b">
        <f>C2625&gt;T2625</f>
        <v>0</v>
      </c>
    </row>
    <row r="2626" spans="1:21" x14ac:dyDescent="0.25">
      <c r="A2626" t="s">
        <v>1709</v>
      </c>
      <c r="B2626" s="1">
        <v>45884</v>
      </c>
      <c r="C2626" s="1">
        <v>45890</v>
      </c>
      <c r="D2626" t="s">
        <v>74</v>
      </c>
      <c r="E2626" t="s">
        <v>75</v>
      </c>
      <c r="F2626" t="s">
        <v>76</v>
      </c>
      <c r="G2626" t="s">
        <v>232</v>
      </c>
      <c r="H2626" t="s">
        <v>35</v>
      </c>
      <c r="I2626" s="2">
        <v>1</v>
      </c>
      <c r="J2626" s="3">
        <v>79</v>
      </c>
      <c r="K2626" s="4">
        <v>0</v>
      </c>
      <c r="L2626" s="3">
        <v>79</v>
      </c>
      <c r="M2626" t="b">
        <v>1</v>
      </c>
      <c r="N2626" s="2">
        <f>YEAR(B2626)</f>
        <v>2025</v>
      </c>
      <c r="O2626" t="str">
        <f>INDEX(Agences!$C:$C,MATCH(F2626,Agences!$A:$A,0))</f>
        <v>Île-de-France</v>
      </c>
      <c r="P2626" t="str">
        <f>INDEX(Produits!$C:$C,MATCH(H2626,Produits!$A:$A,0))</f>
        <v>Mobilier</v>
      </c>
      <c r="Q2626" s="3">
        <f>I2626*INDEX(Produits!$E:$E,MATCH(H2626,Produits!$A:$A,0))</f>
        <v>46.61</v>
      </c>
      <c r="R2626" s="3">
        <f>L2626-Q2626</f>
        <v>32.39</v>
      </c>
      <c r="S2626" s="2">
        <f>NETWORKDAYS(B2626,C2626)-1</f>
        <v>4</v>
      </c>
      <c r="T2626" s="1">
        <f>WORKDAY(B2626,5)</f>
        <v>45891</v>
      </c>
      <c r="U2626" t="b">
        <f>C2626&gt;T2626</f>
        <v>0</v>
      </c>
    </row>
    <row r="2627" spans="1:21" x14ac:dyDescent="0.25">
      <c r="A2627" t="s">
        <v>1710</v>
      </c>
      <c r="B2627" s="1">
        <v>45884</v>
      </c>
      <c r="C2627" s="1">
        <v>45890</v>
      </c>
      <c r="D2627" t="s">
        <v>1271</v>
      </c>
      <c r="E2627" t="s">
        <v>185</v>
      </c>
      <c r="F2627" t="s">
        <v>31</v>
      </c>
      <c r="G2627" t="s">
        <v>186</v>
      </c>
      <c r="H2627" t="s">
        <v>83</v>
      </c>
      <c r="I2627" s="2">
        <v>1</v>
      </c>
      <c r="J2627" s="3">
        <v>49</v>
      </c>
      <c r="K2627" s="4">
        <v>0</v>
      </c>
      <c r="L2627" s="3">
        <v>49</v>
      </c>
      <c r="M2627" t="b">
        <v>1</v>
      </c>
      <c r="N2627" s="2">
        <f>YEAR(B2627)</f>
        <v>2025</v>
      </c>
      <c r="O2627" t="str">
        <f>INDEX(Agences!$C:$C,MATCH(F2627,Agences!$A:$A,0))</f>
        <v>Ouest</v>
      </c>
      <c r="P2627" t="str">
        <f>INDEX(Produits!$C:$C,MATCH(H2627,Produits!$A:$A,0))</f>
        <v>Mobilier</v>
      </c>
      <c r="Q2627" s="3">
        <f>I2627*INDEX(Produits!$E:$E,MATCH(H2627,Produits!$A:$A,0))</f>
        <v>28.42</v>
      </c>
      <c r="R2627" s="3">
        <f>L2627-Q2627</f>
        <v>20.58</v>
      </c>
      <c r="S2627" s="2">
        <f>NETWORKDAYS(B2627,C2627)-1</f>
        <v>4</v>
      </c>
      <c r="T2627" s="1">
        <f>WORKDAY(B2627,5)</f>
        <v>45891</v>
      </c>
      <c r="U2627" t="b">
        <f>C2627&gt;T2627</f>
        <v>0</v>
      </c>
    </row>
    <row r="2628" spans="1:21" x14ac:dyDescent="0.25">
      <c r="A2628" t="s">
        <v>1710</v>
      </c>
      <c r="B2628" s="1">
        <v>45884</v>
      </c>
      <c r="C2628" s="1">
        <v>45890</v>
      </c>
      <c r="D2628" t="s">
        <v>1271</v>
      </c>
      <c r="E2628" t="s">
        <v>185</v>
      </c>
      <c r="F2628" t="s">
        <v>31</v>
      </c>
      <c r="G2628" t="s">
        <v>186</v>
      </c>
      <c r="H2628" t="s">
        <v>90</v>
      </c>
      <c r="I2628" s="2">
        <v>5</v>
      </c>
      <c r="J2628" s="3">
        <v>22.9</v>
      </c>
      <c r="K2628" s="4">
        <v>0.1</v>
      </c>
      <c r="L2628" s="3">
        <v>103.05</v>
      </c>
      <c r="M2628" t="b">
        <v>1</v>
      </c>
      <c r="N2628" s="2">
        <f>YEAR(B2628)</f>
        <v>2025</v>
      </c>
      <c r="O2628" t="str">
        <f>INDEX(Agences!$C:$C,MATCH(F2628,Agences!$A:$A,0))</f>
        <v>Ouest</v>
      </c>
      <c r="P2628" t="str">
        <f>INDEX(Produits!$C:$C,MATCH(H2628,Produits!$A:$A,0))</f>
        <v>Fournitures</v>
      </c>
      <c r="Q2628" s="3">
        <f>I2628*INDEX(Produits!$E:$E,MATCH(H2628,Produits!$A:$A,0))</f>
        <v>64.1</v>
      </c>
      <c r="R2628" s="3">
        <f>L2628-Q2628</f>
        <v>38.95</v>
      </c>
      <c r="S2628" s="2">
        <f>NETWORKDAYS(B2628,C2628)-1</f>
        <v>4</v>
      </c>
      <c r="T2628" s="1">
        <f>WORKDAY(B2628,5)</f>
        <v>45891</v>
      </c>
      <c r="U2628" t="b">
        <f>C2628&gt;T2628</f>
        <v>0</v>
      </c>
    </row>
    <row r="2629" spans="1:21" x14ac:dyDescent="0.25">
      <c r="A2629" t="s">
        <v>1710</v>
      </c>
      <c r="B2629" s="1">
        <v>45884</v>
      </c>
      <c r="C2629" s="1">
        <v>45890</v>
      </c>
      <c r="D2629" t="s">
        <v>1271</v>
      </c>
      <c r="E2629" t="s">
        <v>185</v>
      </c>
      <c r="F2629" t="s">
        <v>31</v>
      </c>
      <c r="G2629" t="s">
        <v>186</v>
      </c>
      <c r="H2629" t="s">
        <v>42</v>
      </c>
      <c r="I2629" s="2">
        <v>1</v>
      </c>
      <c r="J2629" s="3">
        <v>55</v>
      </c>
      <c r="K2629" s="4">
        <v>0</v>
      </c>
      <c r="L2629" s="3">
        <v>55</v>
      </c>
      <c r="M2629" t="b">
        <v>1</v>
      </c>
      <c r="N2629" s="2">
        <f>YEAR(B2629)</f>
        <v>2025</v>
      </c>
      <c r="O2629" t="str">
        <f>INDEX(Agences!$C:$C,MATCH(F2629,Agences!$A:$A,0))</f>
        <v>Ouest</v>
      </c>
      <c r="P2629" t="str">
        <f>INDEX(Produits!$C:$C,MATCH(H2629,Produits!$A:$A,0))</f>
        <v>Maintenance</v>
      </c>
      <c r="Q2629" s="3">
        <f>I2629*INDEX(Produits!$E:$E,MATCH(H2629,Produits!$A:$A,0))</f>
        <v>24.75</v>
      </c>
      <c r="R2629" s="3">
        <f>L2629-Q2629</f>
        <v>30.25</v>
      </c>
      <c r="S2629" s="2">
        <f>NETWORKDAYS(B2629,C2629)-1</f>
        <v>4</v>
      </c>
      <c r="T2629" s="1">
        <f>WORKDAY(B2629,5)</f>
        <v>45891</v>
      </c>
      <c r="U2629" t="b">
        <f>C2629&gt;T2629</f>
        <v>0</v>
      </c>
    </row>
    <row r="2630" spans="1:21" x14ac:dyDescent="0.25">
      <c r="A2630" t="s">
        <v>1710</v>
      </c>
      <c r="B2630" s="1">
        <v>45884</v>
      </c>
      <c r="C2630" s="1">
        <v>45890</v>
      </c>
      <c r="D2630" t="s">
        <v>1271</v>
      </c>
      <c r="E2630" t="s">
        <v>185</v>
      </c>
      <c r="F2630" t="s">
        <v>31</v>
      </c>
      <c r="G2630" t="s">
        <v>186</v>
      </c>
      <c r="H2630" t="s">
        <v>57</v>
      </c>
      <c r="I2630" s="2">
        <v>5</v>
      </c>
      <c r="J2630" s="3">
        <v>149</v>
      </c>
      <c r="K2630" s="4">
        <v>0</v>
      </c>
      <c r="L2630" s="3">
        <v>745</v>
      </c>
      <c r="M2630" t="b">
        <v>1</v>
      </c>
      <c r="N2630" s="2">
        <f>YEAR(B2630)</f>
        <v>2025</v>
      </c>
      <c r="O2630" t="str">
        <f>INDEX(Agences!$C:$C,MATCH(F2630,Agences!$A:$A,0))</f>
        <v>Ouest</v>
      </c>
      <c r="P2630" t="str">
        <f>INDEX(Produits!$C:$C,MATCH(H2630,Produits!$A:$A,0))</f>
        <v>Informatique</v>
      </c>
      <c r="Q2630" s="3">
        <f>I2630*INDEX(Produits!$E:$E,MATCH(H2630,Produits!$A:$A,0))</f>
        <v>573.65</v>
      </c>
      <c r="R2630" s="3">
        <f>L2630-Q2630</f>
        <v>171.35000000000002</v>
      </c>
      <c r="S2630" s="2">
        <f>NETWORKDAYS(B2630,C2630)-1</f>
        <v>4</v>
      </c>
      <c r="T2630" s="1">
        <f>WORKDAY(B2630,5)</f>
        <v>45891</v>
      </c>
      <c r="U2630" t="b">
        <f>C2630&gt;T2630</f>
        <v>0</v>
      </c>
    </row>
    <row r="2631" spans="1:21" x14ac:dyDescent="0.25">
      <c r="A2631" t="s">
        <v>1711</v>
      </c>
      <c r="B2631" s="1">
        <v>45884</v>
      </c>
      <c r="C2631" s="1">
        <v>45889</v>
      </c>
      <c r="D2631" t="s">
        <v>1712</v>
      </c>
      <c r="E2631" t="s">
        <v>30</v>
      </c>
      <c r="F2631" t="s">
        <v>31</v>
      </c>
      <c r="G2631" t="s">
        <v>375</v>
      </c>
      <c r="H2631" t="s">
        <v>83</v>
      </c>
      <c r="I2631" s="2">
        <v>4</v>
      </c>
      <c r="J2631" s="3">
        <v>49</v>
      </c>
      <c r="K2631" s="4">
        <v>0.1</v>
      </c>
      <c r="L2631" s="3">
        <v>176.4</v>
      </c>
      <c r="M2631" t="b">
        <v>1</v>
      </c>
      <c r="N2631" s="2">
        <f>YEAR(B2631)</f>
        <v>2025</v>
      </c>
      <c r="O2631" t="str">
        <f>INDEX(Agences!$C:$C,MATCH(F2631,Agences!$A:$A,0))</f>
        <v>Ouest</v>
      </c>
      <c r="P2631" t="str">
        <f>INDEX(Produits!$C:$C,MATCH(H2631,Produits!$A:$A,0))</f>
        <v>Mobilier</v>
      </c>
      <c r="Q2631" s="3">
        <f>I2631*INDEX(Produits!$E:$E,MATCH(H2631,Produits!$A:$A,0))</f>
        <v>113.68</v>
      </c>
      <c r="R2631" s="3">
        <f>L2631-Q2631</f>
        <v>62.72</v>
      </c>
      <c r="S2631" s="2">
        <f>NETWORKDAYS(B2631,C2631)-1</f>
        <v>3</v>
      </c>
      <c r="T2631" s="1">
        <f>WORKDAY(B2631,5)</f>
        <v>45891</v>
      </c>
      <c r="U2631" t="b">
        <f>C2631&gt;T2631</f>
        <v>0</v>
      </c>
    </row>
    <row r="2632" spans="1:21" x14ac:dyDescent="0.25">
      <c r="A2632" t="s">
        <v>1711</v>
      </c>
      <c r="B2632" s="1">
        <v>45884</v>
      </c>
      <c r="C2632" s="1">
        <v>45889</v>
      </c>
      <c r="D2632" t="s">
        <v>1712</v>
      </c>
      <c r="E2632" t="s">
        <v>30</v>
      </c>
      <c r="F2632" t="s">
        <v>31</v>
      </c>
      <c r="G2632" t="s">
        <v>375</v>
      </c>
      <c r="H2632" t="s">
        <v>103</v>
      </c>
      <c r="I2632" s="2">
        <v>2</v>
      </c>
      <c r="J2632" s="3">
        <v>245</v>
      </c>
      <c r="K2632" s="4">
        <v>0.05</v>
      </c>
      <c r="L2632" s="3">
        <v>465.5</v>
      </c>
      <c r="M2632" t="b">
        <v>1</v>
      </c>
      <c r="N2632" s="2">
        <f>YEAR(B2632)</f>
        <v>2025</v>
      </c>
      <c r="O2632" t="str">
        <f>INDEX(Agences!$C:$C,MATCH(F2632,Agences!$A:$A,0))</f>
        <v>Ouest</v>
      </c>
      <c r="P2632" t="str">
        <f>INDEX(Produits!$C:$C,MATCH(H2632,Produits!$A:$A,0))</f>
        <v>Mobilier</v>
      </c>
      <c r="Q2632" s="3">
        <f>I2632*INDEX(Produits!$E:$E,MATCH(H2632,Produits!$A:$A,0))</f>
        <v>328.3</v>
      </c>
      <c r="R2632" s="3">
        <f>L2632-Q2632</f>
        <v>137.2</v>
      </c>
      <c r="S2632" s="2">
        <f>NETWORKDAYS(B2632,C2632)-1</f>
        <v>3</v>
      </c>
      <c r="T2632" s="1">
        <f>WORKDAY(B2632,5)</f>
        <v>45891</v>
      </c>
      <c r="U2632" t="b">
        <f>C2632&gt;T2632</f>
        <v>0</v>
      </c>
    </row>
    <row r="2633" spans="1:21" x14ac:dyDescent="0.25">
      <c r="A2633" t="s">
        <v>1711</v>
      </c>
      <c r="B2633" s="1">
        <v>45884</v>
      </c>
      <c r="C2633" s="1">
        <v>45889</v>
      </c>
      <c r="D2633" t="s">
        <v>1712</v>
      </c>
      <c r="E2633" t="s">
        <v>30</v>
      </c>
      <c r="F2633" t="s">
        <v>31</v>
      </c>
      <c r="G2633" t="s">
        <v>375</v>
      </c>
      <c r="H2633" t="s">
        <v>205</v>
      </c>
      <c r="I2633" s="2">
        <v>1</v>
      </c>
      <c r="J2633" s="3">
        <v>359</v>
      </c>
      <c r="K2633" s="4">
        <v>0</v>
      </c>
      <c r="L2633" s="3">
        <v>359</v>
      </c>
      <c r="M2633" t="b">
        <v>1</v>
      </c>
      <c r="N2633" s="2">
        <f>YEAR(B2633)</f>
        <v>2025</v>
      </c>
      <c r="O2633" t="str">
        <f>INDEX(Agences!$C:$C,MATCH(F2633,Agences!$A:$A,0))</f>
        <v>Ouest</v>
      </c>
      <c r="P2633" t="str">
        <f>INDEX(Produits!$C:$C,MATCH(H2633,Produits!$A:$A,0))</f>
        <v>Mobilier</v>
      </c>
      <c r="Q2633" s="3">
        <f>I2633*INDEX(Produits!$E:$E,MATCH(H2633,Produits!$A:$A,0))</f>
        <v>204.63</v>
      </c>
      <c r="R2633" s="3">
        <f>L2633-Q2633</f>
        <v>154.37</v>
      </c>
      <c r="S2633" s="2">
        <f>NETWORKDAYS(B2633,C2633)-1</f>
        <v>3</v>
      </c>
      <c r="T2633" s="1">
        <f>WORKDAY(B2633,5)</f>
        <v>45891</v>
      </c>
      <c r="U2633" t="b">
        <f>C2633&gt;T2633</f>
        <v>0</v>
      </c>
    </row>
    <row r="2634" spans="1:21" x14ac:dyDescent="0.25">
      <c r="A2634" t="s">
        <v>1711</v>
      </c>
      <c r="B2634" s="1">
        <v>45884</v>
      </c>
      <c r="C2634" s="1">
        <v>45889</v>
      </c>
      <c r="D2634" t="s">
        <v>1712</v>
      </c>
      <c r="E2634" t="s">
        <v>30</v>
      </c>
      <c r="F2634" t="s">
        <v>31</v>
      </c>
      <c r="G2634" t="s">
        <v>375</v>
      </c>
      <c r="H2634" t="s">
        <v>57</v>
      </c>
      <c r="I2634" s="2">
        <v>1</v>
      </c>
      <c r="J2634" s="3">
        <v>149</v>
      </c>
      <c r="K2634" s="4">
        <v>0</v>
      </c>
      <c r="L2634" s="3">
        <v>149</v>
      </c>
      <c r="M2634" t="b">
        <v>1</v>
      </c>
      <c r="N2634" s="2">
        <f>YEAR(B2634)</f>
        <v>2025</v>
      </c>
      <c r="O2634" t="str">
        <f>INDEX(Agences!$C:$C,MATCH(F2634,Agences!$A:$A,0))</f>
        <v>Ouest</v>
      </c>
      <c r="P2634" t="str">
        <f>INDEX(Produits!$C:$C,MATCH(H2634,Produits!$A:$A,0))</f>
        <v>Informatique</v>
      </c>
      <c r="Q2634" s="3">
        <f>I2634*INDEX(Produits!$E:$E,MATCH(H2634,Produits!$A:$A,0))</f>
        <v>114.73</v>
      </c>
      <c r="R2634" s="3">
        <f>L2634-Q2634</f>
        <v>34.269999999999996</v>
      </c>
      <c r="S2634" s="2">
        <f>NETWORKDAYS(B2634,C2634)-1</f>
        <v>3</v>
      </c>
      <c r="T2634" s="1">
        <f>WORKDAY(B2634,5)</f>
        <v>45891</v>
      </c>
      <c r="U2634" t="b">
        <f>C2634&gt;T2634</f>
        <v>0</v>
      </c>
    </row>
    <row r="2635" spans="1:21" x14ac:dyDescent="0.25">
      <c r="A2635" t="s">
        <v>1713</v>
      </c>
      <c r="B2635" s="1">
        <v>45884</v>
      </c>
      <c r="C2635" s="1">
        <v>45890</v>
      </c>
      <c r="D2635" t="s">
        <v>884</v>
      </c>
      <c r="E2635" t="s">
        <v>384</v>
      </c>
      <c r="F2635" t="s">
        <v>46</v>
      </c>
      <c r="G2635" t="s">
        <v>47</v>
      </c>
      <c r="H2635" t="s">
        <v>83</v>
      </c>
      <c r="I2635" s="2">
        <v>4</v>
      </c>
      <c r="J2635" s="3">
        <v>49</v>
      </c>
      <c r="K2635" s="4">
        <v>0</v>
      </c>
      <c r="L2635" s="3">
        <v>196</v>
      </c>
      <c r="M2635" t="b">
        <v>1</v>
      </c>
      <c r="N2635" s="2">
        <f>YEAR(B2635)</f>
        <v>2025</v>
      </c>
      <c r="O2635" t="str">
        <f>INDEX(Agences!$C:$C,MATCH(F2635,Agences!$A:$A,0))</f>
        <v>Est</v>
      </c>
      <c r="P2635" t="str">
        <f>INDEX(Produits!$C:$C,MATCH(H2635,Produits!$A:$A,0))</f>
        <v>Mobilier</v>
      </c>
      <c r="Q2635" s="3">
        <f>I2635*INDEX(Produits!$E:$E,MATCH(H2635,Produits!$A:$A,0))</f>
        <v>113.68</v>
      </c>
      <c r="R2635" s="3">
        <f>L2635-Q2635</f>
        <v>82.32</v>
      </c>
      <c r="S2635" s="2">
        <f>NETWORKDAYS(B2635,C2635)-1</f>
        <v>4</v>
      </c>
      <c r="T2635" s="1">
        <f>WORKDAY(B2635,5)</f>
        <v>45891</v>
      </c>
      <c r="U2635" t="b">
        <f>C2635&gt;T2635</f>
        <v>0</v>
      </c>
    </row>
    <row r="2636" spans="1:21" x14ac:dyDescent="0.25">
      <c r="A2636" t="s">
        <v>1713</v>
      </c>
      <c r="B2636" s="1">
        <v>45884</v>
      </c>
      <c r="C2636" s="1">
        <v>45890</v>
      </c>
      <c r="D2636" t="s">
        <v>884</v>
      </c>
      <c r="E2636" t="s">
        <v>384</v>
      </c>
      <c r="F2636" t="s">
        <v>46</v>
      </c>
      <c r="G2636" t="s">
        <v>47</v>
      </c>
      <c r="H2636" t="s">
        <v>42</v>
      </c>
      <c r="I2636" s="2">
        <v>1</v>
      </c>
      <c r="J2636" s="3">
        <v>55</v>
      </c>
      <c r="K2636" s="4">
        <v>0.02</v>
      </c>
      <c r="L2636" s="3">
        <v>53.9</v>
      </c>
      <c r="M2636" t="b">
        <v>1</v>
      </c>
      <c r="N2636" s="2">
        <f>YEAR(B2636)</f>
        <v>2025</v>
      </c>
      <c r="O2636" t="str">
        <f>INDEX(Agences!$C:$C,MATCH(F2636,Agences!$A:$A,0))</f>
        <v>Est</v>
      </c>
      <c r="P2636" t="str">
        <f>INDEX(Produits!$C:$C,MATCH(H2636,Produits!$A:$A,0))</f>
        <v>Maintenance</v>
      </c>
      <c r="Q2636" s="3">
        <f>I2636*INDEX(Produits!$E:$E,MATCH(H2636,Produits!$A:$A,0))</f>
        <v>24.75</v>
      </c>
      <c r="R2636" s="3">
        <f>L2636-Q2636</f>
        <v>29.15</v>
      </c>
      <c r="S2636" s="2">
        <f>NETWORKDAYS(B2636,C2636)-1</f>
        <v>4</v>
      </c>
      <c r="T2636" s="1">
        <f>WORKDAY(B2636,5)</f>
        <v>45891</v>
      </c>
      <c r="U2636" t="b">
        <f>C2636&gt;T2636</f>
        <v>0</v>
      </c>
    </row>
    <row r="2637" spans="1:21" x14ac:dyDescent="0.25">
      <c r="A2637" t="s">
        <v>1714</v>
      </c>
      <c r="B2637" s="1">
        <v>45883</v>
      </c>
      <c r="C2637" s="1">
        <v>45888</v>
      </c>
      <c r="D2637" t="s">
        <v>848</v>
      </c>
      <c r="E2637" t="s">
        <v>242</v>
      </c>
      <c r="F2637" t="s">
        <v>94</v>
      </c>
      <c r="G2637" t="s">
        <v>182</v>
      </c>
      <c r="H2637" t="s">
        <v>196</v>
      </c>
      <c r="I2637" s="2">
        <v>5</v>
      </c>
      <c r="J2637" s="3">
        <v>18.5</v>
      </c>
      <c r="K2637" s="4">
        <v>0.1</v>
      </c>
      <c r="L2637" s="3">
        <v>83.25</v>
      </c>
      <c r="M2637" t="b">
        <v>1</v>
      </c>
      <c r="N2637" s="2">
        <f>YEAR(B2637)</f>
        <v>2025</v>
      </c>
      <c r="O2637" t="str">
        <f>INDEX(Agences!$C:$C,MATCH(F2637,Agences!$A:$A,0))</f>
        <v>Méditerranée</v>
      </c>
      <c r="P2637" t="str">
        <f>INDEX(Produits!$C:$C,MATCH(H2637,Produits!$A:$A,0))</f>
        <v>Fournitures</v>
      </c>
      <c r="Q2637" s="3">
        <f>I2637*INDEX(Produits!$E:$E,MATCH(H2637,Produits!$A:$A,0))</f>
        <v>47.199999999999996</v>
      </c>
      <c r="R2637" s="3">
        <f>L2637-Q2637</f>
        <v>36.050000000000004</v>
      </c>
      <c r="S2637" s="2">
        <f>NETWORKDAYS(B2637,C2637)-1</f>
        <v>3</v>
      </c>
      <c r="T2637" s="1">
        <f>WORKDAY(B2637,5)</f>
        <v>45890</v>
      </c>
      <c r="U2637" t="b">
        <f>C2637&gt;T2637</f>
        <v>0</v>
      </c>
    </row>
    <row r="2638" spans="1:21" x14ac:dyDescent="0.25">
      <c r="A2638" t="s">
        <v>1715</v>
      </c>
      <c r="B2638" s="1">
        <v>45882</v>
      </c>
      <c r="C2638" s="1">
        <v>45884</v>
      </c>
      <c r="D2638" t="s">
        <v>480</v>
      </c>
      <c r="E2638" t="s">
        <v>399</v>
      </c>
      <c r="F2638" t="s">
        <v>166</v>
      </c>
      <c r="G2638" t="s">
        <v>167</v>
      </c>
      <c r="H2638" t="s">
        <v>90</v>
      </c>
      <c r="I2638" s="2">
        <v>5</v>
      </c>
      <c r="J2638" s="3">
        <v>22.9</v>
      </c>
      <c r="K2638" s="4">
        <v>0</v>
      </c>
      <c r="L2638" s="3">
        <v>114.5</v>
      </c>
      <c r="M2638" t="b">
        <v>1</v>
      </c>
      <c r="N2638" s="2">
        <f>YEAR(B2638)</f>
        <v>2025</v>
      </c>
      <c r="O2638" t="str">
        <f>INDEX(Agences!$C:$C,MATCH(F2638,Agences!$A:$A,0))</f>
        <v>Ouest</v>
      </c>
      <c r="P2638" t="str">
        <f>INDEX(Produits!$C:$C,MATCH(H2638,Produits!$A:$A,0))</f>
        <v>Fournitures</v>
      </c>
      <c r="Q2638" s="3">
        <f>I2638*INDEX(Produits!$E:$E,MATCH(H2638,Produits!$A:$A,0))</f>
        <v>64.1</v>
      </c>
      <c r="R2638" s="3">
        <f>L2638-Q2638</f>
        <v>50.400000000000006</v>
      </c>
      <c r="S2638" s="2">
        <f>NETWORKDAYS(B2638,C2638)-1</f>
        <v>2</v>
      </c>
      <c r="T2638" s="1">
        <f>WORKDAY(B2638,5)</f>
        <v>45889</v>
      </c>
      <c r="U2638" t="b">
        <f>C2638&gt;T2638</f>
        <v>0</v>
      </c>
    </row>
    <row r="2639" spans="1:21" x14ac:dyDescent="0.25">
      <c r="A2639" t="s">
        <v>1716</v>
      </c>
      <c r="B2639" s="1">
        <v>45882</v>
      </c>
      <c r="C2639" s="1">
        <v>45883</v>
      </c>
      <c r="D2639" t="s">
        <v>1070</v>
      </c>
      <c r="E2639" t="s">
        <v>384</v>
      </c>
      <c r="F2639" t="s">
        <v>46</v>
      </c>
      <c r="G2639" t="s">
        <v>158</v>
      </c>
      <c r="H2639" t="s">
        <v>72</v>
      </c>
      <c r="I2639" s="2">
        <v>1</v>
      </c>
      <c r="J2639" s="3">
        <v>179</v>
      </c>
      <c r="K2639" s="4">
        <v>0.1</v>
      </c>
      <c r="L2639" s="3">
        <v>161.1</v>
      </c>
      <c r="M2639" t="b">
        <v>1</v>
      </c>
      <c r="N2639" s="2">
        <f>YEAR(B2639)</f>
        <v>2025</v>
      </c>
      <c r="O2639" t="str">
        <f>INDEX(Agences!$C:$C,MATCH(F2639,Agences!$A:$A,0))</f>
        <v>Est</v>
      </c>
      <c r="P2639" t="str">
        <f>INDEX(Produits!$C:$C,MATCH(H2639,Produits!$A:$A,0))</f>
        <v>Informatique</v>
      </c>
      <c r="Q2639" s="3">
        <f>I2639*INDEX(Produits!$E:$E,MATCH(H2639,Produits!$A:$A,0))</f>
        <v>146.78</v>
      </c>
      <c r="R2639" s="3">
        <f>L2639-Q2639</f>
        <v>14.319999999999993</v>
      </c>
      <c r="S2639" s="2">
        <f>NETWORKDAYS(B2639,C2639)-1</f>
        <v>1</v>
      </c>
      <c r="T2639" s="1">
        <f>WORKDAY(B2639,5)</f>
        <v>45889</v>
      </c>
      <c r="U2639" t="b">
        <f>C2639&gt;T2639</f>
        <v>0</v>
      </c>
    </row>
    <row r="2640" spans="1:21" x14ac:dyDescent="0.25">
      <c r="A2640" t="s">
        <v>1716</v>
      </c>
      <c r="B2640" s="1">
        <v>45882</v>
      </c>
      <c r="C2640" s="1">
        <v>45883</v>
      </c>
      <c r="D2640" t="s">
        <v>1070</v>
      </c>
      <c r="E2640" t="s">
        <v>384</v>
      </c>
      <c r="F2640" t="s">
        <v>46</v>
      </c>
      <c r="G2640" t="s">
        <v>158</v>
      </c>
      <c r="H2640" t="s">
        <v>107</v>
      </c>
      <c r="I2640" s="2">
        <v>5</v>
      </c>
      <c r="J2640" s="3">
        <v>99</v>
      </c>
      <c r="K2640" s="4">
        <v>0.02</v>
      </c>
      <c r="L2640" s="3">
        <v>485.1</v>
      </c>
      <c r="M2640" t="b">
        <v>1</v>
      </c>
      <c r="N2640" s="2">
        <f>YEAR(B2640)</f>
        <v>2025</v>
      </c>
      <c r="O2640" t="str">
        <f>INDEX(Agences!$C:$C,MATCH(F2640,Agences!$A:$A,0))</f>
        <v>Est</v>
      </c>
      <c r="P2640" t="str">
        <f>INDEX(Produits!$C:$C,MATCH(H2640,Produits!$A:$A,0))</f>
        <v>Informatique</v>
      </c>
      <c r="Q2640" s="3">
        <f>I2640*INDEX(Produits!$E:$E,MATCH(H2640,Produits!$A:$A,0))</f>
        <v>376.2</v>
      </c>
      <c r="R2640" s="3">
        <f>L2640-Q2640</f>
        <v>108.90000000000003</v>
      </c>
      <c r="S2640" s="2">
        <f>NETWORKDAYS(B2640,C2640)-1</f>
        <v>1</v>
      </c>
      <c r="T2640" s="1">
        <f>WORKDAY(B2640,5)</f>
        <v>45889</v>
      </c>
      <c r="U2640" t="b">
        <f>C2640&gt;T2640</f>
        <v>0</v>
      </c>
    </row>
    <row r="2641" spans="1:21" x14ac:dyDescent="0.25">
      <c r="A2641" t="s">
        <v>1717</v>
      </c>
      <c r="B2641" s="1">
        <v>45882</v>
      </c>
      <c r="C2641" s="1">
        <v>45887</v>
      </c>
      <c r="D2641" t="s">
        <v>1718</v>
      </c>
      <c r="E2641" t="s">
        <v>229</v>
      </c>
      <c r="F2641" t="s">
        <v>55</v>
      </c>
      <c r="G2641" t="s">
        <v>195</v>
      </c>
      <c r="H2641" t="s">
        <v>35</v>
      </c>
      <c r="I2641" s="2">
        <v>3</v>
      </c>
      <c r="J2641" s="3">
        <v>79</v>
      </c>
      <c r="K2641" s="4">
        <v>0</v>
      </c>
      <c r="L2641" s="3">
        <v>237</v>
      </c>
      <c r="M2641" t="b">
        <v>1</v>
      </c>
      <c r="N2641" s="2">
        <f>YEAR(B2641)</f>
        <v>2025</v>
      </c>
      <c r="O2641" t="str">
        <f>INDEX(Agences!$C:$C,MATCH(F2641,Agences!$A:$A,0))</f>
        <v>Est</v>
      </c>
      <c r="P2641" t="str">
        <f>INDEX(Produits!$C:$C,MATCH(H2641,Produits!$A:$A,0))</f>
        <v>Mobilier</v>
      </c>
      <c r="Q2641" s="3">
        <f>I2641*INDEX(Produits!$E:$E,MATCH(H2641,Produits!$A:$A,0))</f>
        <v>139.82999999999998</v>
      </c>
      <c r="R2641" s="3">
        <f>L2641-Q2641</f>
        <v>97.17000000000002</v>
      </c>
      <c r="S2641" s="2">
        <f>NETWORKDAYS(B2641,C2641)-1</f>
        <v>3</v>
      </c>
      <c r="T2641" s="1">
        <f>WORKDAY(B2641,5)</f>
        <v>45889</v>
      </c>
      <c r="U2641" t="b">
        <f>C2641&gt;T2641</f>
        <v>0</v>
      </c>
    </row>
    <row r="2642" spans="1:21" x14ac:dyDescent="0.25">
      <c r="A2642" t="s">
        <v>1719</v>
      </c>
      <c r="B2642" s="1">
        <v>45881</v>
      </c>
      <c r="C2642" s="1">
        <v>45882</v>
      </c>
      <c r="D2642" t="s">
        <v>284</v>
      </c>
      <c r="E2642" t="s">
        <v>242</v>
      </c>
      <c r="F2642" t="s">
        <v>94</v>
      </c>
      <c r="G2642" t="s">
        <v>182</v>
      </c>
      <c r="H2642" t="s">
        <v>107</v>
      </c>
      <c r="I2642" s="2">
        <v>5</v>
      </c>
      <c r="J2642" s="3">
        <v>99</v>
      </c>
      <c r="K2642" s="4">
        <v>0</v>
      </c>
      <c r="L2642" s="3">
        <v>495</v>
      </c>
      <c r="M2642" t="b">
        <v>1</v>
      </c>
      <c r="N2642" s="2">
        <f>YEAR(B2642)</f>
        <v>2025</v>
      </c>
      <c r="O2642" t="str">
        <f>INDEX(Agences!$C:$C,MATCH(F2642,Agences!$A:$A,0))</f>
        <v>Méditerranée</v>
      </c>
      <c r="P2642" t="str">
        <f>INDEX(Produits!$C:$C,MATCH(H2642,Produits!$A:$A,0))</f>
        <v>Informatique</v>
      </c>
      <c r="Q2642" s="3">
        <f>I2642*INDEX(Produits!$E:$E,MATCH(H2642,Produits!$A:$A,0))</f>
        <v>376.2</v>
      </c>
      <c r="R2642" s="3">
        <f>L2642-Q2642</f>
        <v>118.80000000000001</v>
      </c>
      <c r="S2642" s="2">
        <f>NETWORKDAYS(B2642,C2642)-1</f>
        <v>1</v>
      </c>
      <c r="T2642" s="1">
        <f>WORKDAY(B2642,5)</f>
        <v>45888</v>
      </c>
      <c r="U2642" t="b">
        <f>C2642&gt;T2642</f>
        <v>0</v>
      </c>
    </row>
    <row r="2643" spans="1:21" x14ac:dyDescent="0.25">
      <c r="A2643" t="s">
        <v>1719</v>
      </c>
      <c r="B2643" s="1">
        <v>45881</v>
      </c>
      <c r="C2643" s="1">
        <v>45882</v>
      </c>
      <c r="D2643" t="s">
        <v>284</v>
      </c>
      <c r="E2643" t="s">
        <v>242</v>
      </c>
      <c r="F2643" t="s">
        <v>94</v>
      </c>
      <c r="G2643" t="s">
        <v>182</v>
      </c>
      <c r="H2643" t="s">
        <v>162</v>
      </c>
      <c r="I2643" s="2">
        <v>1</v>
      </c>
      <c r="J2643" s="3">
        <v>289</v>
      </c>
      <c r="K2643" s="4">
        <v>0</v>
      </c>
      <c r="L2643" s="3">
        <v>289</v>
      </c>
      <c r="M2643" t="b">
        <v>1</v>
      </c>
      <c r="N2643" s="2">
        <f>YEAR(B2643)</f>
        <v>2025</v>
      </c>
      <c r="O2643" t="str">
        <f>INDEX(Agences!$C:$C,MATCH(F2643,Agences!$A:$A,0))</f>
        <v>Méditerranée</v>
      </c>
      <c r="P2643" t="str">
        <f>INDEX(Produits!$C:$C,MATCH(H2643,Produits!$A:$A,0))</f>
        <v>Mobilier</v>
      </c>
      <c r="Q2643" s="3">
        <f>I2643*INDEX(Produits!$E:$E,MATCH(H2643,Produits!$A:$A,0))</f>
        <v>193.63</v>
      </c>
      <c r="R2643" s="3">
        <f>L2643-Q2643</f>
        <v>95.37</v>
      </c>
      <c r="S2643" s="2">
        <f>NETWORKDAYS(B2643,C2643)-1</f>
        <v>1</v>
      </c>
      <c r="T2643" s="1">
        <f>WORKDAY(B2643,5)</f>
        <v>45888</v>
      </c>
      <c r="U2643" t="b">
        <f>C2643&gt;T2643</f>
        <v>0</v>
      </c>
    </row>
    <row r="2644" spans="1:21" x14ac:dyDescent="0.25">
      <c r="A2644" t="s">
        <v>1719</v>
      </c>
      <c r="B2644" s="1">
        <v>45881</v>
      </c>
      <c r="C2644" s="1">
        <v>45882</v>
      </c>
      <c r="D2644" t="s">
        <v>284</v>
      </c>
      <c r="E2644" t="s">
        <v>242</v>
      </c>
      <c r="F2644" t="s">
        <v>94</v>
      </c>
      <c r="G2644" t="s">
        <v>182</v>
      </c>
      <c r="H2644" t="s">
        <v>319</v>
      </c>
      <c r="I2644" s="2">
        <v>1</v>
      </c>
      <c r="J2644" s="3">
        <v>289</v>
      </c>
      <c r="K2644" s="4">
        <v>0</v>
      </c>
      <c r="L2644" s="3">
        <v>289</v>
      </c>
      <c r="M2644" t="b">
        <v>1</v>
      </c>
      <c r="N2644" s="2">
        <f>YEAR(B2644)</f>
        <v>2025</v>
      </c>
      <c r="O2644" t="str">
        <f>INDEX(Agences!$C:$C,MATCH(F2644,Agences!$A:$A,0))</f>
        <v>Méditerranée</v>
      </c>
      <c r="P2644" t="str">
        <f>INDEX(Produits!$C:$C,MATCH(H2644,Produits!$A:$A,0))</f>
        <v>Informatique</v>
      </c>
      <c r="Q2644" s="3">
        <f>I2644*INDEX(Produits!$E:$E,MATCH(H2644,Produits!$A:$A,0))</f>
        <v>213.86</v>
      </c>
      <c r="R2644" s="3">
        <f>L2644-Q2644</f>
        <v>75.13999999999999</v>
      </c>
      <c r="S2644" s="2">
        <f>NETWORKDAYS(B2644,C2644)-1</f>
        <v>1</v>
      </c>
      <c r="T2644" s="1">
        <f>WORKDAY(B2644,5)</f>
        <v>45888</v>
      </c>
      <c r="U2644" t="b">
        <f>C2644&gt;T2644</f>
        <v>0</v>
      </c>
    </row>
    <row r="2645" spans="1:21" x14ac:dyDescent="0.25">
      <c r="A2645" t="s">
        <v>1719</v>
      </c>
      <c r="B2645" s="1">
        <v>45881</v>
      </c>
      <c r="C2645" s="1">
        <v>45882</v>
      </c>
      <c r="D2645" t="s">
        <v>284</v>
      </c>
      <c r="E2645" t="s">
        <v>242</v>
      </c>
      <c r="F2645" t="s">
        <v>94</v>
      </c>
      <c r="G2645" t="s">
        <v>182</v>
      </c>
      <c r="H2645" t="s">
        <v>27</v>
      </c>
      <c r="I2645" s="2">
        <v>1</v>
      </c>
      <c r="J2645" s="3">
        <v>310</v>
      </c>
      <c r="K2645" s="4">
        <v>0</v>
      </c>
      <c r="L2645" s="3">
        <v>310</v>
      </c>
      <c r="M2645" t="b">
        <v>1</v>
      </c>
      <c r="N2645" s="2">
        <f>YEAR(B2645)</f>
        <v>2025</v>
      </c>
      <c r="O2645" t="str">
        <f>INDEX(Agences!$C:$C,MATCH(F2645,Agences!$A:$A,0))</f>
        <v>Méditerranée</v>
      </c>
      <c r="P2645" t="str">
        <f>INDEX(Produits!$C:$C,MATCH(H2645,Produits!$A:$A,0))</f>
        <v>Mobilier</v>
      </c>
      <c r="Q2645" s="3">
        <f>I2645*INDEX(Produits!$E:$E,MATCH(H2645,Produits!$A:$A,0))</f>
        <v>186</v>
      </c>
      <c r="R2645" s="3">
        <f>L2645-Q2645</f>
        <v>124</v>
      </c>
      <c r="S2645" s="2">
        <f>NETWORKDAYS(B2645,C2645)-1</f>
        <v>1</v>
      </c>
      <c r="T2645" s="1">
        <f>WORKDAY(B2645,5)</f>
        <v>45888</v>
      </c>
      <c r="U2645" t="b">
        <f>C2645&gt;T2645</f>
        <v>0</v>
      </c>
    </row>
    <row r="2646" spans="1:21" x14ac:dyDescent="0.25">
      <c r="A2646" t="s">
        <v>1720</v>
      </c>
      <c r="B2646" s="1">
        <v>45881</v>
      </c>
      <c r="C2646" s="1">
        <v>45882</v>
      </c>
      <c r="D2646" t="s">
        <v>1096</v>
      </c>
      <c r="E2646" t="s">
        <v>384</v>
      </c>
      <c r="F2646" t="s">
        <v>46</v>
      </c>
      <c r="G2646" t="s">
        <v>111</v>
      </c>
      <c r="H2646" t="s">
        <v>35</v>
      </c>
      <c r="I2646" s="2">
        <v>1</v>
      </c>
      <c r="J2646" s="3">
        <v>79</v>
      </c>
      <c r="K2646" s="4">
        <v>0.02</v>
      </c>
      <c r="L2646" s="3">
        <v>77.42</v>
      </c>
      <c r="M2646" t="b">
        <v>1</v>
      </c>
      <c r="N2646" s="2">
        <f>YEAR(B2646)</f>
        <v>2025</v>
      </c>
      <c r="O2646" t="str">
        <f>INDEX(Agences!$C:$C,MATCH(F2646,Agences!$A:$A,0))</f>
        <v>Est</v>
      </c>
      <c r="P2646" t="str">
        <f>INDEX(Produits!$C:$C,MATCH(H2646,Produits!$A:$A,0))</f>
        <v>Mobilier</v>
      </c>
      <c r="Q2646" s="3">
        <f>I2646*INDEX(Produits!$E:$E,MATCH(H2646,Produits!$A:$A,0))</f>
        <v>46.61</v>
      </c>
      <c r="R2646" s="3">
        <f>L2646-Q2646</f>
        <v>30.810000000000002</v>
      </c>
      <c r="S2646" s="2">
        <f>NETWORKDAYS(B2646,C2646)-1</f>
        <v>1</v>
      </c>
      <c r="T2646" s="1">
        <f>WORKDAY(B2646,5)</f>
        <v>45888</v>
      </c>
      <c r="U2646" t="b">
        <f>C2646&gt;T2646</f>
        <v>0</v>
      </c>
    </row>
    <row r="2647" spans="1:21" x14ac:dyDescent="0.25">
      <c r="A2647" t="s">
        <v>1720</v>
      </c>
      <c r="B2647" s="1">
        <v>45881</v>
      </c>
      <c r="C2647" s="1">
        <v>45882</v>
      </c>
      <c r="D2647" t="s">
        <v>1096</v>
      </c>
      <c r="E2647" t="s">
        <v>384</v>
      </c>
      <c r="F2647" t="s">
        <v>46</v>
      </c>
      <c r="G2647" t="s">
        <v>111</v>
      </c>
      <c r="H2647" t="s">
        <v>49</v>
      </c>
      <c r="I2647" s="2">
        <v>1</v>
      </c>
      <c r="J2647" s="3">
        <v>120</v>
      </c>
      <c r="K2647" s="4">
        <v>0</v>
      </c>
      <c r="L2647" s="3">
        <v>120</v>
      </c>
      <c r="M2647" t="b">
        <v>1</v>
      </c>
      <c r="N2647" s="2">
        <f>YEAR(B2647)</f>
        <v>2025</v>
      </c>
      <c r="O2647" t="str">
        <f>INDEX(Agences!$C:$C,MATCH(F2647,Agences!$A:$A,0))</f>
        <v>Est</v>
      </c>
      <c r="P2647" t="str">
        <f>INDEX(Produits!$C:$C,MATCH(H2647,Produits!$A:$A,0))</f>
        <v>Maintenance</v>
      </c>
      <c r="Q2647" s="3">
        <f>I2647*INDEX(Produits!$E:$E,MATCH(H2647,Produits!$A:$A,0))</f>
        <v>55.2</v>
      </c>
      <c r="R2647" s="3">
        <f>L2647-Q2647</f>
        <v>64.8</v>
      </c>
      <c r="S2647" s="2">
        <f>NETWORKDAYS(B2647,C2647)-1</f>
        <v>1</v>
      </c>
      <c r="T2647" s="1">
        <f>WORKDAY(B2647,5)</f>
        <v>45888</v>
      </c>
      <c r="U2647" t="b">
        <f>C2647&gt;T2647</f>
        <v>0</v>
      </c>
    </row>
    <row r="2648" spans="1:21" x14ac:dyDescent="0.25">
      <c r="A2648" t="s">
        <v>1720</v>
      </c>
      <c r="B2648" s="1">
        <v>45881</v>
      </c>
      <c r="C2648" s="1">
        <v>45882</v>
      </c>
      <c r="D2648" t="s">
        <v>1096</v>
      </c>
      <c r="E2648" t="s">
        <v>384</v>
      </c>
      <c r="F2648" t="s">
        <v>46</v>
      </c>
      <c r="G2648" t="s">
        <v>111</v>
      </c>
      <c r="H2648" t="s">
        <v>103</v>
      </c>
      <c r="I2648" s="2">
        <v>1</v>
      </c>
      <c r="J2648" s="3">
        <v>245</v>
      </c>
      <c r="K2648" s="4">
        <v>0.02</v>
      </c>
      <c r="L2648" s="3">
        <v>240.1</v>
      </c>
      <c r="M2648" t="b">
        <v>1</v>
      </c>
      <c r="N2648" s="2">
        <f>YEAR(B2648)</f>
        <v>2025</v>
      </c>
      <c r="O2648" t="str">
        <f>INDEX(Agences!$C:$C,MATCH(F2648,Agences!$A:$A,0))</f>
        <v>Est</v>
      </c>
      <c r="P2648" t="str">
        <f>INDEX(Produits!$C:$C,MATCH(H2648,Produits!$A:$A,0))</f>
        <v>Mobilier</v>
      </c>
      <c r="Q2648" s="3">
        <f>I2648*INDEX(Produits!$E:$E,MATCH(H2648,Produits!$A:$A,0))</f>
        <v>164.15</v>
      </c>
      <c r="R2648" s="3">
        <f>L2648-Q2648</f>
        <v>75.94999999999999</v>
      </c>
      <c r="S2648" s="2">
        <f>NETWORKDAYS(B2648,C2648)-1</f>
        <v>1</v>
      </c>
      <c r="T2648" s="1">
        <f>WORKDAY(B2648,5)</f>
        <v>45888</v>
      </c>
      <c r="U2648" t="b">
        <f>C2648&gt;T2648</f>
        <v>0</v>
      </c>
    </row>
    <row r="2649" spans="1:21" x14ac:dyDescent="0.25">
      <c r="A2649" t="s">
        <v>1721</v>
      </c>
      <c r="B2649" s="1">
        <v>45880</v>
      </c>
      <c r="C2649" s="1">
        <v>45881</v>
      </c>
      <c r="D2649" t="s">
        <v>1722</v>
      </c>
      <c r="E2649" t="s">
        <v>202</v>
      </c>
      <c r="F2649" t="s">
        <v>138</v>
      </c>
      <c r="G2649" t="s">
        <v>214</v>
      </c>
      <c r="H2649" t="s">
        <v>34</v>
      </c>
      <c r="I2649" s="2">
        <v>1</v>
      </c>
      <c r="J2649" s="3">
        <v>340</v>
      </c>
      <c r="K2649" s="4">
        <v>0.02</v>
      </c>
      <c r="L2649" s="3">
        <v>333.2</v>
      </c>
      <c r="M2649" t="b">
        <v>1</v>
      </c>
      <c r="N2649" s="2">
        <f>YEAR(B2649)</f>
        <v>2025</v>
      </c>
      <c r="O2649" t="str">
        <f>INDEX(Agences!$C:$C,MATCH(F2649,Agences!$A:$A,0))</f>
        <v>Île-de-France</v>
      </c>
      <c r="P2649" t="str">
        <f>INDEX(Produits!$C:$C,MATCH(H2649,Produits!$A:$A,0))</f>
        <v>Informatique</v>
      </c>
      <c r="Q2649" s="3">
        <f>I2649*INDEX(Produits!$E:$E,MATCH(H2649,Produits!$A:$A,0))</f>
        <v>275.4</v>
      </c>
      <c r="R2649" s="3">
        <f>L2649-Q2649</f>
        <v>57.80000000000001</v>
      </c>
      <c r="S2649" s="2">
        <f>NETWORKDAYS(B2649,C2649)-1</f>
        <v>1</v>
      </c>
      <c r="T2649" s="1">
        <f>WORKDAY(B2649,5)</f>
        <v>45887</v>
      </c>
      <c r="U2649" t="b">
        <f>C2649&gt;T2649</f>
        <v>0</v>
      </c>
    </row>
    <row r="2650" spans="1:21" x14ac:dyDescent="0.25">
      <c r="A2650" t="s">
        <v>1721</v>
      </c>
      <c r="B2650" s="1">
        <v>45880</v>
      </c>
      <c r="C2650" s="1">
        <v>45881</v>
      </c>
      <c r="D2650" t="s">
        <v>1722</v>
      </c>
      <c r="E2650" t="s">
        <v>202</v>
      </c>
      <c r="F2650" t="s">
        <v>138</v>
      </c>
      <c r="G2650" t="s">
        <v>214</v>
      </c>
      <c r="H2650" t="s">
        <v>83</v>
      </c>
      <c r="I2650" s="2">
        <v>1</v>
      </c>
      <c r="J2650" s="3">
        <v>49</v>
      </c>
      <c r="K2650" s="4">
        <v>0.02</v>
      </c>
      <c r="L2650" s="3">
        <v>48.02</v>
      </c>
      <c r="M2650" t="b">
        <v>1</v>
      </c>
      <c r="N2650" s="2">
        <f>YEAR(B2650)</f>
        <v>2025</v>
      </c>
      <c r="O2650" t="str">
        <f>INDEX(Agences!$C:$C,MATCH(F2650,Agences!$A:$A,0))</f>
        <v>Île-de-France</v>
      </c>
      <c r="P2650" t="str">
        <f>INDEX(Produits!$C:$C,MATCH(H2650,Produits!$A:$A,0))</f>
        <v>Mobilier</v>
      </c>
      <c r="Q2650" s="3">
        <f>I2650*INDEX(Produits!$E:$E,MATCH(H2650,Produits!$A:$A,0))</f>
        <v>28.42</v>
      </c>
      <c r="R2650" s="3">
        <f>L2650-Q2650</f>
        <v>19.6</v>
      </c>
      <c r="S2650" s="2">
        <f>NETWORKDAYS(B2650,C2650)-1</f>
        <v>1</v>
      </c>
      <c r="T2650" s="1">
        <f>WORKDAY(B2650,5)</f>
        <v>45887</v>
      </c>
      <c r="U2650" t="b">
        <f>C2650&gt;T2650</f>
        <v>0</v>
      </c>
    </row>
    <row r="2651" spans="1:21" x14ac:dyDescent="0.25">
      <c r="A2651" t="s">
        <v>1721</v>
      </c>
      <c r="B2651" s="1">
        <v>45880</v>
      </c>
      <c r="C2651" s="1">
        <v>45881</v>
      </c>
      <c r="D2651" t="s">
        <v>1722</v>
      </c>
      <c r="E2651" t="s">
        <v>202</v>
      </c>
      <c r="F2651" t="s">
        <v>138</v>
      </c>
      <c r="G2651" t="s">
        <v>214</v>
      </c>
      <c r="H2651" t="s">
        <v>206</v>
      </c>
      <c r="I2651" s="2">
        <v>10</v>
      </c>
      <c r="J2651" s="3">
        <v>34</v>
      </c>
      <c r="K2651" s="4">
        <v>0</v>
      </c>
      <c r="L2651" s="3">
        <v>340</v>
      </c>
      <c r="M2651" t="b">
        <v>1</v>
      </c>
      <c r="N2651" s="2">
        <f>YEAR(B2651)</f>
        <v>2025</v>
      </c>
      <c r="O2651" t="str">
        <f>INDEX(Agences!$C:$C,MATCH(F2651,Agences!$A:$A,0))</f>
        <v>Île-de-France</v>
      </c>
      <c r="P2651" t="str">
        <f>INDEX(Produits!$C:$C,MATCH(H2651,Produits!$A:$A,0))</f>
        <v>Fournitures</v>
      </c>
      <c r="Q2651" s="3">
        <f>I2651*INDEX(Produits!$E:$E,MATCH(H2651,Produits!$A:$A,0))</f>
        <v>193.79999999999998</v>
      </c>
      <c r="R2651" s="3">
        <f>L2651-Q2651</f>
        <v>146.20000000000002</v>
      </c>
      <c r="S2651" s="2">
        <f>NETWORKDAYS(B2651,C2651)-1</f>
        <v>1</v>
      </c>
      <c r="T2651" s="1">
        <f>WORKDAY(B2651,5)</f>
        <v>45887</v>
      </c>
      <c r="U2651" t="b">
        <f>C2651&gt;T2651</f>
        <v>0</v>
      </c>
    </row>
    <row r="2652" spans="1:21" x14ac:dyDescent="0.25">
      <c r="A2652" t="s">
        <v>1721</v>
      </c>
      <c r="B2652" s="1">
        <v>45880</v>
      </c>
      <c r="C2652" s="1">
        <v>45881</v>
      </c>
      <c r="D2652" t="s">
        <v>1722</v>
      </c>
      <c r="E2652" t="s">
        <v>202</v>
      </c>
      <c r="F2652" t="s">
        <v>138</v>
      </c>
      <c r="G2652" t="s">
        <v>214</v>
      </c>
      <c r="H2652" t="s">
        <v>49</v>
      </c>
      <c r="I2652" s="2">
        <v>2</v>
      </c>
      <c r="J2652" s="3">
        <v>120</v>
      </c>
      <c r="K2652" s="4">
        <v>0</v>
      </c>
      <c r="L2652" s="3">
        <v>240</v>
      </c>
      <c r="M2652" t="b">
        <v>1</v>
      </c>
      <c r="N2652" s="2">
        <f>YEAR(B2652)</f>
        <v>2025</v>
      </c>
      <c r="O2652" t="str">
        <f>INDEX(Agences!$C:$C,MATCH(F2652,Agences!$A:$A,0))</f>
        <v>Île-de-France</v>
      </c>
      <c r="P2652" t="str">
        <f>INDEX(Produits!$C:$C,MATCH(H2652,Produits!$A:$A,0))</f>
        <v>Maintenance</v>
      </c>
      <c r="Q2652" s="3">
        <f>I2652*INDEX(Produits!$E:$E,MATCH(H2652,Produits!$A:$A,0))</f>
        <v>110.4</v>
      </c>
      <c r="R2652" s="3">
        <f>L2652-Q2652</f>
        <v>129.6</v>
      </c>
      <c r="S2652" s="2">
        <f>NETWORKDAYS(B2652,C2652)-1</f>
        <v>1</v>
      </c>
      <c r="T2652" s="1">
        <f>WORKDAY(B2652,5)</f>
        <v>45887</v>
      </c>
      <c r="U2652" t="b">
        <f>C2652&gt;T2652</f>
        <v>0</v>
      </c>
    </row>
    <row r="2653" spans="1:21" x14ac:dyDescent="0.25">
      <c r="A2653" t="s">
        <v>1723</v>
      </c>
      <c r="B2653" s="1">
        <v>45880</v>
      </c>
      <c r="C2653" s="1">
        <v>45883</v>
      </c>
      <c r="D2653" t="s">
        <v>1587</v>
      </c>
      <c r="E2653" t="s">
        <v>251</v>
      </c>
      <c r="F2653" t="s">
        <v>166</v>
      </c>
      <c r="G2653" t="s">
        <v>248</v>
      </c>
      <c r="H2653" t="s">
        <v>162</v>
      </c>
      <c r="I2653" s="2">
        <v>1</v>
      </c>
      <c r="J2653" s="3">
        <v>289</v>
      </c>
      <c r="K2653" s="4">
        <v>0</v>
      </c>
      <c r="L2653" s="3">
        <v>289</v>
      </c>
      <c r="M2653" t="b">
        <v>1</v>
      </c>
      <c r="N2653" s="2">
        <f>YEAR(B2653)</f>
        <v>2025</v>
      </c>
      <c r="O2653" t="str">
        <f>INDEX(Agences!$C:$C,MATCH(F2653,Agences!$A:$A,0))</f>
        <v>Ouest</v>
      </c>
      <c r="P2653" t="str">
        <f>INDEX(Produits!$C:$C,MATCH(H2653,Produits!$A:$A,0))</f>
        <v>Mobilier</v>
      </c>
      <c r="Q2653" s="3">
        <f>I2653*INDEX(Produits!$E:$E,MATCH(H2653,Produits!$A:$A,0))</f>
        <v>193.63</v>
      </c>
      <c r="R2653" s="3">
        <f>L2653-Q2653</f>
        <v>95.37</v>
      </c>
      <c r="S2653" s="2">
        <f>NETWORKDAYS(B2653,C2653)-1</f>
        <v>3</v>
      </c>
      <c r="T2653" s="1">
        <f>WORKDAY(B2653,5)</f>
        <v>45887</v>
      </c>
      <c r="U2653" t="b">
        <f>C2653&gt;T2653</f>
        <v>0</v>
      </c>
    </row>
    <row r="2654" spans="1:21" x14ac:dyDescent="0.25">
      <c r="A2654" t="s">
        <v>1723</v>
      </c>
      <c r="B2654" s="1">
        <v>45880</v>
      </c>
      <c r="C2654" s="1">
        <v>45883</v>
      </c>
      <c r="D2654" t="s">
        <v>1587</v>
      </c>
      <c r="E2654" t="s">
        <v>251</v>
      </c>
      <c r="F2654" t="s">
        <v>166</v>
      </c>
      <c r="G2654" t="s">
        <v>248</v>
      </c>
      <c r="H2654" t="s">
        <v>57</v>
      </c>
      <c r="I2654" s="2">
        <v>2</v>
      </c>
      <c r="J2654" s="3">
        <v>149</v>
      </c>
      <c r="K2654" s="4">
        <v>0.02</v>
      </c>
      <c r="L2654" s="3">
        <v>292.04</v>
      </c>
      <c r="M2654" t="b">
        <v>1</v>
      </c>
      <c r="N2654" s="2">
        <f>YEAR(B2654)</f>
        <v>2025</v>
      </c>
      <c r="O2654" t="str">
        <f>INDEX(Agences!$C:$C,MATCH(F2654,Agences!$A:$A,0))</f>
        <v>Ouest</v>
      </c>
      <c r="P2654" t="str">
        <f>INDEX(Produits!$C:$C,MATCH(H2654,Produits!$A:$A,0))</f>
        <v>Informatique</v>
      </c>
      <c r="Q2654" s="3">
        <f>I2654*INDEX(Produits!$E:$E,MATCH(H2654,Produits!$A:$A,0))</f>
        <v>229.46</v>
      </c>
      <c r="R2654" s="3">
        <f>L2654-Q2654</f>
        <v>62.58000000000001</v>
      </c>
      <c r="S2654" s="2">
        <f>NETWORKDAYS(B2654,C2654)-1</f>
        <v>3</v>
      </c>
      <c r="T2654" s="1">
        <f>WORKDAY(B2654,5)</f>
        <v>45887</v>
      </c>
      <c r="U2654" t="b">
        <f>C2654&gt;T2654</f>
        <v>0</v>
      </c>
    </row>
    <row r="2655" spans="1:21" x14ac:dyDescent="0.25">
      <c r="A2655" t="s">
        <v>1723</v>
      </c>
      <c r="B2655" s="1">
        <v>45880</v>
      </c>
      <c r="C2655" s="1">
        <v>45883</v>
      </c>
      <c r="D2655" t="s">
        <v>1587</v>
      </c>
      <c r="E2655" t="s">
        <v>251</v>
      </c>
      <c r="F2655" t="s">
        <v>166</v>
      </c>
      <c r="G2655" t="s">
        <v>248</v>
      </c>
      <c r="H2655" t="s">
        <v>42</v>
      </c>
      <c r="I2655" s="2">
        <v>1</v>
      </c>
      <c r="J2655" s="3">
        <v>55</v>
      </c>
      <c r="K2655" s="4">
        <v>0</v>
      </c>
      <c r="L2655" s="3">
        <v>55</v>
      </c>
      <c r="M2655" t="b">
        <v>1</v>
      </c>
      <c r="N2655" s="2">
        <f>YEAR(B2655)</f>
        <v>2025</v>
      </c>
      <c r="O2655" t="str">
        <f>INDEX(Agences!$C:$C,MATCH(F2655,Agences!$A:$A,0))</f>
        <v>Ouest</v>
      </c>
      <c r="P2655" t="str">
        <f>INDEX(Produits!$C:$C,MATCH(H2655,Produits!$A:$A,0))</f>
        <v>Maintenance</v>
      </c>
      <c r="Q2655" s="3">
        <f>I2655*INDEX(Produits!$E:$E,MATCH(H2655,Produits!$A:$A,0))</f>
        <v>24.75</v>
      </c>
      <c r="R2655" s="3">
        <f>L2655-Q2655</f>
        <v>30.25</v>
      </c>
      <c r="S2655" s="2">
        <f>NETWORKDAYS(B2655,C2655)-1</f>
        <v>3</v>
      </c>
      <c r="T2655" s="1">
        <f>WORKDAY(B2655,5)</f>
        <v>45887</v>
      </c>
      <c r="U2655" t="b">
        <f>C2655&gt;T2655</f>
        <v>0</v>
      </c>
    </row>
    <row r="2656" spans="1:21" x14ac:dyDescent="0.25">
      <c r="A2656" t="s">
        <v>1724</v>
      </c>
      <c r="B2656" s="1">
        <v>45880</v>
      </c>
      <c r="C2656" s="1">
        <v>45883</v>
      </c>
      <c r="D2656" t="s">
        <v>453</v>
      </c>
      <c r="E2656" t="s">
        <v>130</v>
      </c>
      <c r="F2656" t="s">
        <v>39</v>
      </c>
      <c r="G2656" t="s">
        <v>131</v>
      </c>
      <c r="H2656" t="s">
        <v>83</v>
      </c>
      <c r="I2656" s="2">
        <v>1</v>
      </c>
      <c r="J2656" s="3">
        <v>49</v>
      </c>
      <c r="K2656" s="4">
        <v>0</v>
      </c>
      <c r="L2656" s="3">
        <v>49</v>
      </c>
      <c r="M2656" t="b">
        <v>1</v>
      </c>
      <c r="N2656" s="2">
        <f>YEAR(B2656)</f>
        <v>2025</v>
      </c>
      <c r="O2656" t="str">
        <f>INDEX(Agences!$C:$C,MATCH(F2656,Agences!$A:$A,0))</f>
        <v>Sud-Ouest</v>
      </c>
      <c r="P2656" t="str">
        <f>INDEX(Produits!$C:$C,MATCH(H2656,Produits!$A:$A,0))</f>
        <v>Mobilier</v>
      </c>
      <c r="Q2656" s="3">
        <f>I2656*INDEX(Produits!$E:$E,MATCH(H2656,Produits!$A:$A,0))</f>
        <v>28.42</v>
      </c>
      <c r="R2656" s="3">
        <f>L2656-Q2656</f>
        <v>20.58</v>
      </c>
      <c r="S2656" s="2">
        <f>NETWORKDAYS(B2656,C2656)-1</f>
        <v>3</v>
      </c>
      <c r="T2656" s="1">
        <f>WORKDAY(B2656,5)</f>
        <v>45887</v>
      </c>
      <c r="U2656" t="b">
        <f>C2656&gt;T2656</f>
        <v>0</v>
      </c>
    </row>
    <row r="2657" spans="1:21" x14ac:dyDescent="0.25">
      <c r="A2657" t="s">
        <v>1725</v>
      </c>
      <c r="B2657" s="1">
        <v>45880</v>
      </c>
      <c r="C2657" s="1">
        <v>45882</v>
      </c>
      <c r="D2657" t="s">
        <v>169</v>
      </c>
      <c r="E2657" t="s">
        <v>67</v>
      </c>
      <c r="F2657" t="s">
        <v>62</v>
      </c>
      <c r="G2657" t="s">
        <v>68</v>
      </c>
      <c r="H2657" t="s">
        <v>33</v>
      </c>
      <c r="I2657" s="2">
        <v>2</v>
      </c>
      <c r="J2657" s="3">
        <v>219</v>
      </c>
      <c r="K2657" s="4">
        <v>0.05</v>
      </c>
      <c r="L2657" s="3">
        <v>416.1</v>
      </c>
      <c r="M2657" t="b">
        <v>1</v>
      </c>
      <c r="N2657" s="2">
        <f>YEAR(B2657)</f>
        <v>2025</v>
      </c>
      <c r="O2657" t="str">
        <f>INDEX(Agences!$C:$C,MATCH(F2657,Agences!$A:$A,0))</f>
        <v>Méditerranée</v>
      </c>
      <c r="P2657" t="str">
        <f>INDEX(Produits!$C:$C,MATCH(H2657,Produits!$A:$A,0))</f>
        <v>Informatique</v>
      </c>
      <c r="Q2657" s="3">
        <f>I2657*INDEX(Produits!$E:$E,MATCH(H2657,Produits!$A:$A,0))</f>
        <v>359.16</v>
      </c>
      <c r="R2657" s="3">
        <f>L2657-Q2657</f>
        <v>56.94</v>
      </c>
      <c r="S2657" s="2">
        <f>NETWORKDAYS(B2657,C2657)-1</f>
        <v>2</v>
      </c>
      <c r="T2657" s="1">
        <f>WORKDAY(B2657,5)</f>
        <v>45887</v>
      </c>
      <c r="U2657" t="b">
        <f>C2657&gt;T2657</f>
        <v>0</v>
      </c>
    </row>
    <row r="2658" spans="1:21" x14ac:dyDescent="0.25">
      <c r="A2658" t="s">
        <v>1726</v>
      </c>
      <c r="B2658" s="1">
        <v>45877</v>
      </c>
      <c r="C2658" s="1">
        <v>45883</v>
      </c>
      <c r="D2658" t="s">
        <v>118</v>
      </c>
      <c r="E2658" t="s">
        <v>119</v>
      </c>
      <c r="F2658" t="s">
        <v>24</v>
      </c>
      <c r="G2658" t="s">
        <v>116</v>
      </c>
      <c r="H2658" t="s">
        <v>27</v>
      </c>
      <c r="I2658" s="2">
        <v>4</v>
      </c>
      <c r="J2658" s="3">
        <v>310</v>
      </c>
      <c r="K2658" s="4">
        <v>0</v>
      </c>
      <c r="L2658" s="3">
        <v>1240</v>
      </c>
      <c r="M2658" t="b">
        <v>1</v>
      </c>
      <c r="N2658" s="2">
        <f>YEAR(B2658)</f>
        <v>2025</v>
      </c>
      <c r="O2658" t="str">
        <f>INDEX(Agences!$C:$C,MATCH(F2658,Agences!$A:$A,0))</f>
        <v>Nord</v>
      </c>
      <c r="P2658" t="str">
        <f>INDEX(Produits!$C:$C,MATCH(H2658,Produits!$A:$A,0))</f>
        <v>Mobilier</v>
      </c>
      <c r="Q2658" s="3">
        <f>I2658*INDEX(Produits!$E:$E,MATCH(H2658,Produits!$A:$A,0))</f>
        <v>744</v>
      </c>
      <c r="R2658" s="3">
        <f>L2658-Q2658</f>
        <v>496</v>
      </c>
      <c r="S2658" s="2">
        <f>NETWORKDAYS(B2658,C2658)-1</f>
        <v>4</v>
      </c>
      <c r="T2658" s="1">
        <f>WORKDAY(B2658,5)</f>
        <v>45884</v>
      </c>
      <c r="U2658" t="b">
        <f>C2658&gt;T2658</f>
        <v>0</v>
      </c>
    </row>
    <row r="2659" spans="1:21" x14ac:dyDescent="0.25">
      <c r="A2659" t="s">
        <v>1726</v>
      </c>
      <c r="B2659" s="1">
        <v>45877</v>
      </c>
      <c r="C2659" s="1">
        <v>45883</v>
      </c>
      <c r="D2659" t="s">
        <v>118</v>
      </c>
      <c r="E2659" t="s">
        <v>119</v>
      </c>
      <c r="F2659" t="s">
        <v>24</v>
      </c>
      <c r="G2659" t="s">
        <v>116</v>
      </c>
      <c r="H2659" t="s">
        <v>33</v>
      </c>
      <c r="I2659" s="2">
        <v>2</v>
      </c>
      <c r="J2659" s="3">
        <v>219</v>
      </c>
      <c r="K2659" s="4">
        <v>0</v>
      </c>
      <c r="L2659" s="3">
        <v>438</v>
      </c>
      <c r="M2659" t="b">
        <v>1</v>
      </c>
      <c r="N2659" s="2">
        <f>YEAR(B2659)</f>
        <v>2025</v>
      </c>
      <c r="O2659" t="str">
        <f>INDEX(Agences!$C:$C,MATCH(F2659,Agences!$A:$A,0))</f>
        <v>Nord</v>
      </c>
      <c r="P2659" t="str">
        <f>INDEX(Produits!$C:$C,MATCH(H2659,Produits!$A:$A,0))</f>
        <v>Informatique</v>
      </c>
      <c r="Q2659" s="3">
        <f>I2659*INDEX(Produits!$E:$E,MATCH(H2659,Produits!$A:$A,0))</f>
        <v>359.16</v>
      </c>
      <c r="R2659" s="3">
        <f>L2659-Q2659</f>
        <v>78.83999999999997</v>
      </c>
      <c r="S2659" s="2">
        <f>NETWORKDAYS(B2659,C2659)-1</f>
        <v>4</v>
      </c>
      <c r="T2659" s="1">
        <f>WORKDAY(B2659,5)</f>
        <v>45884</v>
      </c>
      <c r="U2659" t="b">
        <f>C2659&gt;T2659</f>
        <v>0</v>
      </c>
    </row>
    <row r="2660" spans="1:21" x14ac:dyDescent="0.25">
      <c r="A2660" t="s">
        <v>1727</v>
      </c>
      <c r="B2660" s="1">
        <v>45876</v>
      </c>
      <c r="C2660" s="1">
        <v>45880</v>
      </c>
      <c r="D2660" t="s">
        <v>1186</v>
      </c>
      <c r="E2660" t="s">
        <v>126</v>
      </c>
      <c r="F2660" t="s">
        <v>99</v>
      </c>
      <c r="G2660" t="s">
        <v>210</v>
      </c>
      <c r="H2660" t="s">
        <v>50</v>
      </c>
      <c r="I2660" s="2">
        <v>2</v>
      </c>
      <c r="J2660" s="3">
        <v>69</v>
      </c>
      <c r="K2660" s="4">
        <v>0.02</v>
      </c>
      <c r="L2660" s="3">
        <v>135.24</v>
      </c>
      <c r="M2660" t="b">
        <v>1</v>
      </c>
      <c r="N2660" s="2">
        <f>YEAR(B2660)</f>
        <v>2025</v>
      </c>
      <c r="O2660" t="str">
        <f>INDEX(Agences!$C:$C,MATCH(F2660,Agences!$A:$A,0))</f>
        <v>Nord</v>
      </c>
      <c r="P2660" t="str">
        <f>INDEX(Produits!$C:$C,MATCH(H2660,Produits!$A:$A,0))</f>
        <v>Informatique</v>
      </c>
      <c r="Q2660" s="3">
        <f>I2660*INDEX(Produits!$E:$E,MATCH(H2660,Produits!$A:$A,0))</f>
        <v>109.02</v>
      </c>
      <c r="R2660" s="3">
        <f>L2660-Q2660</f>
        <v>26.220000000000013</v>
      </c>
      <c r="S2660" s="2">
        <f>NETWORKDAYS(B2660,C2660)-1</f>
        <v>2</v>
      </c>
      <c r="T2660" s="1">
        <f>WORKDAY(B2660,5)</f>
        <v>45883</v>
      </c>
      <c r="U2660" t="b">
        <f>C2660&gt;T2660</f>
        <v>0</v>
      </c>
    </row>
    <row r="2661" spans="1:21" x14ac:dyDescent="0.25">
      <c r="A2661" t="s">
        <v>1727</v>
      </c>
      <c r="B2661" s="1">
        <v>45876</v>
      </c>
      <c r="C2661" s="1">
        <v>45880</v>
      </c>
      <c r="D2661" t="s">
        <v>1186</v>
      </c>
      <c r="E2661" t="s">
        <v>126</v>
      </c>
      <c r="F2661" t="s">
        <v>99</v>
      </c>
      <c r="G2661" t="s">
        <v>210</v>
      </c>
      <c r="H2661" t="s">
        <v>84</v>
      </c>
      <c r="I2661" s="2">
        <v>2</v>
      </c>
      <c r="J2661" s="3">
        <v>420</v>
      </c>
      <c r="K2661" s="4">
        <v>0.02</v>
      </c>
      <c r="L2661" s="3">
        <v>823.2</v>
      </c>
      <c r="M2661" t="b">
        <v>1</v>
      </c>
      <c r="N2661" s="2">
        <f>YEAR(B2661)</f>
        <v>2025</v>
      </c>
      <c r="O2661" t="str">
        <f>INDEX(Agences!$C:$C,MATCH(F2661,Agences!$A:$A,0))</f>
        <v>Nord</v>
      </c>
      <c r="P2661" t="str">
        <f>INDEX(Produits!$C:$C,MATCH(H2661,Produits!$A:$A,0))</f>
        <v>Mobilier</v>
      </c>
      <c r="Q2661" s="3">
        <f>I2661*INDEX(Produits!$E:$E,MATCH(H2661,Produits!$A:$A,0))</f>
        <v>487.2</v>
      </c>
      <c r="R2661" s="3">
        <f>L2661-Q2661</f>
        <v>336.00000000000006</v>
      </c>
      <c r="S2661" s="2">
        <f>NETWORKDAYS(B2661,C2661)-1</f>
        <v>2</v>
      </c>
      <c r="T2661" s="1">
        <f>WORKDAY(B2661,5)</f>
        <v>45883</v>
      </c>
      <c r="U2661" t="b">
        <f>C2661&gt;T2661</f>
        <v>0</v>
      </c>
    </row>
    <row r="2662" spans="1:21" x14ac:dyDescent="0.25">
      <c r="A2662" t="s">
        <v>1727</v>
      </c>
      <c r="B2662" s="1">
        <v>45876</v>
      </c>
      <c r="C2662" s="1">
        <v>45880</v>
      </c>
      <c r="D2662" t="s">
        <v>1186</v>
      </c>
      <c r="E2662" t="s">
        <v>126</v>
      </c>
      <c r="F2662" t="s">
        <v>99</v>
      </c>
      <c r="G2662" t="s">
        <v>210</v>
      </c>
      <c r="H2662" t="s">
        <v>107</v>
      </c>
      <c r="I2662" s="2">
        <v>1</v>
      </c>
      <c r="J2662" s="3">
        <v>99</v>
      </c>
      <c r="K2662" s="4">
        <v>0.1</v>
      </c>
      <c r="L2662" s="3">
        <v>89.1</v>
      </c>
      <c r="M2662" t="b">
        <v>1</v>
      </c>
      <c r="N2662" s="2">
        <f>YEAR(B2662)</f>
        <v>2025</v>
      </c>
      <c r="O2662" t="str">
        <f>INDEX(Agences!$C:$C,MATCH(F2662,Agences!$A:$A,0))</f>
        <v>Nord</v>
      </c>
      <c r="P2662" t="str">
        <f>INDEX(Produits!$C:$C,MATCH(H2662,Produits!$A:$A,0))</f>
        <v>Informatique</v>
      </c>
      <c r="Q2662" s="3">
        <f>I2662*INDEX(Produits!$E:$E,MATCH(H2662,Produits!$A:$A,0))</f>
        <v>75.24</v>
      </c>
      <c r="R2662" s="3">
        <f>L2662-Q2662</f>
        <v>13.86</v>
      </c>
      <c r="S2662" s="2">
        <f>NETWORKDAYS(B2662,C2662)-1</f>
        <v>2</v>
      </c>
      <c r="T2662" s="1">
        <f>WORKDAY(B2662,5)</f>
        <v>45883</v>
      </c>
      <c r="U2662" t="b">
        <f>C2662&gt;T2662</f>
        <v>0</v>
      </c>
    </row>
    <row r="2663" spans="1:21" x14ac:dyDescent="0.25">
      <c r="A2663" t="s">
        <v>1727</v>
      </c>
      <c r="B2663" s="1">
        <v>45876</v>
      </c>
      <c r="C2663" s="1">
        <v>45880</v>
      </c>
      <c r="D2663" t="s">
        <v>1186</v>
      </c>
      <c r="E2663" t="s">
        <v>126</v>
      </c>
      <c r="F2663" t="s">
        <v>99</v>
      </c>
      <c r="G2663" t="s">
        <v>210</v>
      </c>
      <c r="H2663" t="s">
        <v>108</v>
      </c>
      <c r="I2663" s="2">
        <v>10</v>
      </c>
      <c r="J2663" s="3">
        <v>24.5</v>
      </c>
      <c r="K2663" s="4">
        <v>0</v>
      </c>
      <c r="L2663" s="3">
        <v>245</v>
      </c>
      <c r="M2663" t="b">
        <v>1</v>
      </c>
      <c r="N2663" s="2">
        <f>YEAR(B2663)</f>
        <v>2025</v>
      </c>
      <c r="O2663" t="str">
        <f>INDEX(Agences!$C:$C,MATCH(F2663,Agences!$A:$A,0))</f>
        <v>Nord</v>
      </c>
      <c r="P2663" t="str">
        <f>INDEX(Produits!$C:$C,MATCH(H2663,Produits!$A:$A,0))</f>
        <v>Fournitures</v>
      </c>
      <c r="Q2663" s="3">
        <f>I2663*INDEX(Produits!$E:$E,MATCH(H2663,Produits!$A:$A,0))</f>
        <v>147</v>
      </c>
      <c r="R2663" s="3">
        <f>L2663-Q2663</f>
        <v>98</v>
      </c>
      <c r="S2663" s="2">
        <f>NETWORKDAYS(B2663,C2663)-1</f>
        <v>2</v>
      </c>
      <c r="T2663" s="1">
        <f>WORKDAY(B2663,5)</f>
        <v>45883</v>
      </c>
      <c r="U2663" t="b">
        <f>C2663&gt;T2663</f>
        <v>0</v>
      </c>
    </row>
    <row r="2664" spans="1:21" x14ac:dyDescent="0.25">
      <c r="A2664" t="s">
        <v>1728</v>
      </c>
      <c r="B2664" s="1">
        <v>45876</v>
      </c>
      <c r="C2664" s="1">
        <v>45880</v>
      </c>
      <c r="D2664" t="s">
        <v>997</v>
      </c>
      <c r="E2664" t="s">
        <v>149</v>
      </c>
      <c r="F2664" t="s">
        <v>88</v>
      </c>
      <c r="G2664" t="s">
        <v>142</v>
      </c>
      <c r="H2664" t="s">
        <v>42</v>
      </c>
      <c r="I2664" s="2">
        <v>1</v>
      </c>
      <c r="J2664" s="3">
        <v>55</v>
      </c>
      <c r="K2664" s="4">
        <v>0</v>
      </c>
      <c r="L2664" s="3">
        <v>55</v>
      </c>
      <c r="M2664" t="b">
        <v>1</v>
      </c>
      <c r="N2664" s="2">
        <f>YEAR(B2664)</f>
        <v>2025</v>
      </c>
      <c r="O2664" t="str">
        <f>INDEX(Agences!$C:$C,MATCH(F2664,Agences!$A:$A,0))</f>
        <v>Sud-Ouest</v>
      </c>
      <c r="P2664" t="str">
        <f>INDEX(Produits!$C:$C,MATCH(H2664,Produits!$A:$A,0))</f>
        <v>Maintenance</v>
      </c>
      <c r="Q2664" s="3">
        <f>I2664*INDEX(Produits!$E:$E,MATCH(H2664,Produits!$A:$A,0))</f>
        <v>24.75</v>
      </c>
      <c r="R2664" s="3">
        <f>L2664-Q2664</f>
        <v>30.25</v>
      </c>
      <c r="S2664" s="2">
        <f>NETWORKDAYS(B2664,C2664)-1</f>
        <v>2</v>
      </c>
      <c r="T2664" s="1">
        <f>WORKDAY(B2664,5)</f>
        <v>45883</v>
      </c>
      <c r="U2664" t="b">
        <f>C2664&gt;T2664</f>
        <v>0</v>
      </c>
    </row>
    <row r="2665" spans="1:21" x14ac:dyDescent="0.25">
      <c r="A2665" t="s">
        <v>1728</v>
      </c>
      <c r="B2665" s="1">
        <v>45876</v>
      </c>
      <c r="C2665" s="1">
        <v>45880</v>
      </c>
      <c r="D2665" t="s">
        <v>997</v>
      </c>
      <c r="E2665" t="s">
        <v>149</v>
      </c>
      <c r="F2665" t="s">
        <v>88</v>
      </c>
      <c r="G2665" t="s">
        <v>142</v>
      </c>
      <c r="H2665" t="s">
        <v>57</v>
      </c>
      <c r="I2665" s="2">
        <v>1</v>
      </c>
      <c r="J2665" s="3">
        <v>149</v>
      </c>
      <c r="K2665" s="4">
        <v>0.1</v>
      </c>
      <c r="L2665" s="3">
        <v>134.1</v>
      </c>
      <c r="M2665" t="b">
        <v>1</v>
      </c>
      <c r="N2665" s="2">
        <f>YEAR(B2665)</f>
        <v>2025</v>
      </c>
      <c r="O2665" t="str">
        <f>INDEX(Agences!$C:$C,MATCH(F2665,Agences!$A:$A,0))</f>
        <v>Sud-Ouest</v>
      </c>
      <c r="P2665" t="str">
        <f>INDEX(Produits!$C:$C,MATCH(H2665,Produits!$A:$A,0))</f>
        <v>Informatique</v>
      </c>
      <c r="Q2665" s="3">
        <f>I2665*INDEX(Produits!$E:$E,MATCH(H2665,Produits!$A:$A,0))</f>
        <v>114.73</v>
      </c>
      <c r="R2665" s="3">
        <f>L2665-Q2665</f>
        <v>19.36999999999999</v>
      </c>
      <c r="S2665" s="2">
        <f>NETWORKDAYS(B2665,C2665)-1</f>
        <v>2</v>
      </c>
      <c r="T2665" s="1">
        <f>WORKDAY(B2665,5)</f>
        <v>45883</v>
      </c>
      <c r="U2665" t="b">
        <f>C2665&gt;T2665</f>
        <v>0</v>
      </c>
    </row>
    <row r="2666" spans="1:21" x14ac:dyDescent="0.25">
      <c r="A2666" t="s">
        <v>1728</v>
      </c>
      <c r="B2666" s="1">
        <v>45876</v>
      </c>
      <c r="C2666" s="1">
        <v>45880</v>
      </c>
      <c r="D2666" t="s">
        <v>997</v>
      </c>
      <c r="E2666" t="s">
        <v>149</v>
      </c>
      <c r="F2666" t="s">
        <v>88</v>
      </c>
      <c r="G2666" t="s">
        <v>142</v>
      </c>
      <c r="H2666" t="s">
        <v>33</v>
      </c>
      <c r="I2666" s="2">
        <v>4</v>
      </c>
      <c r="J2666" s="3">
        <v>219</v>
      </c>
      <c r="K2666" s="4">
        <v>0.05</v>
      </c>
      <c r="L2666" s="3">
        <v>832.2</v>
      </c>
      <c r="M2666" t="b">
        <v>1</v>
      </c>
      <c r="N2666" s="2">
        <f>YEAR(B2666)</f>
        <v>2025</v>
      </c>
      <c r="O2666" t="str">
        <f>INDEX(Agences!$C:$C,MATCH(F2666,Agences!$A:$A,0))</f>
        <v>Sud-Ouest</v>
      </c>
      <c r="P2666" t="str">
        <f>INDEX(Produits!$C:$C,MATCH(H2666,Produits!$A:$A,0))</f>
        <v>Informatique</v>
      </c>
      <c r="Q2666" s="3">
        <f>I2666*INDEX(Produits!$E:$E,MATCH(H2666,Produits!$A:$A,0))</f>
        <v>718.32</v>
      </c>
      <c r="R2666" s="3">
        <f>L2666-Q2666</f>
        <v>113.88</v>
      </c>
      <c r="S2666" s="2">
        <f>NETWORKDAYS(B2666,C2666)-1</f>
        <v>2</v>
      </c>
      <c r="T2666" s="1">
        <f>WORKDAY(B2666,5)</f>
        <v>45883</v>
      </c>
      <c r="U2666" t="b">
        <f>C2666&gt;T2666</f>
        <v>0</v>
      </c>
    </row>
    <row r="2667" spans="1:21" x14ac:dyDescent="0.25">
      <c r="A2667" t="s">
        <v>1728</v>
      </c>
      <c r="B2667" s="1">
        <v>45876</v>
      </c>
      <c r="C2667" s="1">
        <v>45880</v>
      </c>
      <c r="D2667" t="s">
        <v>997</v>
      </c>
      <c r="E2667" t="s">
        <v>149</v>
      </c>
      <c r="F2667" t="s">
        <v>88</v>
      </c>
      <c r="G2667" t="s">
        <v>142</v>
      </c>
      <c r="H2667" t="s">
        <v>112</v>
      </c>
      <c r="I2667" s="2">
        <v>3</v>
      </c>
      <c r="J2667" s="3">
        <v>129</v>
      </c>
      <c r="K2667" s="4">
        <v>0.05</v>
      </c>
      <c r="L2667" s="3">
        <v>367.65</v>
      </c>
      <c r="M2667" t="b">
        <v>1</v>
      </c>
      <c r="N2667" s="2">
        <f>YEAR(B2667)</f>
        <v>2025</v>
      </c>
      <c r="O2667" t="str">
        <f>INDEX(Agences!$C:$C,MATCH(F2667,Agences!$A:$A,0))</f>
        <v>Sud-Ouest</v>
      </c>
      <c r="P2667" t="str">
        <f>INDEX(Produits!$C:$C,MATCH(H2667,Produits!$A:$A,0))</f>
        <v>Mobilier</v>
      </c>
      <c r="Q2667" s="3">
        <f>I2667*INDEX(Produits!$E:$E,MATCH(H2667,Produits!$A:$A,0))</f>
        <v>259.29</v>
      </c>
      <c r="R2667" s="3">
        <f>L2667-Q2667</f>
        <v>108.35999999999996</v>
      </c>
      <c r="S2667" s="2">
        <f>NETWORKDAYS(B2667,C2667)-1</f>
        <v>2</v>
      </c>
      <c r="T2667" s="1">
        <f>WORKDAY(B2667,5)</f>
        <v>45883</v>
      </c>
      <c r="U2667" t="b">
        <f>C2667&gt;T2667</f>
        <v>0</v>
      </c>
    </row>
    <row r="2668" spans="1:21" x14ac:dyDescent="0.25">
      <c r="A2668" t="s">
        <v>1729</v>
      </c>
      <c r="B2668" s="1">
        <v>45876</v>
      </c>
      <c r="C2668" s="1">
        <v>45882</v>
      </c>
      <c r="D2668" t="s">
        <v>486</v>
      </c>
      <c r="E2668" t="s">
        <v>149</v>
      </c>
      <c r="F2668" t="s">
        <v>88</v>
      </c>
      <c r="G2668" t="s">
        <v>226</v>
      </c>
      <c r="H2668" t="s">
        <v>42</v>
      </c>
      <c r="I2668" s="2">
        <v>1</v>
      </c>
      <c r="J2668" s="3">
        <v>55</v>
      </c>
      <c r="K2668" s="4">
        <v>0.05</v>
      </c>
      <c r="L2668" s="3">
        <v>52.25</v>
      </c>
      <c r="M2668" t="b">
        <v>1</v>
      </c>
      <c r="N2668" s="2">
        <f>YEAR(B2668)</f>
        <v>2025</v>
      </c>
      <c r="O2668" t="str">
        <f>INDEX(Agences!$C:$C,MATCH(F2668,Agences!$A:$A,0))</f>
        <v>Sud-Ouest</v>
      </c>
      <c r="P2668" t="str">
        <f>INDEX(Produits!$C:$C,MATCH(H2668,Produits!$A:$A,0))</f>
        <v>Maintenance</v>
      </c>
      <c r="Q2668" s="3">
        <f>I2668*INDEX(Produits!$E:$E,MATCH(H2668,Produits!$A:$A,0))</f>
        <v>24.75</v>
      </c>
      <c r="R2668" s="3">
        <f>L2668-Q2668</f>
        <v>27.5</v>
      </c>
      <c r="S2668" s="2">
        <f>NETWORKDAYS(B2668,C2668)-1</f>
        <v>4</v>
      </c>
      <c r="T2668" s="1">
        <f>WORKDAY(B2668,5)</f>
        <v>45883</v>
      </c>
      <c r="U2668" t="b">
        <f>C2668&gt;T2668</f>
        <v>0</v>
      </c>
    </row>
    <row r="2669" spans="1:21" x14ac:dyDescent="0.25">
      <c r="A2669" t="s">
        <v>1730</v>
      </c>
      <c r="B2669" s="1">
        <v>45876</v>
      </c>
      <c r="C2669" s="1">
        <v>45881</v>
      </c>
      <c r="D2669" t="s">
        <v>486</v>
      </c>
      <c r="E2669" t="s">
        <v>149</v>
      </c>
      <c r="F2669" t="s">
        <v>88</v>
      </c>
      <c r="G2669" t="s">
        <v>142</v>
      </c>
      <c r="H2669" t="s">
        <v>237</v>
      </c>
      <c r="I2669" s="2">
        <v>1</v>
      </c>
      <c r="J2669" s="3">
        <v>890</v>
      </c>
      <c r="K2669" s="4">
        <v>0.1</v>
      </c>
      <c r="L2669" s="3">
        <v>801</v>
      </c>
      <c r="M2669" t="b">
        <v>1</v>
      </c>
      <c r="N2669" s="2">
        <f>YEAR(B2669)</f>
        <v>2025</v>
      </c>
      <c r="O2669" t="str">
        <f>INDEX(Agences!$C:$C,MATCH(F2669,Agences!$A:$A,0))</f>
        <v>Sud-Ouest</v>
      </c>
      <c r="P2669" t="str">
        <f>INDEX(Produits!$C:$C,MATCH(H2669,Produits!$A:$A,0))</f>
        <v>Mobilier</v>
      </c>
      <c r="Q2669" s="3">
        <f>I2669*INDEX(Produits!$E:$E,MATCH(H2669,Produits!$A:$A,0))</f>
        <v>596.3</v>
      </c>
      <c r="R2669" s="3">
        <f>L2669-Q2669</f>
        <v>204.70000000000005</v>
      </c>
      <c r="S2669" s="2">
        <f>NETWORKDAYS(B2669,C2669)-1</f>
        <v>3</v>
      </c>
      <c r="T2669" s="1">
        <f>WORKDAY(B2669,5)</f>
        <v>45883</v>
      </c>
      <c r="U2669" t="b">
        <f>C2669&gt;T2669</f>
        <v>0</v>
      </c>
    </row>
    <row r="2670" spans="1:21" x14ac:dyDescent="0.25">
      <c r="A2670" t="s">
        <v>1731</v>
      </c>
      <c r="B2670" s="1">
        <v>45876</v>
      </c>
      <c r="C2670" s="1">
        <v>45880</v>
      </c>
      <c r="D2670" t="s">
        <v>773</v>
      </c>
      <c r="E2670" t="s">
        <v>229</v>
      </c>
      <c r="F2670" t="s">
        <v>55</v>
      </c>
      <c r="G2670" t="s">
        <v>195</v>
      </c>
      <c r="H2670" t="s">
        <v>150</v>
      </c>
      <c r="I2670" s="2">
        <v>1</v>
      </c>
      <c r="J2670" s="3">
        <v>790</v>
      </c>
      <c r="K2670" s="4">
        <v>0.05</v>
      </c>
      <c r="L2670" s="3">
        <v>750.5</v>
      </c>
      <c r="M2670" t="b">
        <v>1</v>
      </c>
      <c r="N2670" s="2">
        <f>YEAR(B2670)</f>
        <v>2025</v>
      </c>
      <c r="O2670" t="str">
        <f>INDEX(Agences!$C:$C,MATCH(F2670,Agences!$A:$A,0))</f>
        <v>Est</v>
      </c>
      <c r="P2670" t="str">
        <f>INDEX(Produits!$C:$C,MATCH(H2670,Produits!$A:$A,0))</f>
        <v>Informatique</v>
      </c>
      <c r="Q2670" s="3">
        <f>I2670*INDEX(Produits!$E:$E,MATCH(H2670,Produits!$A:$A,0))</f>
        <v>584.6</v>
      </c>
      <c r="R2670" s="3">
        <f>L2670-Q2670</f>
        <v>165.89999999999998</v>
      </c>
      <c r="S2670" s="2">
        <f>NETWORKDAYS(B2670,C2670)-1</f>
        <v>2</v>
      </c>
      <c r="T2670" s="1">
        <f>WORKDAY(B2670,5)</f>
        <v>45883</v>
      </c>
      <c r="U2670" t="b">
        <f>C2670&gt;T2670</f>
        <v>0</v>
      </c>
    </row>
    <row r="2671" spans="1:21" x14ac:dyDescent="0.25">
      <c r="A2671" t="s">
        <v>1731</v>
      </c>
      <c r="B2671" s="1">
        <v>45876</v>
      </c>
      <c r="C2671" s="1">
        <v>45880</v>
      </c>
      <c r="D2671" t="s">
        <v>773</v>
      </c>
      <c r="E2671" t="s">
        <v>229</v>
      </c>
      <c r="F2671" t="s">
        <v>55</v>
      </c>
      <c r="G2671" t="s">
        <v>195</v>
      </c>
      <c r="H2671" t="s">
        <v>35</v>
      </c>
      <c r="I2671" s="2">
        <v>1</v>
      </c>
      <c r="J2671" s="3">
        <v>79</v>
      </c>
      <c r="K2671" s="4">
        <v>0</v>
      </c>
      <c r="L2671" s="3">
        <v>79</v>
      </c>
      <c r="M2671" t="b">
        <v>1</v>
      </c>
      <c r="N2671" s="2">
        <f>YEAR(B2671)</f>
        <v>2025</v>
      </c>
      <c r="O2671" t="str">
        <f>INDEX(Agences!$C:$C,MATCH(F2671,Agences!$A:$A,0))</f>
        <v>Est</v>
      </c>
      <c r="P2671" t="str">
        <f>INDEX(Produits!$C:$C,MATCH(H2671,Produits!$A:$A,0))</f>
        <v>Mobilier</v>
      </c>
      <c r="Q2671" s="3">
        <f>I2671*INDEX(Produits!$E:$E,MATCH(H2671,Produits!$A:$A,0))</f>
        <v>46.61</v>
      </c>
      <c r="R2671" s="3">
        <f>L2671-Q2671</f>
        <v>32.39</v>
      </c>
      <c r="S2671" s="2">
        <f>NETWORKDAYS(B2671,C2671)-1</f>
        <v>2</v>
      </c>
      <c r="T2671" s="1">
        <f>WORKDAY(B2671,5)</f>
        <v>45883</v>
      </c>
      <c r="U2671" t="b">
        <f>C2671&gt;T2671</f>
        <v>0</v>
      </c>
    </row>
    <row r="2672" spans="1:21" x14ac:dyDescent="0.25">
      <c r="A2672" t="s">
        <v>1731</v>
      </c>
      <c r="B2672" s="1">
        <v>45876</v>
      </c>
      <c r="C2672" s="1">
        <v>45880</v>
      </c>
      <c r="D2672" t="s">
        <v>773</v>
      </c>
      <c r="E2672" t="s">
        <v>229</v>
      </c>
      <c r="F2672" t="s">
        <v>55</v>
      </c>
      <c r="G2672" t="s">
        <v>195</v>
      </c>
      <c r="H2672" t="s">
        <v>49</v>
      </c>
      <c r="I2672" s="2">
        <v>1</v>
      </c>
      <c r="J2672" s="3">
        <v>120</v>
      </c>
      <c r="K2672" s="4">
        <v>0.1</v>
      </c>
      <c r="L2672" s="3">
        <v>108</v>
      </c>
      <c r="M2672" t="b">
        <v>1</v>
      </c>
      <c r="N2672" s="2">
        <f>YEAR(B2672)</f>
        <v>2025</v>
      </c>
      <c r="O2672" t="str">
        <f>INDEX(Agences!$C:$C,MATCH(F2672,Agences!$A:$A,0))</f>
        <v>Est</v>
      </c>
      <c r="P2672" t="str">
        <f>INDEX(Produits!$C:$C,MATCH(H2672,Produits!$A:$A,0))</f>
        <v>Maintenance</v>
      </c>
      <c r="Q2672" s="3">
        <f>I2672*INDEX(Produits!$E:$E,MATCH(H2672,Produits!$A:$A,0))</f>
        <v>55.2</v>
      </c>
      <c r="R2672" s="3">
        <f>L2672-Q2672</f>
        <v>52.8</v>
      </c>
      <c r="S2672" s="2">
        <f>NETWORKDAYS(B2672,C2672)-1</f>
        <v>2</v>
      </c>
      <c r="T2672" s="1">
        <f>WORKDAY(B2672,5)</f>
        <v>45883</v>
      </c>
      <c r="U2672" t="b">
        <f>C2672&gt;T2672</f>
        <v>0</v>
      </c>
    </row>
    <row r="2673" spans="1:21" x14ac:dyDescent="0.25">
      <c r="A2673" t="s">
        <v>1732</v>
      </c>
      <c r="B2673" s="1">
        <v>45873</v>
      </c>
      <c r="C2673" s="1">
        <v>45876</v>
      </c>
      <c r="D2673" t="s">
        <v>212</v>
      </c>
      <c r="E2673" t="s">
        <v>213</v>
      </c>
      <c r="F2673" t="s">
        <v>138</v>
      </c>
      <c r="G2673" t="s">
        <v>214</v>
      </c>
      <c r="H2673" t="s">
        <v>35</v>
      </c>
      <c r="I2673" s="2">
        <v>1</v>
      </c>
      <c r="J2673" s="3">
        <v>79</v>
      </c>
      <c r="K2673" s="4">
        <v>0.05</v>
      </c>
      <c r="L2673" s="3">
        <v>75.05</v>
      </c>
      <c r="M2673" t="b">
        <v>1</v>
      </c>
      <c r="N2673" s="2">
        <f>YEAR(B2673)</f>
        <v>2025</v>
      </c>
      <c r="O2673" t="str">
        <f>INDEX(Agences!$C:$C,MATCH(F2673,Agences!$A:$A,0))</f>
        <v>Île-de-France</v>
      </c>
      <c r="P2673" t="str">
        <f>INDEX(Produits!$C:$C,MATCH(H2673,Produits!$A:$A,0))</f>
        <v>Mobilier</v>
      </c>
      <c r="Q2673" s="3">
        <f>I2673*INDEX(Produits!$E:$E,MATCH(H2673,Produits!$A:$A,0))</f>
        <v>46.61</v>
      </c>
      <c r="R2673" s="3">
        <f>L2673-Q2673</f>
        <v>28.439999999999998</v>
      </c>
      <c r="S2673" s="2">
        <f>NETWORKDAYS(B2673,C2673)-1</f>
        <v>3</v>
      </c>
      <c r="T2673" s="1">
        <f>WORKDAY(B2673,5)</f>
        <v>45880</v>
      </c>
      <c r="U2673" t="b">
        <f>C2673&gt;T2673</f>
        <v>0</v>
      </c>
    </row>
    <row r="2674" spans="1:21" x14ac:dyDescent="0.25">
      <c r="A2674" t="s">
        <v>1733</v>
      </c>
      <c r="B2674" s="1">
        <v>45873</v>
      </c>
      <c r="C2674" s="1">
        <v>45876</v>
      </c>
      <c r="D2674" t="s">
        <v>1734</v>
      </c>
      <c r="E2674" t="s">
        <v>45</v>
      </c>
      <c r="F2674" t="s">
        <v>46</v>
      </c>
      <c r="G2674" t="s">
        <v>158</v>
      </c>
      <c r="H2674" t="s">
        <v>42</v>
      </c>
      <c r="I2674" s="2">
        <v>1</v>
      </c>
      <c r="J2674" s="3">
        <v>55</v>
      </c>
      <c r="K2674" s="4">
        <v>0.05</v>
      </c>
      <c r="L2674" s="3">
        <v>52.25</v>
      </c>
      <c r="M2674" t="b">
        <v>1</v>
      </c>
      <c r="N2674" s="2">
        <f>YEAR(B2674)</f>
        <v>2025</v>
      </c>
      <c r="O2674" t="str">
        <f>INDEX(Agences!$C:$C,MATCH(F2674,Agences!$A:$A,0))</f>
        <v>Est</v>
      </c>
      <c r="P2674" t="str">
        <f>INDEX(Produits!$C:$C,MATCH(H2674,Produits!$A:$A,0))</f>
        <v>Maintenance</v>
      </c>
      <c r="Q2674" s="3">
        <f>I2674*INDEX(Produits!$E:$E,MATCH(H2674,Produits!$A:$A,0))</f>
        <v>24.75</v>
      </c>
      <c r="R2674" s="3">
        <f>L2674-Q2674</f>
        <v>27.5</v>
      </c>
      <c r="S2674" s="2">
        <f>NETWORKDAYS(B2674,C2674)-1</f>
        <v>3</v>
      </c>
      <c r="T2674" s="1">
        <f>WORKDAY(B2674,5)</f>
        <v>45880</v>
      </c>
      <c r="U2674" t="b">
        <f>C2674&gt;T2674</f>
        <v>0</v>
      </c>
    </row>
    <row r="2675" spans="1:21" x14ac:dyDescent="0.25">
      <c r="A2675" t="s">
        <v>1735</v>
      </c>
      <c r="B2675" s="1">
        <v>45870</v>
      </c>
      <c r="C2675" s="1">
        <v>45874</v>
      </c>
      <c r="D2675" t="s">
        <v>1736</v>
      </c>
      <c r="E2675" t="s">
        <v>137</v>
      </c>
      <c r="F2675" t="s">
        <v>138</v>
      </c>
      <c r="G2675" t="s">
        <v>139</v>
      </c>
      <c r="H2675" t="s">
        <v>34</v>
      </c>
      <c r="I2675" s="2">
        <v>1</v>
      </c>
      <c r="J2675" s="3">
        <v>340</v>
      </c>
      <c r="K2675" s="4">
        <v>0</v>
      </c>
      <c r="L2675" s="3">
        <v>340</v>
      </c>
      <c r="M2675" t="b">
        <v>1</v>
      </c>
      <c r="N2675" s="2">
        <f>YEAR(B2675)</f>
        <v>2025</v>
      </c>
      <c r="O2675" t="str">
        <f>INDEX(Agences!$C:$C,MATCH(F2675,Agences!$A:$A,0))</f>
        <v>Île-de-France</v>
      </c>
      <c r="P2675" t="str">
        <f>INDEX(Produits!$C:$C,MATCH(H2675,Produits!$A:$A,0))</f>
        <v>Informatique</v>
      </c>
      <c r="Q2675" s="3">
        <f>I2675*INDEX(Produits!$E:$E,MATCH(H2675,Produits!$A:$A,0))</f>
        <v>275.4</v>
      </c>
      <c r="R2675" s="3">
        <f>L2675-Q2675</f>
        <v>64.60000000000002</v>
      </c>
      <c r="S2675" s="2">
        <f>NETWORKDAYS(B2675,C2675)-1</f>
        <v>2</v>
      </c>
      <c r="T2675" s="1">
        <f>WORKDAY(B2675,5)</f>
        <v>45877</v>
      </c>
      <c r="U2675" t="b">
        <f>C2675&gt;T2675</f>
        <v>0</v>
      </c>
    </row>
    <row r="2676" spans="1:21" x14ac:dyDescent="0.25">
      <c r="A2676" t="s">
        <v>1735</v>
      </c>
      <c r="B2676" s="1">
        <v>45870</v>
      </c>
      <c r="C2676" s="1">
        <v>45874</v>
      </c>
      <c r="D2676" t="s">
        <v>1736</v>
      </c>
      <c r="E2676" t="s">
        <v>137</v>
      </c>
      <c r="F2676" t="s">
        <v>138</v>
      </c>
      <c r="G2676" t="s">
        <v>139</v>
      </c>
      <c r="H2676" t="s">
        <v>27</v>
      </c>
      <c r="I2676" s="2">
        <v>3</v>
      </c>
      <c r="J2676" s="3">
        <v>310</v>
      </c>
      <c r="K2676" s="4">
        <v>0.02</v>
      </c>
      <c r="L2676" s="3">
        <v>911.4</v>
      </c>
      <c r="M2676" t="b">
        <v>1</v>
      </c>
      <c r="N2676" s="2">
        <f>YEAR(B2676)</f>
        <v>2025</v>
      </c>
      <c r="O2676" t="str">
        <f>INDEX(Agences!$C:$C,MATCH(F2676,Agences!$A:$A,0))</f>
        <v>Île-de-France</v>
      </c>
      <c r="P2676" t="str">
        <f>INDEX(Produits!$C:$C,MATCH(H2676,Produits!$A:$A,0))</f>
        <v>Mobilier</v>
      </c>
      <c r="Q2676" s="3">
        <f>I2676*INDEX(Produits!$E:$E,MATCH(H2676,Produits!$A:$A,0))</f>
        <v>558</v>
      </c>
      <c r="R2676" s="3">
        <f>L2676-Q2676</f>
        <v>353.4</v>
      </c>
      <c r="S2676" s="2">
        <f>NETWORKDAYS(B2676,C2676)-1</f>
        <v>2</v>
      </c>
      <c r="T2676" s="1">
        <f>WORKDAY(B2676,5)</f>
        <v>45877</v>
      </c>
      <c r="U2676" t="b">
        <f>C2676&gt;T2676</f>
        <v>0</v>
      </c>
    </row>
    <row r="2677" spans="1:21" x14ac:dyDescent="0.25">
      <c r="A2677" t="s">
        <v>1735</v>
      </c>
      <c r="B2677" s="1">
        <v>45870</v>
      </c>
      <c r="C2677" s="1">
        <v>45874</v>
      </c>
      <c r="D2677" t="s">
        <v>1736</v>
      </c>
      <c r="E2677" t="s">
        <v>137</v>
      </c>
      <c r="F2677" t="s">
        <v>138</v>
      </c>
      <c r="G2677" t="s">
        <v>139</v>
      </c>
      <c r="H2677" t="s">
        <v>35</v>
      </c>
      <c r="I2677" s="2">
        <v>3</v>
      </c>
      <c r="J2677" s="3">
        <v>79</v>
      </c>
      <c r="K2677" s="4">
        <v>0.05</v>
      </c>
      <c r="L2677" s="3">
        <v>225.15</v>
      </c>
      <c r="M2677" t="b">
        <v>1</v>
      </c>
      <c r="N2677" s="2">
        <f>YEAR(B2677)</f>
        <v>2025</v>
      </c>
      <c r="O2677" t="str">
        <f>INDEX(Agences!$C:$C,MATCH(F2677,Agences!$A:$A,0))</f>
        <v>Île-de-France</v>
      </c>
      <c r="P2677" t="str">
        <f>INDEX(Produits!$C:$C,MATCH(H2677,Produits!$A:$A,0))</f>
        <v>Mobilier</v>
      </c>
      <c r="Q2677" s="3">
        <f>I2677*INDEX(Produits!$E:$E,MATCH(H2677,Produits!$A:$A,0))</f>
        <v>139.82999999999998</v>
      </c>
      <c r="R2677" s="3">
        <f>L2677-Q2677</f>
        <v>85.32000000000002</v>
      </c>
      <c r="S2677" s="2">
        <f>NETWORKDAYS(B2677,C2677)-1</f>
        <v>2</v>
      </c>
      <c r="T2677" s="1">
        <f>WORKDAY(B2677,5)</f>
        <v>45877</v>
      </c>
      <c r="U2677" t="b">
        <f>C2677&gt;T2677</f>
        <v>0</v>
      </c>
    </row>
    <row r="2678" spans="1:21" x14ac:dyDescent="0.25">
      <c r="A2678" t="s">
        <v>1735</v>
      </c>
      <c r="B2678" s="1">
        <v>45870</v>
      </c>
      <c r="C2678" s="1">
        <v>45874</v>
      </c>
      <c r="D2678" t="s">
        <v>1736</v>
      </c>
      <c r="E2678" t="s">
        <v>137</v>
      </c>
      <c r="F2678" t="s">
        <v>138</v>
      </c>
      <c r="G2678" t="s">
        <v>139</v>
      </c>
      <c r="H2678" t="s">
        <v>150</v>
      </c>
      <c r="I2678" s="2">
        <v>1</v>
      </c>
      <c r="J2678" s="3">
        <v>790</v>
      </c>
      <c r="K2678" s="4">
        <v>0</v>
      </c>
      <c r="L2678" s="3">
        <v>790</v>
      </c>
      <c r="M2678" t="b">
        <v>1</v>
      </c>
      <c r="N2678" s="2">
        <f>YEAR(B2678)</f>
        <v>2025</v>
      </c>
      <c r="O2678" t="str">
        <f>INDEX(Agences!$C:$C,MATCH(F2678,Agences!$A:$A,0))</f>
        <v>Île-de-France</v>
      </c>
      <c r="P2678" t="str">
        <f>INDEX(Produits!$C:$C,MATCH(H2678,Produits!$A:$A,0))</f>
        <v>Informatique</v>
      </c>
      <c r="Q2678" s="3">
        <f>I2678*INDEX(Produits!$E:$E,MATCH(H2678,Produits!$A:$A,0))</f>
        <v>584.6</v>
      </c>
      <c r="R2678" s="3">
        <f>L2678-Q2678</f>
        <v>205.39999999999998</v>
      </c>
      <c r="S2678" s="2">
        <f>NETWORKDAYS(B2678,C2678)-1</f>
        <v>2</v>
      </c>
      <c r="T2678" s="1">
        <f>WORKDAY(B2678,5)</f>
        <v>45877</v>
      </c>
      <c r="U2678" t="b">
        <f>C2678&gt;T2678</f>
        <v>0</v>
      </c>
    </row>
    <row r="2679" spans="1:21" x14ac:dyDescent="0.25">
      <c r="A2679" t="s">
        <v>1735</v>
      </c>
      <c r="B2679" s="1">
        <v>45870</v>
      </c>
      <c r="C2679" s="1">
        <v>45874</v>
      </c>
      <c r="D2679" t="s">
        <v>1736</v>
      </c>
      <c r="E2679" t="s">
        <v>137</v>
      </c>
      <c r="F2679" t="s">
        <v>138</v>
      </c>
      <c r="G2679" t="s">
        <v>139</v>
      </c>
      <c r="H2679" t="s">
        <v>108</v>
      </c>
      <c r="I2679" s="2">
        <v>5</v>
      </c>
      <c r="J2679" s="3">
        <v>24.5</v>
      </c>
      <c r="K2679" s="4">
        <v>0</v>
      </c>
      <c r="L2679" s="3">
        <v>122.5</v>
      </c>
      <c r="M2679" t="b">
        <v>1</v>
      </c>
      <c r="N2679" s="2">
        <f>YEAR(B2679)</f>
        <v>2025</v>
      </c>
      <c r="O2679" t="str">
        <f>INDEX(Agences!$C:$C,MATCH(F2679,Agences!$A:$A,0))</f>
        <v>Île-de-France</v>
      </c>
      <c r="P2679" t="str">
        <f>INDEX(Produits!$C:$C,MATCH(H2679,Produits!$A:$A,0))</f>
        <v>Fournitures</v>
      </c>
      <c r="Q2679" s="3">
        <f>I2679*INDEX(Produits!$E:$E,MATCH(H2679,Produits!$A:$A,0))</f>
        <v>73.5</v>
      </c>
      <c r="R2679" s="3">
        <f>L2679-Q2679</f>
        <v>49</v>
      </c>
      <c r="S2679" s="2">
        <f>NETWORKDAYS(B2679,C2679)-1</f>
        <v>2</v>
      </c>
      <c r="T2679" s="1">
        <f>WORKDAY(B2679,5)</f>
        <v>45877</v>
      </c>
      <c r="U2679" t="b">
        <f>C2679&gt;T2679</f>
        <v>0</v>
      </c>
    </row>
    <row r="2680" spans="1:21" x14ac:dyDescent="0.25">
      <c r="A2680" t="s">
        <v>1737</v>
      </c>
      <c r="B2680" s="1">
        <v>45870</v>
      </c>
      <c r="C2680" s="1">
        <v>45877</v>
      </c>
      <c r="D2680" t="s">
        <v>1116</v>
      </c>
      <c r="E2680" t="s">
        <v>137</v>
      </c>
      <c r="F2680" t="s">
        <v>138</v>
      </c>
      <c r="G2680" t="s">
        <v>220</v>
      </c>
      <c r="H2680" t="s">
        <v>33</v>
      </c>
      <c r="I2680" s="2">
        <v>1</v>
      </c>
      <c r="J2680" s="3">
        <v>219</v>
      </c>
      <c r="K2680" s="4">
        <v>0</v>
      </c>
      <c r="L2680" s="3">
        <v>219</v>
      </c>
      <c r="M2680" t="b">
        <v>1</v>
      </c>
      <c r="N2680" s="2">
        <f>YEAR(B2680)</f>
        <v>2025</v>
      </c>
      <c r="O2680" t="str">
        <f>INDEX(Agences!$C:$C,MATCH(F2680,Agences!$A:$A,0))</f>
        <v>Île-de-France</v>
      </c>
      <c r="P2680" t="str">
        <f>INDEX(Produits!$C:$C,MATCH(H2680,Produits!$A:$A,0))</f>
        <v>Informatique</v>
      </c>
      <c r="Q2680" s="3">
        <f>I2680*INDEX(Produits!$E:$E,MATCH(H2680,Produits!$A:$A,0))</f>
        <v>179.58</v>
      </c>
      <c r="R2680" s="3">
        <f>L2680-Q2680</f>
        <v>39.41999999999999</v>
      </c>
      <c r="S2680" s="2">
        <f>NETWORKDAYS(B2680,C2680)-1</f>
        <v>5</v>
      </c>
      <c r="T2680" s="1">
        <f>WORKDAY(B2680,5)</f>
        <v>45877</v>
      </c>
      <c r="U2680" t="b">
        <f>C2680&gt;T2680</f>
        <v>0</v>
      </c>
    </row>
    <row r="2681" spans="1:21" x14ac:dyDescent="0.25">
      <c r="A2681" t="s">
        <v>1738</v>
      </c>
      <c r="B2681" s="1">
        <v>45870</v>
      </c>
      <c r="C2681" s="1">
        <v>45877</v>
      </c>
      <c r="D2681" t="s">
        <v>269</v>
      </c>
      <c r="E2681" t="s">
        <v>270</v>
      </c>
      <c r="F2681" t="s">
        <v>76</v>
      </c>
      <c r="G2681" t="s">
        <v>232</v>
      </c>
      <c r="H2681" t="s">
        <v>27</v>
      </c>
      <c r="I2681" s="2">
        <v>1</v>
      </c>
      <c r="J2681" s="3">
        <v>310</v>
      </c>
      <c r="K2681" s="4">
        <v>0</v>
      </c>
      <c r="L2681" s="3">
        <v>310</v>
      </c>
      <c r="M2681" t="b">
        <v>1</v>
      </c>
      <c r="N2681" s="2">
        <f>YEAR(B2681)</f>
        <v>2025</v>
      </c>
      <c r="O2681" t="str">
        <f>INDEX(Agences!$C:$C,MATCH(F2681,Agences!$A:$A,0))</f>
        <v>Île-de-France</v>
      </c>
      <c r="P2681" t="str">
        <f>INDEX(Produits!$C:$C,MATCH(H2681,Produits!$A:$A,0))</f>
        <v>Mobilier</v>
      </c>
      <c r="Q2681" s="3">
        <f>I2681*INDEX(Produits!$E:$E,MATCH(H2681,Produits!$A:$A,0))</f>
        <v>186</v>
      </c>
      <c r="R2681" s="3">
        <f>L2681-Q2681</f>
        <v>124</v>
      </c>
      <c r="S2681" s="2">
        <f>NETWORKDAYS(B2681,C2681)-1</f>
        <v>5</v>
      </c>
      <c r="T2681" s="1">
        <f>WORKDAY(B2681,5)</f>
        <v>45877</v>
      </c>
      <c r="U2681" t="b">
        <f>C2681&gt;T2681</f>
        <v>0</v>
      </c>
    </row>
    <row r="2682" spans="1:21" x14ac:dyDescent="0.25">
      <c r="A2682" t="s">
        <v>1738</v>
      </c>
      <c r="B2682" s="1">
        <v>45870</v>
      </c>
      <c r="C2682" s="1">
        <v>45877</v>
      </c>
      <c r="D2682" t="s">
        <v>269</v>
      </c>
      <c r="E2682" t="s">
        <v>270</v>
      </c>
      <c r="F2682" t="s">
        <v>76</v>
      </c>
      <c r="G2682" t="s">
        <v>232</v>
      </c>
      <c r="H2682" t="s">
        <v>162</v>
      </c>
      <c r="I2682" s="2">
        <v>2</v>
      </c>
      <c r="J2682" s="3">
        <v>289</v>
      </c>
      <c r="K2682" s="4">
        <v>0.08</v>
      </c>
      <c r="L2682" s="3">
        <v>531.76</v>
      </c>
      <c r="M2682" t="b">
        <v>1</v>
      </c>
      <c r="N2682" s="2">
        <f>YEAR(B2682)</f>
        <v>2025</v>
      </c>
      <c r="O2682" t="str">
        <f>INDEX(Agences!$C:$C,MATCH(F2682,Agences!$A:$A,0))</f>
        <v>Île-de-France</v>
      </c>
      <c r="P2682" t="str">
        <f>INDEX(Produits!$C:$C,MATCH(H2682,Produits!$A:$A,0))</f>
        <v>Mobilier</v>
      </c>
      <c r="Q2682" s="3">
        <f>I2682*INDEX(Produits!$E:$E,MATCH(H2682,Produits!$A:$A,0))</f>
        <v>387.26</v>
      </c>
      <c r="R2682" s="3">
        <f>L2682-Q2682</f>
        <v>144.5</v>
      </c>
      <c r="S2682" s="2">
        <f>NETWORKDAYS(B2682,C2682)-1</f>
        <v>5</v>
      </c>
      <c r="T2682" s="1">
        <f>WORKDAY(B2682,5)</f>
        <v>45877</v>
      </c>
      <c r="U2682" t="b">
        <f>C2682&gt;T2682</f>
        <v>0</v>
      </c>
    </row>
    <row r="2683" spans="1:21" x14ac:dyDescent="0.25">
      <c r="A2683" t="s">
        <v>1738</v>
      </c>
      <c r="B2683" s="1">
        <v>45870</v>
      </c>
      <c r="C2683" s="1">
        <v>45877</v>
      </c>
      <c r="D2683" t="s">
        <v>269</v>
      </c>
      <c r="E2683" t="s">
        <v>270</v>
      </c>
      <c r="F2683" t="s">
        <v>76</v>
      </c>
      <c r="G2683" t="s">
        <v>232</v>
      </c>
      <c r="H2683" t="s">
        <v>42</v>
      </c>
      <c r="I2683" s="2">
        <v>2</v>
      </c>
      <c r="J2683" s="3">
        <v>55</v>
      </c>
      <c r="K2683" s="4">
        <v>0.02</v>
      </c>
      <c r="L2683" s="3">
        <v>107.8</v>
      </c>
      <c r="M2683" t="b">
        <v>1</v>
      </c>
      <c r="N2683" s="2">
        <f>YEAR(B2683)</f>
        <v>2025</v>
      </c>
      <c r="O2683" t="str">
        <f>INDEX(Agences!$C:$C,MATCH(F2683,Agences!$A:$A,0))</f>
        <v>Île-de-France</v>
      </c>
      <c r="P2683" t="str">
        <f>INDEX(Produits!$C:$C,MATCH(H2683,Produits!$A:$A,0))</f>
        <v>Maintenance</v>
      </c>
      <c r="Q2683" s="3">
        <f>I2683*INDEX(Produits!$E:$E,MATCH(H2683,Produits!$A:$A,0))</f>
        <v>49.5</v>
      </c>
      <c r="R2683" s="3">
        <f>L2683-Q2683</f>
        <v>58.3</v>
      </c>
      <c r="S2683" s="2">
        <f>NETWORKDAYS(B2683,C2683)-1</f>
        <v>5</v>
      </c>
      <c r="T2683" s="1">
        <f>WORKDAY(B2683,5)</f>
        <v>45877</v>
      </c>
      <c r="U2683" t="b">
        <f>C2683&gt;T2683</f>
        <v>0</v>
      </c>
    </row>
    <row r="2684" spans="1:21" x14ac:dyDescent="0.25">
      <c r="A2684" t="s">
        <v>1738</v>
      </c>
      <c r="B2684" s="1">
        <v>45870</v>
      </c>
      <c r="C2684" s="1">
        <v>45877</v>
      </c>
      <c r="D2684" t="s">
        <v>269</v>
      </c>
      <c r="E2684" t="s">
        <v>270</v>
      </c>
      <c r="F2684" t="s">
        <v>76</v>
      </c>
      <c r="G2684" t="s">
        <v>232</v>
      </c>
      <c r="H2684" t="s">
        <v>319</v>
      </c>
      <c r="I2684" s="2">
        <v>5</v>
      </c>
      <c r="J2684" s="3">
        <v>289</v>
      </c>
      <c r="K2684" s="4">
        <v>0</v>
      </c>
      <c r="L2684" s="3">
        <v>1445</v>
      </c>
      <c r="M2684" t="b">
        <v>1</v>
      </c>
      <c r="N2684" s="2">
        <f>YEAR(B2684)</f>
        <v>2025</v>
      </c>
      <c r="O2684" t="str">
        <f>INDEX(Agences!$C:$C,MATCH(F2684,Agences!$A:$A,0))</f>
        <v>Île-de-France</v>
      </c>
      <c r="P2684" t="str">
        <f>INDEX(Produits!$C:$C,MATCH(H2684,Produits!$A:$A,0))</f>
        <v>Informatique</v>
      </c>
      <c r="Q2684" s="3">
        <f>I2684*INDEX(Produits!$E:$E,MATCH(H2684,Produits!$A:$A,0))</f>
        <v>1069.3000000000002</v>
      </c>
      <c r="R2684" s="3">
        <f>L2684-Q2684</f>
        <v>375.6999999999998</v>
      </c>
      <c r="S2684" s="2">
        <f>NETWORKDAYS(B2684,C2684)-1</f>
        <v>5</v>
      </c>
      <c r="T2684" s="1">
        <f>WORKDAY(B2684,5)</f>
        <v>45877</v>
      </c>
      <c r="U2684" t="b">
        <f>C2684&gt;T2684</f>
        <v>0</v>
      </c>
    </row>
    <row r="2685" spans="1:21" x14ac:dyDescent="0.25">
      <c r="A2685" t="s">
        <v>1738</v>
      </c>
      <c r="B2685" s="1">
        <v>45870</v>
      </c>
      <c r="C2685" s="1">
        <v>45877</v>
      </c>
      <c r="D2685" t="s">
        <v>269</v>
      </c>
      <c r="E2685" t="s">
        <v>270</v>
      </c>
      <c r="F2685" t="s">
        <v>76</v>
      </c>
      <c r="G2685" t="s">
        <v>232</v>
      </c>
      <c r="H2685" t="s">
        <v>64</v>
      </c>
      <c r="I2685" s="2">
        <v>25</v>
      </c>
      <c r="J2685" s="3">
        <v>16.8</v>
      </c>
      <c r="K2685" s="4">
        <v>0</v>
      </c>
      <c r="L2685" s="3">
        <v>420</v>
      </c>
      <c r="M2685" t="b">
        <v>1</v>
      </c>
      <c r="N2685" s="2">
        <f>YEAR(B2685)</f>
        <v>2025</v>
      </c>
      <c r="O2685" t="str">
        <f>INDEX(Agences!$C:$C,MATCH(F2685,Agences!$A:$A,0))</f>
        <v>Île-de-France</v>
      </c>
      <c r="P2685" t="str">
        <f>INDEX(Produits!$C:$C,MATCH(H2685,Produits!$A:$A,0))</f>
        <v>Fournitures</v>
      </c>
      <c r="Q2685" s="3">
        <f>I2685*INDEX(Produits!$E:$E,MATCH(H2685,Produits!$A:$A,0))</f>
        <v>218.5</v>
      </c>
      <c r="R2685" s="3">
        <f>L2685-Q2685</f>
        <v>201.5</v>
      </c>
      <c r="S2685" s="2">
        <f>NETWORKDAYS(B2685,C2685)-1</f>
        <v>5</v>
      </c>
      <c r="T2685" s="1">
        <f>WORKDAY(B2685,5)</f>
        <v>45877</v>
      </c>
      <c r="U2685" t="b">
        <f>C2685&gt;T2685</f>
        <v>0</v>
      </c>
    </row>
    <row r="2686" spans="1:21" x14ac:dyDescent="0.25">
      <c r="A2686" t="s">
        <v>1739</v>
      </c>
      <c r="B2686" s="1">
        <v>45870</v>
      </c>
      <c r="C2686" s="1">
        <v>45874</v>
      </c>
      <c r="D2686" t="s">
        <v>1740</v>
      </c>
      <c r="E2686" t="s">
        <v>236</v>
      </c>
      <c r="F2686" t="s">
        <v>39</v>
      </c>
      <c r="G2686" t="s">
        <v>131</v>
      </c>
      <c r="H2686" t="s">
        <v>26</v>
      </c>
      <c r="I2686" s="2">
        <v>1</v>
      </c>
      <c r="J2686" s="3">
        <v>290</v>
      </c>
      <c r="K2686" s="4">
        <v>0.02</v>
      </c>
      <c r="L2686" s="3">
        <v>284.2</v>
      </c>
      <c r="M2686" t="b">
        <v>1</v>
      </c>
      <c r="N2686" s="2">
        <f>YEAR(B2686)</f>
        <v>2025</v>
      </c>
      <c r="O2686" t="str">
        <f>INDEX(Agences!$C:$C,MATCH(F2686,Agences!$A:$A,0))</f>
        <v>Sud-Ouest</v>
      </c>
      <c r="P2686" t="str">
        <f>INDEX(Produits!$C:$C,MATCH(H2686,Produits!$A:$A,0))</f>
        <v>Maintenance</v>
      </c>
      <c r="Q2686" s="3">
        <f>I2686*INDEX(Produits!$E:$E,MATCH(H2686,Produits!$A:$A,0))</f>
        <v>139.2</v>
      </c>
      <c r="R2686" s="3">
        <f>L2686-Q2686</f>
        <v>145</v>
      </c>
      <c r="S2686" s="2">
        <f>NETWORKDAYS(B2686,C2686)-1</f>
        <v>2</v>
      </c>
      <c r="T2686" s="1">
        <f>WORKDAY(B2686,5)</f>
        <v>45877</v>
      </c>
      <c r="U2686" t="b">
        <f>C2686&gt;T2686</f>
        <v>0</v>
      </c>
    </row>
    <row r="2687" spans="1:21" x14ac:dyDescent="0.25">
      <c r="A2687" t="s">
        <v>1739</v>
      </c>
      <c r="B2687" s="1">
        <v>45870</v>
      </c>
      <c r="C2687" s="1">
        <v>45874</v>
      </c>
      <c r="D2687" t="s">
        <v>1740</v>
      </c>
      <c r="E2687" t="s">
        <v>236</v>
      </c>
      <c r="F2687" t="s">
        <v>39</v>
      </c>
      <c r="G2687" t="s">
        <v>131</v>
      </c>
      <c r="H2687" t="s">
        <v>162</v>
      </c>
      <c r="I2687" s="2">
        <v>1</v>
      </c>
      <c r="J2687" s="3">
        <v>289</v>
      </c>
      <c r="K2687" s="4">
        <v>0.02</v>
      </c>
      <c r="L2687" s="3">
        <v>283.22</v>
      </c>
      <c r="M2687" t="b">
        <v>1</v>
      </c>
      <c r="N2687" s="2">
        <f>YEAR(B2687)</f>
        <v>2025</v>
      </c>
      <c r="O2687" t="str">
        <f>INDEX(Agences!$C:$C,MATCH(F2687,Agences!$A:$A,0))</f>
        <v>Sud-Ouest</v>
      </c>
      <c r="P2687" t="str">
        <f>INDEX(Produits!$C:$C,MATCH(H2687,Produits!$A:$A,0))</f>
        <v>Mobilier</v>
      </c>
      <c r="Q2687" s="3">
        <f>I2687*INDEX(Produits!$E:$E,MATCH(H2687,Produits!$A:$A,0))</f>
        <v>193.63</v>
      </c>
      <c r="R2687" s="3">
        <f>L2687-Q2687</f>
        <v>89.59000000000003</v>
      </c>
      <c r="S2687" s="2">
        <f>NETWORKDAYS(B2687,C2687)-1</f>
        <v>2</v>
      </c>
      <c r="T2687" s="1">
        <f>WORKDAY(B2687,5)</f>
        <v>45877</v>
      </c>
      <c r="U2687" t="b">
        <f>C2687&gt;T2687</f>
        <v>0</v>
      </c>
    </row>
    <row r="2688" spans="1:21" x14ac:dyDescent="0.25">
      <c r="A2688" t="s">
        <v>1739</v>
      </c>
      <c r="B2688" s="1">
        <v>45870</v>
      </c>
      <c r="C2688" s="1">
        <v>45874</v>
      </c>
      <c r="D2688" t="s">
        <v>1740</v>
      </c>
      <c r="E2688" t="s">
        <v>236</v>
      </c>
      <c r="F2688" t="s">
        <v>39</v>
      </c>
      <c r="G2688" t="s">
        <v>131</v>
      </c>
      <c r="H2688" t="s">
        <v>35</v>
      </c>
      <c r="I2688" s="2">
        <v>2</v>
      </c>
      <c r="J2688" s="3">
        <v>79</v>
      </c>
      <c r="K2688" s="4">
        <v>0</v>
      </c>
      <c r="L2688" s="3">
        <v>158</v>
      </c>
      <c r="M2688" t="b">
        <v>1</v>
      </c>
      <c r="N2688" s="2">
        <f>YEAR(B2688)</f>
        <v>2025</v>
      </c>
      <c r="O2688" t="str">
        <f>INDEX(Agences!$C:$C,MATCH(F2688,Agences!$A:$A,0))</f>
        <v>Sud-Ouest</v>
      </c>
      <c r="P2688" t="str">
        <f>INDEX(Produits!$C:$C,MATCH(H2688,Produits!$A:$A,0))</f>
        <v>Mobilier</v>
      </c>
      <c r="Q2688" s="3">
        <f>I2688*INDEX(Produits!$E:$E,MATCH(H2688,Produits!$A:$A,0))</f>
        <v>93.22</v>
      </c>
      <c r="R2688" s="3">
        <f>L2688-Q2688</f>
        <v>64.78</v>
      </c>
      <c r="S2688" s="2">
        <f>NETWORKDAYS(B2688,C2688)-1</f>
        <v>2</v>
      </c>
      <c r="T2688" s="1">
        <f>WORKDAY(B2688,5)</f>
        <v>45877</v>
      </c>
      <c r="U2688" t="b">
        <f>C2688&gt;T2688</f>
        <v>0</v>
      </c>
    </row>
    <row r="2689" spans="1:21" x14ac:dyDescent="0.25">
      <c r="A2689" t="s">
        <v>1741</v>
      </c>
      <c r="B2689" s="1">
        <v>45870</v>
      </c>
      <c r="C2689" s="1">
        <v>45873</v>
      </c>
      <c r="D2689" t="s">
        <v>1742</v>
      </c>
      <c r="E2689" t="s">
        <v>242</v>
      </c>
      <c r="F2689" t="s">
        <v>94</v>
      </c>
      <c r="G2689" t="s">
        <v>95</v>
      </c>
      <c r="H2689" t="s">
        <v>33</v>
      </c>
      <c r="I2689" s="2">
        <v>1</v>
      </c>
      <c r="J2689" s="3">
        <v>219</v>
      </c>
      <c r="K2689" s="4">
        <v>0.1</v>
      </c>
      <c r="L2689" s="3">
        <v>197.1</v>
      </c>
      <c r="M2689" t="b">
        <v>1</v>
      </c>
      <c r="N2689" s="2">
        <f>YEAR(B2689)</f>
        <v>2025</v>
      </c>
      <c r="O2689" t="str">
        <f>INDEX(Agences!$C:$C,MATCH(F2689,Agences!$A:$A,0))</f>
        <v>Méditerranée</v>
      </c>
      <c r="P2689" t="str">
        <f>INDEX(Produits!$C:$C,MATCH(H2689,Produits!$A:$A,0))</f>
        <v>Informatique</v>
      </c>
      <c r="Q2689" s="3">
        <f>I2689*INDEX(Produits!$E:$E,MATCH(H2689,Produits!$A:$A,0))</f>
        <v>179.58</v>
      </c>
      <c r="R2689" s="3">
        <f>L2689-Q2689</f>
        <v>17.519999999999982</v>
      </c>
      <c r="S2689" s="2">
        <f>NETWORKDAYS(B2689,C2689)-1</f>
        <v>1</v>
      </c>
      <c r="T2689" s="1">
        <f>WORKDAY(B2689,5)</f>
        <v>45877</v>
      </c>
      <c r="U2689" t="b">
        <f>C2689&gt;T2689</f>
        <v>0</v>
      </c>
    </row>
    <row r="2690" spans="1:21" x14ac:dyDescent="0.25">
      <c r="A2690" t="s">
        <v>1743</v>
      </c>
      <c r="B2690" s="1">
        <v>45869</v>
      </c>
      <c r="C2690" s="1">
        <v>45873</v>
      </c>
      <c r="D2690" t="s">
        <v>1657</v>
      </c>
      <c r="E2690" t="s">
        <v>209</v>
      </c>
      <c r="F2690" t="s">
        <v>99</v>
      </c>
      <c r="G2690" t="s">
        <v>265</v>
      </c>
      <c r="H2690" t="s">
        <v>162</v>
      </c>
      <c r="I2690" s="2">
        <v>1</v>
      </c>
      <c r="J2690" s="3">
        <v>289</v>
      </c>
      <c r="K2690" s="4">
        <v>0.1</v>
      </c>
      <c r="L2690" s="3">
        <v>260.1</v>
      </c>
      <c r="M2690" t="b">
        <v>1</v>
      </c>
      <c r="N2690" s="2">
        <f>YEAR(B2690)</f>
        <v>2025</v>
      </c>
      <c r="O2690" t="str">
        <f>INDEX(Agences!$C:$C,MATCH(F2690,Agences!$A:$A,0))</f>
        <v>Nord</v>
      </c>
      <c r="P2690" t="str">
        <f>INDEX(Produits!$C:$C,MATCH(H2690,Produits!$A:$A,0))</f>
        <v>Mobilier</v>
      </c>
      <c r="Q2690" s="3">
        <f>I2690*INDEX(Produits!$E:$E,MATCH(H2690,Produits!$A:$A,0))</f>
        <v>193.63</v>
      </c>
      <c r="R2690" s="3">
        <f>L2690-Q2690</f>
        <v>66.47000000000003</v>
      </c>
      <c r="S2690" s="2">
        <f>NETWORKDAYS(B2690,C2690)-1</f>
        <v>2</v>
      </c>
      <c r="T2690" s="1">
        <f>WORKDAY(B2690,5)</f>
        <v>45876</v>
      </c>
      <c r="U2690" t="b">
        <f>C2690&gt;T2690</f>
        <v>0</v>
      </c>
    </row>
    <row r="2691" spans="1:21" x14ac:dyDescent="0.25">
      <c r="A2691" t="s">
        <v>1743</v>
      </c>
      <c r="B2691" s="1">
        <v>45869</v>
      </c>
      <c r="C2691" s="1">
        <v>45873</v>
      </c>
      <c r="D2691" t="s">
        <v>1657</v>
      </c>
      <c r="E2691" t="s">
        <v>209</v>
      </c>
      <c r="F2691" t="s">
        <v>99</v>
      </c>
      <c r="G2691" t="s">
        <v>265</v>
      </c>
      <c r="H2691" t="s">
        <v>26</v>
      </c>
      <c r="I2691" s="2">
        <v>1</v>
      </c>
      <c r="J2691" s="3">
        <v>290</v>
      </c>
      <c r="K2691" s="4">
        <v>0.02</v>
      </c>
      <c r="L2691" s="3">
        <v>284.2</v>
      </c>
      <c r="M2691" t="b">
        <v>1</v>
      </c>
      <c r="N2691" s="2">
        <f>YEAR(B2691)</f>
        <v>2025</v>
      </c>
      <c r="O2691" t="str">
        <f>INDEX(Agences!$C:$C,MATCH(F2691,Agences!$A:$A,0))</f>
        <v>Nord</v>
      </c>
      <c r="P2691" t="str">
        <f>INDEX(Produits!$C:$C,MATCH(H2691,Produits!$A:$A,0))</f>
        <v>Maintenance</v>
      </c>
      <c r="Q2691" s="3">
        <f>I2691*INDEX(Produits!$E:$E,MATCH(H2691,Produits!$A:$A,0))</f>
        <v>139.2</v>
      </c>
      <c r="R2691" s="3">
        <f>L2691-Q2691</f>
        <v>145</v>
      </c>
      <c r="S2691" s="2">
        <f>NETWORKDAYS(B2691,C2691)-1</f>
        <v>2</v>
      </c>
      <c r="T2691" s="1">
        <f>WORKDAY(B2691,5)</f>
        <v>45876</v>
      </c>
      <c r="U2691" t="b">
        <f>C2691&gt;T2691</f>
        <v>0</v>
      </c>
    </row>
    <row r="2692" spans="1:21" x14ac:dyDescent="0.25">
      <c r="A2692" t="s">
        <v>1744</v>
      </c>
      <c r="B2692" s="1">
        <v>45869</v>
      </c>
      <c r="C2692" s="1">
        <v>45870</v>
      </c>
      <c r="D2692" t="s">
        <v>911</v>
      </c>
      <c r="E2692" t="s">
        <v>399</v>
      </c>
      <c r="F2692" t="s">
        <v>166</v>
      </c>
      <c r="G2692" t="s">
        <v>167</v>
      </c>
      <c r="H2692" t="s">
        <v>35</v>
      </c>
      <c r="I2692" s="2">
        <v>3</v>
      </c>
      <c r="J2692" s="3">
        <v>79</v>
      </c>
      <c r="K2692" s="4">
        <v>0.08</v>
      </c>
      <c r="L2692" s="3">
        <v>218.04</v>
      </c>
      <c r="M2692" t="b">
        <v>1</v>
      </c>
      <c r="N2692" s="2">
        <f>YEAR(B2692)</f>
        <v>2025</v>
      </c>
      <c r="O2692" t="str">
        <f>INDEX(Agences!$C:$C,MATCH(F2692,Agences!$A:$A,0))</f>
        <v>Ouest</v>
      </c>
      <c r="P2692" t="str">
        <f>INDEX(Produits!$C:$C,MATCH(H2692,Produits!$A:$A,0))</f>
        <v>Mobilier</v>
      </c>
      <c r="Q2692" s="3">
        <f>I2692*INDEX(Produits!$E:$E,MATCH(H2692,Produits!$A:$A,0))</f>
        <v>139.82999999999998</v>
      </c>
      <c r="R2692" s="3">
        <f>L2692-Q2692</f>
        <v>78.21000000000001</v>
      </c>
      <c r="S2692" s="2">
        <f>NETWORKDAYS(B2692,C2692)-1</f>
        <v>1</v>
      </c>
      <c r="T2692" s="1">
        <f>WORKDAY(B2692,5)</f>
        <v>45876</v>
      </c>
      <c r="U2692" t="b">
        <f>C2692&gt;T2692</f>
        <v>0</v>
      </c>
    </row>
    <row r="2693" spans="1:21" x14ac:dyDescent="0.25">
      <c r="A2693" t="s">
        <v>1744</v>
      </c>
      <c r="B2693" s="1">
        <v>45869</v>
      </c>
      <c r="C2693" s="1">
        <v>45870</v>
      </c>
      <c r="D2693" t="s">
        <v>911</v>
      </c>
      <c r="E2693" t="s">
        <v>399</v>
      </c>
      <c r="F2693" t="s">
        <v>166</v>
      </c>
      <c r="G2693" t="s">
        <v>167</v>
      </c>
      <c r="H2693" t="s">
        <v>83</v>
      </c>
      <c r="I2693" s="2">
        <v>2</v>
      </c>
      <c r="J2693" s="3">
        <v>49</v>
      </c>
      <c r="K2693" s="4">
        <v>0.05</v>
      </c>
      <c r="L2693" s="3">
        <v>93.1</v>
      </c>
      <c r="M2693" t="b">
        <v>1</v>
      </c>
      <c r="N2693" s="2">
        <f>YEAR(B2693)</f>
        <v>2025</v>
      </c>
      <c r="O2693" t="str">
        <f>INDEX(Agences!$C:$C,MATCH(F2693,Agences!$A:$A,0))</f>
        <v>Ouest</v>
      </c>
      <c r="P2693" t="str">
        <f>INDEX(Produits!$C:$C,MATCH(H2693,Produits!$A:$A,0))</f>
        <v>Mobilier</v>
      </c>
      <c r="Q2693" s="3">
        <f>I2693*INDEX(Produits!$E:$E,MATCH(H2693,Produits!$A:$A,0))</f>
        <v>56.84</v>
      </c>
      <c r="R2693" s="3">
        <f>L2693-Q2693</f>
        <v>36.25999999999999</v>
      </c>
      <c r="S2693" s="2">
        <f>NETWORKDAYS(B2693,C2693)-1</f>
        <v>1</v>
      </c>
      <c r="T2693" s="1">
        <f>WORKDAY(B2693,5)</f>
        <v>45876</v>
      </c>
      <c r="U2693" t="b">
        <f>C2693&gt;T2693</f>
        <v>0</v>
      </c>
    </row>
    <row r="2694" spans="1:21" x14ac:dyDescent="0.25">
      <c r="A2694" t="s">
        <v>1745</v>
      </c>
      <c r="B2694" s="1">
        <v>45869</v>
      </c>
      <c r="C2694" s="1">
        <v>45870</v>
      </c>
      <c r="D2694" t="s">
        <v>932</v>
      </c>
      <c r="E2694" t="s">
        <v>419</v>
      </c>
      <c r="F2694" t="s">
        <v>62</v>
      </c>
      <c r="G2694" t="s">
        <v>106</v>
      </c>
      <c r="H2694" t="s">
        <v>51</v>
      </c>
      <c r="I2694" s="2">
        <v>3</v>
      </c>
      <c r="J2694" s="3">
        <v>180</v>
      </c>
      <c r="K2694" s="4">
        <v>0.1</v>
      </c>
      <c r="L2694" s="3">
        <v>486</v>
      </c>
      <c r="M2694" t="b">
        <v>1</v>
      </c>
      <c r="N2694" s="2">
        <f>YEAR(B2694)</f>
        <v>2025</v>
      </c>
      <c r="O2694" t="str">
        <f>INDEX(Agences!$C:$C,MATCH(F2694,Agences!$A:$A,0))</f>
        <v>Méditerranée</v>
      </c>
      <c r="P2694" t="str">
        <f>INDEX(Produits!$C:$C,MATCH(H2694,Produits!$A:$A,0))</f>
        <v>Maintenance</v>
      </c>
      <c r="Q2694" s="3">
        <f>I2694*INDEX(Produits!$E:$E,MATCH(H2694,Produits!$A:$A,0))</f>
        <v>248.39999999999998</v>
      </c>
      <c r="R2694" s="3">
        <f>L2694-Q2694</f>
        <v>237.60000000000002</v>
      </c>
      <c r="S2694" s="2">
        <f>NETWORKDAYS(B2694,C2694)-1</f>
        <v>1</v>
      </c>
      <c r="T2694" s="1">
        <f>WORKDAY(B2694,5)</f>
        <v>45876</v>
      </c>
      <c r="U2694" t="b">
        <f>C2694&gt;T2694</f>
        <v>0</v>
      </c>
    </row>
    <row r="2695" spans="1:21" x14ac:dyDescent="0.25">
      <c r="A2695" t="s">
        <v>1745</v>
      </c>
      <c r="B2695" s="1">
        <v>45869</v>
      </c>
      <c r="C2695" s="1">
        <v>45870</v>
      </c>
      <c r="D2695" t="s">
        <v>932</v>
      </c>
      <c r="E2695" t="s">
        <v>419</v>
      </c>
      <c r="F2695" t="s">
        <v>62</v>
      </c>
      <c r="G2695" t="s">
        <v>106</v>
      </c>
      <c r="H2695" t="s">
        <v>50</v>
      </c>
      <c r="I2695" s="2">
        <v>1</v>
      </c>
      <c r="J2695" s="3">
        <v>69</v>
      </c>
      <c r="K2695" s="4">
        <v>0</v>
      </c>
      <c r="L2695" s="3">
        <v>69</v>
      </c>
      <c r="M2695" t="b">
        <v>1</v>
      </c>
      <c r="N2695" s="2">
        <f>YEAR(B2695)</f>
        <v>2025</v>
      </c>
      <c r="O2695" t="str">
        <f>INDEX(Agences!$C:$C,MATCH(F2695,Agences!$A:$A,0))</f>
        <v>Méditerranée</v>
      </c>
      <c r="P2695" t="str">
        <f>INDEX(Produits!$C:$C,MATCH(H2695,Produits!$A:$A,0))</f>
        <v>Informatique</v>
      </c>
      <c r="Q2695" s="3">
        <f>I2695*INDEX(Produits!$E:$E,MATCH(H2695,Produits!$A:$A,0))</f>
        <v>54.51</v>
      </c>
      <c r="R2695" s="3">
        <f>L2695-Q2695</f>
        <v>14.490000000000002</v>
      </c>
      <c r="S2695" s="2">
        <f>NETWORKDAYS(B2695,C2695)-1</f>
        <v>1</v>
      </c>
      <c r="T2695" s="1">
        <f>WORKDAY(B2695,5)</f>
        <v>45876</v>
      </c>
      <c r="U2695" t="b">
        <f>C2695&gt;T2695</f>
        <v>0</v>
      </c>
    </row>
    <row r="2696" spans="1:21" x14ac:dyDescent="0.25">
      <c r="A2696" t="s">
        <v>1745</v>
      </c>
      <c r="B2696" s="1">
        <v>45869</v>
      </c>
      <c r="C2696" s="1">
        <v>45870</v>
      </c>
      <c r="D2696" t="s">
        <v>932</v>
      </c>
      <c r="E2696" t="s">
        <v>419</v>
      </c>
      <c r="F2696" t="s">
        <v>62</v>
      </c>
      <c r="G2696" t="s">
        <v>106</v>
      </c>
      <c r="H2696" t="s">
        <v>162</v>
      </c>
      <c r="I2696" s="2">
        <v>4</v>
      </c>
      <c r="J2696" s="3">
        <v>289</v>
      </c>
      <c r="K2696" s="4">
        <v>0.08</v>
      </c>
      <c r="L2696" s="3">
        <v>1063.52</v>
      </c>
      <c r="M2696" t="b">
        <v>1</v>
      </c>
      <c r="N2696" s="2">
        <f>YEAR(B2696)</f>
        <v>2025</v>
      </c>
      <c r="O2696" t="str">
        <f>INDEX(Agences!$C:$C,MATCH(F2696,Agences!$A:$A,0))</f>
        <v>Méditerranée</v>
      </c>
      <c r="P2696" t="str">
        <f>INDEX(Produits!$C:$C,MATCH(H2696,Produits!$A:$A,0))</f>
        <v>Mobilier</v>
      </c>
      <c r="Q2696" s="3">
        <f>I2696*INDEX(Produits!$E:$E,MATCH(H2696,Produits!$A:$A,0))</f>
        <v>774.52</v>
      </c>
      <c r="R2696" s="3">
        <f>L2696-Q2696</f>
        <v>289</v>
      </c>
      <c r="S2696" s="2">
        <f>NETWORKDAYS(B2696,C2696)-1</f>
        <v>1</v>
      </c>
      <c r="T2696" s="1">
        <f>WORKDAY(B2696,5)</f>
        <v>45876</v>
      </c>
      <c r="U2696" t="b">
        <f>C2696&gt;T2696</f>
        <v>0</v>
      </c>
    </row>
    <row r="2697" spans="1:21" x14ac:dyDescent="0.25">
      <c r="A2697" t="s">
        <v>1745</v>
      </c>
      <c r="B2697" s="1">
        <v>45869</v>
      </c>
      <c r="C2697" s="1">
        <v>45870</v>
      </c>
      <c r="D2697" t="s">
        <v>932</v>
      </c>
      <c r="E2697" t="s">
        <v>419</v>
      </c>
      <c r="F2697" t="s">
        <v>62</v>
      </c>
      <c r="G2697" t="s">
        <v>106</v>
      </c>
      <c r="H2697" t="s">
        <v>72</v>
      </c>
      <c r="I2697" s="2">
        <v>4</v>
      </c>
      <c r="J2697" s="3">
        <v>179</v>
      </c>
      <c r="K2697" s="4">
        <v>0.08</v>
      </c>
      <c r="L2697" s="3">
        <v>658.72</v>
      </c>
      <c r="M2697" t="b">
        <v>1</v>
      </c>
      <c r="N2697" s="2">
        <f>YEAR(B2697)</f>
        <v>2025</v>
      </c>
      <c r="O2697" t="str">
        <f>INDEX(Agences!$C:$C,MATCH(F2697,Agences!$A:$A,0))</f>
        <v>Méditerranée</v>
      </c>
      <c r="P2697" t="str">
        <f>INDEX(Produits!$C:$C,MATCH(H2697,Produits!$A:$A,0))</f>
        <v>Informatique</v>
      </c>
      <c r="Q2697" s="3">
        <f>I2697*INDEX(Produits!$E:$E,MATCH(H2697,Produits!$A:$A,0))</f>
        <v>587.12</v>
      </c>
      <c r="R2697" s="3">
        <f>L2697-Q2697</f>
        <v>71.60000000000002</v>
      </c>
      <c r="S2697" s="2">
        <f>NETWORKDAYS(B2697,C2697)-1</f>
        <v>1</v>
      </c>
      <c r="T2697" s="1">
        <f>WORKDAY(B2697,5)</f>
        <v>45876</v>
      </c>
      <c r="U2697" t="b">
        <f>C2697&gt;T2697</f>
        <v>0</v>
      </c>
    </row>
    <row r="2698" spans="1:21" x14ac:dyDescent="0.25">
      <c r="A2698" t="s">
        <v>1746</v>
      </c>
      <c r="B2698" s="1">
        <v>45869</v>
      </c>
      <c r="C2698" s="1">
        <v>45874</v>
      </c>
      <c r="D2698" t="s">
        <v>784</v>
      </c>
      <c r="E2698" t="s">
        <v>153</v>
      </c>
      <c r="F2698" t="s">
        <v>94</v>
      </c>
      <c r="G2698" t="s">
        <v>182</v>
      </c>
      <c r="H2698" t="s">
        <v>48</v>
      </c>
      <c r="I2698" s="2">
        <v>1</v>
      </c>
      <c r="J2698" s="3">
        <v>165</v>
      </c>
      <c r="K2698" s="4">
        <v>0</v>
      </c>
      <c r="L2698" s="3">
        <v>165</v>
      </c>
      <c r="M2698" t="b">
        <v>1</v>
      </c>
      <c r="N2698" s="2">
        <f>YEAR(B2698)</f>
        <v>2025</v>
      </c>
      <c r="O2698" t="str">
        <f>INDEX(Agences!$C:$C,MATCH(F2698,Agences!$A:$A,0))</f>
        <v>Méditerranée</v>
      </c>
      <c r="P2698" t="str">
        <f>INDEX(Produits!$C:$C,MATCH(H2698,Produits!$A:$A,0))</f>
        <v>Mobilier</v>
      </c>
      <c r="Q2698" s="3">
        <f>I2698*INDEX(Produits!$E:$E,MATCH(H2698,Produits!$A:$A,0))</f>
        <v>107.25</v>
      </c>
      <c r="R2698" s="3">
        <f>L2698-Q2698</f>
        <v>57.75</v>
      </c>
      <c r="S2698" s="2">
        <f>NETWORKDAYS(B2698,C2698)-1</f>
        <v>3</v>
      </c>
      <c r="T2698" s="1">
        <f>WORKDAY(B2698,5)</f>
        <v>45876</v>
      </c>
      <c r="U2698" t="b">
        <f>C2698&gt;T2698</f>
        <v>0</v>
      </c>
    </row>
    <row r="2699" spans="1:21" x14ac:dyDescent="0.25">
      <c r="A2699" t="s">
        <v>1747</v>
      </c>
      <c r="B2699" s="1">
        <v>45868</v>
      </c>
      <c r="C2699" s="1">
        <v>45870</v>
      </c>
      <c r="D2699" t="s">
        <v>1290</v>
      </c>
      <c r="E2699" t="s">
        <v>122</v>
      </c>
      <c r="F2699" t="s">
        <v>24</v>
      </c>
      <c r="G2699" t="s">
        <v>25</v>
      </c>
      <c r="H2699" t="s">
        <v>205</v>
      </c>
      <c r="I2699" s="2">
        <v>1</v>
      </c>
      <c r="J2699" s="3">
        <v>359</v>
      </c>
      <c r="K2699" s="4">
        <v>0.05</v>
      </c>
      <c r="L2699" s="3">
        <v>341.05</v>
      </c>
      <c r="M2699" t="b">
        <v>1</v>
      </c>
      <c r="N2699" s="2">
        <f>YEAR(B2699)</f>
        <v>2025</v>
      </c>
      <c r="O2699" t="str">
        <f>INDEX(Agences!$C:$C,MATCH(F2699,Agences!$A:$A,0))</f>
        <v>Nord</v>
      </c>
      <c r="P2699" t="str">
        <f>INDEX(Produits!$C:$C,MATCH(H2699,Produits!$A:$A,0))</f>
        <v>Mobilier</v>
      </c>
      <c r="Q2699" s="3">
        <f>I2699*INDEX(Produits!$E:$E,MATCH(H2699,Produits!$A:$A,0))</f>
        <v>204.63</v>
      </c>
      <c r="R2699" s="3">
        <f>L2699-Q2699</f>
        <v>136.42000000000002</v>
      </c>
      <c r="S2699" s="2">
        <f>NETWORKDAYS(B2699,C2699)-1</f>
        <v>2</v>
      </c>
      <c r="T2699" s="1">
        <f>WORKDAY(B2699,5)</f>
        <v>45875</v>
      </c>
      <c r="U2699" t="b">
        <f>C2699&gt;T2699</f>
        <v>0</v>
      </c>
    </row>
    <row r="2700" spans="1:21" x14ac:dyDescent="0.25">
      <c r="A2700" t="s">
        <v>1747</v>
      </c>
      <c r="B2700" s="1">
        <v>45868</v>
      </c>
      <c r="C2700" s="1">
        <v>45870</v>
      </c>
      <c r="D2700" t="s">
        <v>1290</v>
      </c>
      <c r="E2700" t="s">
        <v>122</v>
      </c>
      <c r="F2700" t="s">
        <v>24</v>
      </c>
      <c r="G2700" t="s">
        <v>25</v>
      </c>
      <c r="H2700" t="s">
        <v>233</v>
      </c>
      <c r="I2700" s="2">
        <v>10</v>
      </c>
      <c r="J2700" s="3">
        <v>27.5</v>
      </c>
      <c r="K2700" s="4">
        <v>0.02</v>
      </c>
      <c r="L2700" s="3">
        <v>269.5</v>
      </c>
      <c r="M2700" t="b">
        <v>1</v>
      </c>
      <c r="N2700" s="2">
        <f>YEAR(B2700)</f>
        <v>2025</v>
      </c>
      <c r="O2700" t="str">
        <f>INDEX(Agences!$C:$C,MATCH(F2700,Agences!$A:$A,0))</f>
        <v>Nord</v>
      </c>
      <c r="P2700" t="str">
        <f>INDEX(Produits!$C:$C,MATCH(H2700,Produits!$A:$A,0))</f>
        <v>Fournitures</v>
      </c>
      <c r="Q2700" s="3">
        <f>I2700*INDEX(Produits!$E:$E,MATCH(H2700,Produits!$A:$A,0))</f>
        <v>154</v>
      </c>
      <c r="R2700" s="3">
        <f>L2700-Q2700</f>
        <v>115.5</v>
      </c>
      <c r="S2700" s="2">
        <f>NETWORKDAYS(B2700,C2700)-1</f>
        <v>2</v>
      </c>
      <c r="T2700" s="1">
        <f>WORKDAY(B2700,5)</f>
        <v>45875</v>
      </c>
      <c r="U2700" t="b">
        <f>C2700&gt;T2700</f>
        <v>0</v>
      </c>
    </row>
    <row r="2701" spans="1:21" x14ac:dyDescent="0.25">
      <c r="A2701" t="s">
        <v>1747</v>
      </c>
      <c r="B2701" s="1">
        <v>45868</v>
      </c>
      <c r="C2701" s="1">
        <v>45870</v>
      </c>
      <c r="D2701" t="s">
        <v>1290</v>
      </c>
      <c r="E2701" t="s">
        <v>122</v>
      </c>
      <c r="F2701" t="s">
        <v>24</v>
      </c>
      <c r="G2701" t="s">
        <v>25</v>
      </c>
      <c r="H2701" t="s">
        <v>35</v>
      </c>
      <c r="I2701" s="2">
        <v>5</v>
      </c>
      <c r="J2701" s="3">
        <v>79</v>
      </c>
      <c r="K2701" s="4">
        <v>0.02</v>
      </c>
      <c r="L2701" s="3">
        <v>387.1</v>
      </c>
      <c r="M2701" t="b">
        <v>1</v>
      </c>
      <c r="N2701" s="2">
        <f>YEAR(B2701)</f>
        <v>2025</v>
      </c>
      <c r="O2701" t="str">
        <f>INDEX(Agences!$C:$C,MATCH(F2701,Agences!$A:$A,0))</f>
        <v>Nord</v>
      </c>
      <c r="P2701" t="str">
        <f>INDEX(Produits!$C:$C,MATCH(H2701,Produits!$A:$A,0))</f>
        <v>Mobilier</v>
      </c>
      <c r="Q2701" s="3">
        <f>I2701*INDEX(Produits!$E:$E,MATCH(H2701,Produits!$A:$A,0))</f>
        <v>233.05</v>
      </c>
      <c r="R2701" s="3">
        <f>L2701-Q2701</f>
        <v>154.05</v>
      </c>
      <c r="S2701" s="2">
        <f>NETWORKDAYS(B2701,C2701)-1</f>
        <v>2</v>
      </c>
      <c r="T2701" s="1">
        <f>WORKDAY(B2701,5)</f>
        <v>45875</v>
      </c>
      <c r="U2701" t="b">
        <f>C2701&gt;T2701</f>
        <v>0</v>
      </c>
    </row>
    <row r="2702" spans="1:21" x14ac:dyDescent="0.25">
      <c r="A2702" t="s">
        <v>1748</v>
      </c>
      <c r="B2702" s="1">
        <v>45868</v>
      </c>
      <c r="C2702" s="1">
        <v>45874</v>
      </c>
      <c r="D2702" t="s">
        <v>1084</v>
      </c>
      <c r="E2702" t="s">
        <v>172</v>
      </c>
      <c r="F2702" t="s">
        <v>99</v>
      </c>
      <c r="G2702" t="s">
        <v>210</v>
      </c>
      <c r="H2702" t="s">
        <v>35</v>
      </c>
      <c r="I2702" s="2">
        <v>1</v>
      </c>
      <c r="J2702" s="3">
        <v>79</v>
      </c>
      <c r="K2702" s="4">
        <v>0</v>
      </c>
      <c r="L2702" s="3">
        <v>79</v>
      </c>
      <c r="M2702" t="b">
        <v>1</v>
      </c>
      <c r="N2702" s="2">
        <f>YEAR(B2702)</f>
        <v>2025</v>
      </c>
      <c r="O2702" t="str">
        <f>INDEX(Agences!$C:$C,MATCH(F2702,Agences!$A:$A,0))</f>
        <v>Nord</v>
      </c>
      <c r="P2702" t="str">
        <f>INDEX(Produits!$C:$C,MATCH(H2702,Produits!$A:$A,0))</f>
        <v>Mobilier</v>
      </c>
      <c r="Q2702" s="3">
        <f>I2702*INDEX(Produits!$E:$E,MATCH(H2702,Produits!$A:$A,0))</f>
        <v>46.61</v>
      </c>
      <c r="R2702" s="3">
        <f>L2702-Q2702</f>
        <v>32.39</v>
      </c>
      <c r="S2702" s="2">
        <f>NETWORKDAYS(B2702,C2702)-1</f>
        <v>4</v>
      </c>
      <c r="T2702" s="1">
        <f>WORKDAY(B2702,5)</f>
        <v>45875</v>
      </c>
      <c r="U2702" t="b">
        <f>C2702&gt;T2702</f>
        <v>0</v>
      </c>
    </row>
    <row r="2703" spans="1:21" x14ac:dyDescent="0.25">
      <c r="A2703" t="s">
        <v>1749</v>
      </c>
      <c r="B2703" s="1">
        <v>45868</v>
      </c>
      <c r="C2703" s="1">
        <v>45875</v>
      </c>
      <c r="D2703" t="s">
        <v>740</v>
      </c>
      <c r="E2703" t="s">
        <v>172</v>
      </c>
      <c r="F2703" t="s">
        <v>99</v>
      </c>
      <c r="G2703" t="s">
        <v>210</v>
      </c>
      <c r="H2703" t="s">
        <v>72</v>
      </c>
      <c r="I2703" s="2">
        <v>1</v>
      </c>
      <c r="J2703" s="3">
        <v>179</v>
      </c>
      <c r="K2703" s="4">
        <v>0</v>
      </c>
      <c r="L2703" s="3">
        <v>179</v>
      </c>
      <c r="M2703" t="b">
        <v>1</v>
      </c>
      <c r="N2703" s="2">
        <f>YEAR(B2703)</f>
        <v>2025</v>
      </c>
      <c r="O2703" t="str">
        <f>INDEX(Agences!$C:$C,MATCH(F2703,Agences!$A:$A,0))</f>
        <v>Nord</v>
      </c>
      <c r="P2703" t="str">
        <f>INDEX(Produits!$C:$C,MATCH(H2703,Produits!$A:$A,0))</f>
        <v>Informatique</v>
      </c>
      <c r="Q2703" s="3">
        <f>I2703*INDEX(Produits!$E:$E,MATCH(H2703,Produits!$A:$A,0))</f>
        <v>146.78</v>
      </c>
      <c r="R2703" s="3">
        <f>L2703-Q2703</f>
        <v>32.22</v>
      </c>
      <c r="S2703" s="2">
        <f>NETWORKDAYS(B2703,C2703)-1</f>
        <v>5</v>
      </c>
      <c r="T2703" s="1">
        <f>WORKDAY(B2703,5)</f>
        <v>45875</v>
      </c>
      <c r="U2703" t="b">
        <f>C2703&gt;T2703</f>
        <v>0</v>
      </c>
    </row>
    <row r="2704" spans="1:21" x14ac:dyDescent="0.25">
      <c r="A2704" t="s">
        <v>1749</v>
      </c>
      <c r="B2704" s="1">
        <v>45868</v>
      </c>
      <c r="C2704" s="1">
        <v>45875</v>
      </c>
      <c r="D2704" t="s">
        <v>740</v>
      </c>
      <c r="E2704" t="s">
        <v>172</v>
      </c>
      <c r="F2704" t="s">
        <v>99</v>
      </c>
      <c r="G2704" t="s">
        <v>210</v>
      </c>
      <c r="H2704" t="s">
        <v>107</v>
      </c>
      <c r="I2704" s="2">
        <v>4</v>
      </c>
      <c r="J2704" s="3">
        <v>99</v>
      </c>
      <c r="K2704" s="4">
        <v>0.1</v>
      </c>
      <c r="L2704" s="3">
        <v>356.4</v>
      </c>
      <c r="M2704" t="b">
        <v>1</v>
      </c>
      <c r="N2704" s="2">
        <f>YEAR(B2704)</f>
        <v>2025</v>
      </c>
      <c r="O2704" t="str">
        <f>INDEX(Agences!$C:$C,MATCH(F2704,Agences!$A:$A,0))</f>
        <v>Nord</v>
      </c>
      <c r="P2704" t="str">
        <f>INDEX(Produits!$C:$C,MATCH(H2704,Produits!$A:$A,0))</f>
        <v>Informatique</v>
      </c>
      <c r="Q2704" s="3">
        <f>I2704*INDEX(Produits!$E:$E,MATCH(H2704,Produits!$A:$A,0))</f>
        <v>300.96</v>
      </c>
      <c r="R2704" s="3">
        <f>L2704-Q2704</f>
        <v>55.44</v>
      </c>
      <c r="S2704" s="2">
        <f>NETWORKDAYS(B2704,C2704)-1</f>
        <v>5</v>
      </c>
      <c r="T2704" s="1">
        <f>WORKDAY(B2704,5)</f>
        <v>45875</v>
      </c>
      <c r="U2704" t="b">
        <f>C2704&gt;T2704</f>
        <v>0</v>
      </c>
    </row>
    <row r="2705" spans="1:21" x14ac:dyDescent="0.25">
      <c r="A2705" t="s">
        <v>1750</v>
      </c>
      <c r="B2705" s="1">
        <v>45867</v>
      </c>
      <c r="C2705" s="1">
        <v>45868</v>
      </c>
      <c r="D2705" t="s">
        <v>1084</v>
      </c>
      <c r="E2705" t="s">
        <v>172</v>
      </c>
      <c r="F2705" t="s">
        <v>99</v>
      </c>
      <c r="G2705" t="s">
        <v>100</v>
      </c>
      <c r="H2705" t="s">
        <v>42</v>
      </c>
      <c r="I2705" s="2">
        <v>2</v>
      </c>
      <c r="J2705" s="3">
        <v>55</v>
      </c>
      <c r="K2705" s="4">
        <v>0</v>
      </c>
      <c r="L2705" s="3">
        <v>110</v>
      </c>
      <c r="M2705" t="b">
        <v>1</v>
      </c>
      <c r="N2705" s="2">
        <f>YEAR(B2705)</f>
        <v>2025</v>
      </c>
      <c r="O2705" t="str">
        <f>INDEX(Agences!$C:$C,MATCH(F2705,Agences!$A:$A,0))</f>
        <v>Nord</v>
      </c>
      <c r="P2705" t="str">
        <f>INDEX(Produits!$C:$C,MATCH(H2705,Produits!$A:$A,0))</f>
        <v>Maintenance</v>
      </c>
      <c r="Q2705" s="3">
        <f>I2705*INDEX(Produits!$E:$E,MATCH(H2705,Produits!$A:$A,0))</f>
        <v>49.5</v>
      </c>
      <c r="R2705" s="3">
        <f>L2705-Q2705</f>
        <v>60.5</v>
      </c>
      <c r="S2705" s="2">
        <f>NETWORKDAYS(B2705,C2705)-1</f>
        <v>1</v>
      </c>
      <c r="T2705" s="1">
        <f>WORKDAY(B2705,5)</f>
        <v>45874</v>
      </c>
      <c r="U2705" t="b">
        <f>C2705&gt;T2705</f>
        <v>0</v>
      </c>
    </row>
    <row r="2706" spans="1:21" x14ac:dyDescent="0.25">
      <c r="A2706" t="s">
        <v>1750</v>
      </c>
      <c r="B2706" s="1">
        <v>45867</v>
      </c>
      <c r="C2706" s="1">
        <v>45868</v>
      </c>
      <c r="D2706" t="s">
        <v>1084</v>
      </c>
      <c r="E2706" t="s">
        <v>172</v>
      </c>
      <c r="F2706" t="s">
        <v>99</v>
      </c>
      <c r="G2706" t="s">
        <v>100</v>
      </c>
      <c r="H2706" t="s">
        <v>196</v>
      </c>
      <c r="I2706" s="2">
        <v>10</v>
      </c>
      <c r="J2706" s="3">
        <v>18.5</v>
      </c>
      <c r="K2706" s="4">
        <v>0</v>
      </c>
      <c r="L2706" s="3">
        <v>185</v>
      </c>
      <c r="M2706" t="b">
        <v>1</v>
      </c>
      <c r="N2706" s="2">
        <f>YEAR(B2706)</f>
        <v>2025</v>
      </c>
      <c r="O2706" t="str">
        <f>INDEX(Agences!$C:$C,MATCH(F2706,Agences!$A:$A,0))</f>
        <v>Nord</v>
      </c>
      <c r="P2706" t="str">
        <f>INDEX(Produits!$C:$C,MATCH(H2706,Produits!$A:$A,0))</f>
        <v>Fournitures</v>
      </c>
      <c r="Q2706" s="3">
        <f>I2706*INDEX(Produits!$E:$E,MATCH(H2706,Produits!$A:$A,0))</f>
        <v>94.39999999999999</v>
      </c>
      <c r="R2706" s="3">
        <f>L2706-Q2706</f>
        <v>90.60000000000001</v>
      </c>
      <c r="S2706" s="2">
        <f>NETWORKDAYS(B2706,C2706)-1</f>
        <v>1</v>
      </c>
      <c r="T2706" s="1">
        <f>WORKDAY(B2706,5)</f>
        <v>45874</v>
      </c>
      <c r="U2706" t="b">
        <f>C2706&gt;T2706</f>
        <v>0</v>
      </c>
    </row>
    <row r="2707" spans="1:21" x14ac:dyDescent="0.25">
      <c r="A2707" t="s">
        <v>1751</v>
      </c>
      <c r="B2707" s="1">
        <v>45867</v>
      </c>
      <c r="C2707" s="1">
        <v>45873</v>
      </c>
      <c r="D2707" t="s">
        <v>245</v>
      </c>
      <c r="E2707" t="s">
        <v>175</v>
      </c>
      <c r="F2707" t="s">
        <v>76</v>
      </c>
      <c r="G2707" t="s">
        <v>176</v>
      </c>
      <c r="H2707" t="s">
        <v>35</v>
      </c>
      <c r="I2707" s="2">
        <v>3</v>
      </c>
      <c r="J2707" s="3">
        <v>79</v>
      </c>
      <c r="K2707" s="4">
        <v>0</v>
      </c>
      <c r="L2707" s="3">
        <v>237</v>
      </c>
      <c r="M2707" t="b">
        <v>1</v>
      </c>
      <c r="N2707" s="2">
        <f>YEAR(B2707)</f>
        <v>2025</v>
      </c>
      <c r="O2707" t="str">
        <f>INDEX(Agences!$C:$C,MATCH(F2707,Agences!$A:$A,0))</f>
        <v>Île-de-France</v>
      </c>
      <c r="P2707" t="str">
        <f>INDEX(Produits!$C:$C,MATCH(H2707,Produits!$A:$A,0))</f>
        <v>Mobilier</v>
      </c>
      <c r="Q2707" s="3">
        <f>I2707*INDEX(Produits!$E:$E,MATCH(H2707,Produits!$A:$A,0))</f>
        <v>139.82999999999998</v>
      </c>
      <c r="R2707" s="3">
        <f>L2707-Q2707</f>
        <v>97.17000000000002</v>
      </c>
      <c r="S2707" s="2">
        <f>NETWORKDAYS(B2707,C2707)-1</f>
        <v>4</v>
      </c>
      <c r="T2707" s="1">
        <f>WORKDAY(B2707,5)</f>
        <v>45874</v>
      </c>
      <c r="U2707" t="b">
        <f>C2707&gt;T2707</f>
        <v>0</v>
      </c>
    </row>
    <row r="2708" spans="1:21" x14ac:dyDescent="0.25">
      <c r="A2708" t="s">
        <v>1751</v>
      </c>
      <c r="B2708" s="1">
        <v>45867</v>
      </c>
      <c r="C2708" s="1">
        <v>45873</v>
      </c>
      <c r="D2708" t="s">
        <v>245</v>
      </c>
      <c r="E2708" t="s">
        <v>175</v>
      </c>
      <c r="F2708" t="s">
        <v>76</v>
      </c>
      <c r="G2708" t="s">
        <v>176</v>
      </c>
      <c r="H2708" t="s">
        <v>319</v>
      </c>
      <c r="I2708" s="2">
        <v>2</v>
      </c>
      <c r="J2708" s="3">
        <v>289</v>
      </c>
      <c r="K2708" s="4">
        <v>0</v>
      </c>
      <c r="L2708" s="3">
        <v>578</v>
      </c>
      <c r="M2708" t="b">
        <v>1</v>
      </c>
      <c r="N2708" s="2">
        <f>YEAR(B2708)</f>
        <v>2025</v>
      </c>
      <c r="O2708" t="str">
        <f>INDEX(Agences!$C:$C,MATCH(F2708,Agences!$A:$A,0))</f>
        <v>Île-de-France</v>
      </c>
      <c r="P2708" t="str">
        <f>INDEX(Produits!$C:$C,MATCH(H2708,Produits!$A:$A,0))</f>
        <v>Informatique</v>
      </c>
      <c r="Q2708" s="3">
        <f>I2708*INDEX(Produits!$E:$E,MATCH(H2708,Produits!$A:$A,0))</f>
        <v>427.72</v>
      </c>
      <c r="R2708" s="3">
        <f>L2708-Q2708</f>
        <v>150.27999999999997</v>
      </c>
      <c r="S2708" s="2">
        <f>NETWORKDAYS(B2708,C2708)-1</f>
        <v>4</v>
      </c>
      <c r="T2708" s="1">
        <f>WORKDAY(B2708,5)</f>
        <v>45874</v>
      </c>
      <c r="U2708" t="b">
        <f>C2708&gt;T2708</f>
        <v>0</v>
      </c>
    </row>
    <row r="2709" spans="1:21" x14ac:dyDescent="0.25">
      <c r="A2709" t="s">
        <v>1751</v>
      </c>
      <c r="B2709" s="1">
        <v>45867</v>
      </c>
      <c r="C2709" s="1">
        <v>45873</v>
      </c>
      <c r="D2709" t="s">
        <v>245</v>
      </c>
      <c r="E2709" t="s">
        <v>175</v>
      </c>
      <c r="F2709" t="s">
        <v>76</v>
      </c>
      <c r="G2709" t="s">
        <v>176</v>
      </c>
      <c r="H2709" t="s">
        <v>26</v>
      </c>
      <c r="I2709" s="2">
        <v>2</v>
      </c>
      <c r="J2709" s="3">
        <v>290</v>
      </c>
      <c r="K2709" s="4">
        <v>0.05</v>
      </c>
      <c r="L2709" s="3">
        <v>551</v>
      </c>
      <c r="M2709" t="b">
        <v>1</v>
      </c>
      <c r="N2709" s="2">
        <f>YEAR(B2709)</f>
        <v>2025</v>
      </c>
      <c r="O2709" t="str">
        <f>INDEX(Agences!$C:$C,MATCH(F2709,Agences!$A:$A,0))</f>
        <v>Île-de-France</v>
      </c>
      <c r="P2709" t="str">
        <f>INDEX(Produits!$C:$C,MATCH(H2709,Produits!$A:$A,0))</f>
        <v>Maintenance</v>
      </c>
      <c r="Q2709" s="3">
        <f>I2709*INDEX(Produits!$E:$E,MATCH(H2709,Produits!$A:$A,0))</f>
        <v>278.4</v>
      </c>
      <c r="R2709" s="3">
        <f>L2709-Q2709</f>
        <v>272.6</v>
      </c>
      <c r="S2709" s="2">
        <f>NETWORKDAYS(B2709,C2709)-1</f>
        <v>4</v>
      </c>
      <c r="T2709" s="1">
        <f>WORKDAY(B2709,5)</f>
        <v>45874</v>
      </c>
      <c r="U2709" t="b">
        <f>C2709&gt;T2709</f>
        <v>0</v>
      </c>
    </row>
    <row r="2710" spans="1:21" x14ac:dyDescent="0.25">
      <c r="A2710" t="s">
        <v>1752</v>
      </c>
      <c r="B2710" s="1">
        <v>45866</v>
      </c>
      <c r="C2710" s="1">
        <v>45869</v>
      </c>
      <c r="D2710" t="s">
        <v>977</v>
      </c>
      <c r="E2710" t="s">
        <v>336</v>
      </c>
      <c r="F2710" t="s">
        <v>166</v>
      </c>
      <c r="G2710" t="s">
        <v>248</v>
      </c>
      <c r="H2710" t="s">
        <v>107</v>
      </c>
      <c r="I2710" s="2">
        <v>2</v>
      </c>
      <c r="J2710" s="3">
        <v>99</v>
      </c>
      <c r="K2710" s="4">
        <v>0</v>
      </c>
      <c r="L2710" s="3">
        <v>198</v>
      </c>
      <c r="M2710" t="b">
        <v>1</v>
      </c>
      <c r="N2710" s="2">
        <f>YEAR(B2710)</f>
        <v>2025</v>
      </c>
      <c r="O2710" t="str">
        <f>INDEX(Agences!$C:$C,MATCH(F2710,Agences!$A:$A,0))</f>
        <v>Ouest</v>
      </c>
      <c r="P2710" t="str">
        <f>INDEX(Produits!$C:$C,MATCH(H2710,Produits!$A:$A,0))</f>
        <v>Informatique</v>
      </c>
      <c r="Q2710" s="3">
        <f>I2710*INDEX(Produits!$E:$E,MATCH(H2710,Produits!$A:$A,0))</f>
        <v>150.48</v>
      </c>
      <c r="R2710" s="3">
        <f>L2710-Q2710</f>
        <v>47.52000000000001</v>
      </c>
      <c r="S2710" s="2">
        <f>NETWORKDAYS(B2710,C2710)-1</f>
        <v>3</v>
      </c>
      <c r="T2710" s="1">
        <f>WORKDAY(B2710,5)</f>
        <v>45873</v>
      </c>
      <c r="U2710" t="b">
        <f>C2710&gt;T2710</f>
        <v>0</v>
      </c>
    </row>
    <row r="2711" spans="1:21" x14ac:dyDescent="0.25">
      <c r="A2711" t="s">
        <v>1752</v>
      </c>
      <c r="B2711" s="1">
        <v>45866</v>
      </c>
      <c r="C2711" s="1">
        <v>45869</v>
      </c>
      <c r="D2711" t="s">
        <v>977</v>
      </c>
      <c r="E2711" t="s">
        <v>336</v>
      </c>
      <c r="F2711" t="s">
        <v>166</v>
      </c>
      <c r="G2711" t="s">
        <v>248</v>
      </c>
      <c r="H2711" t="s">
        <v>26</v>
      </c>
      <c r="I2711" s="2">
        <v>1</v>
      </c>
      <c r="J2711" s="3">
        <v>290</v>
      </c>
      <c r="K2711" s="4">
        <v>0</v>
      </c>
      <c r="L2711" s="3">
        <v>290</v>
      </c>
      <c r="M2711" t="b">
        <v>1</v>
      </c>
      <c r="N2711" s="2">
        <f>YEAR(B2711)</f>
        <v>2025</v>
      </c>
      <c r="O2711" t="str">
        <f>INDEX(Agences!$C:$C,MATCH(F2711,Agences!$A:$A,0))</f>
        <v>Ouest</v>
      </c>
      <c r="P2711" t="str">
        <f>INDEX(Produits!$C:$C,MATCH(H2711,Produits!$A:$A,0))</f>
        <v>Maintenance</v>
      </c>
      <c r="Q2711" s="3">
        <f>I2711*INDEX(Produits!$E:$E,MATCH(H2711,Produits!$A:$A,0))</f>
        <v>139.2</v>
      </c>
      <c r="R2711" s="3">
        <f>L2711-Q2711</f>
        <v>150.8</v>
      </c>
      <c r="S2711" s="2">
        <f>NETWORKDAYS(B2711,C2711)-1</f>
        <v>3</v>
      </c>
      <c r="T2711" s="1">
        <f>WORKDAY(B2711,5)</f>
        <v>45873</v>
      </c>
      <c r="U2711" t="b">
        <f>C2711&gt;T2711</f>
        <v>0</v>
      </c>
    </row>
    <row r="2712" spans="1:21" x14ac:dyDescent="0.25">
      <c r="A2712" t="s">
        <v>1753</v>
      </c>
      <c r="B2712" s="1">
        <v>45866</v>
      </c>
      <c r="C2712" s="1">
        <v>45868</v>
      </c>
      <c r="D2712" t="s">
        <v>926</v>
      </c>
      <c r="E2712" t="s">
        <v>45</v>
      </c>
      <c r="F2712" t="s">
        <v>46</v>
      </c>
      <c r="G2712" t="s">
        <v>47</v>
      </c>
      <c r="H2712" t="s">
        <v>123</v>
      </c>
      <c r="I2712" s="2">
        <v>10</v>
      </c>
      <c r="J2712" s="3">
        <v>39.9</v>
      </c>
      <c r="K2712" s="4">
        <v>0.02</v>
      </c>
      <c r="L2712" s="3">
        <v>391.02</v>
      </c>
      <c r="M2712" t="b">
        <v>1</v>
      </c>
      <c r="N2712" s="2">
        <f>YEAR(B2712)</f>
        <v>2025</v>
      </c>
      <c r="O2712" t="str">
        <f>INDEX(Agences!$C:$C,MATCH(F2712,Agences!$A:$A,0))</f>
        <v>Est</v>
      </c>
      <c r="P2712" t="str">
        <f>INDEX(Produits!$C:$C,MATCH(H2712,Produits!$A:$A,0))</f>
        <v>Fournitures</v>
      </c>
      <c r="Q2712" s="3">
        <f>I2712*INDEX(Produits!$E:$E,MATCH(H2712,Produits!$A:$A,0))</f>
        <v>223.4</v>
      </c>
      <c r="R2712" s="3">
        <f>L2712-Q2712</f>
        <v>167.61999999999998</v>
      </c>
      <c r="S2712" s="2">
        <f>NETWORKDAYS(B2712,C2712)-1</f>
        <v>2</v>
      </c>
      <c r="T2712" s="1">
        <f>WORKDAY(B2712,5)</f>
        <v>45873</v>
      </c>
      <c r="U2712" t="b">
        <f>C2712&gt;T2712</f>
        <v>0</v>
      </c>
    </row>
    <row r="2713" spans="1:21" x14ac:dyDescent="0.25">
      <c r="A2713" t="s">
        <v>1753</v>
      </c>
      <c r="B2713" s="1">
        <v>45866</v>
      </c>
      <c r="C2713" s="1">
        <v>45868</v>
      </c>
      <c r="D2713" t="s">
        <v>926</v>
      </c>
      <c r="E2713" t="s">
        <v>45</v>
      </c>
      <c r="F2713" t="s">
        <v>46</v>
      </c>
      <c r="G2713" t="s">
        <v>47</v>
      </c>
      <c r="H2713" t="s">
        <v>162</v>
      </c>
      <c r="I2713" s="2">
        <v>1</v>
      </c>
      <c r="J2713" s="3">
        <v>289</v>
      </c>
      <c r="K2713" s="4">
        <v>0</v>
      </c>
      <c r="L2713" s="3">
        <v>289</v>
      </c>
      <c r="M2713" t="b">
        <v>1</v>
      </c>
      <c r="N2713" s="2">
        <f>YEAR(B2713)</f>
        <v>2025</v>
      </c>
      <c r="O2713" t="str">
        <f>INDEX(Agences!$C:$C,MATCH(F2713,Agences!$A:$A,0))</f>
        <v>Est</v>
      </c>
      <c r="P2713" t="str">
        <f>INDEX(Produits!$C:$C,MATCH(H2713,Produits!$A:$A,0))</f>
        <v>Mobilier</v>
      </c>
      <c r="Q2713" s="3">
        <f>I2713*INDEX(Produits!$E:$E,MATCH(H2713,Produits!$A:$A,0))</f>
        <v>193.63</v>
      </c>
      <c r="R2713" s="3">
        <f>L2713-Q2713</f>
        <v>95.37</v>
      </c>
      <c r="S2713" s="2">
        <f>NETWORKDAYS(B2713,C2713)-1</f>
        <v>2</v>
      </c>
      <c r="T2713" s="1">
        <f>WORKDAY(B2713,5)</f>
        <v>45873</v>
      </c>
      <c r="U2713" t="b">
        <f>C2713&gt;T2713</f>
        <v>0</v>
      </c>
    </row>
    <row r="2714" spans="1:21" x14ac:dyDescent="0.25">
      <c r="A2714" t="s">
        <v>1753</v>
      </c>
      <c r="B2714" s="1">
        <v>45866</v>
      </c>
      <c r="C2714" s="1">
        <v>45868</v>
      </c>
      <c r="D2714" t="s">
        <v>926</v>
      </c>
      <c r="E2714" t="s">
        <v>45</v>
      </c>
      <c r="F2714" t="s">
        <v>46</v>
      </c>
      <c r="G2714" t="s">
        <v>47</v>
      </c>
      <c r="H2714" t="s">
        <v>50</v>
      </c>
      <c r="I2714" s="2">
        <v>2</v>
      </c>
      <c r="J2714" s="3">
        <v>69</v>
      </c>
      <c r="K2714" s="4">
        <v>0</v>
      </c>
      <c r="L2714" s="3">
        <v>138</v>
      </c>
      <c r="M2714" t="b">
        <v>1</v>
      </c>
      <c r="N2714" s="2">
        <f>YEAR(B2714)</f>
        <v>2025</v>
      </c>
      <c r="O2714" t="str">
        <f>INDEX(Agences!$C:$C,MATCH(F2714,Agences!$A:$A,0))</f>
        <v>Est</v>
      </c>
      <c r="P2714" t="str">
        <f>INDEX(Produits!$C:$C,MATCH(H2714,Produits!$A:$A,0))</f>
        <v>Informatique</v>
      </c>
      <c r="Q2714" s="3">
        <f>I2714*INDEX(Produits!$E:$E,MATCH(H2714,Produits!$A:$A,0))</f>
        <v>109.02</v>
      </c>
      <c r="R2714" s="3">
        <f>L2714-Q2714</f>
        <v>28.980000000000004</v>
      </c>
      <c r="S2714" s="2">
        <f>NETWORKDAYS(B2714,C2714)-1</f>
        <v>2</v>
      </c>
      <c r="T2714" s="1">
        <f>WORKDAY(B2714,5)</f>
        <v>45873</v>
      </c>
      <c r="U2714" t="b">
        <f>C2714&gt;T2714</f>
        <v>0</v>
      </c>
    </row>
    <row r="2715" spans="1:21" x14ac:dyDescent="0.25">
      <c r="A2715" t="s">
        <v>1753</v>
      </c>
      <c r="B2715" s="1">
        <v>45866</v>
      </c>
      <c r="C2715" s="1">
        <v>45868</v>
      </c>
      <c r="D2715" t="s">
        <v>926</v>
      </c>
      <c r="E2715" t="s">
        <v>45</v>
      </c>
      <c r="F2715" t="s">
        <v>46</v>
      </c>
      <c r="G2715" t="s">
        <v>47</v>
      </c>
      <c r="H2715" t="s">
        <v>150</v>
      </c>
      <c r="I2715" s="2">
        <v>1</v>
      </c>
      <c r="J2715" s="3">
        <v>790</v>
      </c>
      <c r="K2715" s="4">
        <v>0.02</v>
      </c>
      <c r="L2715" s="3">
        <v>774.2</v>
      </c>
      <c r="M2715" t="b">
        <v>1</v>
      </c>
      <c r="N2715" s="2">
        <f>YEAR(B2715)</f>
        <v>2025</v>
      </c>
      <c r="O2715" t="str">
        <f>INDEX(Agences!$C:$C,MATCH(F2715,Agences!$A:$A,0))</f>
        <v>Est</v>
      </c>
      <c r="P2715" t="str">
        <f>INDEX(Produits!$C:$C,MATCH(H2715,Produits!$A:$A,0))</f>
        <v>Informatique</v>
      </c>
      <c r="Q2715" s="3">
        <f>I2715*INDEX(Produits!$E:$E,MATCH(H2715,Produits!$A:$A,0))</f>
        <v>584.6</v>
      </c>
      <c r="R2715" s="3">
        <f>L2715-Q2715</f>
        <v>189.60000000000002</v>
      </c>
      <c r="S2715" s="2">
        <f>NETWORKDAYS(B2715,C2715)-1</f>
        <v>2</v>
      </c>
      <c r="T2715" s="1">
        <f>WORKDAY(B2715,5)</f>
        <v>45873</v>
      </c>
      <c r="U2715" t="b">
        <f>C2715&gt;T2715</f>
        <v>0</v>
      </c>
    </row>
    <row r="2716" spans="1:21" x14ac:dyDescent="0.25">
      <c r="A2716" t="s">
        <v>1753</v>
      </c>
      <c r="B2716" s="1">
        <v>45866</v>
      </c>
      <c r="C2716" s="1">
        <v>45868</v>
      </c>
      <c r="D2716" t="s">
        <v>926</v>
      </c>
      <c r="E2716" t="s">
        <v>45</v>
      </c>
      <c r="F2716" t="s">
        <v>46</v>
      </c>
      <c r="G2716" t="s">
        <v>47</v>
      </c>
      <c r="H2716" t="s">
        <v>83</v>
      </c>
      <c r="I2716" s="2">
        <v>1</v>
      </c>
      <c r="J2716" s="3">
        <v>49</v>
      </c>
      <c r="K2716" s="4">
        <v>0</v>
      </c>
      <c r="L2716" s="3">
        <v>49</v>
      </c>
      <c r="M2716" t="b">
        <v>1</v>
      </c>
      <c r="N2716" s="2">
        <f>YEAR(B2716)</f>
        <v>2025</v>
      </c>
      <c r="O2716" t="str">
        <f>INDEX(Agences!$C:$C,MATCH(F2716,Agences!$A:$A,0))</f>
        <v>Est</v>
      </c>
      <c r="P2716" t="str">
        <f>INDEX(Produits!$C:$C,MATCH(H2716,Produits!$A:$A,0))</f>
        <v>Mobilier</v>
      </c>
      <c r="Q2716" s="3">
        <f>I2716*INDEX(Produits!$E:$E,MATCH(H2716,Produits!$A:$A,0))</f>
        <v>28.42</v>
      </c>
      <c r="R2716" s="3">
        <f>L2716-Q2716</f>
        <v>20.58</v>
      </c>
      <c r="S2716" s="2">
        <f>NETWORKDAYS(B2716,C2716)-1</f>
        <v>2</v>
      </c>
      <c r="T2716" s="1">
        <f>WORKDAY(B2716,5)</f>
        <v>45873</v>
      </c>
      <c r="U2716" t="b">
        <f>C2716&gt;T2716</f>
        <v>0</v>
      </c>
    </row>
    <row r="2717" spans="1:21" x14ac:dyDescent="0.25">
      <c r="A2717" t="s">
        <v>1754</v>
      </c>
      <c r="B2717" s="1">
        <v>45863</v>
      </c>
      <c r="C2717" s="1">
        <v>45868</v>
      </c>
      <c r="D2717" t="s">
        <v>523</v>
      </c>
      <c r="E2717" t="s">
        <v>185</v>
      </c>
      <c r="F2717" t="s">
        <v>31</v>
      </c>
      <c r="G2717" t="s">
        <v>186</v>
      </c>
      <c r="H2717" t="s">
        <v>51</v>
      </c>
      <c r="I2717" s="2">
        <v>2</v>
      </c>
      <c r="J2717" s="3">
        <v>180</v>
      </c>
      <c r="K2717" s="4">
        <v>0.05</v>
      </c>
      <c r="L2717" s="3">
        <v>342</v>
      </c>
      <c r="M2717" t="b">
        <v>1</v>
      </c>
      <c r="N2717" s="2">
        <f>YEAR(B2717)</f>
        <v>2025</v>
      </c>
      <c r="O2717" t="str">
        <f>INDEX(Agences!$C:$C,MATCH(F2717,Agences!$A:$A,0))</f>
        <v>Ouest</v>
      </c>
      <c r="P2717" t="str">
        <f>INDEX(Produits!$C:$C,MATCH(H2717,Produits!$A:$A,0))</f>
        <v>Maintenance</v>
      </c>
      <c r="Q2717" s="3">
        <f>I2717*INDEX(Produits!$E:$E,MATCH(H2717,Produits!$A:$A,0))</f>
        <v>165.6</v>
      </c>
      <c r="R2717" s="3">
        <f>L2717-Q2717</f>
        <v>176.4</v>
      </c>
      <c r="S2717" s="2">
        <f>NETWORKDAYS(B2717,C2717)-1</f>
        <v>3</v>
      </c>
      <c r="T2717" s="1">
        <f>WORKDAY(B2717,5)</f>
        <v>45870</v>
      </c>
      <c r="U2717" t="b">
        <f>C2717&gt;T2717</f>
        <v>0</v>
      </c>
    </row>
    <row r="2718" spans="1:21" x14ac:dyDescent="0.25">
      <c r="A2718" t="s">
        <v>1754</v>
      </c>
      <c r="B2718" s="1">
        <v>45863</v>
      </c>
      <c r="C2718" s="1">
        <v>45868</v>
      </c>
      <c r="D2718" t="s">
        <v>523</v>
      </c>
      <c r="E2718" t="s">
        <v>185</v>
      </c>
      <c r="F2718" t="s">
        <v>31</v>
      </c>
      <c r="G2718" t="s">
        <v>186</v>
      </c>
      <c r="H2718" t="s">
        <v>84</v>
      </c>
      <c r="I2718" s="2">
        <v>1</v>
      </c>
      <c r="J2718" s="3">
        <v>420</v>
      </c>
      <c r="K2718" s="4">
        <v>0</v>
      </c>
      <c r="L2718" s="3">
        <v>420</v>
      </c>
      <c r="M2718" t="b">
        <v>1</v>
      </c>
      <c r="N2718" s="2">
        <f>YEAR(B2718)</f>
        <v>2025</v>
      </c>
      <c r="O2718" t="str">
        <f>INDEX(Agences!$C:$C,MATCH(F2718,Agences!$A:$A,0))</f>
        <v>Ouest</v>
      </c>
      <c r="P2718" t="str">
        <f>INDEX(Produits!$C:$C,MATCH(H2718,Produits!$A:$A,0))</f>
        <v>Mobilier</v>
      </c>
      <c r="Q2718" s="3">
        <f>I2718*INDEX(Produits!$E:$E,MATCH(H2718,Produits!$A:$A,0))</f>
        <v>243.6</v>
      </c>
      <c r="R2718" s="3">
        <f>L2718-Q2718</f>
        <v>176.4</v>
      </c>
      <c r="S2718" s="2">
        <f>NETWORKDAYS(B2718,C2718)-1</f>
        <v>3</v>
      </c>
      <c r="T2718" s="1">
        <f>WORKDAY(B2718,5)</f>
        <v>45870</v>
      </c>
      <c r="U2718" t="b">
        <f>C2718&gt;T2718</f>
        <v>0</v>
      </c>
    </row>
    <row r="2719" spans="1:21" x14ac:dyDescent="0.25">
      <c r="A2719" t="s">
        <v>1755</v>
      </c>
      <c r="B2719" s="1">
        <v>45862</v>
      </c>
      <c r="C2719" s="1">
        <v>45863</v>
      </c>
      <c r="D2719" t="s">
        <v>1087</v>
      </c>
      <c r="E2719" t="s">
        <v>399</v>
      </c>
      <c r="F2719" t="s">
        <v>166</v>
      </c>
      <c r="G2719" t="s">
        <v>167</v>
      </c>
      <c r="H2719" t="s">
        <v>79</v>
      </c>
      <c r="I2719" s="2">
        <v>5</v>
      </c>
      <c r="J2719" s="3">
        <v>14.9</v>
      </c>
      <c r="K2719" s="4">
        <v>0</v>
      </c>
      <c r="L2719" s="3">
        <v>74.5</v>
      </c>
      <c r="M2719" t="b">
        <v>1</v>
      </c>
      <c r="N2719" s="2">
        <f>YEAR(B2719)</f>
        <v>2025</v>
      </c>
      <c r="O2719" t="str">
        <f>INDEX(Agences!$C:$C,MATCH(F2719,Agences!$A:$A,0))</f>
        <v>Ouest</v>
      </c>
      <c r="P2719" t="str">
        <f>INDEX(Produits!$C:$C,MATCH(H2719,Produits!$A:$A,0))</f>
        <v>Fournitures</v>
      </c>
      <c r="Q2719" s="3">
        <f>I2719*INDEX(Produits!$E:$E,MATCH(H2719,Produits!$A:$A,0))</f>
        <v>40.25</v>
      </c>
      <c r="R2719" s="3">
        <f>L2719-Q2719</f>
        <v>34.25</v>
      </c>
      <c r="S2719" s="2">
        <f>NETWORKDAYS(B2719,C2719)-1</f>
        <v>1</v>
      </c>
      <c r="T2719" s="1">
        <f>WORKDAY(B2719,5)</f>
        <v>45869</v>
      </c>
      <c r="U2719" t="b">
        <f>C2719&gt;T2719</f>
        <v>0</v>
      </c>
    </row>
    <row r="2720" spans="1:21" x14ac:dyDescent="0.25">
      <c r="A2720" t="s">
        <v>1756</v>
      </c>
      <c r="B2720" s="1">
        <v>45862</v>
      </c>
      <c r="C2720" s="1">
        <v>45868</v>
      </c>
      <c r="D2720" t="s">
        <v>648</v>
      </c>
      <c r="E2720" t="s">
        <v>236</v>
      </c>
      <c r="F2720" t="s">
        <v>39</v>
      </c>
      <c r="G2720" t="s">
        <v>131</v>
      </c>
      <c r="H2720" t="s">
        <v>49</v>
      </c>
      <c r="I2720" s="2">
        <v>1</v>
      </c>
      <c r="J2720" s="3">
        <v>120</v>
      </c>
      <c r="K2720" s="4">
        <v>0</v>
      </c>
      <c r="L2720" s="3">
        <v>120</v>
      </c>
      <c r="M2720" t="b">
        <v>1</v>
      </c>
      <c r="N2720" s="2">
        <f>YEAR(B2720)</f>
        <v>2025</v>
      </c>
      <c r="O2720" t="str">
        <f>INDEX(Agences!$C:$C,MATCH(F2720,Agences!$A:$A,0))</f>
        <v>Sud-Ouest</v>
      </c>
      <c r="P2720" t="str">
        <f>INDEX(Produits!$C:$C,MATCH(H2720,Produits!$A:$A,0))</f>
        <v>Maintenance</v>
      </c>
      <c r="Q2720" s="3">
        <f>I2720*INDEX(Produits!$E:$E,MATCH(H2720,Produits!$A:$A,0))</f>
        <v>55.2</v>
      </c>
      <c r="R2720" s="3">
        <f>L2720-Q2720</f>
        <v>64.8</v>
      </c>
      <c r="S2720" s="2">
        <f>NETWORKDAYS(B2720,C2720)-1</f>
        <v>4</v>
      </c>
      <c r="T2720" s="1">
        <f>WORKDAY(B2720,5)</f>
        <v>45869</v>
      </c>
      <c r="U2720" t="b">
        <f>C2720&gt;T2720</f>
        <v>0</v>
      </c>
    </row>
    <row r="2721" spans="1:21" x14ac:dyDescent="0.25">
      <c r="A2721" t="s">
        <v>1757</v>
      </c>
      <c r="B2721" s="1">
        <v>45862</v>
      </c>
      <c r="C2721" s="1">
        <v>45867</v>
      </c>
      <c r="D2721" t="s">
        <v>1758</v>
      </c>
      <c r="E2721" t="s">
        <v>242</v>
      </c>
      <c r="F2721" t="s">
        <v>94</v>
      </c>
      <c r="G2721" t="s">
        <v>95</v>
      </c>
      <c r="H2721" t="s">
        <v>42</v>
      </c>
      <c r="I2721" s="2">
        <v>1</v>
      </c>
      <c r="J2721" s="3">
        <v>55</v>
      </c>
      <c r="K2721" s="4">
        <v>0.02</v>
      </c>
      <c r="L2721" s="3">
        <v>53.9</v>
      </c>
      <c r="M2721" t="b">
        <v>1</v>
      </c>
      <c r="N2721" s="2">
        <f>YEAR(B2721)</f>
        <v>2025</v>
      </c>
      <c r="O2721" t="str">
        <f>INDEX(Agences!$C:$C,MATCH(F2721,Agences!$A:$A,0))</f>
        <v>Méditerranée</v>
      </c>
      <c r="P2721" t="str">
        <f>INDEX(Produits!$C:$C,MATCH(H2721,Produits!$A:$A,0))</f>
        <v>Maintenance</v>
      </c>
      <c r="Q2721" s="3">
        <f>I2721*INDEX(Produits!$E:$E,MATCH(H2721,Produits!$A:$A,0))</f>
        <v>24.75</v>
      </c>
      <c r="R2721" s="3">
        <f>L2721-Q2721</f>
        <v>29.15</v>
      </c>
      <c r="S2721" s="2">
        <f>NETWORKDAYS(B2721,C2721)-1</f>
        <v>3</v>
      </c>
      <c r="T2721" s="1">
        <f>WORKDAY(B2721,5)</f>
        <v>45869</v>
      </c>
      <c r="U2721" t="b">
        <f>C2721&gt;T2721</f>
        <v>0</v>
      </c>
    </row>
    <row r="2722" spans="1:21" x14ac:dyDescent="0.25">
      <c r="A2722" t="s">
        <v>1759</v>
      </c>
      <c r="B2722" s="1">
        <v>45861</v>
      </c>
      <c r="C2722" s="1">
        <v>45862</v>
      </c>
      <c r="D2722" t="s">
        <v>748</v>
      </c>
      <c r="E2722" t="s">
        <v>336</v>
      </c>
      <c r="F2722" t="s">
        <v>166</v>
      </c>
      <c r="G2722" t="s">
        <v>248</v>
      </c>
      <c r="H2722" t="s">
        <v>58</v>
      </c>
      <c r="I2722" s="2">
        <v>2</v>
      </c>
      <c r="J2722" s="3">
        <v>649</v>
      </c>
      <c r="K2722" s="4">
        <v>0</v>
      </c>
      <c r="L2722" s="3">
        <v>1298</v>
      </c>
      <c r="M2722" t="b">
        <v>1</v>
      </c>
      <c r="N2722" s="2">
        <f>YEAR(B2722)</f>
        <v>2025</v>
      </c>
      <c r="O2722" t="str">
        <f>INDEX(Agences!$C:$C,MATCH(F2722,Agences!$A:$A,0))</f>
        <v>Ouest</v>
      </c>
      <c r="P2722" t="str">
        <f>INDEX(Produits!$C:$C,MATCH(H2722,Produits!$A:$A,0))</f>
        <v>Mobilier</v>
      </c>
      <c r="Q2722" s="3">
        <f>I2722*INDEX(Produits!$E:$E,MATCH(H2722,Produits!$A:$A,0))</f>
        <v>817.74</v>
      </c>
      <c r="R2722" s="3">
        <f>L2722-Q2722</f>
        <v>480.26</v>
      </c>
      <c r="S2722" s="2">
        <f>NETWORKDAYS(B2722,C2722)-1</f>
        <v>1</v>
      </c>
      <c r="T2722" s="1">
        <f>WORKDAY(B2722,5)</f>
        <v>45868</v>
      </c>
      <c r="U2722" t="b">
        <f>C2722&gt;T2722</f>
        <v>0</v>
      </c>
    </row>
    <row r="2723" spans="1:21" x14ac:dyDescent="0.25">
      <c r="A2723" t="s">
        <v>1759</v>
      </c>
      <c r="B2723" s="1">
        <v>45861</v>
      </c>
      <c r="C2723" s="1">
        <v>45862</v>
      </c>
      <c r="D2723" t="s">
        <v>748</v>
      </c>
      <c r="E2723" t="s">
        <v>336</v>
      </c>
      <c r="F2723" t="s">
        <v>166</v>
      </c>
      <c r="G2723" t="s">
        <v>248</v>
      </c>
      <c r="H2723" t="s">
        <v>57</v>
      </c>
      <c r="I2723" s="2">
        <v>1</v>
      </c>
      <c r="J2723" s="3">
        <v>149</v>
      </c>
      <c r="K2723" s="4">
        <v>0.02</v>
      </c>
      <c r="L2723" s="3">
        <v>146.02</v>
      </c>
      <c r="M2723" t="b">
        <v>1</v>
      </c>
      <c r="N2723" s="2">
        <f>YEAR(B2723)</f>
        <v>2025</v>
      </c>
      <c r="O2723" t="str">
        <f>INDEX(Agences!$C:$C,MATCH(F2723,Agences!$A:$A,0))</f>
        <v>Ouest</v>
      </c>
      <c r="P2723" t="str">
        <f>INDEX(Produits!$C:$C,MATCH(H2723,Produits!$A:$A,0))</f>
        <v>Informatique</v>
      </c>
      <c r="Q2723" s="3">
        <f>I2723*INDEX(Produits!$E:$E,MATCH(H2723,Produits!$A:$A,0))</f>
        <v>114.73</v>
      </c>
      <c r="R2723" s="3">
        <f>L2723-Q2723</f>
        <v>31.290000000000006</v>
      </c>
      <c r="S2723" s="2">
        <f>NETWORKDAYS(B2723,C2723)-1</f>
        <v>1</v>
      </c>
      <c r="T2723" s="1">
        <f>WORKDAY(B2723,5)</f>
        <v>45868</v>
      </c>
      <c r="U2723" t="b">
        <f>C2723&gt;T2723</f>
        <v>0</v>
      </c>
    </row>
    <row r="2724" spans="1:21" x14ac:dyDescent="0.25">
      <c r="A2724" t="s">
        <v>1759</v>
      </c>
      <c r="B2724" s="1">
        <v>45861</v>
      </c>
      <c r="C2724" s="1">
        <v>45862</v>
      </c>
      <c r="D2724" t="s">
        <v>748</v>
      </c>
      <c r="E2724" t="s">
        <v>336</v>
      </c>
      <c r="F2724" t="s">
        <v>166</v>
      </c>
      <c r="G2724" t="s">
        <v>248</v>
      </c>
      <c r="H2724" t="s">
        <v>107</v>
      </c>
      <c r="I2724" s="2">
        <v>2</v>
      </c>
      <c r="J2724" s="3">
        <v>99</v>
      </c>
      <c r="K2724" s="4">
        <v>0.05</v>
      </c>
      <c r="L2724" s="3">
        <v>188.1</v>
      </c>
      <c r="M2724" t="b">
        <v>1</v>
      </c>
      <c r="N2724" s="2">
        <f>YEAR(B2724)</f>
        <v>2025</v>
      </c>
      <c r="O2724" t="str">
        <f>INDEX(Agences!$C:$C,MATCH(F2724,Agences!$A:$A,0))</f>
        <v>Ouest</v>
      </c>
      <c r="P2724" t="str">
        <f>INDEX(Produits!$C:$C,MATCH(H2724,Produits!$A:$A,0))</f>
        <v>Informatique</v>
      </c>
      <c r="Q2724" s="3">
        <f>I2724*INDEX(Produits!$E:$E,MATCH(H2724,Produits!$A:$A,0))</f>
        <v>150.48</v>
      </c>
      <c r="R2724" s="3">
        <f>L2724-Q2724</f>
        <v>37.620000000000005</v>
      </c>
      <c r="S2724" s="2">
        <f>NETWORKDAYS(B2724,C2724)-1</f>
        <v>1</v>
      </c>
      <c r="T2724" s="1">
        <f>WORKDAY(B2724,5)</f>
        <v>45868</v>
      </c>
      <c r="U2724" t="b">
        <f>C2724&gt;T2724</f>
        <v>0</v>
      </c>
    </row>
    <row r="2725" spans="1:21" x14ac:dyDescent="0.25">
      <c r="A2725" t="s">
        <v>1759</v>
      </c>
      <c r="B2725" s="1">
        <v>45861</v>
      </c>
      <c r="C2725" s="1">
        <v>45862</v>
      </c>
      <c r="D2725" t="s">
        <v>748</v>
      </c>
      <c r="E2725" t="s">
        <v>336</v>
      </c>
      <c r="F2725" t="s">
        <v>166</v>
      </c>
      <c r="G2725" t="s">
        <v>248</v>
      </c>
      <c r="H2725" t="s">
        <v>50</v>
      </c>
      <c r="I2725" s="2">
        <v>1</v>
      </c>
      <c r="J2725" s="3">
        <v>69</v>
      </c>
      <c r="K2725" s="4">
        <v>0</v>
      </c>
      <c r="L2725" s="3">
        <v>69</v>
      </c>
      <c r="M2725" t="b">
        <v>1</v>
      </c>
      <c r="N2725" s="2">
        <f>YEAR(B2725)</f>
        <v>2025</v>
      </c>
      <c r="O2725" t="str">
        <f>INDEX(Agences!$C:$C,MATCH(F2725,Agences!$A:$A,0))</f>
        <v>Ouest</v>
      </c>
      <c r="P2725" t="str">
        <f>INDEX(Produits!$C:$C,MATCH(H2725,Produits!$A:$A,0))</f>
        <v>Informatique</v>
      </c>
      <c r="Q2725" s="3">
        <f>I2725*INDEX(Produits!$E:$E,MATCH(H2725,Produits!$A:$A,0))</f>
        <v>54.51</v>
      </c>
      <c r="R2725" s="3">
        <f>L2725-Q2725</f>
        <v>14.490000000000002</v>
      </c>
      <c r="S2725" s="2">
        <f>NETWORKDAYS(B2725,C2725)-1</f>
        <v>1</v>
      </c>
      <c r="T2725" s="1">
        <f>WORKDAY(B2725,5)</f>
        <v>45868</v>
      </c>
      <c r="U2725" t="b">
        <f>C2725&gt;T2725</f>
        <v>0</v>
      </c>
    </row>
    <row r="2726" spans="1:21" x14ac:dyDescent="0.25">
      <c r="A2726" t="s">
        <v>1759</v>
      </c>
      <c r="B2726" s="1">
        <v>45861</v>
      </c>
      <c r="C2726" s="1">
        <v>45862</v>
      </c>
      <c r="D2726" t="s">
        <v>748</v>
      </c>
      <c r="E2726" t="s">
        <v>336</v>
      </c>
      <c r="F2726" t="s">
        <v>166</v>
      </c>
      <c r="G2726" t="s">
        <v>248</v>
      </c>
      <c r="H2726" t="s">
        <v>51</v>
      </c>
      <c r="I2726" s="2">
        <v>1</v>
      </c>
      <c r="J2726" s="3">
        <v>180</v>
      </c>
      <c r="K2726" s="4">
        <v>0.08</v>
      </c>
      <c r="L2726" s="3">
        <v>165.6</v>
      </c>
      <c r="M2726" t="b">
        <v>1</v>
      </c>
      <c r="N2726" s="2">
        <f>YEAR(B2726)</f>
        <v>2025</v>
      </c>
      <c r="O2726" t="str">
        <f>INDEX(Agences!$C:$C,MATCH(F2726,Agences!$A:$A,0))</f>
        <v>Ouest</v>
      </c>
      <c r="P2726" t="str">
        <f>INDEX(Produits!$C:$C,MATCH(H2726,Produits!$A:$A,0))</f>
        <v>Maintenance</v>
      </c>
      <c r="Q2726" s="3">
        <f>I2726*INDEX(Produits!$E:$E,MATCH(H2726,Produits!$A:$A,0))</f>
        <v>82.8</v>
      </c>
      <c r="R2726" s="3">
        <f>L2726-Q2726</f>
        <v>82.8</v>
      </c>
      <c r="S2726" s="2">
        <f>NETWORKDAYS(B2726,C2726)-1</f>
        <v>1</v>
      </c>
      <c r="T2726" s="1">
        <f>WORKDAY(B2726,5)</f>
        <v>45868</v>
      </c>
      <c r="U2726" t="b">
        <f>C2726&gt;T2726</f>
        <v>0</v>
      </c>
    </row>
    <row r="2727" spans="1:21" x14ac:dyDescent="0.25">
      <c r="A2727" t="s">
        <v>1760</v>
      </c>
      <c r="B2727" s="1">
        <v>45861</v>
      </c>
      <c r="C2727" s="1">
        <v>45866</v>
      </c>
      <c r="D2727" t="s">
        <v>796</v>
      </c>
      <c r="E2727" t="s">
        <v>45</v>
      </c>
      <c r="F2727" t="s">
        <v>46</v>
      </c>
      <c r="G2727" t="s">
        <v>158</v>
      </c>
      <c r="H2727" t="s">
        <v>103</v>
      </c>
      <c r="I2727" s="2">
        <v>3</v>
      </c>
      <c r="J2727" s="3">
        <v>245</v>
      </c>
      <c r="K2727" s="4">
        <v>0.02</v>
      </c>
      <c r="L2727" s="3">
        <v>720.3</v>
      </c>
      <c r="M2727" t="b">
        <v>1</v>
      </c>
      <c r="N2727" s="2">
        <f>YEAR(B2727)</f>
        <v>2025</v>
      </c>
      <c r="O2727" t="str">
        <f>INDEX(Agences!$C:$C,MATCH(F2727,Agences!$A:$A,0))</f>
        <v>Est</v>
      </c>
      <c r="P2727" t="str">
        <f>INDEX(Produits!$C:$C,MATCH(H2727,Produits!$A:$A,0))</f>
        <v>Mobilier</v>
      </c>
      <c r="Q2727" s="3">
        <f>I2727*INDEX(Produits!$E:$E,MATCH(H2727,Produits!$A:$A,0))</f>
        <v>492.45000000000005</v>
      </c>
      <c r="R2727" s="3">
        <f>L2727-Q2727</f>
        <v>227.8499999999999</v>
      </c>
      <c r="S2727" s="2">
        <f>NETWORKDAYS(B2727,C2727)-1</f>
        <v>3</v>
      </c>
      <c r="T2727" s="1">
        <f>WORKDAY(B2727,5)</f>
        <v>45868</v>
      </c>
      <c r="U2727" t="b">
        <f>C2727&gt;T2727</f>
        <v>0</v>
      </c>
    </row>
    <row r="2728" spans="1:21" x14ac:dyDescent="0.25">
      <c r="A2728" t="s">
        <v>1760</v>
      </c>
      <c r="B2728" s="1">
        <v>45861</v>
      </c>
      <c r="C2728" s="1">
        <v>45866</v>
      </c>
      <c r="D2728" t="s">
        <v>796</v>
      </c>
      <c r="E2728" t="s">
        <v>45</v>
      </c>
      <c r="F2728" t="s">
        <v>46</v>
      </c>
      <c r="G2728" t="s">
        <v>158</v>
      </c>
      <c r="H2728" t="s">
        <v>41</v>
      </c>
      <c r="I2728" s="2">
        <v>1</v>
      </c>
      <c r="J2728" s="3">
        <v>790</v>
      </c>
      <c r="K2728" s="4">
        <v>0.02</v>
      </c>
      <c r="L2728" s="3">
        <v>774.2</v>
      </c>
      <c r="M2728" t="b">
        <v>1</v>
      </c>
      <c r="N2728" s="2">
        <f>YEAR(B2728)</f>
        <v>2025</v>
      </c>
      <c r="O2728" t="str">
        <f>INDEX(Agences!$C:$C,MATCH(F2728,Agences!$A:$A,0))</f>
        <v>Est</v>
      </c>
      <c r="P2728" t="str">
        <f>INDEX(Produits!$C:$C,MATCH(H2728,Produits!$A:$A,0))</f>
        <v>Informatique</v>
      </c>
      <c r="Q2728" s="3">
        <f>I2728*INDEX(Produits!$E:$E,MATCH(H2728,Produits!$A:$A,0))</f>
        <v>576.7</v>
      </c>
      <c r="R2728" s="3">
        <f>L2728-Q2728</f>
        <v>197.5</v>
      </c>
      <c r="S2728" s="2">
        <f>NETWORKDAYS(B2728,C2728)-1</f>
        <v>3</v>
      </c>
      <c r="T2728" s="1">
        <f>WORKDAY(B2728,5)</f>
        <v>45868</v>
      </c>
      <c r="U2728" t="b">
        <f>C2728&gt;T2728</f>
        <v>0</v>
      </c>
    </row>
    <row r="2729" spans="1:21" x14ac:dyDescent="0.25">
      <c r="A2729" t="s">
        <v>1761</v>
      </c>
      <c r="B2729" s="1">
        <v>45860</v>
      </c>
      <c r="C2729" s="1">
        <v>45863</v>
      </c>
      <c r="D2729" t="s">
        <v>775</v>
      </c>
      <c r="E2729" t="s">
        <v>137</v>
      </c>
      <c r="F2729" t="s">
        <v>138</v>
      </c>
      <c r="G2729" t="s">
        <v>139</v>
      </c>
      <c r="H2729" t="s">
        <v>35</v>
      </c>
      <c r="I2729" s="2">
        <v>1</v>
      </c>
      <c r="J2729" s="3">
        <v>79</v>
      </c>
      <c r="K2729" s="4">
        <v>0.02</v>
      </c>
      <c r="L2729" s="3">
        <v>77.42</v>
      </c>
      <c r="M2729" t="b">
        <v>1</v>
      </c>
      <c r="N2729" s="2">
        <f>YEAR(B2729)</f>
        <v>2025</v>
      </c>
      <c r="O2729" t="str">
        <f>INDEX(Agences!$C:$C,MATCH(F2729,Agences!$A:$A,0))</f>
        <v>Île-de-France</v>
      </c>
      <c r="P2729" t="str">
        <f>INDEX(Produits!$C:$C,MATCH(H2729,Produits!$A:$A,0))</f>
        <v>Mobilier</v>
      </c>
      <c r="Q2729" s="3">
        <f>I2729*INDEX(Produits!$E:$E,MATCH(H2729,Produits!$A:$A,0))</f>
        <v>46.61</v>
      </c>
      <c r="R2729" s="3">
        <f>L2729-Q2729</f>
        <v>30.810000000000002</v>
      </c>
      <c r="S2729" s="2">
        <f>NETWORKDAYS(B2729,C2729)-1</f>
        <v>3</v>
      </c>
      <c r="T2729" s="1">
        <f>WORKDAY(B2729,5)</f>
        <v>45867</v>
      </c>
      <c r="U2729" t="b">
        <f>C2729&gt;T2729</f>
        <v>0</v>
      </c>
    </row>
    <row r="2730" spans="1:21" x14ac:dyDescent="0.25">
      <c r="A2730" t="s">
        <v>1761</v>
      </c>
      <c r="B2730" s="1">
        <v>45860</v>
      </c>
      <c r="C2730" s="1">
        <v>45863</v>
      </c>
      <c r="D2730" t="s">
        <v>775</v>
      </c>
      <c r="E2730" t="s">
        <v>137</v>
      </c>
      <c r="F2730" t="s">
        <v>138</v>
      </c>
      <c r="G2730" t="s">
        <v>139</v>
      </c>
      <c r="H2730" t="s">
        <v>26</v>
      </c>
      <c r="I2730" s="2">
        <v>1</v>
      </c>
      <c r="J2730" s="3">
        <v>290</v>
      </c>
      <c r="K2730" s="4">
        <v>0.02</v>
      </c>
      <c r="L2730" s="3">
        <v>284.2</v>
      </c>
      <c r="M2730" t="b">
        <v>1</v>
      </c>
      <c r="N2730" s="2">
        <f>YEAR(B2730)</f>
        <v>2025</v>
      </c>
      <c r="O2730" t="str">
        <f>INDEX(Agences!$C:$C,MATCH(F2730,Agences!$A:$A,0))</f>
        <v>Île-de-France</v>
      </c>
      <c r="P2730" t="str">
        <f>INDEX(Produits!$C:$C,MATCH(H2730,Produits!$A:$A,0))</f>
        <v>Maintenance</v>
      </c>
      <c r="Q2730" s="3">
        <f>I2730*INDEX(Produits!$E:$E,MATCH(H2730,Produits!$A:$A,0))</f>
        <v>139.2</v>
      </c>
      <c r="R2730" s="3">
        <f>L2730-Q2730</f>
        <v>145</v>
      </c>
      <c r="S2730" s="2">
        <f>NETWORKDAYS(B2730,C2730)-1</f>
        <v>3</v>
      </c>
      <c r="T2730" s="1">
        <f>WORKDAY(B2730,5)</f>
        <v>45867</v>
      </c>
      <c r="U2730" t="b">
        <f>C2730&gt;T2730</f>
        <v>0</v>
      </c>
    </row>
    <row r="2731" spans="1:21" x14ac:dyDescent="0.25">
      <c r="A2731" t="s">
        <v>1762</v>
      </c>
      <c r="B2731" s="1">
        <v>45860</v>
      </c>
      <c r="C2731" s="1">
        <v>45863</v>
      </c>
      <c r="D2731" t="s">
        <v>982</v>
      </c>
      <c r="E2731" t="s">
        <v>339</v>
      </c>
      <c r="F2731" t="s">
        <v>31</v>
      </c>
      <c r="G2731" t="s">
        <v>186</v>
      </c>
      <c r="H2731" t="s">
        <v>50</v>
      </c>
      <c r="I2731" s="2">
        <v>2</v>
      </c>
      <c r="J2731" s="3">
        <v>69</v>
      </c>
      <c r="K2731" s="4">
        <v>0.02</v>
      </c>
      <c r="L2731" s="3">
        <v>135.24</v>
      </c>
      <c r="M2731" t="b">
        <v>1</v>
      </c>
      <c r="N2731" s="2">
        <f>YEAR(B2731)</f>
        <v>2025</v>
      </c>
      <c r="O2731" t="str">
        <f>INDEX(Agences!$C:$C,MATCH(F2731,Agences!$A:$A,0))</f>
        <v>Ouest</v>
      </c>
      <c r="P2731" t="str">
        <f>INDEX(Produits!$C:$C,MATCH(H2731,Produits!$A:$A,0))</f>
        <v>Informatique</v>
      </c>
      <c r="Q2731" s="3">
        <f>I2731*INDEX(Produits!$E:$E,MATCH(H2731,Produits!$A:$A,0))</f>
        <v>109.02</v>
      </c>
      <c r="R2731" s="3">
        <f>L2731-Q2731</f>
        <v>26.220000000000013</v>
      </c>
      <c r="S2731" s="2">
        <f>NETWORKDAYS(B2731,C2731)-1</f>
        <v>3</v>
      </c>
      <c r="T2731" s="1">
        <f>WORKDAY(B2731,5)</f>
        <v>45867</v>
      </c>
      <c r="U2731" t="b">
        <f>C2731&gt;T2731</f>
        <v>0</v>
      </c>
    </row>
    <row r="2732" spans="1:21" x14ac:dyDescent="0.25">
      <c r="A2732" t="s">
        <v>1762</v>
      </c>
      <c r="B2732" s="1">
        <v>45860</v>
      </c>
      <c r="C2732" s="1">
        <v>45863</v>
      </c>
      <c r="D2732" t="s">
        <v>982</v>
      </c>
      <c r="E2732" t="s">
        <v>339</v>
      </c>
      <c r="F2732" t="s">
        <v>31</v>
      </c>
      <c r="G2732" t="s">
        <v>186</v>
      </c>
      <c r="H2732" t="s">
        <v>42</v>
      </c>
      <c r="I2732" s="2">
        <v>1</v>
      </c>
      <c r="J2732" s="3">
        <v>55</v>
      </c>
      <c r="K2732" s="4">
        <v>0</v>
      </c>
      <c r="L2732" s="3">
        <v>55</v>
      </c>
      <c r="M2732" t="b">
        <v>1</v>
      </c>
      <c r="N2732" s="2">
        <f>YEAR(B2732)</f>
        <v>2025</v>
      </c>
      <c r="O2732" t="str">
        <f>INDEX(Agences!$C:$C,MATCH(F2732,Agences!$A:$A,0))</f>
        <v>Ouest</v>
      </c>
      <c r="P2732" t="str">
        <f>INDEX(Produits!$C:$C,MATCH(H2732,Produits!$A:$A,0))</f>
        <v>Maintenance</v>
      </c>
      <c r="Q2732" s="3">
        <f>I2732*INDEX(Produits!$E:$E,MATCH(H2732,Produits!$A:$A,0))</f>
        <v>24.75</v>
      </c>
      <c r="R2732" s="3">
        <f>L2732-Q2732</f>
        <v>30.25</v>
      </c>
      <c r="S2732" s="2">
        <f>NETWORKDAYS(B2732,C2732)-1</f>
        <v>3</v>
      </c>
      <c r="T2732" s="1">
        <f>WORKDAY(B2732,5)</f>
        <v>45867</v>
      </c>
      <c r="U2732" t="b">
        <f>C2732&gt;T2732</f>
        <v>0</v>
      </c>
    </row>
    <row r="2733" spans="1:21" x14ac:dyDescent="0.25">
      <c r="A2733" t="s">
        <v>1762</v>
      </c>
      <c r="B2733" s="1">
        <v>45860</v>
      </c>
      <c r="C2733" s="1">
        <v>45863</v>
      </c>
      <c r="D2733" t="s">
        <v>982</v>
      </c>
      <c r="E2733" t="s">
        <v>339</v>
      </c>
      <c r="F2733" t="s">
        <v>31</v>
      </c>
      <c r="G2733" t="s">
        <v>186</v>
      </c>
      <c r="H2733" t="s">
        <v>27</v>
      </c>
      <c r="I2733" s="2">
        <v>1</v>
      </c>
      <c r="J2733" s="3">
        <v>310</v>
      </c>
      <c r="K2733" s="4">
        <v>0.05</v>
      </c>
      <c r="L2733" s="3">
        <v>294.5</v>
      </c>
      <c r="M2733" t="b">
        <v>1</v>
      </c>
      <c r="N2733" s="2">
        <f>YEAR(B2733)</f>
        <v>2025</v>
      </c>
      <c r="O2733" t="str">
        <f>INDEX(Agences!$C:$C,MATCH(F2733,Agences!$A:$A,0))</f>
        <v>Ouest</v>
      </c>
      <c r="P2733" t="str">
        <f>INDEX(Produits!$C:$C,MATCH(H2733,Produits!$A:$A,0))</f>
        <v>Mobilier</v>
      </c>
      <c r="Q2733" s="3">
        <f>I2733*INDEX(Produits!$E:$E,MATCH(H2733,Produits!$A:$A,0))</f>
        <v>186</v>
      </c>
      <c r="R2733" s="3">
        <f>L2733-Q2733</f>
        <v>108.5</v>
      </c>
      <c r="S2733" s="2">
        <f>NETWORKDAYS(B2733,C2733)-1</f>
        <v>3</v>
      </c>
      <c r="T2733" s="1">
        <f>WORKDAY(B2733,5)</f>
        <v>45867</v>
      </c>
      <c r="U2733" t="b">
        <f>C2733&gt;T2733</f>
        <v>0</v>
      </c>
    </row>
    <row r="2734" spans="1:21" x14ac:dyDescent="0.25">
      <c r="A2734" t="s">
        <v>1762</v>
      </c>
      <c r="B2734" s="1">
        <v>45860</v>
      </c>
      <c r="C2734" s="1">
        <v>45863</v>
      </c>
      <c r="D2734" t="s">
        <v>982</v>
      </c>
      <c r="E2734" t="s">
        <v>339</v>
      </c>
      <c r="F2734" t="s">
        <v>31</v>
      </c>
      <c r="G2734" t="s">
        <v>186</v>
      </c>
      <c r="H2734" t="s">
        <v>103</v>
      </c>
      <c r="I2734" s="2">
        <v>1</v>
      </c>
      <c r="J2734" s="3">
        <v>245</v>
      </c>
      <c r="K2734" s="4">
        <v>0.08</v>
      </c>
      <c r="L2734" s="3">
        <v>225.4</v>
      </c>
      <c r="M2734" t="b">
        <v>1</v>
      </c>
      <c r="N2734" s="2">
        <f>YEAR(B2734)</f>
        <v>2025</v>
      </c>
      <c r="O2734" t="str">
        <f>INDEX(Agences!$C:$C,MATCH(F2734,Agences!$A:$A,0))</f>
        <v>Ouest</v>
      </c>
      <c r="P2734" t="str">
        <f>INDEX(Produits!$C:$C,MATCH(H2734,Produits!$A:$A,0))</f>
        <v>Mobilier</v>
      </c>
      <c r="Q2734" s="3">
        <f>I2734*INDEX(Produits!$E:$E,MATCH(H2734,Produits!$A:$A,0))</f>
        <v>164.15</v>
      </c>
      <c r="R2734" s="3">
        <f>L2734-Q2734</f>
        <v>61.25</v>
      </c>
      <c r="S2734" s="2">
        <f>NETWORKDAYS(B2734,C2734)-1</f>
        <v>3</v>
      </c>
      <c r="T2734" s="1">
        <f>WORKDAY(B2734,5)</f>
        <v>45867</v>
      </c>
      <c r="U2734" t="b">
        <f>C2734&gt;T2734</f>
        <v>0</v>
      </c>
    </row>
    <row r="2735" spans="1:21" x14ac:dyDescent="0.25">
      <c r="A2735" t="s">
        <v>1763</v>
      </c>
      <c r="B2735" s="1">
        <v>45860</v>
      </c>
      <c r="C2735" s="1">
        <v>45861</v>
      </c>
      <c r="D2735" t="s">
        <v>648</v>
      </c>
      <c r="E2735" t="s">
        <v>236</v>
      </c>
      <c r="F2735" t="s">
        <v>39</v>
      </c>
      <c r="G2735" t="s">
        <v>322</v>
      </c>
      <c r="H2735" t="s">
        <v>103</v>
      </c>
      <c r="I2735" s="2">
        <v>3</v>
      </c>
      <c r="J2735" s="3">
        <v>245</v>
      </c>
      <c r="K2735" s="4">
        <v>0</v>
      </c>
      <c r="L2735" s="3">
        <v>735</v>
      </c>
      <c r="M2735" t="b">
        <v>1</v>
      </c>
      <c r="N2735" s="2">
        <f>YEAR(B2735)</f>
        <v>2025</v>
      </c>
      <c r="O2735" t="str">
        <f>INDEX(Agences!$C:$C,MATCH(F2735,Agences!$A:$A,0))</f>
        <v>Sud-Ouest</v>
      </c>
      <c r="P2735" t="str">
        <f>INDEX(Produits!$C:$C,MATCH(H2735,Produits!$A:$A,0))</f>
        <v>Mobilier</v>
      </c>
      <c r="Q2735" s="3">
        <f>I2735*INDEX(Produits!$E:$E,MATCH(H2735,Produits!$A:$A,0))</f>
        <v>492.45000000000005</v>
      </c>
      <c r="R2735" s="3">
        <f>L2735-Q2735</f>
        <v>242.54999999999995</v>
      </c>
      <c r="S2735" s="2">
        <f>NETWORKDAYS(B2735,C2735)-1</f>
        <v>1</v>
      </c>
      <c r="T2735" s="1">
        <f>WORKDAY(B2735,5)</f>
        <v>45867</v>
      </c>
      <c r="U2735" t="b">
        <f>C2735&gt;T2735</f>
        <v>0</v>
      </c>
    </row>
    <row r="2736" spans="1:21" x14ac:dyDescent="0.25">
      <c r="A2736" t="s">
        <v>1763</v>
      </c>
      <c r="B2736" s="1">
        <v>45860</v>
      </c>
      <c r="C2736" s="1">
        <v>45861</v>
      </c>
      <c r="D2736" t="s">
        <v>648</v>
      </c>
      <c r="E2736" t="s">
        <v>236</v>
      </c>
      <c r="F2736" t="s">
        <v>39</v>
      </c>
      <c r="G2736" t="s">
        <v>322</v>
      </c>
      <c r="H2736" t="s">
        <v>606</v>
      </c>
      <c r="I2736" s="2">
        <v>1</v>
      </c>
      <c r="J2736" s="3">
        <v>1150</v>
      </c>
      <c r="K2736" s="4">
        <v>0.08</v>
      </c>
      <c r="L2736" s="3">
        <v>1058</v>
      </c>
      <c r="M2736" t="b">
        <v>1</v>
      </c>
      <c r="N2736" s="2">
        <f>YEAR(B2736)</f>
        <v>2025</v>
      </c>
      <c r="O2736" t="str">
        <f>INDEX(Agences!$C:$C,MATCH(F2736,Agences!$A:$A,0))</f>
        <v>Sud-Ouest</v>
      </c>
      <c r="P2736" t="str">
        <f>INDEX(Produits!$C:$C,MATCH(H2736,Produits!$A:$A,0))</f>
        <v>Mobilier</v>
      </c>
      <c r="Q2736" s="3">
        <f>I2736*INDEX(Produits!$E:$E,MATCH(H2736,Produits!$A:$A,0))</f>
        <v>713</v>
      </c>
      <c r="R2736" s="3">
        <f>L2736-Q2736</f>
        <v>345</v>
      </c>
      <c r="S2736" s="2">
        <f>NETWORKDAYS(B2736,C2736)-1</f>
        <v>1</v>
      </c>
      <c r="T2736" s="1">
        <f>WORKDAY(B2736,5)</f>
        <v>45867</v>
      </c>
      <c r="U2736" t="b">
        <f>C2736&gt;T2736</f>
        <v>0</v>
      </c>
    </row>
    <row r="2737" spans="1:21" x14ac:dyDescent="0.25">
      <c r="A2737" t="s">
        <v>1764</v>
      </c>
      <c r="B2737" s="1">
        <v>45860</v>
      </c>
      <c r="C2737" s="1">
        <v>45862</v>
      </c>
      <c r="D2737" t="s">
        <v>465</v>
      </c>
      <c r="E2737" t="s">
        <v>157</v>
      </c>
      <c r="F2737" t="s">
        <v>46</v>
      </c>
      <c r="G2737" t="s">
        <v>158</v>
      </c>
      <c r="H2737" t="s">
        <v>84</v>
      </c>
      <c r="I2737" s="2">
        <v>1</v>
      </c>
      <c r="J2737" s="3">
        <v>420</v>
      </c>
      <c r="K2737" s="4">
        <v>0.05</v>
      </c>
      <c r="L2737" s="3">
        <v>399</v>
      </c>
      <c r="M2737" t="b">
        <v>1</v>
      </c>
      <c r="N2737" s="2">
        <f>YEAR(B2737)</f>
        <v>2025</v>
      </c>
      <c r="O2737" t="str">
        <f>INDEX(Agences!$C:$C,MATCH(F2737,Agences!$A:$A,0))</f>
        <v>Est</v>
      </c>
      <c r="P2737" t="str">
        <f>INDEX(Produits!$C:$C,MATCH(H2737,Produits!$A:$A,0))</f>
        <v>Mobilier</v>
      </c>
      <c r="Q2737" s="3">
        <f>I2737*INDEX(Produits!$E:$E,MATCH(H2737,Produits!$A:$A,0))</f>
        <v>243.6</v>
      </c>
      <c r="R2737" s="3">
        <f>L2737-Q2737</f>
        <v>155.4</v>
      </c>
      <c r="S2737" s="2">
        <f>NETWORKDAYS(B2737,C2737)-1</f>
        <v>2</v>
      </c>
      <c r="T2737" s="1">
        <f>WORKDAY(B2737,5)</f>
        <v>45867</v>
      </c>
      <c r="U2737" t="b">
        <f>C2737&gt;T2737</f>
        <v>0</v>
      </c>
    </row>
    <row r="2738" spans="1:21" x14ac:dyDescent="0.25">
      <c r="A2738" t="s">
        <v>1764</v>
      </c>
      <c r="B2738" s="1">
        <v>45860</v>
      </c>
      <c r="C2738" s="1">
        <v>45862</v>
      </c>
      <c r="D2738" t="s">
        <v>465</v>
      </c>
      <c r="E2738" t="s">
        <v>157</v>
      </c>
      <c r="F2738" t="s">
        <v>46</v>
      </c>
      <c r="G2738" t="s">
        <v>158</v>
      </c>
      <c r="H2738" t="s">
        <v>42</v>
      </c>
      <c r="I2738" s="2">
        <v>3</v>
      </c>
      <c r="J2738" s="3">
        <v>55</v>
      </c>
      <c r="K2738" s="4">
        <v>0</v>
      </c>
      <c r="L2738" s="3">
        <v>165</v>
      </c>
      <c r="M2738" t="b">
        <v>1</v>
      </c>
      <c r="N2738" s="2">
        <f>YEAR(B2738)</f>
        <v>2025</v>
      </c>
      <c r="O2738" t="str">
        <f>INDEX(Agences!$C:$C,MATCH(F2738,Agences!$A:$A,0))</f>
        <v>Est</v>
      </c>
      <c r="P2738" t="str">
        <f>INDEX(Produits!$C:$C,MATCH(H2738,Produits!$A:$A,0))</f>
        <v>Maintenance</v>
      </c>
      <c r="Q2738" s="3">
        <f>I2738*INDEX(Produits!$E:$E,MATCH(H2738,Produits!$A:$A,0))</f>
        <v>74.25</v>
      </c>
      <c r="R2738" s="3">
        <f>L2738-Q2738</f>
        <v>90.75</v>
      </c>
      <c r="S2738" s="2">
        <f>NETWORKDAYS(B2738,C2738)-1</f>
        <v>2</v>
      </c>
      <c r="T2738" s="1">
        <f>WORKDAY(B2738,5)</f>
        <v>45867</v>
      </c>
      <c r="U2738" t="b">
        <f>C2738&gt;T2738</f>
        <v>0</v>
      </c>
    </row>
    <row r="2739" spans="1:21" x14ac:dyDescent="0.25">
      <c r="A2739" t="s">
        <v>1764</v>
      </c>
      <c r="B2739" s="1">
        <v>45860</v>
      </c>
      <c r="C2739" s="1">
        <v>45862</v>
      </c>
      <c r="D2739" t="s">
        <v>465</v>
      </c>
      <c r="E2739" t="s">
        <v>157</v>
      </c>
      <c r="F2739" t="s">
        <v>46</v>
      </c>
      <c r="G2739" t="s">
        <v>158</v>
      </c>
      <c r="H2739" t="s">
        <v>205</v>
      </c>
      <c r="I2739" s="2">
        <v>1</v>
      </c>
      <c r="J2739" s="3">
        <v>359</v>
      </c>
      <c r="K2739" s="4">
        <v>0</v>
      </c>
      <c r="L2739" s="3">
        <v>359</v>
      </c>
      <c r="M2739" t="b">
        <v>1</v>
      </c>
      <c r="N2739" s="2">
        <f>YEAR(B2739)</f>
        <v>2025</v>
      </c>
      <c r="O2739" t="str">
        <f>INDEX(Agences!$C:$C,MATCH(F2739,Agences!$A:$A,0))</f>
        <v>Est</v>
      </c>
      <c r="P2739" t="str">
        <f>INDEX(Produits!$C:$C,MATCH(H2739,Produits!$A:$A,0))</f>
        <v>Mobilier</v>
      </c>
      <c r="Q2739" s="3">
        <f>I2739*INDEX(Produits!$E:$E,MATCH(H2739,Produits!$A:$A,0))</f>
        <v>204.63</v>
      </c>
      <c r="R2739" s="3">
        <f>L2739-Q2739</f>
        <v>154.37</v>
      </c>
      <c r="S2739" s="2">
        <f>NETWORKDAYS(B2739,C2739)-1</f>
        <v>2</v>
      </c>
      <c r="T2739" s="1">
        <f>WORKDAY(B2739,5)</f>
        <v>45867</v>
      </c>
      <c r="U2739" t="b">
        <f>C2739&gt;T2739</f>
        <v>0</v>
      </c>
    </row>
    <row r="2740" spans="1:21" x14ac:dyDescent="0.25">
      <c r="A2740" t="s">
        <v>1764</v>
      </c>
      <c r="B2740" s="1">
        <v>45860</v>
      </c>
      <c r="C2740" s="1">
        <v>45862</v>
      </c>
      <c r="D2740" t="s">
        <v>465</v>
      </c>
      <c r="E2740" t="s">
        <v>157</v>
      </c>
      <c r="F2740" t="s">
        <v>46</v>
      </c>
      <c r="G2740" t="s">
        <v>158</v>
      </c>
      <c r="H2740" t="s">
        <v>49</v>
      </c>
      <c r="I2740" s="2">
        <v>1</v>
      </c>
      <c r="J2740" s="3">
        <v>120</v>
      </c>
      <c r="K2740" s="4">
        <v>0.05</v>
      </c>
      <c r="L2740" s="3">
        <v>114</v>
      </c>
      <c r="M2740" t="b">
        <v>1</v>
      </c>
      <c r="N2740" s="2">
        <f>YEAR(B2740)</f>
        <v>2025</v>
      </c>
      <c r="O2740" t="str">
        <f>INDEX(Agences!$C:$C,MATCH(F2740,Agences!$A:$A,0))</f>
        <v>Est</v>
      </c>
      <c r="P2740" t="str">
        <f>INDEX(Produits!$C:$C,MATCH(H2740,Produits!$A:$A,0))</f>
        <v>Maintenance</v>
      </c>
      <c r="Q2740" s="3">
        <f>I2740*INDEX(Produits!$E:$E,MATCH(H2740,Produits!$A:$A,0))</f>
        <v>55.2</v>
      </c>
      <c r="R2740" s="3">
        <f>L2740-Q2740</f>
        <v>58.8</v>
      </c>
      <c r="S2740" s="2">
        <f>NETWORKDAYS(B2740,C2740)-1</f>
        <v>2</v>
      </c>
      <c r="T2740" s="1">
        <f>WORKDAY(B2740,5)</f>
        <v>45867</v>
      </c>
      <c r="U2740" t="b">
        <f>C2740&gt;T2740</f>
        <v>0</v>
      </c>
    </row>
    <row r="2741" spans="1:21" x14ac:dyDescent="0.25">
      <c r="A2741" t="s">
        <v>1765</v>
      </c>
      <c r="B2741" s="1">
        <v>45859</v>
      </c>
      <c r="C2741" s="1">
        <v>45861</v>
      </c>
      <c r="D2741" t="s">
        <v>219</v>
      </c>
      <c r="E2741" t="s">
        <v>213</v>
      </c>
      <c r="F2741" t="s">
        <v>138</v>
      </c>
      <c r="G2741" t="s">
        <v>214</v>
      </c>
      <c r="H2741" t="s">
        <v>49</v>
      </c>
      <c r="I2741" s="2">
        <v>1</v>
      </c>
      <c r="J2741" s="3">
        <v>120</v>
      </c>
      <c r="K2741" s="4">
        <v>0</v>
      </c>
      <c r="L2741" s="3">
        <v>120</v>
      </c>
      <c r="M2741" t="b">
        <v>1</v>
      </c>
      <c r="N2741" s="2">
        <f>YEAR(B2741)</f>
        <v>2025</v>
      </c>
      <c r="O2741" t="str">
        <f>INDEX(Agences!$C:$C,MATCH(F2741,Agences!$A:$A,0))</f>
        <v>Île-de-France</v>
      </c>
      <c r="P2741" t="str">
        <f>INDEX(Produits!$C:$C,MATCH(H2741,Produits!$A:$A,0))</f>
        <v>Maintenance</v>
      </c>
      <c r="Q2741" s="3">
        <f>I2741*INDEX(Produits!$E:$E,MATCH(H2741,Produits!$A:$A,0))</f>
        <v>55.2</v>
      </c>
      <c r="R2741" s="3">
        <f>L2741-Q2741</f>
        <v>64.8</v>
      </c>
      <c r="S2741" s="2">
        <f>NETWORKDAYS(B2741,C2741)-1</f>
        <v>2</v>
      </c>
      <c r="T2741" s="1">
        <f>WORKDAY(B2741,5)</f>
        <v>45866</v>
      </c>
      <c r="U2741" t="b">
        <f>C2741&gt;T2741</f>
        <v>0</v>
      </c>
    </row>
    <row r="2742" spans="1:21" x14ac:dyDescent="0.25">
      <c r="A2742" t="s">
        <v>1765</v>
      </c>
      <c r="B2742" s="1">
        <v>45859</v>
      </c>
      <c r="C2742" s="1">
        <v>45861</v>
      </c>
      <c r="D2742" t="s">
        <v>219</v>
      </c>
      <c r="E2742" t="s">
        <v>213</v>
      </c>
      <c r="F2742" t="s">
        <v>138</v>
      </c>
      <c r="G2742" t="s">
        <v>214</v>
      </c>
      <c r="H2742" t="s">
        <v>103</v>
      </c>
      <c r="I2742" s="2">
        <v>1</v>
      </c>
      <c r="J2742" s="3">
        <v>245</v>
      </c>
      <c r="K2742" s="4">
        <v>0</v>
      </c>
      <c r="L2742" s="3">
        <v>245</v>
      </c>
      <c r="M2742" t="b">
        <v>1</v>
      </c>
      <c r="N2742" s="2">
        <f>YEAR(B2742)</f>
        <v>2025</v>
      </c>
      <c r="O2742" t="str">
        <f>INDEX(Agences!$C:$C,MATCH(F2742,Agences!$A:$A,0))</f>
        <v>Île-de-France</v>
      </c>
      <c r="P2742" t="str">
        <f>INDEX(Produits!$C:$C,MATCH(H2742,Produits!$A:$A,0))</f>
        <v>Mobilier</v>
      </c>
      <c r="Q2742" s="3">
        <f>I2742*INDEX(Produits!$E:$E,MATCH(H2742,Produits!$A:$A,0))</f>
        <v>164.15</v>
      </c>
      <c r="R2742" s="3">
        <f>L2742-Q2742</f>
        <v>80.85</v>
      </c>
      <c r="S2742" s="2">
        <f>NETWORKDAYS(B2742,C2742)-1</f>
        <v>2</v>
      </c>
      <c r="T2742" s="1">
        <f>WORKDAY(B2742,5)</f>
        <v>45866</v>
      </c>
      <c r="U2742" t="b">
        <f>C2742&gt;T2742</f>
        <v>0</v>
      </c>
    </row>
    <row r="2743" spans="1:21" x14ac:dyDescent="0.25">
      <c r="A2743" t="s">
        <v>1765</v>
      </c>
      <c r="B2743" s="1">
        <v>45859</v>
      </c>
      <c r="C2743" s="1">
        <v>45861</v>
      </c>
      <c r="D2743" t="s">
        <v>219</v>
      </c>
      <c r="E2743" t="s">
        <v>213</v>
      </c>
      <c r="F2743" t="s">
        <v>138</v>
      </c>
      <c r="G2743" t="s">
        <v>214</v>
      </c>
      <c r="H2743" t="s">
        <v>34</v>
      </c>
      <c r="I2743" s="2">
        <v>5</v>
      </c>
      <c r="J2743" s="3">
        <v>340</v>
      </c>
      <c r="K2743" s="4">
        <v>0</v>
      </c>
      <c r="L2743" s="3">
        <v>1700</v>
      </c>
      <c r="M2743" t="b">
        <v>1</v>
      </c>
      <c r="N2743" s="2">
        <f>YEAR(B2743)</f>
        <v>2025</v>
      </c>
      <c r="O2743" t="str">
        <f>INDEX(Agences!$C:$C,MATCH(F2743,Agences!$A:$A,0))</f>
        <v>Île-de-France</v>
      </c>
      <c r="P2743" t="str">
        <f>INDEX(Produits!$C:$C,MATCH(H2743,Produits!$A:$A,0))</f>
        <v>Informatique</v>
      </c>
      <c r="Q2743" s="3">
        <f>I2743*INDEX(Produits!$E:$E,MATCH(H2743,Produits!$A:$A,0))</f>
        <v>1377</v>
      </c>
      <c r="R2743" s="3">
        <f>L2743-Q2743</f>
        <v>323</v>
      </c>
      <c r="S2743" s="2">
        <f>NETWORKDAYS(B2743,C2743)-1</f>
        <v>2</v>
      </c>
      <c r="T2743" s="1">
        <f>WORKDAY(B2743,5)</f>
        <v>45866</v>
      </c>
      <c r="U2743" t="b">
        <f>C2743&gt;T2743</f>
        <v>0</v>
      </c>
    </row>
    <row r="2744" spans="1:21" x14ac:dyDescent="0.25">
      <c r="A2744" t="s">
        <v>1765</v>
      </c>
      <c r="B2744" s="1">
        <v>45859</v>
      </c>
      <c r="C2744" s="1">
        <v>45861</v>
      </c>
      <c r="D2744" t="s">
        <v>219</v>
      </c>
      <c r="E2744" t="s">
        <v>213</v>
      </c>
      <c r="F2744" t="s">
        <v>138</v>
      </c>
      <c r="G2744" t="s">
        <v>214</v>
      </c>
      <c r="H2744" t="s">
        <v>112</v>
      </c>
      <c r="I2744" s="2">
        <v>1</v>
      </c>
      <c r="J2744" s="3">
        <v>129</v>
      </c>
      <c r="K2744" s="4">
        <v>0.08</v>
      </c>
      <c r="L2744" s="3">
        <v>118.68</v>
      </c>
      <c r="M2744" t="b">
        <v>1</v>
      </c>
      <c r="N2744" s="2">
        <f>YEAR(B2744)</f>
        <v>2025</v>
      </c>
      <c r="O2744" t="str">
        <f>INDEX(Agences!$C:$C,MATCH(F2744,Agences!$A:$A,0))</f>
        <v>Île-de-France</v>
      </c>
      <c r="P2744" t="str">
        <f>INDEX(Produits!$C:$C,MATCH(H2744,Produits!$A:$A,0))</f>
        <v>Mobilier</v>
      </c>
      <c r="Q2744" s="3">
        <f>I2744*INDEX(Produits!$E:$E,MATCH(H2744,Produits!$A:$A,0))</f>
        <v>86.43</v>
      </c>
      <c r="R2744" s="3">
        <f>L2744-Q2744</f>
        <v>32.25</v>
      </c>
      <c r="S2744" s="2">
        <f>NETWORKDAYS(B2744,C2744)-1</f>
        <v>2</v>
      </c>
      <c r="T2744" s="1">
        <f>WORKDAY(B2744,5)</f>
        <v>45866</v>
      </c>
      <c r="U2744" t="b">
        <f>C2744&gt;T2744</f>
        <v>0</v>
      </c>
    </row>
    <row r="2745" spans="1:21" x14ac:dyDescent="0.25">
      <c r="A2745" t="s">
        <v>1766</v>
      </c>
      <c r="B2745" s="1">
        <v>45859</v>
      </c>
      <c r="C2745" s="1">
        <v>45861</v>
      </c>
      <c r="D2745" t="s">
        <v>808</v>
      </c>
      <c r="E2745" t="s">
        <v>175</v>
      </c>
      <c r="F2745" t="s">
        <v>76</v>
      </c>
      <c r="G2745" t="s">
        <v>232</v>
      </c>
      <c r="H2745" t="s">
        <v>162</v>
      </c>
      <c r="I2745" s="2">
        <v>1</v>
      </c>
      <c r="J2745" s="3">
        <v>289</v>
      </c>
      <c r="K2745" s="4">
        <v>0.02</v>
      </c>
      <c r="L2745" s="3">
        <v>283.22</v>
      </c>
      <c r="M2745" t="b">
        <v>1</v>
      </c>
      <c r="N2745" s="2">
        <f>YEAR(B2745)</f>
        <v>2025</v>
      </c>
      <c r="O2745" t="str">
        <f>INDEX(Agences!$C:$C,MATCH(F2745,Agences!$A:$A,0))</f>
        <v>Île-de-France</v>
      </c>
      <c r="P2745" t="str">
        <f>INDEX(Produits!$C:$C,MATCH(H2745,Produits!$A:$A,0))</f>
        <v>Mobilier</v>
      </c>
      <c r="Q2745" s="3">
        <f>I2745*INDEX(Produits!$E:$E,MATCH(H2745,Produits!$A:$A,0))</f>
        <v>193.63</v>
      </c>
      <c r="R2745" s="3">
        <f>L2745-Q2745</f>
        <v>89.59000000000003</v>
      </c>
      <c r="S2745" s="2">
        <f>NETWORKDAYS(B2745,C2745)-1</f>
        <v>2</v>
      </c>
      <c r="T2745" s="1">
        <f>WORKDAY(B2745,5)</f>
        <v>45866</v>
      </c>
      <c r="U2745" t="b">
        <f>C2745&gt;T2745</f>
        <v>0</v>
      </c>
    </row>
    <row r="2746" spans="1:21" x14ac:dyDescent="0.25">
      <c r="A2746" t="s">
        <v>1766</v>
      </c>
      <c r="B2746" s="1">
        <v>45859</v>
      </c>
      <c r="C2746" s="1">
        <v>45861</v>
      </c>
      <c r="D2746" t="s">
        <v>808</v>
      </c>
      <c r="E2746" t="s">
        <v>175</v>
      </c>
      <c r="F2746" t="s">
        <v>76</v>
      </c>
      <c r="G2746" t="s">
        <v>232</v>
      </c>
      <c r="H2746" t="s">
        <v>205</v>
      </c>
      <c r="I2746" s="2">
        <v>2</v>
      </c>
      <c r="J2746" s="3">
        <v>359</v>
      </c>
      <c r="K2746" s="4">
        <v>0.05</v>
      </c>
      <c r="L2746" s="3">
        <v>682.1</v>
      </c>
      <c r="M2746" t="b">
        <v>1</v>
      </c>
      <c r="N2746" s="2">
        <f>YEAR(B2746)</f>
        <v>2025</v>
      </c>
      <c r="O2746" t="str">
        <f>INDEX(Agences!$C:$C,MATCH(F2746,Agences!$A:$A,0))</f>
        <v>Île-de-France</v>
      </c>
      <c r="P2746" t="str">
        <f>INDEX(Produits!$C:$C,MATCH(H2746,Produits!$A:$A,0))</f>
        <v>Mobilier</v>
      </c>
      <c r="Q2746" s="3">
        <f>I2746*INDEX(Produits!$E:$E,MATCH(H2746,Produits!$A:$A,0))</f>
        <v>409.26</v>
      </c>
      <c r="R2746" s="3">
        <f>L2746-Q2746</f>
        <v>272.84000000000003</v>
      </c>
      <c r="S2746" s="2">
        <f>NETWORKDAYS(B2746,C2746)-1</f>
        <v>2</v>
      </c>
      <c r="T2746" s="1">
        <f>WORKDAY(B2746,5)</f>
        <v>45866</v>
      </c>
      <c r="U2746" t="b">
        <f>C2746&gt;T2746</f>
        <v>0</v>
      </c>
    </row>
    <row r="2747" spans="1:21" x14ac:dyDescent="0.25">
      <c r="A2747" t="s">
        <v>1767</v>
      </c>
      <c r="B2747" s="1">
        <v>45859</v>
      </c>
      <c r="C2747" s="1">
        <v>45866</v>
      </c>
      <c r="D2747" t="s">
        <v>1758</v>
      </c>
      <c r="E2747" t="s">
        <v>242</v>
      </c>
      <c r="F2747" t="s">
        <v>94</v>
      </c>
      <c r="G2747" t="s">
        <v>95</v>
      </c>
      <c r="H2747" t="s">
        <v>64</v>
      </c>
      <c r="I2747" s="2">
        <v>5</v>
      </c>
      <c r="J2747" s="3">
        <v>16.8</v>
      </c>
      <c r="K2747" s="4">
        <v>0.05</v>
      </c>
      <c r="L2747" s="3">
        <v>79.8</v>
      </c>
      <c r="M2747" t="b">
        <v>1</v>
      </c>
      <c r="N2747" s="2">
        <f>YEAR(B2747)</f>
        <v>2025</v>
      </c>
      <c r="O2747" t="str">
        <f>INDEX(Agences!$C:$C,MATCH(F2747,Agences!$A:$A,0))</f>
        <v>Méditerranée</v>
      </c>
      <c r="P2747" t="str">
        <f>INDEX(Produits!$C:$C,MATCH(H2747,Produits!$A:$A,0))</f>
        <v>Fournitures</v>
      </c>
      <c r="Q2747" s="3">
        <f>I2747*INDEX(Produits!$E:$E,MATCH(H2747,Produits!$A:$A,0))</f>
        <v>43.7</v>
      </c>
      <c r="R2747" s="3">
        <f>L2747-Q2747</f>
        <v>36.099999999999994</v>
      </c>
      <c r="S2747" s="2">
        <f>NETWORKDAYS(B2747,C2747)-1</f>
        <v>5</v>
      </c>
      <c r="T2747" s="1">
        <f>WORKDAY(B2747,5)</f>
        <v>45866</v>
      </c>
      <c r="U2747" t="b">
        <f>C2747&gt;T2747</f>
        <v>0</v>
      </c>
    </row>
    <row r="2748" spans="1:21" x14ac:dyDescent="0.25">
      <c r="A2748" t="s">
        <v>1767</v>
      </c>
      <c r="B2748" s="1">
        <v>45859</v>
      </c>
      <c r="C2748" s="1">
        <v>45866</v>
      </c>
      <c r="D2748" t="s">
        <v>1758</v>
      </c>
      <c r="E2748" t="s">
        <v>242</v>
      </c>
      <c r="F2748" t="s">
        <v>94</v>
      </c>
      <c r="G2748" t="s">
        <v>95</v>
      </c>
      <c r="H2748" t="s">
        <v>206</v>
      </c>
      <c r="I2748" s="2">
        <v>10</v>
      </c>
      <c r="J2748" s="3">
        <v>34</v>
      </c>
      <c r="K2748" s="4">
        <v>0.02</v>
      </c>
      <c r="L2748" s="3">
        <v>333.2</v>
      </c>
      <c r="M2748" t="b">
        <v>1</v>
      </c>
      <c r="N2748" s="2">
        <f>YEAR(B2748)</f>
        <v>2025</v>
      </c>
      <c r="O2748" t="str">
        <f>INDEX(Agences!$C:$C,MATCH(F2748,Agences!$A:$A,0))</f>
        <v>Méditerranée</v>
      </c>
      <c r="P2748" t="str">
        <f>INDEX(Produits!$C:$C,MATCH(H2748,Produits!$A:$A,0))</f>
        <v>Fournitures</v>
      </c>
      <c r="Q2748" s="3">
        <f>I2748*INDEX(Produits!$E:$E,MATCH(H2748,Produits!$A:$A,0))</f>
        <v>193.79999999999998</v>
      </c>
      <c r="R2748" s="3">
        <f>L2748-Q2748</f>
        <v>139.4</v>
      </c>
      <c r="S2748" s="2">
        <f>NETWORKDAYS(B2748,C2748)-1</f>
        <v>5</v>
      </c>
      <c r="T2748" s="1">
        <f>WORKDAY(B2748,5)</f>
        <v>45866</v>
      </c>
      <c r="U2748" t="b">
        <f>C2748&gt;T2748</f>
        <v>0</v>
      </c>
    </row>
    <row r="2749" spans="1:21" x14ac:dyDescent="0.25">
      <c r="A2749" t="s">
        <v>1768</v>
      </c>
      <c r="B2749" s="1">
        <v>45859</v>
      </c>
      <c r="C2749" s="1">
        <v>45861</v>
      </c>
      <c r="D2749" t="s">
        <v>1742</v>
      </c>
      <c r="E2749" t="s">
        <v>242</v>
      </c>
      <c r="F2749" t="s">
        <v>94</v>
      </c>
      <c r="G2749" t="s">
        <v>154</v>
      </c>
      <c r="H2749" t="s">
        <v>107</v>
      </c>
      <c r="I2749" s="2">
        <v>1</v>
      </c>
      <c r="J2749" s="3">
        <v>99</v>
      </c>
      <c r="K2749" s="4">
        <v>0</v>
      </c>
      <c r="L2749" s="3">
        <v>99</v>
      </c>
      <c r="M2749" t="b">
        <v>1</v>
      </c>
      <c r="N2749" s="2">
        <f>YEAR(B2749)</f>
        <v>2025</v>
      </c>
      <c r="O2749" t="str">
        <f>INDEX(Agences!$C:$C,MATCH(F2749,Agences!$A:$A,0))</f>
        <v>Méditerranée</v>
      </c>
      <c r="P2749" t="str">
        <f>INDEX(Produits!$C:$C,MATCH(H2749,Produits!$A:$A,0))</f>
        <v>Informatique</v>
      </c>
      <c r="Q2749" s="3">
        <f>I2749*INDEX(Produits!$E:$E,MATCH(H2749,Produits!$A:$A,0))</f>
        <v>75.24</v>
      </c>
      <c r="R2749" s="3">
        <f>L2749-Q2749</f>
        <v>23.760000000000005</v>
      </c>
      <c r="S2749" s="2">
        <f>NETWORKDAYS(B2749,C2749)-1</f>
        <v>2</v>
      </c>
      <c r="T2749" s="1">
        <f>WORKDAY(B2749,5)</f>
        <v>45866</v>
      </c>
      <c r="U2749" t="b">
        <f>C2749&gt;T2749</f>
        <v>0</v>
      </c>
    </row>
    <row r="2750" spans="1:21" x14ac:dyDescent="0.25">
      <c r="A2750" t="s">
        <v>1768</v>
      </c>
      <c r="B2750" s="1">
        <v>45859</v>
      </c>
      <c r="C2750" s="1">
        <v>45861</v>
      </c>
      <c r="D2750" t="s">
        <v>1742</v>
      </c>
      <c r="E2750" t="s">
        <v>242</v>
      </c>
      <c r="F2750" t="s">
        <v>94</v>
      </c>
      <c r="G2750" t="s">
        <v>154</v>
      </c>
      <c r="H2750" t="s">
        <v>103</v>
      </c>
      <c r="I2750" s="2">
        <v>3</v>
      </c>
      <c r="J2750" s="3">
        <v>245</v>
      </c>
      <c r="K2750" s="4">
        <v>0</v>
      </c>
      <c r="L2750" s="3">
        <v>735</v>
      </c>
      <c r="M2750" t="b">
        <v>1</v>
      </c>
      <c r="N2750" s="2">
        <f>YEAR(B2750)</f>
        <v>2025</v>
      </c>
      <c r="O2750" t="str">
        <f>INDEX(Agences!$C:$C,MATCH(F2750,Agences!$A:$A,0))</f>
        <v>Méditerranée</v>
      </c>
      <c r="P2750" t="str">
        <f>INDEX(Produits!$C:$C,MATCH(H2750,Produits!$A:$A,0))</f>
        <v>Mobilier</v>
      </c>
      <c r="Q2750" s="3">
        <f>I2750*INDEX(Produits!$E:$E,MATCH(H2750,Produits!$A:$A,0))</f>
        <v>492.45000000000005</v>
      </c>
      <c r="R2750" s="3">
        <f>L2750-Q2750</f>
        <v>242.54999999999995</v>
      </c>
      <c r="S2750" s="2">
        <f>NETWORKDAYS(B2750,C2750)-1</f>
        <v>2</v>
      </c>
      <c r="T2750" s="1">
        <f>WORKDAY(B2750,5)</f>
        <v>45866</v>
      </c>
      <c r="U2750" t="b">
        <f>C2750&gt;T2750</f>
        <v>0</v>
      </c>
    </row>
    <row r="2751" spans="1:21" x14ac:dyDescent="0.25">
      <c r="A2751" t="s">
        <v>1769</v>
      </c>
      <c r="B2751" s="1">
        <v>45859</v>
      </c>
      <c r="C2751" s="1">
        <v>45862</v>
      </c>
      <c r="D2751" t="s">
        <v>1613</v>
      </c>
      <c r="E2751" t="s">
        <v>316</v>
      </c>
      <c r="F2751" t="s">
        <v>46</v>
      </c>
      <c r="G2751" t="s">
        <v>47</v>
      </c>
      <c r="H2751" t="s">
        <v>49</v>
      </c>
      <c r="I2751" s="2">
        <v>1</v>
      </c>
      <c r="J2751" s="3">
        <v>120</v>
      </c>
      <c r="K2751" s="4">
        <v>0</v>
      </c>
      <c r="L2751" s="3">
        <v>120</v>
      </c>
      <c r="M2751" t="b">
        <v>1</v>
      </c>
      <c r="N2751" s="2">
        <f>YEAR(B2751)</f>
        <v>2025</v>
      </c>
      <c r="O2751" t="str">
        <f>INDEX(Agences!$C:$C,MATCH(F2751,Agences!$A:$A,0))</f>
        <v>Est</v>
      </c>
      <c r="P2751" t="str">
        <f>INDEX(Produits!$C:$C,MATCH(H2751,Produits!$A:$A,0))</f>
        <v>Maintenance</v>
      </c>
      <c r="Q2751" s="3">
        <f>I2751*INDEX(Produits!$E:$E,MATCH(H2751,Produits!$A:$A,0))</f>
        <v>55.2</v>
      </c>
      <c r="R2751" s="3">
        <f>L2751-Q2751</f>
        <v>64.8</v>
      </c>
      <c r="S2751" s="2">
        <f>NETWORKDAYS(B2751,C2751)-1</f>
        <v>3</v>
      </c>
      <c r="T2751" s="1">
        <f>WORKDAY(B2751,5)</f>
        <v>45866</v>
      </c>
      <c r="U2751" t="b">
        <f>C2751&gt;T2751</f>
        <v>0</v>
      </c>
    </row>
    <row r="2752" spans="1:21" x14ac:dyDescent="0.25">
      <c r="A2752" t="s">
        <v>1770</v>
      </c>
      <c r="B2752" s="1">
        <v>45856</v>
      </c>
      <c r="C2752" s="1">
        <v>45859</v>
      </c>
      <c r="D2752" t="s">
        <v>1771</v>
      </c>
      <c r="E2752" t="s">
        <v>23</v>
      </c>
      <c r="F2752" t="s">
        <v>24</v>
      </c>
      <c r="G2752" t="s">
        <v>25</v>
      </c>
      <c r="H2752" t="s">
        <v>51</v>
      </c>
      <c r="I2752" s="2">
        <v>2</v>
      </c>
      <c r="J2752" s="3">
        <v>180</v>
      </c>
      <c r="K2752" s="4">
        <v>0</v>
      </c>
      <c r="L2752" s="3">
        <v>360</v>
      </c>
      <c r="M2752" t="b">
        <v>1</v>
      </c>
      <c r="N2752" s="2">
        <f>YEAR(B2752)</f>
        <v>2025</v>
      </c>
      <c r="O2752" t="str">
        <f>INDEX(Agences!$C:$C,MATCH(F2752,Agences!$A:$A,0))</f>
        <v>Nord</v>
      </c>
      <c r="P2752" t="str">
        <f>INDEX(Produits!$C:$C,MATCH(H2752,Produits!$A:$A,0))</f>
        <v>Maintenance</v>
      </c>
      <c r="Q2752" s="3">
        <f>I2752*INDEX(Produits!$E:$E,MATCH(H2752,Produits!$A:$A,0))</f>
        <v>165.6</v>
      </c>
      <c r="R2752" s="3">
        <f>L2752-Q2752</f>
        <v>194.4</v>
      </c>
      <c r="S2752" s="2">
        <f>NETWORKDAYS(B2752,C2752)-1</f>
        <v>1</v>
      </c>
      <c r="T2752" s="1">
        <f>WORKDAY(B2752,5)</f>
        <v>45863</v>
      </c>
      <c r="U2752" t="b">
        <f>C2752&gt;T2752</f>
        <v>0</v>
      </c>
    </row>
    <row r="2753" spans="1:21" x14ac:dyDescent="0.25">
      <c r="A2753" t="s">
        <v>1770</v>
      </c>
      <c r="B2753" s="1">
        <v>45856</v>
      </c>
      <c r="C2753" s="1">
        <v>45859</v>
      </c>
      <c r="D2753" t="s">
        <v>1771</v>
      </c>
      <c r="E2753" t="s">
        <v>23</v>
      </c>
      <c r="F2753" t="s">
        <v>24</v>
      </c>
      <c r="G2753" t="s">
        <v>25</v>
      </c>
      <c r="H2753" t="s">
        <v>83</v>
      </c>
      <c r="I2753" s="2">
        <v>1</v>
      </c>
      <c r="J2753" s="3">
        <v>49</v>
      </c>
      <c r="K2753" s="4">
        <v>0</v>
      </c>
      <c r="L2753" s="3">
        <v>49</v>
      </c>
      <c r="M2753" t="b">
        <v>1</v>
      </c>
      <c r="N2753" s="2">
        <f>YEAR(B2753)</f>
        <v>2025</v>
      </c>
      <c r="O2753" t="str">
        <f>INDEX(Agences!$C:$C,MATCH(F2753,Agences!$A:$A,0))</f>
        <v>Nord</v>
      </c>
      <c r="P2753" t="str">
        <f>INDEX(Produits!$C:$C,MATCH(H2753,Produits!$A:$A,0))</f>
        <v>Mobilier</v>
      </c>
      <c r="Q2753" s="3">
        <f>I2753*INDEX(Produits!$E:$E,MATCH(H2753,Produits!$A:$A,0))</f>
        <v>28.42</v>
      </c>
      <c r="R2753" s="3">
        <f>L2753-Q2753</f>
        <v>20.58</v>
      </c>
      <c r="S2753" s="2">
        <f>NETWORKDAYS(B2753,C2753)-1</f>
        <v>1</v>
      </c>
      <c r="T2753" s="1">
        <f>WORKDAY(B2753,5)</f>
        <v>45863</v>
      </c>
      <c r="U2753" t="b">
        <f>C2753&gt;T2753</f>
        <v>0</v>
      </c>
    </row>
    <row r="2754" spans="1:21" x14ac:dyDescent="0.25">
      <c r="A2754" t="s">
        <v>1770</v>
      </c>
      <c r="B2754" s="1">
        <v>45856</v>
      </c>
      <c r="C2754" s="1">
        <v>45859</v>
      </c>
      <c r="D2754" t="s">
        <v>1771</v>
      </c>
      <c r="E2754" t="s">
        <v>23</v>
      </c>
      <c r="F2754" t="s">
        <v>24</v>
      </c>
      <c r="G2754" t="s">
        <v>25</v>
      </c>
      <c r="H2754" t="s">
        <v>90</v>
      </c>
      <c r="I2754" s="2">
        <v>5</v>
      </c>
      <c r="J2754" s="3">
        <v>22.9</v>
      </c>
      <c r="K2754" s="4">
        <v>0</v>
      </c>
      <c r="L2754" s="3">
        <v>114.5</v>
      </c>
      <c r="M2754" t="b">
        <v>1</v>
      </c>
      <c r="N2754" s="2">
        <f>YEAR(B2754)</f>
        <v>2025</v>
      </c>
      <c r="O2754" t="str">
        <f>INDEX(Agences!$C:$C,MATCH(F2754,Agences!$A:$A,0))</f>
        <v>Nord</v>
      </c>
      <c r="P2754" t="str">
        <f>INDEX(Produits!$C:$C,MATCH(H2754,Produits!$A:$A,0))</f>
        <v>Fournitures</v>
      </c>
      <c r="Q2754" s="3">
        <f>I2754*INDEX(Produits!$E:$E,MATCH(H2754,Produits!$A:$A,0))</f>
        <v>64.1</v>
      </c>
      <c r="R2754" s="3">
        <f>L2754-Q2754</f>
        <v>50.400000000000006</v>
      </c>
      <c r="S2754" s="2">
        <f>NETWORKDAYS(B2754,C2754)-1</f>
        <v>1</v>
      </c>
      <c r="T2754" s="1">
        <f>WORKDAY(B2754,5)</f>
        <v>45863</v>
      </c>
      <c r="U2754" t="b">
        <f>C2754&gt;T2754</f>
        <v>0</v>
      </c>
    </row>
    <row r="2755" spans="1:21" x14ac:dyDescent="0.25">
      <c r="A2755" t="s">
        <v>1770</v>
      </c>
      <c r="B2755" s="1">
        <v>45856</v>
      </c>
      <c r="C2755" s="1">
        <v>45859</v>
      </c>
      <c r="D2755" t="s">
        <v>1771</v>
      </c>
      <c r="E2755" t="s">
        <v>23</v>
      </c>
      <c r="F2755" t="s">
        <v>24</v>
      </c>
      <c r="G2755" t="s">
        <v>25</v>
      </c>
      <c r="H2755" t="s">
        <v>27</v>
      </c>
      <c r="I2755" s="2">
        <v>2</v>
      </c>
      <c r="J2755" s="3">
        <v>310</v>
      </c>
      <c r="K2755" s="4">
        <v>0.08</v>
      </c>
      <c r="L2755" s="3">
        <v>570.4</v>
      </c>
      <c r="M2755" t="b">
        <v>1</v>
      </c>
      <c r="N2755" s="2">
        <f>YEAR(B2755)</f>
        <v>2025</v>
      </c>
      <c r="O2755" t="str">
        <f>INDEX(Agences!$C:$C,MATCH(F2755,Agences!$A:$A,0))</f>
        <v>Nord</v>
      </c>
      <c r="P2755" t="str">
        <f>INDEX(Produits!$C:$C,MATCH(H2755,Produits!$A:$A,0))</f>
        <v>Mobilier</v>
      </c>
      <c r="Q2755" s="3">
        <f>I2755*INDEX(Produits!$E:$E,MATCH(H2755,Produits!$A:$A,0))</f>
        <v>372</v>
      </c>
      <c r="R2755" s="3">
        <f>L2755-Q2755</f>
        <v>198.39999999999998</v>
      </c>
      <c r="S2755" s="2">
        <f>NETWORKDAYS(B2755,C2755)-1</f>
        <v>1</v>
      </c>
      <c r="T2755" s="1">
        <f>WORKDAY(B2755,5)</f>
        <v>45863</v>
      </c>
      <c r="U2755" t="b">
        <f>C2755&gt;T2755</f>
        <v>0</v>
      </c>
    </row>
    <row r="2756" spans="1:21" x14ac:dyDescent="0.25">
      <c r="A2756" t="s">
        <v>1770</v>
      </c>
      <c r="B2756" s="1">
        <v>45856</v>
      </c>
      <c r="C2756" s="1">
        <v>45859</v>
      </c>
      <c r="D2756" t="s">
        <v>1771</v>
      </c>
      <c r="E2756" t="s">
        <v>23</v>
      </c>
      <c r="F2756" t="s">
        <v>24</v>
      </c>
      <c r="G2756" t="s">
        <v>25</v>
      </c>
      <c r="H2756" t="s">
        <v>41</v>
      </c>
      <c r="I2756" s="2">
        <v>1</v>
      </c>
      <c r="J2756" s="3">
        <v>790</v>
      </c>
      <c r="K2756" s="4">
        <v>0</v>
      </c>
      <c r="L2756" s="3">
        <v>790</v>
      </c>
      <c r="M2756" t="b">
        <v>1</v>
      </c>
      <c r="N2756" s="2">
        <f>YEAR(B2756)</f>
        <v>2025</v>
      </c>
      <c r="O2756" t="str">
        <f>INDEX(Agences!$C:$C,MATCH(F2756,Agences!$A:$A,0))</f>
        <v>Nord</v>
      </c>
      <c r="P2756" t="str">
        <f>INDEX(Produits!$C:$C,MATCH(H2756,Produits!$A:$A,0))</f>
        <v>Informatique</v>
      </c>
      <c r="Q2756" s="3">
        <f>I2756*INDEX(Produits!$E:$E,MATCH(H2756,Produits!$A:$A,0))</f>
        <v>576.7</v>
      </c>
      <c r="R2756" s="3">
        <f>L2756-Q2756</f>
        <v>213.29999999999995</v>
      </c>
      <c r="S2756" s="2">
        <f>NETWORKDAYS(B2756,C2756)-1</f>
        <v>1</v>
      </c>
      <c r="T2756" s="1">
        <f>WORKDAY(B2756,5)</f>
        <v>45863</v>
      </c>
      <c r="U2756" t="b">
        <f>C2756&gt;T2756</f>
        <v>0</v>
      </c>
    </row>
    <row r="2757" spans="1:21" x14ac:dyDescent="0.25">
      <c r="A2757" t="s">
        <v>1772</v>
      </c>
      <c r="B2757" s="1">
        <v>45856</v>
      </c>
      <c r="C2757" s="1">
        <v>45861</v>
      </c>
      <c r="D2757" t="s">
        <v>171</v>
      </c>
      <c r="E2757" t="s">
        <v>172</v>
      </c>
      <c r="F2757" t="s">
        <v>99</v>
      </c>
      <c r="G2757" t="s">
        <v>210</v>
      </c>
      <c r="H2757" t="s">
        <v>50</v>
      </c>
      <c r="I2757" s="2">
        <v>1</v>
      </c>
      <c r="J2757" s="3">
        <v>69</v>
      </c>
      <c r="K2757" s="4">
        <v>0</v>
      </c>
      <c r="L2757" s="3">
        <v>69</v>
      </c>
      <c r="M2757" t="b">
        <v>1</v>
      </c>
      <c r="N2757" s="2">
        <f>YEAR(B2757)</f>
        <v>2025</v>
      </c>
      <c r="O2757" t="str">
        <f>INDEX(Agences!$C:$C,MATCH(F2757,Agences!$A:$A,0))</f>
        <v>Nord</v>
      </c>
      <c r="P2757" t="str">
        <f>INDEX(Produits!$C:$C,MATCH(H2757,Produits!$A:$A,0))</f>
        <v>Informatique</v>
      </c>
      <c r="Q2757" s="3">
        <f>I2757*INDEX(Produits!$E:$E,MATCH(H2757,Produits!$A:$A,0))</f>
        <v>54.51</v>
      </c>
      <c r="R2757" s="3">
        <f>L2757-Q2757</f>
        <v>14.490000000000002</v>
      </c>
      <c r="S2757" s="2">
        <f>NETWORKDAYS(B2757,C2757)-1</f>
        <v>3</v>
      </c>
      <c r="T2757" s="1">
        <f>WORKDAY(B2757,5)</f>
        <v>45863</v>
      </c>
      <c r="U2757" t="b">
        <f>C2757&gt;T2757</f>
        <v>0</v>
      </c>
    </row>
    <row r="2758" spans="1:21" x14ac:dyDescent="0.25">
      <c r="A2758" t="s">
        <v>1773</v>
      </c>
      <c r="B2758" s="1">
        <v>45856</v>
      </c>
      <c r="C2758" s="1">
        <v>45861</v>
      </c>
      <c r="D2758" t="s">
        <v>160</v>
      </c>
      <c r="E2758" t="s">
        <v>137</v>
      </c>
      <c r="F2758" t="s">
        <v>138</v>
      </c>
      <c r="G2758" t="s">
        <v>214</v>
      </c>
      <c r="H2758" t="s">
        <v>33</v>
      </c>
      <c r="I2758" s="2">
        <v>3</v>
      </c>
      <c r="J2758" s="3">
        <v>219</v>
      </c>
      <c r="K2758" s="4">
        <v>0.05</v>
      </c>
      <c r="L2758" s="3">
        <v>624.15</v>
      </c>
      <c r="M2758" t="b">
        <v>1</v>
      </c>
      <c r="N2758" s="2">
        <f>YEAR(B2758)</f>
        <v>2025</v>
      </c>
      <c r="O2758" t="str">
        <f>INDEX(Agences!$C:$C,MATCH(F2758,Agences!$A:$A,0))</f>
        <v>Île-de-France</v>
      </c>
      <c r="P2758" t="str">
        <f>INDEX(Produits!$C:$C,MATCH(H2758,Produits!$A:$A,0))</f>
        <v>Informatique</v>
      </c>
      <c r="Q2758" s="3">
        <f>I2758*INDEX(Produits!$E:$E,MATCH(H2758,Produits!$A:$A,0))</f>
        <v>538.74</v>
      </c>
      <c r="R2758" s="3">
        <f>L2758-Q2758</f>
        <v>85.40999999999997</v>
      </c>
      <c r="S2758" s="2">
        <f>NETWORKDAYS(B2758,C2758)-1</f>
        <v>3</v>
      </c>
      <c r="T2758" s="1">
        <f>WORKDAY(B2758,5)</f>
        <v>45863</v>
      </c>
      <c r="U2758" t="b">
        <f>C2758&gt;T2758</f>
        <v>0</v>
      </c>
    </row>
    <row r="2759" spans="1:21" x14ac:dyDescent="0.25">
      <c r="A2759" t="s">
        <v>1774</v>
      </c>
      <c r="B2759" s="1">
        <v>45855</v>
      </c>
      <c r="C2759" s="1">
        <v>45860</v>
      </c>
      <c r="D2759" t="s">
        <v>802</v>
      </c>
      <c r="E2759" t="s">
        <v>236</v>
      </c>
      <c r="F2759" t="s">
        <v>39</v>
      </c>
      <c r="G2759" t="s">
        <v>131</v>
      </c>
      <c r="H2759" t="s">
        <v>42</v>
      </c>
      <c r="I2759" s="2">
        <v>1</v>
      </c>
      <c r="J2759" s="3">
        <v>55</v>
      </c>
      <c r="K2759" s="4">
        <v>0</v>
      </c>
      <c r="L2759" s="3">
        <v>55</v>
      </c>
      <c r="M2759" t="b">
        <v>1</v>
      </c>
      <c r="N2759" s="2">
        <f>YEAR(B2759)</f>
        <v>2025</v>
      </c>
      <c r="O2759" t="str">
        <f>INDEX(Agences!$C:$C,MATCH(F2759,Agences!$A:$A,0))</f>
        <v>Sud-Ouest</v>
      </c>
      <c r="P2759" t="str">
        <f>INDEX(Produits!$C:$C,MATCH(H2759,Produits!$A:$A,0))</f>
        <v>Maintenance</v>
      </c>
      <c r="Q2759" s="3">
        <f>I2759*INDEX(Produits!$E:$E,MATCH(H2759,Produits!$A:$A,0))</f>
        <v>24.75</v>
      </c>
      <c r="R2759" s="3">
        <f>L2759-Q2759</f>
        <v>30.25</v>
      </c>
      <c r="S2759" s="2">
        <f>NETWORKDAYS(B2759,C2759)-1</f>
        <v>3</v>
      </c>
      <c r="T2759" s="1">
        <f>WORKDAY(B2759,5)</f>
        <v>45862</v>
      </c>
      <c r="U2759" t="b">
        <f>C2759&gt;T2759</f>
        <v>0</v>
      </c>
    </row>
    <row r="2760" spans="1:21" x14ac:dyDescent="0.25">
      <c r="A2760" t="s">
        <v>1774</v>
      </c>
      <c r="B2760" s="1">
        <v>45855</v>
      </c>
      <c r="C2760" s="1">
        <v>45860</v>
      </c>
      <c r="D2760" t="s">
        <v>802</v>
      </c>
      <c r="E2760" t="s">
        <v>236</v>
      </c>
      <c r="F2760" t="s">
        <v>39</v>
      </c>
      <c r="G2760" t="s">
        <v>131</v>
      </c>
      <c r="H2760" t="s">
        <v>64</v>
      </c>
      <c r="I2760" s="2">
        <v>15</v>
      </c>
      <c r="J2760" s="3">
        <v>16.8</v>
      </c>
      <c r="K2760" s="4">
        <v>0.02</v>
      </c>
      <c r="L2760" s="3">
        <v>246.96</v>
      </c>
      <c r="M2760" t="b">
        <v>1</v>
      </c>
      <c r="N2760" s="2">
        <f>YEAR(B2760)</f>
        <v>2025</v>
      </c>
      <c r="O2760" t="str">
        <f>INDEX(Agences!$C:$C,MATCH(F2760,Agences!$A:$A,0))</f>
        <v>Sud-Ouest</v>
      </c>
      <c r="P2760" t="str">
        <f>INDEX(Produits!$C:$C,MATCH(H2760,Produits!$A:$A,0))</f>
        <v>Fournitures</v>
      </c>
      <c r="Q2760" s="3">
        <f>I2760*INDEX(Produits!$E:$E,MATCH(H2760,Produits!$A:$A,0))</f>
        <v>131.1</v>
      </c>
      <c r="R2760" s="3">
        <f>L2760-Q2760</f>
        <v>115.86000000000001</v>
      </c>
      <c r="S2760" s="2">
        <f>NETWORKDAYS(B2760,C2760)-1</f>
        <v>3</v>
      </c>
      <c r="T2760" s="1">
        <f>WORKDAY(B2760,5)</f>
        <v>45862</v>
      </c>
      <c r="U2760" t="b">
        <f>C2760&gt;T2760</f>
        <v>0</v>
      </c>
    </row>
    <row r="2761" spans="1:21" x14ac:dyDescent="0.25">
      <c r="A2761" t="s">
        <v>1774</v>
      </c>
      <c r="B2761" s="1">
        <v>45855</v>
      </c>
      <c r="C2761" s="1">
        <v>45860</v>
      </c>
      <c r="D2761" t="s">
        <v>802</v>
      </c>
      <c r="E2761" t="s">
        <v>236</v>
      </c>
      <c r="F2761" t="s">
        <v>39</v>
      </c>
      <c r="G2761" t="s">
        <v>131</v>
      </c>
      <c r="H2761" t="s">
        <v>217</v>
      </c>
      <c r="I2761" s="2">
        <v>1</v>
      </c>
      <c r="J2761" s="3">
        <v>1090</v>
      </c>
      <c r="K2761" s="4">
        <v>0</v>
      </c>
      <c r="L2761" s="3">
        <v>1090</v>
      </c>
      <c r="M2761" t="b">
        <v>1</v>
      </c>
      <c r="N2761" s="2">
        <f>YEAR(B2761)</f>
        <v>2025</v>
      </c>
      <c r="O2761" t="str">
        <f>INDEX(Agences!$C:$C,MATCH(F2761,Agences!$A:$A,0))</f>
        <v>Sud-Ouest</v>
      </c>
      <c r="P2761" t="str">
        <f>INDEX(Produits!$C:$C,MATCH(H2761,Produits!$A:$A,0))</f>
        <v>Informatique</v>
      </c>
      <c r="Q2761" s="3">
        <f>I2761*INDEX(Produits!$E:$E,MATCH(H2761,Produits!$A:$A,0))</f>
        <v>817.5</v>
      </c>
      <c r="R2761" s="3">
        <f>L2761-Q2761</f>
        <v>272.5</v>
      </c>
      <c r="S2761" s="2">
        <f>NETWORKDAYS(B2761,C2761)-1</f>
        <v>3</v>
      </c>
      <c r="T2761" s="1">
        <f>WORKDAY(B2761,5)</f>
        <v>45862</v>
      </c>
      <c r="U2761" t="b">
        <f>C2761&gt;T2761</f>
        <v>0</v>
      </c>
    </row>
    <row r="2762" spans="1:21" x14ac:dyDescent="0.25">
      <c r="A2762" t="s">
        <v>1774</v>
      </c>
      <c r="B2762" s="1">
        <v>45855</v>
      </c>
      <c r="C2762" s="1">
        <v>45860</v>
      </c>
      <c r="D2762" t="s">
        <v>802</v>
      </c>
      <c r="E2762" t="s">
        <v>236</v>
      </c>
      <c r="F2762" t="s">
        <v>39</v>
      </c>
      <c r="G2762" t="s">
        <v>131</v>
      </c>
      <c r="H2762" t="s">
        <v>57</v>
      </c>
      <c r="I2762" s="2">
        <v>3</v>
      </c>
      <c r="J2762" s="3">
        <v>149</v>
      </c>
      <c r="K2762" s="4">
        <v>0</v>
      </c>
      <c r="L2762" s="3">
        <v>447</v>
      </c>
      <c r="M2762" t="b">
        <v>1</v>
      </c>
      <c r="N2762" s="2">
        <f>YEAR(B2762)</f>
        <v>2025</v>
      </c>
      <c r="O2762" t="str">
        <f>INDEX(Agences!$C:$C,MATCH(F2762,Agences!$A:$A,0))</f>
        <v>Sud-Ouest</v>
      </c>
      <c r="P2762" t="str">
        <f>INDEX(Produits!$C:$C,MATCH(H2762,Produits!$A:$A,0))</f>
        <v>Informatique</v>
      </c>
      <c r="Q2762" s="3">
        <f>I2762*INDEX(Produits!$E:$E,MATCH(H2762,Produits!$A:$A,0))</f>
        <v>344.19</v>
      </c>
      <c r="R2762" s="3">
        <f>L2762-Q2762</f>
        <v>102.81</v>
      </c>
      <c r="S2762" s="2">
        <f>NETWORKDAYS(B2762,C2762)-1</f>
        <v>3</v>
      </c>
      <c r="T2762" s="1">
        <f>WORKDAY(B2762,5)</f>
        <v>45862</v>
      </c>
      <c r="U2762" t="b">
        <f>C2762&gt;T2762</f>
        <v>0</v>
      </c>
    </row>
    <row r="2763" spans="1:21" x14ac:dyDescent="0.25">
      <c r="A2763" t="s">
        <v>1775</v>
      </c>
      <c r="B2763" s="1">
        <v>45854</v>
      </c>
      <c r="C2763" s="1">
        <v>45859</v>
      </c>
      <c r="D2763" t="s">
        <v>1320</v>
      </c>
      <c r="E2763" t="s">
        <v>172</v>
      </c>
      <c r="F2763" t="s">
        <v>99</v>
      </c>
      <c r="G2763" t="s">
        <v>210</v>
      </c>
      <c r="H2763" t="s">
        <v>50</v>
      </c>
      <c r="I2763" s="2">
        <v>3</v>
      </c>
      <c r="J2763" s="3">
        <v>69</v>
      </c>
      <c r="K2763" s="4">
        <v>0.02</v>
      </c>
      <c r="L2763" s="3">
        <v>202.86</v>
      </c>
      <c r="M2763" t="b">
        <v>1</v>
      </c>
      <c r="N2763" s="2">
        <f>YEAR(B2763)</f>
        <v>2025</v>
      </c>
      <c r="O2763" t="str">
        <f>INDEX(Agences!$C:$C,MATCH(F2763,Agences!$A:$A,0))</f>
        <v>Nord</v>
      </c>
      <c r="P2763" t="str">
        <f>INDEX(Produits!$C:$C,MATCH(H2763,Produits!$A:$A,0))</f>
        <v>Informatique</v>
      </c>
      <c r="Q2763" s="3">
        <f>I2763*INDEX(Produits!$E:$E,MATCH(H2763,Produits!$A:$A,0))</f>
        <v>163.53</v>
      </c>
      <c r="R2763" s="3">
        <f>L2763-Q2763</f>
        <v>39.33000000000001</v>
      </c>
      <c r="S2763" s="2">
        <f>NETWORKDAYS(B2763,C2763)-1</f>
        <v>3</v>
      </c>
      <c r="T2763" s="1">
        <f>WORKDAY(B2763,5)</f>
        <v>45861</v>
      </c>
      <c r="U2763" t="b">
        <f>C2763&gt;T2763</f>
        <v>0</v>
      </c>
    </row>
    <row r="2764" spans="1:21" x14ac:dyDescent="0.25">
      <c r="A2764" t="s">
        <v>1775</v>
      </c>
      <c r="B2764" s="1">
        <v>45854</v>
      </c>
      <c r="C2764" s="1">
        <v>45859</v>
      </c>
      <c r="D2764" t="s">
        <v>1320</v>
      </c>
      <c r="E2764" t="s">
        <v>172</v>
      </c>
      <c r="F2764" t="s">
        <v>99</v>
      </c>
      <c r="G2764" t="s">
        <v>210</v>
      </c>
      <c r="H2764" t="s">
        <v>319</v>
      </c>
      <c r="I2764" s="2">
        <v>1</v>
      </c>
      <c r="J2764" s="3">
        <v>289</v>
      </c>
      <c r="K2764" s="4">
        <v>0</v>
      </c>
      <c r="L2764" s="3">
        <v>289</v>
      </c>
      <c r="M2764" t="b">
        <v>1</v>
      </c>
      <c r="N2764" s="2">
        <f>YEAR(B2764)</f>
        <v>2025</v>
      </c>
      <c r="O2764" t="str">
        <f>INDEX(Agences!$C:$C,MATCH(F2764,Agences!$A:$A,0))</f>
        <v>Nord</v>
      </c>
      <c r="P2764" t="str">
        <f>INDEX(Produits!$C:$C,MATCH(H2764,Produits!$A:$A,0))</f>
        <v>Informatique</v>
      </c>
      <c r="Q2764" s="3">
        <f>I2764*INDEX(Produits!$E:$E,MATCH(H2764,Produits!$A:$A,0))</f>
        <v>213.86</v>
      </c>
      <c r="R2764" s="3">
        <f>L2764-Q2764</f>
        <v>75.13999999999999</v>
      </c>
      <c r="S2764" s="2">
        <f>NETWORKDAYS(B2764,C2764)-1</f>
        <v>3</v>
      </c>
      <c r="T2764" s="1">
        <f>WORKDAY(B2764,5)</f>
        <v>45861</v>
      </c>
      <c r="U2764" t="b">
        <f>C2764&gt;T2764</f>
        <v>0</v>
      </c>
    </row>
    <row r="2765" spans="1:21" x14ac:dyDescent="0.25">
      <c r="A2765" t="s">
        <v>1776</v>
      </c>
      <c r="B2765" s="1">
        <v>45854</v>
      </c>
      <c r="C2765" s="1">
        <v>45855</v>
      </c>
      <c r="D2765" t="s">
        <v>592</v>
      </c>
      <c r="E2765" t="s">
        <v>98</v>
      </c>
      <c r="F2765" t="s">
        <v>99</v>
      </c>
      <c r="G2765" t="s">
        <v>210</v>
      </c>
      <c r="H2765" t="s">
        <v>79</v>
      </c>
      <c r="I2765" s="2">
        <v>15</v>
      </c>
      <c r="J2765" s="3">
        <v>14.9</v>
      </c>
      <c r="K2765" s="4">
        <v>0.02</v>
      </c>
      <c r="L2765" s="3">
        <v>219.03</v>
      </c>
      <c r="M2765" t="b">
        <v>1</v>
      </c>
      <c r="N2765" s="2">
        <f>YEAR(B2765)</f>
        <v>2025</v>
      </c>
      <c r="O2765" t="str">
        <f>INDEX(Agences!$C:$C,MATCH(F2765,Agences!$A:$A,0))</f>
        <v>Nord</v>
      </c>
      <c r="P2765" t="str">
        <f>INDEX(Produits!$C:$C,MATCH(H2765,Produits!$A:$A,0))</f>
        <v>Fournitures</v>
      </c>
      <c r="Q2765" s="3">
        <f>I2765*INDEX(Produits!$E:$E,MATCH(H2765,Produits!$A:$A,0))</f>
        <v>120.75000000000001</v>
      </c>
      <c r="R2765" s="3">
        <f>L2765-Q2765</f>
        <v>98.27999999999999</v>
      </c>
      <c r="S2765" s="2">
        <f>NETWORKDAYS(B2765,C2765)-1</f>
        <v>1</v>
      </c>
      <c r="T2765" s="1">
        <f>WORKDAY(B2765,5)</f>
        <v>45861</v>
      </c>
      <c r="U2765" t="b">
        <f>C2765&gt;T2765</f>
        <v>0</v>
      </c>
    </row>
    <row r="2766" spans="1:21" x14ac:dyDescent="0.25">
      <c r="A2766" t="s">
        <v>1776</v>
      </c>
      <c r="B2766" s="1">
        <v>45854</v>
      </c>
      <c r="C2766" s="1">
        <v>45855</v>
      </c>
      <c r="D2766" t="s">
        <v>592</v>
      </c>
      <c r="E2766" t="s">
        <v>98</v>
      </c>
      <c r="F2766" t="s">
        <v>99</v>
      </c>
      <c r="G2766" t="s">
        <v>210</v>
      </c>
      <c r="H2766" t="s">
        <v>606</v>
      </c>
      <c r="I2766" s="2">
        <v>1</v>
      </c>
      <c r="J2766" s="3">
        <v>1150</v>
      </c>
      <c r="K2766" s="4">
        <v>0</v>
      </c>
      <c r="L2766" s="3">
        <v>1150</v>
      </c>
      <c r="M2766" t="b">
        <v>1</v>
      </c>
      <c r="N2766" s="2">
        <f>YEAR(B2766)</f>
        <v>2025</v>
      </c>
      <c r="O2766" t="str">
        <f>INDEX(Agences!$C:$C,MATCH(F2766,Agences!$A:$A,0))</f>
        <v>Nord</v>
      </c>
      <c r="P2766" t="str">
        <f>INDEX(Produits!$C:$C,MATCH(H2766,Produits!$A:$A,0))</f>
        <v>Mobilier</v>
      </c>
      <c r="Q2766" s="3">
        <f>I2766*INDEX(Produits!$E:$E,MATCH(H2766,Produits!$A:$A,0))</f>
        <v>713</v>
      </c>
      <c r="R2766" s="3">
        <f>L2766-Q2766</f>
        <v>437</v>
      </c>
      <c r="S2766" s="2">
        <f>NETWORKDAYS(B2766,C2766)-1</f>
        <v>1</v>
      </c>
      <c r="T2766" s="1">
        <f>WORKDAY(B2766,5)</f>
        <v>45861</v>
      </c>
      <c r="U2766" t="b">
        <f>C2766&gt;T2766</f>
        <v>0</v>
      </c>
    </row>
    <row r="2767" spans="1:21" x14ac:dyDescent="0.25">
      <c r="A2767" t="s">
        <v>1777</v>
      </c>
      <c r="B2767" s="1">
        <v>45854</v>
      </c>
      <c r="C2767" s="1">
        <v>45859</v>
      </c>
      <c r="D2767" t="s">
        <v>861</v>
      </c>
      <c r="E2767" t="s">
        <v>175</v>
      </c>
      <c r="F2767" t="s">
        <v>76</v>
      </c>
      <c r="G2767" t="s">
        <v>232</v>
      </c>
      <c r="H2767" t="s">
        <v>84</v>
      </c>
      <c r="I2767" s="2">
        <v>2</v>
      </c>
      <c r="J2767" s="3">
        <v>420</v>
      </c>
      <c r="K2767" s="4">
        <v>0.08</v>
      </c>
      <c r="L2767" s="3">
        <v>772.8</v>
      </c>
      <c r="M2767" t="b">
        <v>1</v>
      </c>
      <c r="N2767" s="2">
        <f>YEAR(B2767)</f>
        <v>2025</v>
      </c>
      <c r="O2767" t="str">
        <f>INDEX(Agences!$C:$C,MATCH(F2767,Agences!$A:$A,0))</f>
        <v>Île-de-France</v>
      </c>
      <c r="P2767" t="str">
        <f>INDEX(Produits!$C:$C,MATCH(H2767,Produits!$A:$A,0))</f>
        <v>Mobilier</v>
      </c>
      <c r="Q2767" s="3">
        <f>I2767*INDEX(Produits!$E:$E,MATCH(H2767,Produits!$A:$A,0))</f>
        <v>487.2</v>
      </c>
      <c r="R2767" s="3">
        <f>L2767-Q2767</f>
        <v>285.59999999999997</v>
      </c>
      <c r="S2767" s="2">
        <f>NETWORKDAYS(B2767,C2767)-1</f>
        <v>3</v>
      </c>
      <c r="T2767" s="1">
        <f>WORKDAY(B2767,5)</f>
        <v>45861</v>
      </c>
      <c r="U2767" t="b">
        <f>C2767&gt;T2767</f>
        <v>0</v>
      </c>
    </row>
    <row r="2768" spans="1:21" x14ac:dyDescent="0.25">
      <c r="A2768" t="s">
        <v>1777</v>
      </c>
      <c r="B2768" s="1">
        <v>45854</v>
      </c>
      <c r="C2768" s="1">
        <v>45859</v>
      </c>
      <c r="D2768" t="s">
        <v>861</v>
      </c>
      <c r="E2768" t="s">
        <v>175</v>
      </c>
      <c r="F2768" t="s">
        <v>76</v>
      </c>
      <c r="G2768" t="s">
        <v>232</v>
      </c>
      <c r="H2768" t="s">
        <v>108</v>
      </c>
      <c r="I2768" s="2">
        <v>10</v>
      </c>
      <c r="J2768" s="3">
        <v>24.5</v>
      </c>
      <c r="K2768" s="4">
        <v>0</v>
      </c>
      <c r="L2768" s="3">
        <v>245</v>
      </c>
      <c r="M2768" t="b">
        <v>1</v>
      </c>
      <c r="N2768" s="2">
        <f>YEAR(B2768)</f>
        <v>2025</v>
      </c>
      <c r="O2768" t="str">
        <f>INDEX(Agences!$C:$C,MATCH(F2768,Agences!$A:$A,0))</f>
        <v>Île-de-France</v>
      </c>
      <c r="P2768" t="str">
        <f>INDEX(Produits!$C:$C,MATCH(H2768,Produits!$A:$A,0))</f>
        <v>Fournitures</v>
      </c>
      <c r="Q2768" s="3">
        <f>I2768*INDEX(Produits!$E:$E,MATCH(H2768,Produits!$A:$A,0))</f>
        <v>147</v>
      </c>
      <c r="R2768" s="3">
        <f>L2768-Q2768</f>
        <v>98</v>
      </c>
      <c r="S2768" s="2">
        <f>NETWORKDAYS(B2768,C2768)-1</f>
        <v>3</v>
      </c>
      <c r="T2768" s="1">
        <f>WORKDAY(B2768,5)</f>
        <v>45861</v>
      </c>
      <c r="U2768" t="b">
        <f>C2768&gt;T2768</f>
        <v>0</v>
      </c>
    </row>
    <row r="2769" spans="1:21" x14ac:dyDescent="0.25">
      <c r="A2769" t="s">
        <v>1777</v>
      </c>
      <c r="B2769" s="1">
        <v>45854</v>
      </c>
      <c r="C2769" s="1">
        <v>45859</v>
      </c>
      <c r="D2769" t="s">
        <v>861</v>
      </c>
      <c r="E2769" t="s">
        <v>175</v>
      </c>
      <c r="F2769" t="s">
        <v>76</v>
      </c>
      <c r="G2769" t="s">
        <v>232</v>
      </c>
      <c r="H2769" t="s">
        <v>42</v>
      </c>
      <c r="I2769" s="2">
        <v>1</v>
      </c>
      <c r="J2769" s="3">
        <v>55</v>
      </c>
      <c r="K2769" s="4">
        <v>0.02</v>
      </c>
      <c r="L2769" s="3">
        <v>53.9</v>
      </c>
      <c r="M2769" t="b">
        <v>1</v>
      </c>
      <c r="N2769" s="2">
        <f>YEAR(B2769)</f>
        <v>2025</v>
      </c>
      <c r="O2769" t="str">
        <f>INDEX(Agences!$C:$C,MATCH(F2769,Agences!$A:$A,0))</f>
        <v>Île-de-France</v>
      </c>
      <c r="P2769" t="str">
        <f>INDEX(Produits!$C:$C,MATCH(H2769,Produits!$A:$A,0))</f>
        <v>Maintenance</v>
      </c>
      <c r="Q2769" s="3">
        <f>I2769*INDEX(Produits!$E:$E,MATCH(H2769,Produits!$A:$A,0))</f>
        <v>24.75</v>
      </c>
      <c r="R2769" s="3">
        <f>L2769-Q2769</f>
        <v>29.15</v>
      </c>
      <c r="S2769" s="2">
        <f>NETWORKDAYS(B2769,C2769)-1</f>
        <v>3</v>
      </c>
      <c r="T2769" s="1">
        <f>WORKDAY(B2769,5)</f>
        <v>45861</v>
      </c>
      <c r="U2769" t="b">
        <f>C2769&gt;T2769</f>
        <v>0</v>
      </c>
    </row>
    <row r="2770" spans="1:21" x14ac:dyDescent="0.25">
      <c r="A2770" t="s">
        <v>1777</v>
      </c>
      <c r="B2770" s="1">
        <v>45854</v>
      </c>
      <c r="C2770" s="1">
        <v>45859</v>
      </c>
      <c r="D2770" t="s">
        <v>861</v>
      </c>
      <c r="E2770" t="s">
        <v>175</v>
      </c>
      <c r="F2770" t="s">
        <v>76</v>
      </c>
      <c r="G2770" t="s">
        <v>232</v>
      </c>
      <c r="H2770" t="s">
        <v>83</v>
      </c>
      <c r="I2770" s="2">
        <v>5</v>
      </c>
      <c r="J2770" s="3">
        <v>49</v>
      </c>
      <c r="K2770" s="4">
        <v>0.02</v>
      </c>
      <c r="L2770" s="3">
        <v>240.1</v>
      </c>
      <c r="M2770" t="b">
        <v>1</v>
      </c>
      <c r="N2770" s="2">
        <f>YEAR(B2770)</f>
        <v>2025</v>
      </c>
      <c r="O2770" t="str">
        <f>INDEX(Agences!$C:$C,MATCH(F2770,Agences!$A:$A,0))</f>
        <v>Île-de-France</v>
      </c>
      <c r="P2770" t="str">
        <f>INDEX(Produits!$C:$C,MATCH(H2770,Produits!$A:$A,0))</f>
        <v>Mobilier</v>
      </c>
      <c r="Q2770" s="3">
        <f>I2770*INDEX(Produits!$E:$E,MATCH(H2770,Produits!$A:$A,0))</f>
        <v>142.10000000000002</v>
      </c>
      <c r="R2770" s="3">
        <f>L2770-Q2770</f>
        <v>97.99999999999997</v>
      </c>
      <c r="S2770" s="2">
        <f>NETWORKDAYS(B2770,C2770)-1</f>
        <v>3</v>
      </c>
      <c r="T2770" s="1">
        <f>WORKDAY(B2770,5)</f>
        <v>45861</v>
      </c>
      <c r="U2770" t="b">
        <f>C2770&gt;T2770</f>
        <v>0</v>
      </c>
    </row>
    <row r="2771" spans="1:21" x14ac:dyDescent="0.25">
      <c r="A2771" t="s">
        <v>1778</v>
      </c>
      <c r="B2771" s="1">
        <v>45854</v>
      </c>
      <c r="C2771" s="1">
        <v>45860</v>
      </c>
      <c r="D2771" t="s">
        <v>1779</v>
      </c>
      <c r="E2771" t="s">
        <v>242</v>
      </c>
      <c r="F2771" t="s">
        <v>94</v>
      </c>
      <c r="G2771" t="s">
        <v>154</v>
      </c>
      <c r="H2771" t="s">
        <v>34</v>
      </c>
      <c r="I2771" s="2">
        <v>2</v>
      </c>
      <c r="J2771" s="3">
        <v>340</v>
      </c>
      <c r="K2771" s="4">
        <v>0.1</v>
      </c>
      <c r="L2771" s="3">
        <v>612</v>
      </c>
      <c r="M2771" t="b">
        <v>1</v>
      </c>
      <c r="N2771" s="2">
        <f>YEAR(B2771)</f>
        <v>2025</v>
      </c>
      <c r="O2771" t="str">
        <f>INDEX(Agences!$C:$C,MATCH(F2771,Agences!$A:$A,0))</f>
        <v>Méditerranée</v>
      </c>
      <c r="P2771" t="str">
        <f>INDEX(Produits!$C:$C,MATCH(H2771,Produits!$A:$A,0))</f>
        <v>Informatique</v>
      </c>
      <c r="Q2771" s="3">
        <f>I2771*INDEX(Produits!$E:$E,MATCH(H2771,Produits!$A:$A,0))</f>
        <v>550.8</v>
      </c>
      <c r="R2771" s="3">
        <f>L2771-Q2771</f>
        <v>61.200000000000045</v>
      </c>
      <c r="S2771" s="2">
        <f>NETWORKDAYS(B2771,C2771)-1</f>
        <v>4</v>
      </c>
      <c r="T2771" s="1">
        <f>WORKDAY(B2771,5)</f>
        <v>45861</v>
      </c>
      <c r="U2771" t="b">
        <f>C2771&gt;T2771</f>
        <v>0</v>
      </c>
    </row>
    <row r="2772" spans="1:21" x14ac:dyDescent="0.25">
      <c r="A2772" t="s">
        <v>1778</v>
      </c>
      <c r="B2772" s="1">
        <v>45854</v>
      </c>
      <c r="C2772" s="1">
        <v>45860</v>
      </c>
      <c r="D2772" t="s">
        <v>1779</v>
      </c>
      <c r="E2772" t="s">
        <v>242</v>
      </c>
      <c r="F2772" t="s">
        <v>94</v>
      </c>
      <c r="G2772" t="s">
        <v>154</v>
      </c>
      <c r="H2772" t="s">
        <v>50</v>
      </c>
      <c r="I2772" s="2">
        <v>1</v>
      </c>
      <c r="J2772" s="3">
        <v>69</v>
      </c>
      <c r="K2772" s="4">
        <v>0</v>
      </c>
      <c r="L2772" s="3">
        <v>69</v>
      </c>
      <c r="M2772" t="b">
        <v>1</v>
      </c>
      <c r="N2772" s="2">
        <f>YEAR(B2772)</f>
        <v>2025</v>
      </c>
      <c r="O2772" t="str">
        <f>INDEX(Agences!$C:$C,MATCH(F2772,Agences!$A:$A,0))</f>
        <v>Méditerranée</v>
      </c>
      <c r="P2772" t="str">
        <f>INDEX(Produits!$C:$C,MATCH(H2772,Produits!$A:$A,0))</f>
        <v>Informatique</v>
      </c>
      <c r="Q2772" s="3">
        <f>I2772*INDEX(Produits!$E:$E,MATCH(H2772,Produits!$A:$A,0))</f>
        <v>54.51</v>
      </c>
      <c r="R2772" s="3">
        <f>L2772-Q2772</f>
        <v>14.490000000000002</v>
      </c>
      <c r="S2772" s="2">
        <f>NETWORKDAYS(B2772,C2772)-1</f>
        <v>4</v>
      </c>
      <c r="T2772" s="1">
        <f>WORKDAY(B2772,5)</f>
        <v>45861</v>
      </c>
      <c r="U2772" t="b">
        <f>C2772&gt;T2772</f>
        <v>0</v>
      </c>
    </row>
    <row r="2773" spans="1:21" x14ac:dyDescent="0.25">
      <c r="A2773" t="s">
        <v>1778</v>
      </c>
      <c r="B2773" s="1">
        <v>45854</v>
      </c>
      <c r="C2773" s="1">
        <v>45860</v>
      </c>
      <c r="D2773" t="s">
        <v>1779</v>
      </c>
      <c r="E2773" t="s">
        <v>242</v>
      </c>
      <c r="F2773" t="s">
        <v>94</v>
      </c>
      <c r="G2773" t="s">
        <v>154</v>
      </c>
      <c r="H2773" t="s">
        <v>127</v>
      </c>
      <c r="I2773" s="2">
        <v>1</v>
      </c>
      <c r="J2773" s="3">
        <v>649</v>
      </c>
      <c r="K2773" s="4">
        <v>0.05</v>
      </c>
      <c r="L2773" s="3">
        <v>616.55</v>
      </c>
      <c r="M2773" t="b">
        <v>1</v>
      </c>
      <c r="N2773" s="2">
        <f>YEAR(B2773)</f>
        <v>2025</v>
      </c>
      <c r="O2773" t="str">
        <f>INDEX(Agences!$C:$C,MATCH(F2773,Agences!$A:$A,0))</f>
        <v>Méditerranée</v>
      </c>
      <c r="P2773" t="str">
        <f>INDEX(Produits!$C:$C,MATCH(H2773,Produits!$A:$A,0))</f>
        <v>Informatique</v>
      </c>
      <c r="Q2773" s="3">
        <f>I2773*INDEX(Produits!$E:$E,MATCH(H2773,Produits!$A:$A,0))</f>
        <v>480.26</v>
      </c>
      <c r="R2773" s="3">
        <f>L2773-Q2773</f>
        <v>136.28999999999996</v>
      </c>
      <c r="S2773" s="2">
        <f>NETWORKDAYS(B2773,C2773)-1</f>
        <v>4</v>
      </c>
      <c r="T2773" s="1">
        <f>WORKDAY(B2773,5)</f>
        <v>45861</v>
      </c>
      <c r="U2773" t="b">
        <f>C2773&gt;T2773</f>
        <v>0</v>
      </c>
    </row>
    <row r="2774" spans="1:21" x14ac:dyDescent="0.25">
      <c r="A2774" t="s">
        <v>1780</v>
      </c>
      <c r="B2774" s="1">
        <v>45854</v>
      </c>
      <c r="C2774" s="1">
        <v>45861</v>
      </c>
      <c r="D2774" t="s">
        <v>750</v>
      </c>
      <c r="E2774" t="s">
        <v>229</v>
      </c>
      <c r="F2774" t="s">
        <v>55</v>
      </c>
      <c r="G2774" t="s">
        <v>195</v>
      </c>
      <c r="H2774" t="s">
        <v>27</v>
      </c>
      <c r="I2774" s="2">
        <v>1</v>
      </c>
      <c r="J2774" s="3">
        <v>310</v>
      </c>
      <c r="K2774" s="4">
        <v>0</v>
      </c>
      <c r="L2774" s="3">
        <v>310</v>
      </c>
      <c r="M2774" t="b">
        <v>1</v>
      </c>
      <c r="N2774" s="2">
        <f>YEAR(B2774)</f>
        <v>2025</v>
      </c>
      <c r="O2774" t="str">
        <f>INDEX(Agences!$C:$C,MATCH(F2774,Agences!$A:$A,0))</f>
        <v>Est</v>
      </c>
      <c r="P2774" t="str">
        <f>INDEX(Produits!$C:$C,MATCH(H2774,Produits!$A:$A,0))</f>
        <v>Mobilier</v>
      </c>
      <c r="Q2774" s="3">
        <f>I2774*INDEX(Produits!$E:$E,MATCH(H2774,Produits!$A:$A,0))</f>
        <v>186</v>
      </c>
      <c r="R2774" s="3">
        <f>L2774-Q2774</f>
        <v>124</v>
      </c>
      <c r="S2774" s="2">
        <f>NETWORKDAYS(B2774,C2774)-1</f>
        <v>5</v>
      </c>
      <c r="T2774" s="1">
        <f>WORKDAY(B2774,5)</f>
        <v>45861</v>
      </c>
      <c r="U2774" t="b">
        <f>C2774&gt;T2774</f>
        <v>0</v>
      </c>
    </row>
    <row r="2775" spans="1:21" x14ac:dyDescent="0.25">
      <c r="A2775" t="s">
        <v>1781</v>
      </c>
      <c r="B2775" s="1">
        <v>45852</v>
      </c>
      <c r="C2775" s="1">
        <v>45855</v>
      </c>
      <c r="D2775" t="s">
        <v>351</v>
      </c>
      <c r="E2775" t="s">
        <v>202</v>
      </c>
      <c r="F2775" t="s">
        <v>138</v>
      </c>
      <c r="G2775" t="s">
        <v>214</v>
      </c>
      <c r="H2775" t="s">
        <v>49</v>
      </c>
      <c r="I2775" s="2">
        <v>1</v>
      </c>
      <c r="J2775" s="3">
        <v>120</v>
      </c>
      <c r="K2775" s="4">
        <v>0.08</v>
      </c>
      <c r="L2775" s="3">
        <v>110.4</v>
      </c>
      <c r="M2775" t="b">
        <v>1</v>
      </c>
      <c r="N2775" s="2">
        <f>YEAR(B2775)</f>
        <v>2025</v>
      </c>
      <c r="O2775" t="str">
        <f>INDEX(Agences!$C:$C,MATCH(F2775,Agences!$A:$A,0))</f>
        <v>Île-de-France</v>
      </c>
      <c r="P2775" t="str">
        <f>INDEX(Produits!$C:$C,MATCH(H2775,Produits!$A:$A,0))</f>
        <v>Maintenance</v>
      </c>
      <c r="Q2775" s="3">
        <f>I2775*INDEX(Produits!$E:$E,MATCH(H2775,Produits!$A:$A,0))</f>
        <v>55.2</v>
      </c>
      <c r="R2775" s="3">
        <f>L2775-Q2775</f>
        <v>55.2</v>
      </c>
      <c r="S2775" s="2">
        <f>NETWORKDAYS(B2775,C2775)-1</f>
        <v>3</v>
      </c>
      <c r="T2775" s="1">
        <f>WORKDAY(B2775,5)</f>
        <v>45859</v>
      </c>
      <c r="U2775" t="b">
        <f>C2775&gt;T2775</f>
        <v>0</v>
      </c>
    </row>
    <row r="2776" spans="1:21" x14ac:dyDescent="0.25">
      <c r="A2776" t="s">
        <v>1782</v>
      </c>
      <c r="B2776" s="1">
        <v>45852</v>
      </c>
      <c r="C2776" s="1">
        <v>45855</v>
      </c>
      <c r="D2776" t="s">
        <v>1783</v>
      </c>
      <c r="E2776" t="s">
        <v>339</v>
      </c>
      <c r="F2776" t="s">
        <v>31</v>
      </c>
      <c r="G2776" t="s">
        <v>186</v>
      </c>
      <c r="H2776" t="s">
        <v>79</v>
      </c>
      <c r="I2776" s="2">
        <v>10</v>
      </c>
      <c r="J2776" s="3">
        <v>14.9</v>
      </c>
      <c r="K2776" s="4">
        <v>0</v>
      </c>
      <c r="L2776" s="3">
        <v>149</v>
      </c>
      <c r="M2776" t="b">
        <v>1</v>
      </c>
      <c r="N2776" s="2">
        <f>YEAR(B2776)</f>
        <v>2025</v>
      </c>
      <c r="O2776" t="str">
        <f>INDEX(Agences!$C:$C,MATCH(F2776,Agences!$A:$A,0))</f>
        <v>Ouest</v>
      </c>
      <c r="P2776" t="str">
        <f>INDEX(Produits!$C:$C,MATCH(H2776,Produits!$A:$A,0))</f>
        <v>Fournitures</v>
      </c>
      <c r="Q2776" s="3">
        <f>I2776*INDEX(Produits!$E:$E,MATCH(H2776,Produits!$A:$A,0))</f>
        <v>80.5</v>
      </c>
      <c r="R2776" s="3">
        <f>L2776-Q2776</f>
        <v>68.5</v>
      </c>
      <c r="S2776" s="2">
        <f>NETWORKDAYS(B2776,C2776)-1</f>
        <v>3</v>
      </c>
      <c r="T2776" s="1">
        <f>WORKDAY(B2776,5)</f>
        <v>45859</v>
      </c>
      <c r="U2776" t="b">
        <f>C2776&gt;T2776</f>
        <v>0</v>
      </c>
    </row>
    <row r="2777" spans="1:21" x14ac:dyDescent="0.25">
      <c r="A2777" t="s">
        <v>1782</v>
      </c>
      <c r="B2777" s="1">
        <v>45852</v>
      </c>
      <c r="C2777" s="1">
        <v>45855</v>
      </c>
      <c r="D2777" t="s">
        <v>1783</v>
      </c>
      <c r="E2777" t="s">
        <v>339</v>
      </c>
      <c r="F2777" t="s">
        <v>31</v>
      </c>
      <c r="G2777" t="s">
        <v>186</v>
      </c>
      <c r="H2777" t="s">
        <v>50</v>
      </c>
      <c r="I2777" s="2">
        <v>2</v>
      </c>
      <c r="J2777" s="3">
        <v>69</v>
      </c>
      <c r="K2777" s="4">
        <v>0</v>
      </c>
      <c r="L2777" s="3">
        <v>138</v>
      </c>
      <c r="M2777" t="b">
        <v>1</v>
      </c>
      <c r="N2777" s="2">
        <f>YEAR(B2777)</f>
        <v>2025</v>
      </c>
      <c r="O2777" t="str">
        <f>INDEX(Agences!$C:$C,MATCH(F2777,Agences!$A:$A,0))</f>
        <v>Ouest</v>
      </c>
      <c r="P2777" t="str">
        <f>INDEX(Produits!$C:$C,MATCH(H2777,Produits!$A:$A,0))</f>
        <v>Informatique</v>
      </c>
      <c r="Q2777" s="3">
        <f>I2777*INDEX(Produits!$E:$E,MATCH(H2777,Produits!$A:$A,0))</f>
        <v>109.02</v>
      </c>
      <c r="R2777" s="3">
        <f>L2777-Q2777</f>
        <v>28.980000000000004</v>
      </c>
      <c r="S2777" s="2">
        <f>NETWORKDAYS(B2777,C2777)-1</f>
        <v>3</v>
      </c>
      <c r="T2777" s="1">
        <f>WORKDAY(B2777,5)</f>
        <v>45859</v>
      </c>
      <c r="U2777" t="b">
        <f>C2777&gt;T2777</f>
        <v>0</v>
      </c>
    </row>
    <row r="2778" spans="1:21" x14ac:dyDescent="0.25">
      <c r="A2778" t="s">
        <v>1784</v>
      </c>
      <c r="B2778" s="1">
        <v>45849</v>
      </c>
      <c r="C2778" s="1">
        <v>45854</v>
      </c>
      <c r="D2778" t="s">
        <v>1660</v>
      </c>
      <c r="E2778" t="s">
        <v>185</v>
      </c>
      <c r="F2778" t="s">
        <v>31</v>
      </c>
      <c r="G2778" t="s">
        <v>32</v>
      </c>
      <c r="H2778" t="s">
        <v>79</v>
      </c>
      <c r="I2778" s="2">
        <v>10</v>
      </c>
      <c r="J2778" s="3">
        <v>14.9</v>
      </c>
      <c r="K2778" s="4">
        <v>0.02</v>
      </c>
      <c r="L2778" s="3">
        <v>146.02</v>
      </c>
      <c r="M2778" t="b">
        <v>1</v>
      </c>
      <c r="N2778" s="2">
        <f>YEAR(B2778)</f>
        <v>2025</v>
      </c>
      <c r="O2778" t="str">
        <f>INDEX(Agences!$C:$C,MATCH(F2778,Agences!$A:$A,0))</f>
        <v>Ouest</v>
      </c>
      <c r="P2778" t="str">
        <f>INDEX(Produits!$C:$C,MATCH(H2778,Produits!$A:$A,0))</f>
        <v>Fournitures</v>
      </c>
      <c r="Q2778" s="3">
        <f>I2778*INDEX(Produits!$E:$E,MATCH(H2778,Produits!$A:$A,0))</f>
        <v>80.5</v>
      </c>
      <c r="R2778" s="3">
        <f>L2778-Q2778</f>
        <v>65.52000000000001</v>
      </c>
      <c r="S2778" s="2">
        <f>NETWORKDAYS(B2778,C2778)-1</f>
        <v>3</v>
      </c>
      <c r="T2778" s="1">
        <f>WORKDAY(B2778,5)</f>
        <v>45856</v>
      </c>
      <c r="U2778" t="b">
        <f>C2778&gt;T2778</f>
        <v>0</v>
      </c>
    </row>
    <row r="2779" spans="1:21" x14ac:dyDescent="0.25">
      <c r="A2779" t="s">
        <v>1785</v>
      </c>
      <c r="B2779" s="1">
        <v>45849</v>
      </c>
      <c r="C2779" s="1">
        <v>45855</v>
      </c>
      <c r="D2779" t="s">
        <v>1786</v>
      </c>
      <c r="E2779" t="s">
        <v>191</v>
      </c>
      <c r="F2779" t="s">
        <v>62</v>
      </c>
      <c r="G2779" t="s">
        <v>106</v>
      </c>
      <c r="H2779" t="s">
        <v>196</v>
      </c>
      <c r="I2779" s="2">
        <v>20</v>
      </c>
      <c r="J2779" s="3">
        <v>18.5</v>
      </c>
      <c r="K2779" s="4">
        <v>0.05</v>
      </c>
      <c r="L2779" s="3">
        <v>351.5</v>
      </c>
      <c r="M2779" t="b">
        <v>1</v>
      </c>
      <c r="N2779" s="2">
        <f>YEAR(B2779)</f>
        <v>2025</v>
      </c>
      <c r="O2779" t="str">
        <f>INDEX(Agences!$C:$C,MATCH(F2779,Agences!$A:$A,0))</f>
        <v>Méditerranée</v>
      </c>
      <c r="P2779" t="str">
        <f>INDEX(Produits!$C:$C,MATCH(H2779,Produits!$A:$A,0))</f>
        <v>Fournitures</v>
      </c>
      <c r="Q2779" s="3">
        <f>I2779*INDEX(Produits!$E:$E,MATCH(H2779,Produits!$A:$A,0))</f>
        <v>188.79999999999998</v>
      </c>
      <c r="R2779" s="3">
        <f>L2779-Q2779</f>
        <v>162.70000000000002</v>
      </c>
      <c r="S2779" s="2">
        <f>NETWORKDAYS(B2779,C2779)-1</f>
        <v>4</v>
      </c>
      <c r="T2779" s="1">
        <f>WORKDAY(B2779,5)</f>
        <v>45856</v>
      </c>
      <c r="U2779" t="b">
        <f>C2779&gt;T2779</f>
        <v>0</v>
      </c>
    </row>
    <row r="2780" spans="1:21" x14ac:dyDescent="0.25">
      <c r="A2780" t="s">
        <v>1787</v>
      </c>
      <c r="B2780" s="1">
        <v>45849</v>
      </c>
      <c r="C2780" s="1">
        <v>45855</v>
      </c>
      <c r="D2780" t="s">
        <v>1064</v>
      </c>
      <c r="E2780" t="s">
        <v>242</v>
      </c>
      <c r="F2780" t="s">
        <v>94</v>
      </c>
      <c r="G2780" t="s">
        <v>95</v>
      </c>
      <c r="H2780" t="s">
        <v>48</v>
      </c>
      <c r="I2780" s="2">
        <v>4</v>
      </c>
      <c r="J2780" s="3">
        <v>165</v>
      </c>
      <c r="K2780" s="4">
        <v>0</v>
      </c>
      <c r="L2780" s="3">
        <v>660</v>
      </c>
      <c r="M2780" t="b">
        <v>1</v>
      </c>
      <c r="N2780" s="2">
        <f>YEAR(B2780)</f>
        <v>2025</v>
      </c>
      <c r="O2780" t="str">
        <f>INDEX(Agences!$C:$C,MATCH(F2780,Agences!$A:$A,0))</f>
        <v>Méditerranée</v>
      </c>
      <c r="P2780" t="str">
        <f>INDEX(Produits!$C:$C,MATCH(H2780,Produits!$A:$A,0))</f>
        <v>Mobilier</v>
      </c>
      <c r="Q2780" s="3">
        <f>I2780*INDEX(Produits!$E:$E,MATCH(H2780,Produits!$A:$A,0))</f>
        <v>429</v>
      </c>
      <c r="R2780" s="3">
        <f>L2780-Q2780</f>
        <v>231</v>
      </c>
      <c r="S2780" s="2">
        <f>NETWORKDAYS(B2780,C2780)-1</f>
        <v>4</v>
      </c>
      <c r="T2780" s="1">
        <f>WORKDAY(B2780,5)</f>
        <v>45856</v>
      </c>
      <c r="U2780" t="b">
        <f>C2780&gt;T2780</f>
        <v>0</v>
      </c>
    </row>
    <row r="2781" spans="1:21" x14ac:dyDescent="0.25">
      <c r="A2781" t="s">
        <v>1787</v>
      </c>
      <c r="B2781" s="1">
        <v>45849</v>
      </c>
      <c r="C2781" s="1">
        <v>45855</v>
      </c>
      <c r="D2781" t="s">
        <v>1064</v>
      </c>
      <c r="E2781" t="s">
        <v>242</v>
      </c>
      <c r="F2781" t="s">
        <v>94</v>
      </c>
      <c r="G2781" t="s">
        <v>95</v>
      </c>
      <c r="H2781" t="s">
        <v>26</v>
      </c>
      <c r="I2781" s="2">
        <v>1</v>
      </c>
      <c r="J2781" s="3">
        <v>290</v>
      </c>
      <c r="K2781" s="4">
        <v>0.02</v>
      </c>
      <c r="L2781" s="3">
        <v>284.2</v>
      </c>
      <c r="M2781" t="b">
        <v>1</v>
      </c>
      <c r="N2781" s="2">
        <f>YEAR(B2781)</f>
        <v>2025</v>
      </c>
      <c r="O2781" t="str">
        <f>INDEX(Agences!$C:$C,MATCH(F2781,Agences!$A:$A,0))</f>
        <v>Méditerranée</v>
      </c>
      <c r="P2781" t="str">
        <f>INDEX(Produits!$C:$C,MATCH(H2781,Produits!$A:$A,0))</f>
        <v>Maintenance</v>
      </c>
      <c r="Q2781" s="3">
        <f>I2781*INDEX(Produits!$E:$E,MATCH(H2781,Produits!$A:$A,0))</f>
        <v>139.2</v>
      </c>
      <c r="R2781" s="3">
        <f>L2781-Q2781</f>
        <v>145</v>
      </c>
      <c r="S2781" s="2">
        <f>NETWORKDAYS(B2781,C2781)-1</f>
        <v>4</v>
      </c>
      <c r="T2781" s="1">
        <f>WORKDAY(B2781,5)</f>
        <v>45856</v>
      </c>
      <c r="U2781" t="b">
        <f>C2781&gt;T2781</f>
        <v>0</v>
      </c>
    </row>
    <row r="2782" spans="1:21" x14ac:dyDescent="0.25">
      <c r="A2782" t="s">
        <v>1788</v>
      </c>
      <c r="B2782" s="1">
        <v>45848</v>
      </c>
      <c r="C2782" s="1">
        <v>45852</v>
      </c>
      <c r="D2782" t="s">
        <v>634</v>
      </c>
      <c r="E2782" t="s">
        <v>23</v>
      </c>
      <c r="F2782" t="s">
        <v>24</v>
      </c>
      <c r="G2782" t="s">
        <v>116</v>
      </c>
      <c r="H2782" t="s">
        <v>42</v>
      </c>
      <c r="I2782" s="2">
        <v>3</v>
      </c>
      <c r="J2782" s="3">
        <v>55</v>
      </c>
      <c r="K2782" s="4">
        <v>0</v>
      </c>
      <c r="L2782" s="3">
        <v>165</v>
      </c>
      <c r="M2782" t="b">
        <v>1</v>
      </c>
      <c r="N2782" s="2">
        <f>YEAR(B2782)</f>
        <v>2025</v>
      </c>
      <c r="O2782" t="str">
        <f>INDEX(Agences!$C:$C,MATCH(F2782,Agences!$A:$A,0))</f>
        <v>Nord</v>
      </c>
      <c r="P2782" t="str">
        <f>INDEX(Produits!$C:$C,MATCH(H2782,Produits!$A:$A,0))</f>
        <v>Maintenance</v>
      </c>
      <c r="Q2782" s="3">
        <f>I2782*INDEX(Produits!$E:$E,MATCH(H2782,Produits!$A:$A,0))</f>
        <v>74.25</v>
      </c>
      <c r="R2782" s="3">
        <f>L2782-Q2782</f>
        <v>90.75</v>
      </c>
      <c r="S2782" s="2">
        <f>NETWORKDAYS(B2782,C2782)-1</f>
        <v>2</v>
      </c>
      <c r="T2782" s="1">
        <f>WORKDAY(B2782,5)</f>
        <v>45855</v>
      </c>
      <c r="U2782" t="b">
        <f>C2782&gt;T2782</f>
        <v>0</v>
      </c>
    </row>
    <row r="2783" spans="1:21" x14ac:dyDescent="0.25">
      <c r="A2783" t="s">
        <v>1789</v>
      </c>
      <c r="B2783" s="1">
        <v>45848</v>
      </c>
      <c r="C2783" s="1">
        <v>45852</v>
      </c>
      <c r="D2783" t="s">
        <v>1790</v>
      </c>
      <c r="E2783" t="s">
        <v>119</v>
      </c>
      <c r="F2783" t="s">
        <v>24</v>
      </c>
      <c r="G2783" t="s">
        <v>25</v>
      </c>
      <c r="H2783" t="s">
        <v>64</v>
      </c>
      <c r="I2783" s="2">
        <v>5</v>
      </c>
      <c r="J2783" s="3">
        <v>16.8</v>
      </c>
      <c r="K2783" s="4">
        <v>0.02</v>
      </c>
      <c r="L2783" s="3">
        <v>82.32</v>
      </c>
      <c r="M2783" t="b">
        <v>1</v>
      </c>
      <c r="N2783" s="2">
        <f>YEAR(B2783)</f>
        <v>2025</v>
      </c>
      <c r="O2783" t="str">
        <f>INDEX(Agences!$C:$C,MATCH(F2783,Agences!$A:$A,0))</f>
        <v>Nord</v>
      </c>
      <c r="P2783" t="str">
        <f>INDEX(Produits!$C:$C,MATCH(H2783,Produits!$A:$A,0))</f>
        <v>Fournitures</v>
      </c>
      <c r="Q2783" s="3">
        <f>I2783*INDEX(Produits!$E:$E,MATCH(H2783,Produits!$A:$A,0))</f>
        <v>43.7</v>
      </c>
      <c r="R2783" s="3">
        <f>L2783-Q2783</f>
        <v>38.61999999999999</v>
      </c>
      <c r="S2783" s="2">
        <f>NETWORKDAYS(B2783,C2783)-1</f>
        <v>2</v>
      </c>
      <c r="T2783" s="1">
        <f>WORKDAY(B2783,5)</f>
        <v>45855</v>
      </c>
      <c r="U2783" t="b">
        <f>C2783&gt;T2783</f>
        <v>0</v>
      </c>
    </row>
    <row r="2784" spans="1:21" x14ac:dyDescent="0.25">
      <c r="A2784" t="s">
        <v>1789</v>
      </c>
      <c r="B2784" s="1">
        <v>45848</v>
      </c>
      <c r="C2784" s="1">
        <v>45852</v>
      </c>
      <c r="D2784" t="s">
        <v>1790</v>
      </c>
      <c r="E2784" t="s">
        <v>119</v>
      </c>
      <c r="F2784" t="s">
        <v>24</v>
      </c>
      <c r="G2784" t="s">
        <v>25</v>
      </c>
      <c r="H2784" t="s">
        <v>34</v>
      </c>
      <c r="I2784" s="2">
        <v>2</v>
      </c>
      <c r="J2784" s="3">
        <v>340</v>
      </c>
      <c r="K2784" s="4">
        <v>0.1</v>
      </c>
      <c r="L2784" s="3">
        <v>612</v>
      </c>
      <c r="M2784" t="b">
        <v>1</v>
      </c>
      <c r="N2784" s="2">
        <f>YEAR(B2784)</f>
        <v>2025</v>
      </c>
      <c r="O2784" t="str">
        <f>INDEX(Agences!$C:$C,MATCH(F2784,Agences!$A:$A,0))</f>
        <v>Nord</v>
      </c>
      <c r="P2784" t="str">
        <f>INDEX(Produits!$C:$C,MATCH(H2784,Produits!$A:$A,0))</f>
        <v>Informatique</v>
      </c>
      <c r="Q2784" s="3">
        <f>I2784*INDEX(Produits!$E:$E,MATCH(H2784,Produits!$A:$A,0))</f>
        <v>550.8</v>
      </c>
      <c r="R2784" s="3">
        <f>L2784-Q2784</f>
        <v>61.200000000000045</v>
      </c>
      <c r="S2784" s="2">
        <f>NETWORKDAYS(B2784,C2784)-1</f>
        <v>2</v>
      </c>
      <c r="T2784" s="1">
        <f>WORKDAY(B2784,5)</f>
        <v>45855</v>
      </c>
      <c r="U2784" t="b">
        <f>C2784&gt;T2784</f>
        <v>0</v>
      </c>
    </row>
    <row r="2785" spans="1:21" x14ac:dyDescent="0.25">
      <c r="A2785" t="s">
        <v>1791</v>
      </c>
      <c r="B2785" s="1">
        <v>45848</v>
      </c>
      <c r="C2785" s="1">
        <v>45849</v>
      </c>
      <c r="D2785" t="s">
        <v>930</v>
      </c>
      <c r="E2785" t="s">
        <v>236</v>
      </c>
      <c r="F2785" t="s">
        <v>39</v>
      </c>
      <c r="G2785" t="s">
        <v>131</v>
      </c>
      <c r="H2785" t="s">
        <v>64</v>
      </c>
      <c r="I2785" s="2">
        <v>15</v>
      </c>
      <c r="J2785" s="3">
        <v>16.8</v>
      </c>
      <c r="K2785" s="4">
        <v>0</v>
      </c>
      <c r="L2785" s="3">
        <v>252</v>
      </c>
      <c r="M2785" t="b">
        <v>1</v>
      </c>
      <c r="N2785" s="2">
        <f>YEAR(B2785)</f>
        <v>2025</v>
      </c>
      <c r="O2785" t="str">
        <f>INDEX(Agences!$C:$C,MATCH(F2785,Agences!$A:$A,0))</f>
        <v>Sud-Ouest</v>
      </c>
      <c r="P2785" t="str">
        <f>INDEX(Produits!$C:$C,MATCH(H2785,Produits!$A:$A,0))</f>
        <v>Fournitures</v>
      </c>
      <c r="Q2785" s="3">
        <f>I2785*INDEX(Produits!$E:$E,MATCH(H2785,Produits!$A:$A,0))</f>
        <v>131.1</v>
      </c>
      <c r="R2785" s="3">
        <f>L2785-Q2785</f>
        <v>120.9</v>
      </c>
      <c r="S2785" s="2">
        <f>NETWORKDAYS(B2785,C2785)-1</f>
        <v>1</v>
      </c>
      <c r="T2785" s="1">
        <f>WORKDAY(B2785,5)</f>
        <v>45855</v>
      </c>
      <c r="U2785" t="b">
        <f>C2785&gt;T2785</f>
        <v>0</v>
      </c>
    </row>
    <row r="2786" spans="1:21" x14ac:dyDescent="0.25">
      <c r="A2786" t="s">
        <v>1792</v>
      </c>
      <c r="B2786" s="1">
        <v>45847</v>
      </c>
      <c r="C2786" s="1">
        <v>45849</v>
      </c>
      <c r="D2786" t="s">
        <v>1030</v>
      </c>
      <c r="E2786" t="s">
        <v>175</v>
      </c>
      <c r="F2786" t="s">
        <v>76</v>
      </c>
      <c r="G2786" t="s">
        <v>77</v>
      </c>
      <c r="H2786" t="s">
        <v>35</v>
      </c>
      <c r="I2786" s="2">
        <v>1</v>
      </c>
      <c r="J2786" s="3">
        <v>79</v>
      </c>
      <c r="K2786" s="4">
        <v>0</v>
      </c>
      <c r="L2786" s="3">
        <v>79</v>
      </c>
      <c r="M2786" t="b">
        <v>1</v>
      </c>
      <c r="N2786" s="2">
        <f>YEAR(B2786)</f>
        <v>2025</v>
      </c>
      <c r="O2786" t="str">
        <f>INDEX(Agences!$C:$C,MATCH(F2786,Agences!$A:$A,0))</f>
        <v>Île-de-France</v>
      </c>
      <c r="P2786" t="str">
        <f>INDEX(Produits!$C:$C,MATCH(H2786,Produits!$A:$A,0))</f>
        <v>Mobilier</v>
      </c>
      <c r="Q2786" s="3">
        <f>I2786*INDEX(Produits!$E:$E,MATCH(H2786,Produits!$A:$A,0))</f>
        <v>46.61</v>
      </c>
      <c r="R2786" s="3">
        <f>L2786-Q2786</f>
        <v>32.39</v>
      </c>
      <c r="S2786" s="2">
        <f>NETWORKDAYS(B2786,C2786)-1</f>
        <v>2</v>
      </c>
      <c r="T2786" s="1">
        <f>WORKDAY(B2786,5)</f>
        <v>45854</v>
      </c>
      <c r="U2786" t="b">
        <f>C2786&gt;T2786</f>
        <v>0</v>
      </c>
    </row>
    <row r="2787" spans="1:21" x14ac:dyDescent="0.25">
      <c r="A2787" t="s">
        <v>1792</v>
      </c>
      <c r="B2787" s="1">
        <v>45847</v>
      </c>
      <c r="C2787" s="1">
        <v>45849</v>
      </c>
      <c r="D2787" t="s">
        <v>1030</v>
      </c>
      <c r="E2787" t="s">
        <v>175</v>
      </c>
      <c r="F2787" t="s">
        <v>76</v>
      </c>
      <c r="G2787" t="s">
        <v>77</v>
      </c>
      <c r="H2787" t="s">
        <v>64</v>
      </c>
      <c r="I2787" s="2">
        <v>20</v>
      </c>
      <c r="J2787" s="3">
        <v>16.8</v>
      </c>
      <c r="K2787" s="4">
        <v>0.08</v>
      </c>
      <c r="L2787" s="3">
        <v>309.12</v>
      </c>
      <c r="M2787" t="b">
        <v>1</v>
      </c>
      <c r="N2787" s="2">
        <f>YEAR(B2787)</f>
        <v>2025</v>
      </c>
      <c r="O2787" t="str">
        <f>INDEX(Agences!$C:$C,MATCH(F2787,Agences!$A:$A,0))</f>
        <v>Île-de-France</v>
      </c>
      <c r="P2787" t="str">
        <f>INDEX(Produits!$C:$C,MATCH(H2787,Produits!$A:$A,0))</f>
        <v>Fournitures</v>
      </c>
      <c r="Q2787" s="3">
        <f>I2787*INDEX(Produits!$E:$E,MATCH(H2787,Produits!$A:$A,0))</f>
        <v>174.8</v>
      </c>
      <c r="R2787" s="3">
        <f>L2787-Q2787</f>
        <v>134.32</v>
      </c>
      <c r="S2787" s="2">
        <f>NETWORKDAYS(B2787,C2787)-1</f>
        <v>2</v>
      </c>
      <c r="T2787" s="1">
        <f>WORKDAY(B2787,5)</f>
        <v>45854</v>
      </c>
      <c r="U2787" t="b">
        <f>C2787&gt;T2787</f>
        <v>0</v>
      </c>
    </row>
    <row r="2788" spans="1:21" x14ac:dyDescent="0.25">
      <c r="A2788" t="s">
        <v>1792</v>
      </c>
      <c r="B2788" s="1">
        <v>45847</v>
      </c>
      <c r="C2788" s="1">
        <v>45849</v>
      </c>
      <c r="D2788" t="s">
        <v>1030</v>
      </c>
      <c r="E2788" t="s">
        <v>175</v>
      </c>
      <c r="F2788" t="s">
        <v>76</v>
      </c>
      <c r="G2788" t="s">
        <v>77</v>
      </c>
      <c r="H2788" t="s">
        <v>79</v>
      </c>
      <c r="I2788" s="2">
        <v>5</v>
      </c>
      <c r="J2788" s="3">
        <v>14.9</v>
      </c>
      <c r="K2788" s="4">
        <v>0.02</v>
      </c>
      <c r="L2788" s="3">
        <v>73.01</v>
      </c>
      <c r="M2788" t="b">
        <v>1</v>
      </c>
      <c r="N2788" s="2">
        <f>YEAR(B2788)</f>
        <v>2025</v>
      </c>
      <c r="O2788" t="str">
        <f>INDEX(Agences!$C:$C,MATCH(F2788,Agences!$A:$A,0))</f>
        <v>Île-de-France</v>
      </c>
      <c r="P2788" t="str">
        <f>INDEX(Produits!$C:$C,MATCH(H2788,Produits!$A:$A,0))</f>
        <v>Fournitures</v>
      </c>
      <c r="Q2788" s="3">
        <f>I2788*INDEX(Produits!$E:$E,MATCH(H2788,Produits!$A:$A,0))</f>
        <v>40.25</v>
      </c>
      <c r="R2788" s="3">
        <f>L2788-Q2788</f>
        <v>32.760000000000005</v>
      </c>
      <c r="S2788" s="2">
        <f>NETWORKDAYS(B2788,C2788)-1</f>
        <v>2</v>
      </c>
      <c r="T2788" s="1">
        <f>WORKDAY(B2788,5)</f>
        <v>45854</v>
      </c>
      <c r="U2788" t="b">
        <f>C2788&gt;T2788</f>
        <v>0</v>
      </c>
    </row>
    <row r="2789" spans="1:21" x14ac:dyDescent="0.25">
      <c r="A2789" t="s">
        <v>1792</v>
      </c>
      <c r="B2789" s="1">
        <v>45847</v>
      </c>
      <c r="C2789" s="1">
        <v>45849</v>
      </c>
      <c r="D2789" t="s">
        <v>1030</v>
      </c>
      <c r="E2789" t="s">
        <v>175</v>
      </c>
      <c r="F2789" t="s">
        <v>76</v>
      </c>
      <c r="G2789" t="s">
        <v>77</v>
      </c>
      <c r="H2789" t="s">
        <v>34</v>
      </c>
      <c r="I2789" s="2">
        <v>1</v>
      </c>
      <c r="J2789" s="3">
        <v>340</v>
      </c>
      <c r="K2789" s="4">
        <v>0</v>
      </c>
      <c r="L2789" s="3">
        <v>340</v>
      </c>
      <c r="M2789" t="b">
        <v>1</v>
      </c>
      <c r="N2789" s="2">
        <f>YEAR(B2789)</f>
        <v>2025</v>
      </c>
      <c r="O2789" t="str">
        <f>INDEX(Agences!$C:$C,MATCH(F2789,Agences!$A:$A,0))</f>
        <v>Île-de-France</v>
      </c>
      <c r="P2789" t="str">
        <f>INDEX(Produits!$C:$C,MATCH(H2789,Produits!$A:$A,0))</f>
        <v>Informatique</v>
      </c>
      <c r="Q2789" s="3">
        <f>I2789*INDEX(Produits!$E:$E,MATCH(H2789,Produits!$A:$A,0))</f>
        <v>275.4</v>
      </c>
      <c r="R2789" s="3">
        <f>L2789-Q2789</f>
        <v>64.60000000000002</v>
      </c>
      <c r="S2789" s="2">
        <f>NETWORKDAYS(B2789,C2789)-1</f>
        <v>2</v>
      </c>
      <c r="T2789" s="1">
        <f>WORKDAY(B2789,5)</f>
        <v>45854</v>
      </c>
      <c r="U2789" t="b">
        <f>C2789&gt;T2789</f>
        <v>0</v>
      </c>
    </row>
    <row r="2790" spans="1:21" x14ac:dyDescent="0.25">
      <c r="A2790" t="s">
        <v>1792</v>
      </c>
      <c r="B2790" s="1">
        <v>45847</v>
      </c>
      <c r="C2790" s="1">
        <v>45849</v>
      </c>
      <c r="D2790" t="s">
        <v>1030</v>
      </c>
      <c r="E2790" t="s">
        <v>175</v>
      </c>
      <c r="F2790" t="s">
        <v>76</v>
      </c>
      <c r="G2790" t="s">
        <v>77</v>
      </c>
      <c r="H2790" t="s">
        <v>127</v>
      </c>
      <c r="I2790" s="2">
        <v>2</v>
      </c>
      <c r="J2790" s="3">
        <v>649</v>
      </c>
      <c r="K2790" s="4">
        <v>0</v>
      </c>
      <c r="L2790" s="3">
        <v>1298</v>
      </c>
      <c r="M2790" t="b">
        <v>1</v>
      </c>
      <c r="N2790" s="2">
        <f>YEAR(B2790)</f>
        <v>2025</v>
      </c>
      <c r="O2790" t="str">
        <f>INDEX(Agences!$C:$C,MATCH(F2790,Agences!$A:$A,0))</f>
        <v>Île-de-France</v>
      </c>
      <c r="P2790" t="str">
        <f>INDEX(Produits!$C:$C,MATCH(H2790,Produits!$A:$A,0))</f>
        <v>Informatique</v>
      </c>
      <c r="Q2790" s="3">
        <f>I2790*INDEX(Produits!$E:$E,MATCH(H2790,Produits!$A:$A,0))</f>
        <v>960.52</v>
      </c>
      <c r="R2790" s="3">
        <f>L2790-Q2790</f>
        <v>337.48</v>
      </c>
      <c r="S2790" s="2">
        <f>NETWORKDAYS(B2790,C2790)-1</f>
        <v>2</v>
      </c>
      <c r="T2790" s="1">
        <f>WORKDAY(B2790,5)</f>
        <v>45854</v>
      </c>
      <c r="U2790" t="b">
        <f>C2790&gt;T2790</f>
        <v>0</v>
      </c>
    </row>
    <row r="2791" spans="1:21" x14ac:dyDescent="0.25">
      <c r="A2791" t="s">
        <v>1793</v>
      </c>
      <c r="B2791" s="1">
        <v>45847</v>
      </c>
      <c r="C2791" s="1">
        <v>45852</v>
      </c>
      <c r="D2791" t="s">
        <v>427</v>
      </c>
      <c r="E2791" t="s">
        <v>236</v>
      </c>
      <c r="F2791" t="s">
        <v>39</v>
      </c>
      <c r="G2791" t="s">
        <v>322</v>
      </c>
      <c r="H2791" t="s">
        <v>107</v>
      </c>
      <c r="I2791" s="2">
        <v>1</v>
      </c>
      <c r="J2791" s="3">
        <v>99</v>
      </c>
      <c r="K2791" s="4">
        <v>0</v>
      </c>
      <c r="L2791" s="3">
        <v>99</v>
      </c>
      <c r="M2791" t="b">
        <v>1</v>
      </c>
      <c r="N2791" s="2">
        <f>YEAR(B2791)</f>
        <v>2025</v>
      </c>
      <c r="O2791" t="str">
        <f>INDEX(Agences!$C:$C,MATCH(F2791,Agences!$A:$A,0))</f>
        <v>Sud-Ouest</v>
      </c>
      <c r="P2791" t="str">
        <f>INDEX(Produits!$C:$C,MATCH(H2791,Produits!$A:$A,0))</f>
        <v>Informatique</v>
      </c>
      <c r="Q2791" s="3">
        <f>I2791*INDEX(Produits!$E:$E,MATCH(H2791,Produits!$A:$A,0))</f>
        <v>75.24</v>
      </c>
      <c r="R2791" s="3">
        <f>L2791-Q2791</f>
        <v>23.760000000000005</v>
      </c>
      <c r="S2791" s="2">
        <f>NETWORKDAYS(B2791,C2791)-1</f>
        <v>3</v>
      </c>
      <c r="T2791" s="1">
        <f>WORKDAY(B2791,5)</f>
        <v>45854</v>
      </c>
      <c r="U2791" t="b">
        <f>C2791&gt;T2791</f>
        <v>0</v>
      </c>
    </row>
    <row r="2792" spans="1:21" x14ac:dyDescent="0.25">
      <c r="A2792" t="s">
        <v>1793</v>
      </c>
      <c r="B2792" s="1">
        <v>45847</v>
      </c>
      <c r="C2792" s="1">
        <v>45852</v>
      </c>
      <c r="D2792" t="s">
        <v>427</v>
      </c>
      <c r="E2792" t="s">
        <v>236</v>
      </c>
      <c r="F2792" t="s">
        <v>39</v>
      </c>
      <c r="G2792" t="s">
        <v>322</v>
      </c>
      <c r="H2792" t="s">
        <v>49</v>
      </c>
      <c r="I2792" s="2">
        <v>1</v>
      </c>
      <c r="J2792" s="3">
        <v>120</v>
      </c>
      <c r="K2792" s="4">
        <v>0</v>
      </c>
      <c r="L2792" s="3">
        <v>120</v>
      </c>
      <c r="M2792" t="b">
        <v>1</v>
      </c>
      <c r="N2792" s="2">
        <f>YEAR(B2792)</f>
        <v>2025</v>
      </c>
      <c r="O2792" t="str">
        <f>INDEX(Agences!$C:$C,MATCH(F2792,Agences!$A:$A,0))</f>
        <v>Sud-Ouest</v>
      </c>
      <c r="P2792" t="str">
        <f>INDEX(Produits!$C:$C,MATCH(H2792,Produits!$A:$A,0))</f>
        <v>Maintenance</v>
      </c>
      <c r="Q2792" s="3">
        <f>I2792*INDEX(Produits!$E:$E,MATCH(H2792,Produits!$A:$A,0))</f>
        <v>55.2</v>
      </c>
      <c r="R2792" s="3">
        <f>L2792-Q2792</f>
        <v>64.8</v>
      </c>
      <c r="S2792" s="2">
        <f>NETWORKDAYS(B2792,C2792)-1</f>
        <v>3</v>
      </c>
      <c r="T2792" s="1">
        <f>WORKDAY(B2792,5)</f>
        <v>45854</v>
      </c>
      <c r="U2792" t="b">
        <f>C2792&gt;T2792</f>
        <v>0</v>
      </c>
    </row>
    <row r="2793" spans="1:21" x14ac:dyDescent="0.25">
      <c r="A2793" t="s">
        <v>1793</v>
      </c>
      <c r="B2793" s="1">
        <v>45847</v>
      </c>
      <c r="C2793" s="1">
        <v>45852</v>
      </c>
      <c r="D2793" t="s">
        <v>427</v>
      </c>
      <c r="E2793" t="s">
        <v>236</v>
      </c>
      <c r="F2793" t="s">
        <v>39</v>
      </c>
      <c r="G2793" t="s">
        <v>322</v>
      </c>
      <c r="H2793" t="s">
        <v>50</v>
      </c>
      <c r="I2793" s="2">
        <v>3</v>
      </c>
      <c r="J2793" s="3">
        <v>69</v>
      </c>
      <c r="K2793" s="4">
        <v>0</v>
      </c>
      <c r="L2793" s="3">
        <v>207</v>
      </c>
      <c r="M2793" t="b">
        <v>1</v>
      </c>
      <c r="N2793" s="2">
        <f>YEAR(B2793)</f>
        <v>2025</v>
      </c>
      <c r="O2793" t="str">
        <f>INDEX(Agences!$C:$C,MATCH(F2793,Agences!$A:$A,0))</f>
        <v>Sud-Ouest</v>
      </c>
      <c r="P2793" t="str">
        <f>INDEX(Produits!$C:$C,MATCH(H2793,Produits!$A:$A,0))</f>
        <v>Informatique</v>
      </c>
      <c r="Q2793" s="3">
        <f>I2793*INDEX(Produits!$E:$E,MATCH(H2793,Produits!$A:$A,0))</f>
        <v>163.53</v>
      </c>
      <c r="R2793" s="3">
        <f>L2793-Q2793</f>
        <v>43.47</v>
      </c>
      <c r="S2793" s="2">
        <f>NETWORKDAYS(B2793,C2793)-1</f>
        <v>3</v>
      </c>
      <c r="T2793" s="1">
        <f>WORKDAY(B2793,5)</f>
        <v>45854</v>
      </c>
      <c r="U2793" t="b">
        <f>C2793&gt;T2793</f>
        <v>0</v>
      </c>
    </row>
    <row r="2794" spans="1:21" x14ac:dyDescent="0.25">
      <c r="A2794" t="s">
        <v>1793</v>
      </c>
      <c r="B2794" s="1">
        <v>45847</v>
      </c>
      <c r="C2794" s="1">
        <v>45852</v>
      </c>
      <c r="D2794" t="s">
        <v>427</v>
      </c>
      <c r="E2794" t="s">
        <v>236</v>
      </c>
      <c r="F2794" t="s">
        <v>39</v>
      </c>
      <c r="G2794" t="s">
        <v>322</v>
      </c>
      <c r="H2794" t="s">
        <v>83</v>
      </c>
      <c r="I2794" s="2">
        <v>1</v>
      </c>
      <c r="J2794" s="3">
        <v>49</v>
      </c>
      <c r="K2794" s="4">
        <v>0.05</v>
      </c>
      <c r="L2794" s="3">
        <v>46.55</v>
      </c>
      <c r="M2794" t="b">
        <v>1</v>
      </c>
      <c r="N2794" s="2">
        <f>YEAR(B2794)</f>
        <v>2025</v>
      </c>
      <c r="O2794" t="str">
        <f>INDEX(Agences!$C:$C,MATCH(F2794,Agences!$A:$A,0))</f>
        <v>Sud-Ouest</v>
      </c>
      <c r="P2794" t="str">
        <f>INDEX(Produits!$C:$C,MATCH(H2794,Produits!$A:$A,0))</f>
        <v>Mobilier</v>
      </c>
      <c r="Q2794" s="3">
        <f>I2794*INDEX(Produits!$E:$E,MATCH(H2794,Produits!$A:$A,0))</f>
        <v>28.42</v>
      </c>
      <c r="R2794" s="3">
        <f>L2794-Q2794</f>
        <v>18.129999999999995</v>
      </c>
      <c r="S2794" s="2">
        <f>NETWORKDAYS(B2794,C2794)-1</f>
        <v>3</v>
      </c>
      <c r="T2794" s="1">
        <f>WORKDAY(B2794,5)</f>
        <v>45854</v>
      </c>
      <c r="U2794" t="b">
        <f>C2794&gt;T2794</f>
        <v>0</v>
      </c>
    </row>
    <row r="2795" spans="1:21" x14ac:dyDescent="0.25">
      <c r="A2795" t="s">
        <v>1794</v>
      </c>
      <c r="B2795" s="1">
        <v>45847</v>
      </c>
      <c r="C2795" s="1">
        <v>45848</v>
      </c>
      <c r="D2795" t="s">
        <v>369</v>
      </c>
      <c r="E2795" t="s">
        <v>157</v>
      </c>
      <c r="F2795" t="s">
        <v>46</v>
      </c>
      <c r="G2795" t="s">
        <v>47</v>
      </c>
      <c r="H2795" t="s">
        <v>103</v>
      </c>
      <c r="I2795" s="2">
        <v>1</v>
      </c>
      <c r="J2795" s="3">
        <v>245</v>
      </c>
      <c r="K2795" s="4">
        <v>0.08</v>
      </c>
      <c r="L2795" s="3">
        <v>225.4</v>
      </c>
      <c r="M2795" t="b">
        <v>1</v>
      </c>
      <c r="N2795" s="2">
        <f>YEAR(B2795)</f>
        <v>2025</v>
      </c>
      <c r="O2795" t="str">
        <f>INDEX(Agences!$C:$C,MATCH(F2795,Agences!$A:$A,0))</f>
        <v>Est</v>
      </c>
      <c r="P2795" t="str">
        <f>INDEX(Produits!$C:$C,MATCH(H2795,Produits!$A:$A,0))</f>
        <v>Mobilier</v>
      </c>
      <c r="Q2795" s="3">
        <f>I2795*INDEX(Produits!$E:$E,MATCH(H2795,Produits!$A:$A,0))</f>
        <v>164.15</v>
      </c>
      <c r="R2795" s="3">
        <f>L2795-Q2795</f>
        <v>61.25</v>
      </c>
      <c r="S2795" s="2">
        <f>NETWORKDAYS(B2795,C2795)-1</f>
        <v>1</v>
      </c>
      <c r="T2795" s="1">
        <f>WORKDAY(B2795,5)</f>
        <v>45854</v>
      </c>
      <c r="U2795" t="b">
        <f>C2795&gt;T2795</f>
        <v>0</v>
      </c>
    </row>
    <row r="2796" spans="1:21" x14ac:dyDescent="0.25">
      <c r="A2796" t="s">
        <v>1794</v>
      </c>
      <c r="B2796" s="1">
        <v>45847</v>
      </c>
      <c r="C2796" s="1">
        <v>45848</v>
      </c>
      <c r="D2796" t="s">
        <v>369</v>
      </c>
      <c r="E2796" t="s">
        <v>157</v>
      </c>
      <c r="F2796" t="s">
        <v>46</v>
      </c>
      <c r="G2796" t="s">
        <v>47</v>
      </c>
      <c r="H2796" t="s">
        <v>34</v>
      </c>
      <c r="I2796" s="2">
        <v>1</v>
      </c>
      <c r="J2796" s="3">
        <v>340</v>
      </c>
      <c r="K2796" s="4">
        <v>0</v>
      </c>
      <c r="L2796" s="3">
        <v>340</v>
      </c>
      <c r="M2796" t="b">
        <v>1</v>
      </c>
      <c r="N2796" s="2">
        <f>YEAR(B2796)</f>
        <v>2025</v>
      </c>
      <c r="O2796" t="str">
        <f>INDEX(Agences!$C:$C,MATCH(F2796,Agences!$A:$A,0))</f>
        <v>Est</v>
      </c>
      <c r="P2796" t="str">
        <f>INDEX(Produits!$C:$C,MATCH(H2796,Produits!$A:$A,0))</f>
        <v>Informatique</v>
      </c>
      <c r="Q2796" s="3">
        <f>I2796*INDEX(Produits!$E:$E,MATCH(H2796,Produits!$A:$A,0))</f>
        <v>275.4</v>
      </c>
      <c r="R2796" s="3">
        <f>L2796-Q2796</f>
        <v>64.60000000000002</v>
      </c>
      <c r="S2796" s="2">
        <f>NETWORKDAYS(B2796,C2796)-1</f>
        <v>1</v>
      </c>
      <c r="T2796" s="1">
        <f>WORKDAY(B2796,5)</f>
        <v>45854</v>
      </c>
      <c r="U2796" t="b">
        <f>C2796&gt;T2796</f>
        <v>0</v>
      </c>
    </row>
    <row r="2797" spans="1:21" x14ac:dyDescent="0.25">
      <c r="A2797" t="s">
        <v>1795</v>
      </c>
      <c r="B2797" s="1">
        <v>45846</v>
      </c>
      <c r="C2797" s="1">
        <v>45852</v>
      </c>
      <c r="D2797" t="s">
        <v>178</v>
      </c>
      <c r="E2797" t="s">
        <v>165</v>
      </c>
      <c r="F2797" t="s">
        <v>166</v>
      </c>
      <c r="G2797" t="s">
        <v>167</v>
      </c>
      <c r="H2797" t="s">
        <v>108</v>
      </c>
      <c r="I2797" s="2">
        <v>5</v>
      </c>
      <c r="J2797" s="3">
        <v>24.5</v>
      </c>
      <c r="K2797" s="4">
        <v>0.02</v>
      </c>
      <c r="L2797" s="3">
        <v>120.05</v>
      </c>
      <c r="M2797" t="b">
        <v>1</v>
      </c>
      <c r="N2797" s="2">
        <f>YEAR(B2797)</f>
        <v>2025</v>
      </c>
      <c r="O2797" t="str">
        <f>INDEX(Agences!$C:$C,MATCH(F2797,Agences!$A:$A,0))</f>
        <v>Ouest</v>
      </c>
      <c r="P2797" t="str">
        <f>INDEX(Produits!$C:$C,MATCH(H2797,Produits!$A:$A,0))</f>
        <v>Fournitures</v>
      </c>
      <c r="Q2797" s="3">
        <f>I2797*INDEX(Produits!$E:$E,MATCH(H2797,Produits!$A:$A,0))</f>
        <v>73.5</v>
      </c>
      <c r="R2797" s="3">
        <f>L2797-Q2797</f>
        <v>46.55</v>
      </c>
      <c r="S2797" s="2">
        <f>NETWORKDAYS(B2797,C2797)-1</f>
        <v>4</v>
      </c>
      <c r="T2797" s="1">
        <f>WORKDAY(B2797,5)</f>
        <v>45853</v>
      </c>
      <c r="U2797" t="b">
        <f>C2797&gt;T2797</f>
        <v>0</v>
      </c>
    </row>
    <row r="2798" spans="1:21" x14ac:dyDescent="0.25">
      <c r="A2798" t="s">
        <v>1795</v>
      </c>
      <c r="B2798" s="1">
        <v>45846</v>
      </c>
      <c r="C2798" s="1">
        <v>45852</v>
      </c>
      <c r="D2798" t="s">
        <v>178</v>
      </c>
      <c r="E2798" t="s">
        <v>165</v>
      </c>
      <c r="F2798" t="s">
        <v>166</v>
      </c>
      <c r="G2798" t="s">
        <v>167</v>
      </c>
      <c r="H2798" t="s">
        <v>50</v>
      </c>
      <c r="I2798" s="2">
        <v>3</v>
      </c>
      <c r="J2798" s="3">
        <v>69</v>
      </c>
      <c r="K2798" s="4">
        <v>0.02</v>
      </c>
      <c r="L2798" s="3">
        <v>202.86</v>
      </c>
      <c r="M2798" t="b">
        <v>1</v>
      </c>
      <c r="N2798" s="2">
        <f>YEAR(B2798)</f>
        <v>2025</v>
      </c>
      <c r="O2798" t="str">
        <f>INDEX(Agences!$C:$C,MATCH(F2798,Agences!$A:$A,0))</f>
        <v>Ouest</v>
      </c>
      <c r="P2798" t="str">
        <f>INDEX(Produits!$C:$C,MATCH(H2798,Produits!$A:$A,0))</f>
        <v>Informatique</v>
      </c>
      <c r="Q2798" s="3">
        <f>I2798*INDEX(Produits!$E:$E,MATCH(H2798,Produits!$A:$A,0))</f>
        <v>163.53</v>
      </c>
      <c r="R2798" s="3">
        <f>L2798-Q2798</f>
        <v>39.33000000000001</v>
      </c>
      <c r="S2798" s="2">
        <f>NETWORKDAYS(B2798,C2798)-1</f>
        <v>4</v>
      </c>
      <c r="T2798" s="1">
        <f>WORKDAY(B2798,5)</f>
        <v>45853</v>
      </c>
      <c r="U2798" t="b">
        <f>C2798&gt;T2798</f>
        <v>0</v>
      </c>
    </row>
    <row r="2799" spans="1:21" x14ac:dyDescent="0.25">
      <c r="A2799" t="s">
        <v>1795</v>
      </c>
      <c r="B2799" s="1">
        <v>45846</v>
      </c>
      <c r="C2799" s="1">
        <v>45852</v>
      </c>
      <c r="D2799" t="s">
        <v>178</v>
      </c>
      <c r="E2799" t="s">
        <v>165</v>
      </c>
      <c r="F2799" t="s">
        <v>166</v>
      </c>
      <c r="G2799" t="s">
        <v>167</v>
      </c>
      <c r="H2799" t="s">
        <v>33</v>
      </c>
      <c r="I2799" s="2">
        <v>1</v>
      </c>
      <c r="J2799" s="3">
        <v>219</v>
      </c>
      <c r="K2799" s="4">
        <v>0.1</v>
      </c>
      <c r="L2799" s="3">
        <v>197.1</v>
      </c>
      <c r="M2799" t="b">
        <v>1</v>
      </c>
      <c r="N2799" s="2">
        <f>YEAR(B2799)</f>
        <v>2025</v>
      </c>
      <c r="O2799" t="str">
        <f>INDEX(Agences!$C:$C,MATCH(F2799,Agences!$A:$A,0))</f>
        <v>Ouest</v>
      </c>
      <c r="P2799" t="str">
        <f>INDEX(Produits!$C:$C,MATCH(H2799,Produits!$A:$A,0))</f>
        <v>Informatique</v>
      </c>
      <c r="Q2799" s="3">
        <f>I2799*INDEX(Produits!$E:$E,MATCH(H2799,Produits!$A:$A,0))</f>
        <v>179.58</v>
      </c>
      <c r="R2799" s="3">
        <f>L2799-Q2799</f>
        <v>17.519999999999982</v>
      </c>
      <c r="S2799" s="2">
        <f>NETWORKDAYS(B2799,C2799)-1</f>
        <v>4</v>
      </c>
      <c r="T2799" s="1">
        <f>WORKDAY(B2799,5)</f>
        <v>45853</v>
      </c>
      <c r="U2799" t="b">
        <f>C2799&gt;T2799</f>
        <v>0</v>
      </c>
    </row>
    <row r="2800" spans="1:21" x14ac:dyDescent="0.25">
      <c r="A2800" t="s">
        <v>1795</v>
      </c>
      <c r="B2800" s="1">
        <v>45846</v>
      </c>
      <c r="C2800" s="1">
        <v>45852</v>
      </c>
      <c r="D2800" t="s">
        <v>178</v>
      </c>
      <c r="E2800" t="s">
        <v>165</v>
      </c>
      <c r="F2800" t="s">
        <v>166</v>
      </c>
      <c r="G2800" t="s">
        <v>167</v>
      </c>
      <c r="H2800" t="s">
        <v>83</v>
      </c>
      <c r="I2800" s="2">
        <v>4</v>
      </c>
      <c r="J2800" s="3">
        <v>49</v>
      </c>
      <c r="K2800" s="4">
        <v>0</v>
      </c>
      <c r="L2800" s="3">
        <v>196</v>
      </c>
      <c r="M2800" t="b">
        <v>1</v>
      </c>
      <c r="N2800" s="2">
        <f>YEAR(B2800)</f>
        <v>2025</v>
      </c>
      <c r="O2800" t="str">
        <f>INDEX(Agences!$C:$C,MATCH(F2800,Agences!$A:$A,0))</f>
        <v>Ouest</v>
      </c>
      <c r="P2800" t="str">
        <f>INDEX(Produits!$C:$C,MATCH(H2800,Produits!$A:$A,0))</f>
        <v>Mobilier</v>
      </c>
      <c r="Q2800" s="3">
        <f>I2800*INDEX(Produits!$E:$E,MATCH(H2800,Produits!$A:$A,0))</f>
        <v>113.68</v>
      </c>
      <c r="R2800" s="3">
        <f>L2800-Q2800</f>
        <v>82.32</v>
      </c>
      <c r="S2800" s="2">
        <f>NETWORKDAYS(B2800,C2800)-1</f>
        <v>4</v>
      </c>
      <c r="T2800" s="1">
        <f>WORKDAY(B2800,5)</f>
        <v>45853</v>
      </c>
      <c r="U2800" t="b">
        <f>C2800&gt;T2800</f>
        <v>0</v>
      </c>
    </row>
    <row r="2801" spans="1:21" x14ac:dyDescent="0.25">
      <c r="A2801" t="s">
        <v>1796</v>
      </c>
      <c r="B2801" s="1">
        <v>45846</v>
      </c>
      <c r="C2801" s="1">
        <v>45849</v>
      </c>
      <c r="D2801" t="s">
        <v>1493</v>
      </c>
      <c r="E2801" t="s">
        <v>191</v>
      </c>
      <c r="F2801" t="s">
        <v>62</v>
      </c>
      <c r="G2801" t="s">
        <v>63</v>
      </c>
      <c r="H2801" t="s">
        <v>150</v>
      </c>
      <c r="I2801" s="2">
        <v>1</v>
      </c>
      <c r="J2801" s="3">
        <v>790</v>
      </c>
      <c r="K2801" s="4">
        <v>0</v>
      </c>
      <c r="L2801" s="3">
        <v>790</v>
      </c>
      <c r="M2801" t="b">
        <v>1</v>
      </c>
      <c r="N2801" s="2">
        <f>YEAR(B2801)</f>
        <v>2025</v>
      </c>
      <c r="O2801" t="str">
        <f>INDEX(Agences!$C:$C,MATCH(F2801,Agences!$A:$A,0))</f>
        <v>Méditerranée</v>
      </c>
      <c r="P2801" t="str">
        <f>INDEX(Produits!$C:$C,MATCH(H2801,Produits!$A:$A,0))</f>
        <v>Informatique</v>
      </c>
      <c r="Q2801" s="3">
        <f>I2801*INDEX(Produits!$E:$E,MATCH(H2801,Produits!$A:$A,0))</f>
        <v>584.6</v>
      </c>
      <c r="R2801" s="3">
        <f>L2801-Q2801</f>
        <v>205.39999999999998</v>
      </c>
      <c r="S2801" s="2">
        <f>NETWORKDAYS(B2801,C2801)-1</f>
        <v>3</v>
      </c>
      <c r="T2801" s="1">
        <f>WORKDAY(B2801,5)</f>
        <v>45853</v>
      </c>
      <c r="U2801" t="b">
        <f>C2801&gt;T2801</f>
        <v>0</v>
      </c>
    </row>
    <row r="2802" spans="1:21" x14ac:dyDescent="0.25">
      <c r="A2802" t="s">
        <v>1797</v>
      </c>
      <c r="B2802" s="1">
        <v>45846</v>
      </c>
      <c r="C2802" s="1">
        <v>45852</v>
      </c>
      <c r="D2802" t="s">
        <v>1016</v>
      </c>
      <c r="E2802" t="s">
        <v>384</v>
      </c>
      <c r="F2802" t="s">
        <v>46</v>
      </c>
      <c r="G2802" t="s">
        <v>111</v>
      </c>
      <c r="H2802" t="s">
        <v>50</v>
      </c>
      <c r="I2802" s="2">
        <v>1</v>
      </c>
      <c r="J2802" s="3">
        <v>69</v>
      </c>
      <c r="K2802" s="4">
        <v>0</v>
      </c>
      <c r="L2802" s="3">
        <v>69</v>
      </c>
      <c r="M2802" t="b">
        <v>1</v>
      </c>
      <c r="N2802" s="2">
        <f>YEAR(B2802)</f>
        <v>2025</v>
      </c>
      <c r="O2802" t="str">
        <f>INDEX(Agences!$C:$C,MATCH(F2802,Agences!$A:$A,0))</f>
        <v>Est</v>
      </c>
      <c r="P2802" t="str">
        <f>INDEX(Produits!$C:$C,MATCH(H2802,Produits!$A:$A,0))</f>
        <v>Informatique</v>
      </c>
      <c r="Q2802" s="3">
        <f>I2802*INDEX(Produits!$E:$E,MATCH(H2802,Produits!$A:$A,0))</f>
        <v>54.51</v>
      </c>
      <c r="R2802" s="3">
        <f>L2802-Q2802</f>
        <v>14.490000000000002</v>
      </c>
      <c r="S2802" s="2">
        <f>NETWORKDAYS(B2802,C2802)-1</f>
        <v>4</v>
      </c>
      <c r="T2802" s="1">
        <f>WORKDAY(B2802,5)</f>
        <v>45853</v>
      </c>
      <c r="U2802" t="b">
        <f>C2802&gt;T2802</f>
        <v>0</v>
      </c>
    </row>
    <row r="2803" spans="1:21" x14ac:dyDescent="0.25">
      <c r="A2803" t="s">
        <v>1797</v>
      </c>
      <c r="B2803" s="1">
        <v>45846</v>
      </c>
      <c r="C2803" s="1">
        <v>45852</v>
      </c>
      <c r="D2803" t="s">
        <v>1016</v>
      </c>
      <c r="E2803" t="s">
        <v>384</v>
      </c>
      <c r="F2803" t="s">
        <v>46</v>
      </c>
      <c r="G2803" t="s">
        <v>111</v>
      </c>
      <c r="H2803" t="s">
        <v>48</v>
      </c>
      <c r="I2803" s="2">
        <v>1</v>
      </c>
      <c r="J2803" s="3">
        <v>165</v>
      </c>
      <c r="K2803" s="4">
        <v>0</v>
      </c>
      <c r="L2803" s="3">
        <v>165</v>
      </c>
      <c r="M2803" t="b">
        <v>1</v>
      </c>
      <c r="N2803" s="2">
        <f>YEAR(B2803)</f>
        <v>2025</v>
      </c>
      <c r="O2803" t="str">
        <f>INDEX(Agences!$C:$C,MATCH(F2803,Agences!$A:$A,0))</f>
        <v>Est</v>
      </c>
      <c r="P2803" t="str">
        <f>INDEX(Produits!$C:$C,MATCH(H2803,Produits!$A:$A,0))</f>
        <v>Mobilier</v>
      </c>
      <c r="Q2803" s="3">
        <f>I2803*INDEX(Produits!$E:$E,MATCH(H2803,Produits!$A:$A,0))</f>
        <v>107.25</v>
      </c>
      <c r="R2803" s="3">
        <f>L2803-Q2803</f>
        <v>57.75</v>
      </c>
      <c r="S2803" s="2">
        <f>NETWORKDAYS(B2803,C2803)-1</f>
        <v>4</v>
      </c>
      <c r="T2803" s="1">
        <f>WORKDAY(B2803,5)</f>
        <v>45853</v>
      </c>
      <c r="U2803" t="b">
        <f>C2803&gt;T2803</f>
        <v>0</v>
      </c>
    </row>
    <row r="2804" spans="1:21" x14ac:dyDescent="0.25">
      <c r="A2804" t="s">
        <v>1798</v>
      </c>
      <c r="B2804" s="1">
        <v>45846</v>
      </c>
      <c r="C2804" s="1">
        <v>45847</v>
      </c>
      <c r="D2804" t="s">
        <v>1570</v>
      </c>
      <c r="E2804" t="s">
        <v>229</v>
      </c>
      <c r="F2804" t="s">
        <v>55</v>
      </c>
      <c r="G2804" t="s">
        <v>71</v>
      </c>
      <c r="H2804" t="s">
        <v>72</v>
      </c>
      <c r="I2804" s="2">
        <v>3</v>
      </c>
      <c r="J2804" s="3">
        <v>179</v>
      </c>
      <c r="K2804" s="4">
        <v>0.1</v>
      </c>
      <c r="L2804" s="3">
        <v>483.3</v>
      </c>
      <c r="M2804" t="b">
        <v>1</v>
      </c>
      <c r="N2804" s="2">
        <f>YEAR(B2804)</f>
        <v>2025</v>
      </c>
      <c r="O2804" t="str">
        <f>INDEX(Agences!$C:$C,MATCH(F2804,Agences!$A:$A,0))</f>
        <v>Est</v>
      </c>
      <c r="P2804" t="str">
        <f>INDEX(Produits!$C:$C,MATCH(H2804,Produits!$A:$A,0))</f>
        <v>Informatique</v>
      </c>
      <c r="Q2804" s="3">
        <f>I2804*INDEX(Produits!$E:$E,MATCH(H2804,Produits!$A:$A,0))</f>
        <v>440.34000000000003</v>
      </c>
      <c r="R2804" s="3">
        <f>L2804-Q2804</f>
        <v>42.95999999999998</v>
      </c>
      <c r="S2804" s="2">
        <f>NETWORKDAYS(B2804,C2804)-1</f>
        <v>1</v>
      </c>
      <c r="T2804" s="1">
        <f>WORKDAY(B2804,5)</f>
        <v>45853</v>
      </c>
      <c r="U2804" t="b">
        <f>C2804&gt;T2804</f>
        <v>0</v>
      </c>
    </row>
    <row r="2805" spans="1:21" x14ac:dyDescent="0.25">
      <c r="A2805" t="s">
        <v>1798</v>
      </c>
      <c r="B2805" s="1">
        <v>45846</v>
      </c>
      <c r="C2805" s="1">
        <v>45847</v>
      </c>
      <c r="D2805" t="s">
        <v>1570</v>
      </c>
      <c r="E2805" t="s">
        <v>229</v>
      </c>
      <c r="F2805" t="s">
        <v>55</v>
      </c>
      <c r="G2805" t="s">
        <v>71</v>
      </c>
      <c r="H2805" t="s">
        <v>51</v>
      </c>
      <c r="I2805" s="2">
        <v>2</v>
      </c>
      <c r="J2805" s="3">
        <v>180</v>
      </c>
      <c r="K2805" s="4">
        <v>0.05</v>
      </c>
      <c r="L2805" s="3">
        <v>342</v>
      </c>
      <c r="M2805" t="b">
        <v>1</v>
      </c>
      <c r="N2805" s="2">
        <f>YEAR(B2805)</f>
        <v>2025</v>
      </c>
      <c r="O2805" t="str">
        <f>INDEX(Agences!$C:$C,MATCH(F2805,Agences!$A:$A,0))</f>
        <v>Est</v>
      </c>
      <c r="P2805" t="str">
        <f>INDEX(Produits!$C:$C,MATCH(H2805,Produits!$A:$A,0))</f>
        <v>Maintenance</v>
      </c>
      <c r="Q2805" s="3">
        <f>I2805*INDEX(Produits!$E:$E,MATCH(H2805,Produits!$A:$A,0))</f>
        <v>165.6</v>
      </c>
      <c r="R2805" s="3">
        <f>L2805-Q2805</f>
        <v>176.4</v>
      </c>
      <c r="S2805" s="2">
        <f>NETWORKDAYS(B2805,C2805)-1</f>
        <v>1</v>
      </c>
      <c r="T2805" s="1">
        <f>WORKDAY(B2805,5)</f>
        <v>45853</v>
      </c>
      <c r="U2805" t="b">
        <f>C2805&gt;T2805</f>
        <v>0</v>
      </c>
    </row>
    <row r="2806" spans="1:21" x14ac:dyDescent="0.25">
      <c r="A2806" t="s">
        <v>1799</v>
      </c>
      <c r="B2806" s="1">
        <v>45846</v>
      </c>
      <c r="C2806" s="1">
        <v>45848</v>
      </c>
      <c r="D2806" t="s">
        <v>750</v>
      </c>
      <c r="E2806" t="s">
        <v>229</v>
      </c>
      <c r="F2806" t="s">
        <v>55</v>
      </c>
      <c r="G2806" t="s">
        <v>71</v>
      </c>
      <c r="H2806" t="s">
        <v>83</v>
      </c>
      <c r="I2806" s="2">
        <v>2</v>
      </c>
      <c r="J2806" s="3">
        <v>49</v>
      </c>
      <c r="K2806" s="4">
        <v>0.1</v>
      </c>
      <c r="L2806" s="3">
        <v>88.2</v>
      </c>
      <c r="M2806" t="b">
        <v>1</v>
      </c>
      <c r="N2806" s="2">
        <f>YEAR(B2806)</f>
        <v>2025</v>
      </c>
      <c r="O2806" t="str">
        <f>INDEX(Agences!$C:$C,MATCH(F2806,Agences!$A:$A,0))</f>
        <v>Est</v>
      </c>
      <c r="P2806" t="str">
        <f>INDEX(Produits!$C:$C,MATCH(H2806,Produits!$A:$A,0))</f>
        <v>Mobilier</v>
      </c>
      <c r="Q2806" s="3">
        <f>I2806*INDEX(Produits!$E:$E,MATCH(H2806,Produits!$A:$A,0))</f>
        <v>56.84</v>
      </c>
      <c r="R2806" s="3">
        <f>L2806-Q2806</f>
        <v>31.36</v>
      </c>
      <c r="S2806" s="2">
        <f>NETWORKDAYS(B2806,C2806)-1</f>
        <v>2</v>
      </c>
      <c r="T2806" s="1">
        <f>WORKDAY(B2806,5)</f>
        <v>45853</v>
      </c>
      <c r="U2806" t="b">
        <f>C2806&gt;T2806</f>
        <v>0</v>
      </c>
    </row>
    <row r="2807" spans="1:21" x14ac:dyDescent="0.25">
      <c r="A2807" t="s">
        <v>1799</v>
      </c>
      <c r="B2807" s="1">
        <v>45846</v>
      </c>
      <c r="C2807" s="1">
        <v>45848</v>
      </c>
      <c r="D2807" t="s">
        <v>750</v>
      </c>
      <c r="E2807" t="s">
        <v>229</v>
      </c>
      <c r="F2807" t="s">
        <v>55</v>
      </c>
      <c r="G2807" t="s">
        <v>71</v>
      </c>
      <c r="H2807" t="s">
        <v>103</v>
      </c>
      <c r="I2807" s="2">
        <v>5</v>
      </c>
      <c r="J2807" s="3">
        <v>245</v>
      </c>
      <c r="K2807" s="4">
        <v>0.1</v>
      </c>
      <c r="L2807" s="3">
        <v>1102.5</v>
      </c>
      <c r="M2807" t="b">
        <v>1</v>
      </c>
      <c r="N2807" s="2">
        <f>YEAR(B2807)</f>
        <v>2025</v>
      </c>
      <c r="O2807" t="str">
        <f>INDEX(Agences!$C:$C,MATCH(F2807,Agences!$A:$A,0))</f>
        <v>Est</v>
      </c>
      <c r="P2807" t="str">
        <f>INDEX(Produits!$C:$C,MATCH(H2807,Produits!$A:$A,0))</f>
        <v>Mobilier</v>
      </c>
      <c r="Q2807" s="3">
        <f>I2807*INDEX(Produits!$E:$E,MATCH(H2807,Produits!$A:$A,0))</f>
        <v>820.75</v>
      </c>
      <c r="R2807" s="3">
        <f>L2807-Q2807</f>
        <v>281.75</v>
      </c>
      <c r="S2807" s="2">
        <f>NETWORKDAYS(B2807,C2807)-1</f>
        <v>2</v>
      </c>
      <c r="T2807" s="1">
        <f>WORKDAY(B2807,5)</f>
        <v>45853</v>
      </c>
      <c r="U2807" t="b">
        <f>C2807&gt;T2807</f>
        <v>0</v>
      </c>
    </row>
    <row r="2808" spans="1:21" x14ac:dyDescent="0.25">
      <c r="A2808" t="s">
        <v>1799</v>
      </c>
      <c r="B2808" s="1">
        <v>45846</v>
      </c>
      <c r="C2808" s="1">
        <v>45848</v>
      </c>
      <c r="D2808" t="s">
        <v>750</v>
      </c>
      <c r="E2808" t="s">
        <v>229</v>
      </c>
      <c r="F2808" t="s">
        <v>55</v>
      </c>
      <c r="G2808" t="s">
        <v>71</v>
      </c>
      <c r="H2808" t="s">
        <v>233</v>
      </c>
      <c r="I2808" s="2">
        <v>15</v>
      </c>
      <c r="J2808" s="3">
        <v>27.5</v>
      </c>
      <c r="K2808" s="4">
        <v>0.05</v>
      </c>
      <c r="L2808" s="3">
        <v>391.88</v>
      </c>
      <c r="M2808" t="b">
        <v>1</v>
      </c>
      <c r="N2808" s="2">
        <f>YEAR(B2808)</f>
        <v>2025</v>
      </c>
      <c r="O2808" t="str">
        <f>INDEX(Agences!$C:$C,MATCH(F2808,Agences!$A:$A,0))</f>
        <v>Est</v>
      </c>
      <c r="P2808" t="str">
        <f>INDEX(Produits!$C:$C,MATCH(H2808,Produits!$A:$A,0))</f>
        <v>Fournitures</v>
      </c>
      <c r="Q2808" s="3">
        <f>I2808*INDEX(Produits!$E:$E,MATCH(H2808,Produits!$A:$A,0))</f>
        <v>231</v>
      </c>
      <c r="R2808" s="3">
        <f>L2808-Q2808</f>
        <v>160.88</v>
      </c>
      <c r="S2808" s="2">
        <f>NETWORKDAYS(B2808,C2808)-1</f>
        <v>2</v>
      </c>
      <c r="T2808" s="1">
        <f>WORKDAY(B2808,5)</f>
        <v>45853</v>
      </c>
      <c r="U2808" t="b">
        <f>C2808&gt;T2808</f>
        <v>0</v>
      </c>
    </row>
    <row r="2809" spans="1:21" x14ac:dyDescent="0.25">
      <c r="A2809" t="s">
        <v>1799</v>
      </c>
      <c r="B2809" s="1">
        <v>45846</v>
      </c>
      <c r="C2809" s="1">
        <v>45848</v>
      </c>
      <c r="D2809" t="s">
        <v>750</v>
      </c>
      <c r="E2809" t="s">
        <v>229</v>
      </c>
      <c r="F2809" t="s">
        <v>55</v>
      </c>
      <c r="G2809" t="s">
        <v>71</v>
      </c>
      <c r="H2809" t="s">
        <v>50</v>
      </c>
      <c r="I2809" s="2">
        <v>3</v>
      </c>
      <c r="J2809" s="3">
        <v>69</v>
      </c>
      <c r="K2809" s="4">
        <v>0</v>
      </c>
      <c r="L2809" s="3">
        <v>207</v>
      </c>
      <c r="M2809" t="b">
        <v>1</v>
      </c>
      <c r="N2809" s="2">
        <f>YEAR(B2809)</f>
        <v>2025</v>
      </c>
      <c r="O2809" t="str">
        <f>INDEX(Agences!$C:$C,MATCH(F2809,Agences!$A:$A,0))</f>
        <v>Est</v>
      </c>
      <c r="P2809" t="str">
        <f>INDEX(Produits!$C:$C,MATCH(H2809,Produits!$A:$A,0))</f>
        <v>Informatique</v>
      </c>
      <c r="Q2809" s="3">
        <f>I2809*INDEX(Produits!$E:$E,MATCH(H2809,Produits!$A:$A,0))</f>
        <v>163.53</v>
      </c>
      <c r="R2809" s="3">
        <f>L2809-Q2809</f>
        <v>43.47</v>
      </c>
      <c r="S2809" s="2">
        <f>NETWORKDAYS(B2809,C2809)-1</f>
        <v>2</v>
      </c>
      <c r="T2809" s="1">
        <f>WORKDAY(B2809,5)</f>
        <v>45853</v>
      </c>
      <c r="U2809" t="b">
        <f>C2809&gt;T2809</f>
        <v>0</v>
      </c>
    </row>
    <row r="2810" spans="1:21" x14ac:dyDescent="0.25">
      <c r="A2810" t="s">
        <v>1800</v>
      </c>
      <c r="B2810" s="1">
        <v>45845</v>
      </c>
      <c r="C2810" s="1">
        <v>45849</v>
      </c>
      <c r="D2810" t="s">
        <v>1801</v>
      </c>
      <c r="E2810" t="s">
        <v>213</v>
      </c>
      <c r="F2810" t="s">
        <v>138</v>
      </c>
      <c r="G2810" t="s">
        <v>139</v>
      </c>
      <c r="H2810" t="s">
        <v>162</v>
      </c>
      <c r="I2810" s="2">
        <v>1</v>
      </c>
      <c r="J2810" s="3">
        <v>289</v>
      </c>
      <c r="K2810" s="4">
        <v>0</v>
      </c>
      <c r="L2810" s="3">
        <v>289</v>
      </c>
      <c r="M2810" t="b">
        <v>1</v>
      </c>
      <c r="N2810" s="2">
        <f>YEAR(B2810)</f>
        <v>2025</v>
      </c>
      <c r="O2810" t="str">
        <f>INDEX(Agences!$C:$C,MATCH(F2810,Agences!$A:$A,0))</f>
        <v>Île-de-France</v>
      </c>
      <c r="P2810" t="str">
        <f>INDEX(Produits!$C:$C,MATCH(H2810,Produits!$A:$A,0))</f>
        <v>Mobilier</v>
      </c>
      <c r="Q2810" s="3">
        <f>I2810*INDEX(Produits!$E:$E,MATCH(H2810,Produits!$A:$A,0))</f>
        <v>193.63</v>
      </c>
      <c r="R2810" s="3">
        <f>L2810-Q2810</f>
        <v>95.37</v>
      </c>
      <c r="S2810" s="2">
        <f>NETWORKDAYS(B2810,C2810)-1</f>
        <v>4</v>
      </c>
      <c r="T2810" s="1">
        <f>WORKDAY(B2810,5)</f>
        <v>45852</v>
      </c>
      <c r="U2810" t="b">
        <f>C2810&gt;T2810</f>
        <v>0</v>
      </c>
    </row>
    <row r="2811" spans="1:21" x14ac:dyDescent="0.25">
      <c r="A2811" t="s">
        <v>1800</v>
      </c>
      <c r="B2811" s="1">
        <v>45845</v>
      </c>
      <c r="C2811" s="1">
        <v>45849</v>
      </c>
      <c r="D2811" t="s">
        <v>1801</v>
      </c>
      <c r="E2811" t="s">
        <v>213</v>
      </c>
      <c r="F2811" t="s">
        <v>138</v>
      </c>
      <c r="G2811" t="s">
        <v>139</v>
      </c>
      <c r="H2811" t="s">
        <v>79</v>
      </c>
      <c r="I2811" s="2">
        <v>5</v>
      </c>
      <c r="J2811" s="3">
        <v>14.9</v>
      </c>
      <c r="K2811" s="4">
        <v>0.1</v>
      </c>
      <c r="L2811" s="3">
        <v>67.05</v>
      </c>
      <c r="M2811" t="b">
        <v>1</v>
      </c>
      <c r="N2811" s="2">
        <f>YEAR(B2811)</f>
        <v>2025</v>
      </c>
      <c r="O2811" t="str">
        <f>INDEX(Agences!$C:$C,MATCH(F2811,Agences!$A:$A,0))</f>
        <v>Île-de-France</v>
      </c>
      <c r="P2811" t="str">
        <f>INDEX(Produits!$C:$C,MATCH(H2811,Produits!$A:$A,0))</f>
        <v>Fournitures</v>
      </c>
      <c r="Q2811" s="3">
        <f>I2811*INDEX(Produits!$E:$E,MATCH(H2811,Produits!$A:$A,0))</f>
        <v>40.25</v>
      </c>
      <c r="R2811" s="3">
        <f>L2811-Q2811</f>
        <v>26.799999999999997</v>
      </c>
      <c r="S2811" s="2">
        <f>NETWORKDAYS(B2811,C2811)-1</f>
        <v>4</v>
      </c>
      <c r="T2811" s="1">
        <f>WORKDAY(B2811,5)</f>
        <v>45852</v>
      </c>
      <c r="U2811" t="b">
        <f>C2811&gt;T2811</f>
        <v>0</v>
      </c>
    </row>
    <row r="2812" spans="1:21" x14ac:dyDescent="0.25">
      <c r="A2812" t="s">
        <v>1800</v>
      </c>
      <c r="B2812" s="1">
        <v>45845</v>
      </c>
      <c r="C2812" s="1">
        <v>45849</v>
      </c>
      <c r="D2812" t="s">
        <v>1801</v>
      </c>
      <c r="E2812" t="s">
        <v>213</v>
      </c>
      <c r="F2812" t="s">
        <v>138</v>
      </c>
      <c r="G2812" t="s">
        <v>139</v>
      </c>
      <c r="H2812" t="s">
        <v>27</v>
      </c>
      <c r="I2812" s="2">
        <v>3</v>
      </c>
      <c r="J2812" s="3">
        <v>310</v>
      </c>
      <c r="K2812" s="4">
        <v>0.02</v>
      </c>
      <c r="L2812" s="3">
        <v>911.4</v>
      </c>
      <c r="M2812" t="b">
        <v>1</v>
      </c>
      <c r="N2812" s="2">
        <f>YEAR(B2812)</f>
        <v>2025</v>
      </c>
      <c r="O2812" t="str">
        <f>INDEX(Agences!$C:$C,MATCH(F2812,Agences!$A:$A,0))</f>
        <v>Île-de-France</v>
      </c>
      <c r="P2812" t="str">
        <f>INDEX(Produits!$C:$C,MATCH(H2812,Produits!$A:$A,0))</f>
        <v>Mobilier</v>
      </c>
      <c r="Q2812" s="3">
        <f>I2812*INDEX(Produits!$E:$E,MATCH(H2812,Produits!$A:$A,0))</f>
        <v>558</v>
      </c>
      <c r="R2812" s="3">
        <f>L2812-Q2812</f>
        <v>353.4</v>
      </c>
      <c r="S2812" s="2">
        <f>NETWORKDAYS(B2812,C2812)-1</f>
        <v>4</v>
      </c>
      <c r="T2812" s="1">
        <f>WORKDAY(B2812,5)</f>
        <v>45852</v>
      </c>
      <c r="U2812" t="b">
        <f>C2812&gt;T2812</f>
        <v>0</v>
      </c>
    </row>
    <row r="2813" spans="1:21" x14ac:dyDescent="0.25">
      <c r="A2813" t="s">
        <v>1800</v>
      </c>
      <c r="B2813" s="1">
        <v>45845</v>
      </c>
      <c r="C2813" s="1">
        <v>45849</v>
      </c>
      <c r="D2813" t="s">
        <v>1801</v>
      </c>
      <c r="E2813" t="s">
        <v>213</v>
      </c>
      <c r="F2813" t="s">
        <v>138</v>
      </c>
      <c r="G2813" t="s">
        <v>139</v>
      </c>
      <c r="H2813" t="s">
        <v>196</v>
      </c>
      <c r="I2813" s="2">
        <v>10</v>
      </c>
      <c r="J2813" s="3">
        <v>18.5</v>
      </c>
      <c r="K2813" s="4">
        <v>0.05</v>
      </c>
      <c r="L2813" s="3">
        <v>175.75</v>
      </c>
      <c r="M2813" t="b">
        <v>1</v>
      </c>
      <c r="N2813" s="2">
        <f>YEAR(B2813)</f>
        <v>2025</v>
      </c>
      <c r="O2813" t="str">
        <f>INDEX(Agences!$C:$C,MATCH(F2813,Agences!$A:$A,0))</f>
        <v>Île-de-France</v>
      </c>
      <c r="P2813" t="str">
        <f>INDEX(Produits!$C:$C,MATCH(H2813,Produits!$A:$A,0))</f>
        <v>Fournitures</v>
      </c>
      <c r="Q2813" s="3">
        <f>I2813*INDEX(Produits!$E:$E,MATCH(H2813,Produits!$A:$A,0))</f>
        <v>94.39999999999999</v>
      </c>
      <c r="R2813" s="3">
        <f>L2813-Q2813</f>
        <v>81.35000000000001</v>
      </c>
      <c r="S2813" s="2">
        <f>NETWORKDAYS(B2813,C2813)-1</f>
        <v>4</v>
      </c>
      <c r="T2813" s="1">
        <f>WORKDAY(B2813,5)</f>
        <v>45852</v>
      </c>
      <c r="U2813" t="b">
        <f>C2813&gt;T2813</f>
        <v>0</v>
      </c>
    </row>
    <row r="2814" spans="1:21" x14ac:dyDescent="0.25">
      <c r="A2814" t="s">
        <v>1802</v>
      </c>
      <c r="B2814" s="1">
        <v>45845</v>
      </c>
      <c r="C2814" s="1">
        <v>45849</v>
      </c>
      <c r="D2814" t="s">
        <v>897</v>
      </c>
      <c r="E2814" t="s">
        <v>87</v>
      </c>
      <c r="F2814" t="s">
        <v>88</v>
      </c>
      <c r="G2814" t="s">
        <v>89</v>
      </c>
      <c r="H2814" t="s">
        <v>49</v>
      </c>
      <c r="I2814" s="2">
        <v>1</v>
      </c>
      <c r="J2814" s="3">
        <v>120</v>
      </c>
      <c r="K2814" s="4">
        <v>0</v>
      </c>
      <c r="L2814" s="3">
        <v>120</v>
      </c>
      <c r="M2814" t="b">
        <v>1</v>
      </c>
      <c r="N2814" s="2">
        <f>YEAR(B2814)</f>
        <v>2025</v>
      </c>
      <c r="O2814" t="str">
        <f>INDEX(Agences!$C:$C,MATCH(F2814,Agences!$A:$A,0))</f>
        <v>Sud-Ouest</v>
      </c>
      <c r="P2814" t="str">
        <f>INDEX(Produits!$C:$C,MATCH(H2814,Produits!$A:$A,0))</f>
        <v>Maintenance</v>
      </c>
      <c r="Q2814" s="3">
        <f>I2814*INDEX(Produits!$E:$E,MATCH(H2814,Produits!$A:$A,0))</f>
        <v>55.2</v>
      </c>
      <c r="R2814" s="3">
        <f>L2814-Q2814</f>
        <v>64.8</v>
      </c>
      <c r="S2814" s="2">
        <f>NETWORKDAYS(B2814,C2814)-1</f>
        <v>4</v>
      </c>
      <c r="T2814" s="1">
        <f>WORKDAY(B2814,5)</f>
        <v>45852</v>
      </c>
      <c r="U2814" t="b">
        <f>C2814&gt;T2814</f>
        <v>0</v>
      </c>
    </row>
    <row r="2815" spans="1:21" x14ac:dyDescent="0.25">
      <c r="A2815" t="s">
        <v>1802</v>
      </c>
      <c r="B2815" s="1">
        <v>45845</v>
      </c>
      <c r="C2815" s="1">
        <v>45849</v>
      </c>
      <c r="D2815" t="s">
        <v>897</v>
      </c>
      <c r="E2815" t="s">
        <v>87</v>
      </c>
      <c r="F2815" t="s">
        <v>88</v>
      </c>
      <c r="G2815" t="s">
        <v>89</v>
      </c>
      <c r="H2815" t="s">
        <v>83</v>
      </c>
      <c r="I2815" s="2">
        <v>1</v>
      </c>
      <c r="J2815" s="3">
        <v>49</v>
      </c>
      <c r="K2815" s="4">
        <v>0.05</v>
      </c>
      <c r="L2815" s="3">
        <v>46.55</v>
      </c>
      <c r="M2815" t="b">
        <v>1</v>
      </c>
      <c r="N2815" s="2">
        <f>YEAR(B2815)</f>
        <v>2025</v>
      </c>
      <c r="O2815" t="str">
        <f>INDEX(Agences!$C:$C,MATCH(F2815,Agences!$A:$A,0))</f>
        <v>Sud-Ouest</v>
      </c>
      <c r="P2815" t="str">
        <f>INDEX(Produits!$C:$C,MATCH(H2815,Produits!$A:$A,0))</f>
        <v>Mobilier</v>
      </c>
      <c r="Q2815" s="3">
        <f>I2815*INDEX(Produits!$E:$E,MATCH(H2815,Produits!$A:$A,0))</f>
        <v>28.42</v>
      </c>
      <c r="R2815" s="3">
        <f>L2815-Q2815</f>
        <v>18.129999999999995</v>
      </c>
      <c r="S2815" s="2">
        <f>NETWORKDAYS(B2815,C2815)-1</f>
        <v>4</v>
      </c>
      <c r="T2815" s="1">
        <f>WORKDAY(B2815,5)</f>
        <v>45852</v>
      </c>
      <c r="U2815" t="b">
        <f>C2815&gt;T2815</f>
        <v>0</v>
      </c>
    </row>
    <row r="2816" spans="1:21" x14ac:dyDescent="0.25">
      <c r="A2816" t="s">
        <v>1802</v>
      </c>
      <c r="B2816" s="1">
        <v>45845</v>
      </c>
      <c r="C2816" s="1">
        <v>45849</v>
      </c>
      <c r="D2816" t="s">
        <v>897</v>
      </c>
      <c r="E2816" t="s">
        <v>87</v>
      </c>
      <c r="F2816" t="s">
        <v>88</v>
      </c>
      <c r="G2816" t="s">
        <v>89</v>
      </c>
      <c r="H2816" t="s">
        <v>123</v>
      </c>
      <c r="I2816" s="2">
        <v>5</v>
      </c>
      <c r="J2816" s="3">
        <v>39.9</v>
      </c>
      <c r="K2816" s="4">
        <v>0.05</v>
      </c>
      <c r="L2816" s="3">
        <v>189.53</v>
      </c>
      <c r="M2816" t="b">
        <v>1</v>
      </c>
      <c r="N2816" s="2">
        <f>YEAR(B2816)</f>
        <v>2025</v>
      </c>
      <c r="O2816" t="str">
        <f>INDEX(Agences!$C:$C,MATCH(F2816,Agences!$A:$A,0))</f>
        <v>Sud-Ouest</v>
      </c>
      <c r="P2816" t="str">
        <f>INDEX(Produits!$C:$C,MATCH(H2816,Produits!$A:$A,0))</f>
        <v>Fournitures</v>
      </c>
      <c r="Q2816" s="3">
        <f>I2816*INDEX(Produits!$E:$E,MATCH(H2816,Produits!$A:$A,0))</f>
        <v>111.7</v>
      </c>
      <c r="R2816" s="3">
        <f>L2816-Q2816</f>
        <v>77.83</v>
      </c>
      <c r="S2816" s="2">
        <f>NETWORKDAYS(B2816,C2816)-1</f>
        <v>4</v>
      </c>
      <c r="T2816" s="1">
        <f>WORKDAY(B2816,5)</f>
        <v>45852</v>
      </c>
      <c r="U2816" t="b">
        <f>C2816&gt;T2816</f>
        <v>0</v>
      </c>
    </row>
    <row r="2817" spans="1:21" x14ac:dyDescent="0.25">
      <c r="A2817" t="s">
        <v>1802</v>
      </c>
      <c r="B2817" s="1">
        <v>45845</v>
      </c>
      <c r="C2817" s="1">
        <v>45849</v>
      </c>
      <c r="D2817" t="s">
        <v>897</v>
      </c>
      <c r="E2817" t="s">
        <v>87</v>
      </c>
      <c r="F2817" t="s">
        <v>88</v>
      </c>
      <c r="G2817" t="s">
        <v>89</v>
      </c>
      <c r="H2817" t="s">
        <v>205</v>
      </c>
      <c r="I2817" s="2">
        <v>5</v>
      </c>
      <c r="J2817" s="3">
        <v>359</v>
      </c>
      <c r="K2817" s="4">
        <v>0</v>
      </c>
      <c r="L2817" s="3">
        <v>1795</v>
      </c>
      <c r="M2817" t="b">
        <v>1</v>
      </c>
      <c r="N2817" s="2">
        <f>YEAR(B2817)</f>
        <v>2025</v>
      </c>
      <c r="O2817" t="str">
        <f>INDEX(Agences!$C:$C,MATCH(F2817,Agences!$A:$A,0))</f>
        <v>Sud-Ouest</v>
      </c>
      <c r="P2817" t="str">
        <f>INDEX(Produits!$C:$C,MATCH(H2817,Produits!$A:$A,0))</f>
        <v>Mobilier</v>
      </c>
      <c r="Q2817" s="3">
        <f>I2817*INDEX(Produits!$E:$E,MATCH(H2817,Produits!$A:$A,0))</f>
        <v>1023.15</v>
      </c>
      <c r="R2817" s="3">
        <f>L2817-Q2817</f>
        <v>771.85</v>
      </c>
      <c r="S2817" s="2">
        <f>NETWORKDAYS(B2817,C2817)-1</f>
        <v>4</v>
      </c>
      <c r="T2817" s="1">
        <f>WORKDAY(B2817,5)</f>
        <v>45852</v>
      </c>
      <c r="U2817" t="b">
        <f>C2817&gt;T2817</f>
        <v>0</v>
      </c>
    </row>
    <row r="2818" spans="1:21" x14ac:dyDescent="0.25">
      <c r="A2818" t="s">
        <v>1802</v>
      </c>
      <c r="B2818" s="1">
        <v>45845</v>
      </c>
      <c r="C2818" s="1">
        <v>45849</v>
      </c>
      <c r="D2818" t="s">
        <v>897</v>
      </c>
      <c r="E2818" t="s">
        <v>87</v>
      </c>
      <c r="F2818" t="s">
        <v>88</v>
      </c>
      <c r="G2818" t="s">
        <v>89</v>
      </c>
      <c r="H2818" t="s">
        <v>50</v>
      </c>
      <c r="I2818" s="2">
        <v>2</v>
      </c>
      <c r="J2818" s="3">
        <v>69</v>
      </c>
      <c r="K2818" s="4">
        <v>0</v>
      </c>
      <c r="L2818" s="3">
        <v>138</v>
      </c>
      <c r="M2818" t="b">
        <v>1</v>
      </c>
      <c r="N2818" s="2">
        <f>YEAR(B2818)</f>
        <v>2025</v>
      </c>
      <c r="O2818" t="str">
        <f>INDEX(Agences!$C:$C,MATCH(F2818,Agences!$A:$A,0))</f>
        <v>Sud-Ouest</v>
      </c>
      <c r="P2818" t="str">
        <f>INDEX(Produits!$C:$C,MATCH(H2818,Produits!$A:$A,0))</f>
        <v>Informatique</v>
      </c>
      <c r="Q2818" s="3">
        <f>I2818*INDEX(Produits!$E:$E,MATCH(H2818,Produits!$A:$A,0))</f>
        <v>109.02</v>
      </c>
      <c r="R2818" s="3">
        <f>L2818-Q2818</f>
        <v>28.980000000000004</v>
      </c>
      <c r="S2818" s="2">
        <f>NETWORKDAYS(B2818,C2818)-1</f>
        <v>4</v>
      </c>
      <c r="T2818" s="1">
        <f>WORKDAY(B2818,5)</f>
        <v>45852</v>
      </c>
      <c r="U2818" t="b">
        <f>C2818&gt;T2818</f>
        <v>0</v>
      </c>
    </row>
    <row r="2819" spans="1:21" x14ac:dyDescent="0.25">
      <c r="A2819" t="s">
        <v>1803</v>
      </c>
      <c r="B2819" s="1">
        <v>45845</v>
      </c>
      <c r="C2819" s="1">
        <v>45852</v>
      </c>
      <c r="D2819" t="s">
        <v>144</v>
      </c>
      <c r="E2819" t="s">
        <v>45</v>
      </c>
      <c r="F2819" t="s">
        <v>46</v>
      </c>
      <c r="G2819" t="s">
        <v>158</v>
      </c>
      <c r="H2819" t="s">
        <v>79</v>
      </c>
      <c r="I2819" s="2">
        <v>10</v>
      </c>
      <c r="J2819" s="3">
        <v>14.9</v>
      </c>
      <c r="K2819" s="4">
        <v>0.05</v>
      </c>
      <c r="L2819" s="3">
        <v>141.55</v>
      </c>
      <c r="M2819" t="b">
        <v>1</v>
      </c>
      <c r="N2819" s="2">
        <f>YEAR(B2819)</f>
        <v>2025</v>
      </c>
      <c r="O2819" t="str">
        <f>INDEX(Agences!$C:$C,MATCH(F2819,Agences!$A:$A,0))</f>
        <v>Est</v>
      </c>
      <c r="P2819" t="str">
        <f>INDEX(Produits!$C:$C,MATCH(H2819,Produits!$A:$A,0))</f>
        <v>Fournitures</v>
      </c>
      <c r="Q2819" s="3">
        <f>I2819*INDEX(Produits!$E:$E,MATCH(H2819,Produits!$A:$A,0))</f>
        <v>80.5</v>
      </c>
      <c r="R2819" s="3">
        <f>L2819-Q2819</f>
        <v>61.05000000000001</v>
      </c>
      <c r="S2819" s="2">
        <f>NETWORKDAYS(B2819,C2819)-1</f>
        <v>5</v>
      </c>
      <c r="T2819" s="1">
        <f>WORKDAY(B2819,5)</f>
        <v>45852</v>
      </c>
      <c r="U2819" t="b">
        <f>C2819&gt;T2819</f>
        <v>0</v>
      </c>
    </row>
    <row r="2820" spans="1:21" x14ac:dyDescent="0.25">
      <c r="A2820" t="s">
        <v>1803</v>
      </c>
      <c r="B2820" s="1">
        <v>45845</v>
      </c>
      <c r="C2820" s="1">
        <v>45852</v>
      </c>
      <c r="D2820" t="s">
        <v>144</v>
      </c>
      <c r="E2820" t="s">
        <v>45</v>
      </c>
      <c r="F2820" t="s">
        <v>46</v>
      </c>
      <c r="G2820" t="s">
        <v>158</v>
      </c>
      <c r="H2820" t="s">
        <v>42</v>
      </c>
      <c r="I2820" s="2">
        <v>4</v>
      </c>
      <c r="J2820" s="3">
        <v>55</v>
      </c>
      <c r="K2820" s="4">
        <v>0</v>
      </c>
      <c r="L2820" s="3">
        <v>220</v>
      </c>
      <c r="M2820" t="b">
        <v>1</v>
      </c>
      <c r="N2820" s="2">
        <f>YEAR(B2820)</f>
        <v>2025</v>
      </c>
      <c r="O2820" t="str">
        <f>INDEX(Agences!$C:$C,MATCH(F2820,Agences!$A:$A,0))</f>
        <v>Est</v>
      </c>
      <c r="P2820" t="str">
        <f>INDEX(Produits!$C:$C,MATCH(H2820,Produits!$A:$A,0))</f>
        <v>Maintenance</v>
      </c>
      <c r="Q2820" s="3">
        <f>I2820*INDEX(Produits!$E:$E,MATCH(H2820,Produits!$A:$A,0))</f>
        <v>99</v>
      </c>
      <c r="R2820" s="3">
        <f>L2820-Q2820</f>
        <v>121</v>
      </c>
      <c r="S2820" s="2">
        <f>NETWORKDAYS(B2820,C2820)-1</f>
        <v>5</v>
      </c>
      <c r="T2820" s="1">
        <f>WORKDAY(B2820,5)</f>
        <v>45852</v>
      </c>
      <c r="U2820" t="b">
        <f>C2820&gt;T2820</f>
        <v>0</v>
      </c>
    </row>
    <row r="2821" spans="1:21" x14ac:dyDescent="0.25">
      <c r="A2821" t="s">
        <v>1803</v>
      </c>
      <c r="B2821" s="1">
        <v>45845</v>
      </c>
      <c r="C2821" s="1">
        <v>45852</v>
      </c>
      <c r="D2821" t="s">
        <v>144</v>
      </c>
      <c r="E2821" t="s">
        <v>45</v>
      </c>
      <c r="F2821" t="s">
        <v>46</v>
      </c>
      <c r="G2821" t="s">
        <v>158</v>
      </c>
      <c r="H2821" t="s">
        <v>196</v>
      </c>
      <c r="I2821" s="2">
        <v>5</v>
      </c>
      <c r="J2821" s="3">
        <v>18.5</v>
      </c>
      <c r="K2821" s="4">
        <v>0</v>
      </c>
      <c r="L2821" s="3">
        <v>92.5</v>
      </c>
      <c r="M2821" t="b">
        <v>1</v>
      </c>
      <c r="N2821" s="2">
        <f>YEAR(B2821)</f>
        <v>2025</v>
      </c>
      <c r="O2821" t="str">
        <f>INDEX(Agences!$C:$C,MATCH(F2821,Agences!$A:$A,0))</f>
        <v>Est</v>
      </c>
      <c r="P2821" t="str">
        <f>INDEX(Produits!$C:$C,MATCH(H2821,Produits!$A:$A,0))</f>
        <v>Fournitures</v>
      </c>
      <c r="Q2821" s="3">
        <f>I2821*INDEX(Produits!$E:$E,MATCH(H2821,Produits!$A:$A,0))</f>
        <v>47.199999999999996</v>
      </c>
      <c r="R2821" s="3">
        <f>L2821-Q2821</f>
        <v>45.300000000000004</v>
      </c>
      <c r="S2821" s="2">
        <f>NETWORKDAYS(B2821,C2821)-1</f>
        <v>5</v>
      </c>
      <c r="T2821" s="1">
        <f>WORKDAY(B2821,5)</f>
        <v>45852</v>
      </c>
      <c r="U2821" t="b">
        <f>C2821&gt;T2821</f>
        <v>0</v>
      </c>
    </row>
    <row r="2822" spans="1:21" x14ac:dyDescent="0.25">
      <c r="A2822" t="s">
        <v>1803</v>
      </c>
      <c r="B2822" s="1">
        <v>45845</v>
      </c>
      <c r="C2822" s="1">
        <v>45852</v>
      </c>
      <c r="D2822" t="s">
        <v>144</v>
      </c>
      <c r="E2822" t="s">
        <v>45</v>
      </c>
      <c r="F2822" t="s">
        <v>46</v>
      </c>
      <c r="G2822" t="s">
        <v>158</v>
      </c>
      <c r="H2822" t="s">
        <v>35</v>
      </c>
      <c r="I2822" s="2">
        <v>1</v>
      </c>
      <c r="J2822" s="3">
        <v>79</v>
      </c>
      <c r="K2822" s="4">
        <v>0.05</v>
      </c>
      <c r="L2822" s="3">
        <v>75.05</v>
      </c>
      <c r="M2822" t="b">
        <v>1</v>
      </c>
      <c r="N2822" s="2">
        <f>YEAR(B2822)</f>
        <v>2025</v>
      </c>
      <c r="O2822" t="str">
        <f>INDEX(Agences!$C:$C,MATCH(F2822,Agences!$A:$A,0))</f>
        <v>Est</v>
      </c>
      <c r="P2822" t="str">
        <f>INDEX(Produits!$C:$C,MATCH(H2822,Produits!$A:$A,0))</f>
        <v>Mobilier</v>
      </c>
      <c r="Q2822" s="3">
        <f>I2822*INDEX(Produits!$E:$E,MATCH(H2822,Produits!$A:$A,0))</f>
        <v>46.61</v>
      </c>
      <c r="R2822" s="3">
        <f>L2822-Q2822</f>
        <v>28.439999999999998</v>
      </c>
      <c r="S2822" s="2">
        <f>NETWORKDAYS(B2822,C2822)-1</f>
        <v>5</v>
      </c>
      <c r="T2822" s="1">
        <f>WORKDAY(B2822,5)</f>
        <v>45852</v>
      </c>
      <c r="U2822" t="b">
        <f>C2822&gt;T2822</f>
        <v>0</v>
      </c>
    </row>
    <row r="2823" spans="1:21" x14ac:dyDescent="0.25">
      <c r="A2823" t="s">
        <v>1804</v>
      </c>
      <c r="B2823" s="1">
        <v>45842</v>
      </c>
      <c r="C2823" s="1">
        <v>45845</v>
      </c>
      <c r="D2823" t="s">
        <v>1679</v>
      </c>
      <c r="E2823" t="s">
        <v>172</v>
      </c>
      <c r="F2823" t="s">
        <v>99</v>
      </c>
      <c r="G2823" t="s">
        <v>100</v>
      </c>
      <c r="H2823" t="s">
        <v>83</v>
      </c>
      <c r="I2823" s="2">
        <v>1</v>
      </c>
      <c r="J2823" s="3">
        <v>49</v>
      </c>
      <c r="K2823" s="4">
        <v>0.1</v>
      </c>
      <c r="L2823" s="3">
        <v>44.1</v>
      </c>
      <c r="M2823" t="b">
        <v>1</v>
      </c>
      <c r="N2823" s="2">
        <f>YEAR(B2823)</f>
        <v>2025</v>
      </c>
      <c r="O2823" t="str">
        <f>INDEX(Agences!$C:$C,MATCH(F2823,Agences!$A:$A,0))</f>
        <v>Nord</v>
      </c>
      <c r="P2823" t="str">
        <f>INDEX(Produits!$C:$C,MATCH(H2823,Produits!$A:$A,0))</f>
        <v>Mobilier</v>
      </c>
      <c r="Q2823" s="3">
        <f>I2823*INDEX(Produits!$E:$E,MATCH(H2823,Produits!$A:$A,0))</f>
        <v>28.42</v>
      </c>
      <c r="R2823" s="3">
        <f>L2823-Q2823</f>
        <v>15.68</v>
      </c>
      <c r="S2823" s="2">
        <f>NETWORKDAYS(B2823,C2823)-1</f>
        <v>1</v>
      </c>
      <c r="T2823" s="1">
        <f>WORKDAY(B2823,5)</f>
        <v>45849</v>
      </c>
      <c r="U2823" t="b">
        <f>C2823&gt;T2823</f>
        <v>0</v>
      </c>
    </row>
    <row r="2824" spans="1:21" x14ac:dyDescent="0.25">
      <c r="A2824" t="s">
        <v>1804</v>
      </c>
      <c r="B2824" s="1">
        <v>45842</v>
      </c>
      <c r="C2824" s="1">
        <v>45845</v>
      </c>
      <c r="D2824" t="s">
        <v>1679</v>
      </c>
      <c r="E2824" t="s">
        <v>172</v>
      </c>
      <c r="F2824" t="s">
        <v>99</v>
      </c>
      <c r="G2824" t="s">
        <v>100</v>
      </c>
      <c r="H2824" t="s">
        <v>50</v>
      </c>
      <c r="I2824" s="2">
        <v>1</v>
      </c>
      <c r="J2824" s="3">
        <v>69</v>
      </c>
      <c r="K2824" s="4">
        <v>0</v>
      </c>
      <c r="L2824" s="3">
        <v>69</v>
      </c>
      <c r="M2824" t="b">
        <v>1</v>
      </c>
      <c r="N2824" s="2">
        <f>YEAR(B2824)</f>
        <v>2025</v>
      </c>
      <c r="O2824" t="str">
        <f>INDEX(Agences!$C:$C,MATCH(F2824,Agences!$A:$A,0))</f>
        <v>Nord</v>
      </c>
      <c r="P2824" t="str">
        <f>INDEX(Produits!$C:$C,MATCH(H2824,Produits!$A:$A,0))</f>
        <v>Informatique</v>
      </c>
      <c r="Q2824" s="3">
        <f>I2824*INDEX(Produits!$E:$E,MATCH(H2824,Produits!$A:$A,0))</f>
        <v>54.51</v>
      </c>
      <c r="R2824" s="3">
        <f>L2824-Q2824</f>
        <v>14.490000000000002</v>
      </c>
      <c r="S2824" s="2">
        <f>NETWORKDAYS(B2824,C2824)-1</f>
        <v>1</v>
      </c>
      <c r="T2824" s="1">
        <f>WORKDAY(B2824,5)</f>
        <v>45849</v>
      </c>
      <c r="U2824" t="b">
        <f>C2824&gt;T2824</f>
        <v>0</v>
      </c>
    </row>
    <row r="2825" spans="1:21" x14ac:dyDescent="0.25">
      <c r="A2825" t="s">
        <v>1804</v>
      </c>
      <c r="B2825" s="1">
        <v>45842</v>
      </c>
      <c r="C2825" s="1">
        <v>45845</v>
      </c>
      <c r="D2825" t="s">
        <v>1679</v>
      </c>
      <c r="E2825" t="s">
        <v>172</v>
      </c>
      <c r="F2825" t="s">
        <v>99</v>
      </c>
      <c r="G2825" t="s">
        <v>100</v>
      </c>
      <c r="H2825" t="s">
        <v>319</v>
      </c>
      <c r="I2825" s="2">
        <v>1</v>
      </c>
      <c r="J2825" s="3">
        <v>289</v>
      </c>
      <c r="K2825" s="4">
        <v>0.08</v>
      </c>
      <c r="L2825" s="3">
        <v>265.88</v>
      </c>
      <c r="M2825" t="b">
        <v>1</v>
      </c>
      <c r="N2825" s="2">
        <f>YEAR(B2825)</f>
        <v>2025</v>
      </c>
      <c r="O2825" t="str">
        <f>INDEX(Agences!$C:$C,MATCH(F2825,Agences!$A:$A,0))</f>
        <v>Nord</v>
      </c>
      <c r="P2825" t="str">
        <f>INDEX(Produits!$C:$C,MATCH(H2825,Produits!$A:$A,0))</f>
        <v>Informatique</v>
      </c>
      <c r="Q2825" s="3">
        <f>I2825*INDEX(Produits!$E:$E,MATCH(H2825,Produits!$A:$A,0))</f>
        <v>213.86</v>
      </c>
      <c r="R2825" s="3">
        <f>L2825-Q2825</f>
        <v>52.01999999999998</v>
      </c>
      <c r="S2825" s="2">
        <f>NETWORKDAYS(B2825,C2825)-1</f>
        <v>1</v>
      </c>
      <c r="T2825" s="1">
        <f>WORKDAY(B2825,5)</f>
        <v>45849</v>
      </c>
      <c r="U2825" t="b">
        <f>C2825&gt;T2825</f>
        <v>0</v>
      </c>
    </row>
    <row r="2826" spans="1:21" x14ac:dyDescent="0.25">
      <c r="A2826" t="s">
        <v>1805</v>
      </c>
      <c r="B2826" s="1">
        <v>45842</v>
      </c>
      <c r="C2826" s="1">
        <v>45846</v>
      </c>
      <c r="D2826" t="s">
        <v>1041</v>
      </c>
      <c r="E2826" t="s">
        <v>38</v>
      </c>
      <c r="F2826" t="s">
        <v>39</v>
      </c>
      <c r="G2826" t="s">
        <v>322</v>
      </c>
      <c r="H2826" t="s">
        <v>49</v>
      </c>
      <c r="I2826" s="2">
        <v>2</v>
      </c>
      <c r="J2826" s="3">
        <v>120</v>
      </c>
      <c r="K2826" s="4">
        <v>0.02</v>
      </c>
      <c r="L2826" s="3">
        <v>235.2</v>
      </c>
      <c r="M2826" t="b">
        <v>1</v>
      </c>
      <c r="N2826" s="2">
        <f>YEAR(B2826)</f>
        <v>2025</v>
      </c>
      <c r="O2826" t="str">
        <f>INDEX(Agences!$C:$C,MATCH(F2826,Agences!$A:$A,0))</f>
        <v>Sud-Ouest</v>
      </c>
      <c r="P2826" t="str">
        <f>INDEX(Produits!$C:$C,MATCH(H2826,Produits!$A:$A,0))</f>
        <v>Maintenance</v>
      </c>
      <c r="Q2826" s="3">
        <f>I2826*INDEX(Produits!$E:$E,MATCH(H2826,Produits!$A:$A,0))</f>
        <v>110.4</v>
      </c>
      <c r="R2826" s="3">
        <f>L2826-Q2826</f>
        <v>124.79999999999998</v>
      </c>
      <c r="S2826" s="2">
        <f>NETWORKDAYS(B2826,C2826)-1</f>
        <v>2</v>
      </c>
      <c r="T2826" s="1">
        <f>WORKDAY(B2826,5)</f>
        <v>45849</v>
      </c>
      <c r="U2826" t="b">
        <f>C2826&gt;T2826</f>
        <v>0</v>
      </c>
    </row>
    <row r="2827" spans="1:21" x14ac:dyDescent="0.25">
      <c r="A2827" t="s">
        <v>1806</v>
      </c>
      <c r="B2827" s="1">
        <v>45841</v>
      </c>
      <c r="C2827" s="1">
        <v>45845</v>
      </c>
      <c r="D2827" t="s">
        <v>867</v>
      </c>
      <c r="E2827" t="s">
        <v>202</v>
      </c>
      <c r="F2827" t="s">
        <v>138</v>
      </c>
      <c r="G2827" t="s">
        <v>139</v>
      </c>
      <c r="H2827" t="s">
        <v>123</v>
      </c>
      <c r="I2827" s="2">
        <v>5</v>
      </c>
      <c r="J2827" s="3">
        <v>39.9</v>
      </c>
      <c r="K2827" s="4">
        <v>0.08</v>
      </c>
      <c r="L2827" s="3">
        <v>183.54</v>
      </c>
      <c r="M2827" t="b">
        <v>1</v>
      </c>
      <c r="N2827" s="2">
        <f>YEAR(B2827)</f>
        <v>2025</v>
      </c>
      <c r="O2827" t="str">
        <f>INDEX(Agences!$C:$C,MATCH(F2827,Agences!$A:$A,0))</f>
        <v>Île-de-France</v>
      </c>
      <c r="P2827" t="str">
        <f>INDEX(Produits!$C:$C,MATCH(H2827,Produits!$A:$A,0))</f>
        <v>Fournitures</v>
      </c>
      <c r="Q2827" s="3">
        <f>I2827*INDEX(Produits!$E:$E,MATCH(H2827,Produits!$A:$A,0))</f>
        <v>111.7</v>
      </c>
      <c r="R2827" s="3">
        <f>L2827-Q2827</f>
        <v>71.83999999999999</v>
      </c>
      <c r="S2827" s="2">
        <f>NETWORKDAYS(B2827,C2827)-1</f>
        <v>2</v>
      </c>
      <c r="T2827" s="1">
        <f>WORKDAY(B2827,5)</f>
        <v>45848</v>
      </c>
      <c r="U2827" t="b">
        <f>C2827&gt;T2827</f>
        <v>0</v>
      </c>
    </row>
    <row r="2828" spans="1:21" x14ac:dyDescent="0.25">
      <c r="A2828" t="s">
        <v>1807</v>
      </c>
      <c r="B2828" s="1">
        <v>45841</v>
      </c>
      <c r="C2828" s="1">
        <v>45842</v>
      </c>
      <c r="D2828" t="s">
        <v>1397</v>
      </c>
      <c r="E2828" t="s">
        <v>137</v>
      </c>
      <c r="F2828" t="s">
        <v>138</v>
      </c>
      <c r="G2828" t="s">
        <v>214</v>
      </c>
      <c r="H2828" t="s">
        <v>196</v>
      </c>
      <c r="I2828" s="2">
        <v>10</v>
      </c>
      <c r="J2828" s="3">
        <v>18.5</v>
      </c>
      <c r="K2828" s="4">
        <v>0.05</v>
      </c>
      <c r="L2828" s="3">
        <v>175.75</v>
      </c>
      <c r="M2828" t="b">
        <v>1</v>
      </c>
      <c r="N2828" s="2">
        <f>YEAR(B2828)</f>
        <v>2025</v>
      </c>
      <c r="O2828" t="str">
        <f>INDEX(Agences!$C:$C,MATCH(F2828,Agences!$A:$A,0))</f>
        <v>Île-de-France</v>
      </c>
      <c r="P2828" t="str">
        <f>INDEX(Produits!$C:$C,MATCH(H2828,Produits!$A:$A,0))</f>
        <v>Fournitures</v>
      </c>
      <c r="Q2828" s="3">
        <f>I2828*INDEX(Produits!$E:$E,MATCH(H2828,Produits!$A:$A,0))</f>
        <v>94.39999999999999</v>
      </c>
      <c r="R2828" s="3">
        <f>L2828-Q2828</f>
        <v>81.35000000000001</v>
      </c>
      <c r="S2828" s="2">
        <f>NETWORKDAYS(B2828,C2828)-1</f>
        <v>1</v>
      </c>
      <c r="T2828" s="1">
        <f>WORKDAY(B2828,5)</f>
        <v>45848</v>
      </c>
      <c r="U2828" t="b">
        <f>C2828&gt;T2828</f>
        <v>0</v>
      </c>
    </row>
    <row r="2829" spans="1:21" x14ac:dyDescent="0.25">
      <c r="A2829" t="s">
        <v>1808</v>
      </c>
      <c r="B2829" s="1">
        <v>45841</v>
      </c>
      <c r="C2829" s="1">
        <v>45842</v>
      </c>
      <c r="D2829" t="s">
        <v>1168</v>
      </c>
      <c r="E2829" t="s">
        <v>185</v>
      </c>
      <c r="F2829" t="s">
        <v>31</v>
      </c>
      <c r="G2829" t="s">
        <v>32</v>
      </c>
      <c r="H2829" t="s">
        <v>107</v>
      </c>
      <c r="I2829" s="2">
        <v>2</v>
      </c>
      <c r="J2829" s="3">
        <v>99</v>
      </c>
      <c r="K2829" s="4">
        <v>0.02</v>
      </c>
      <c r="L2829" s="3">
        <v>194.04</v>
      </c>
      <c r="M2829" t="b">
        <v>1</v>
      </c>
      <c r="N2829" s="2">
        <f>YEAR(B2829)</f>
        <v>2025</v>
      </c>
      <c r="O2829" t="str">
        <f>INDEX(Agences!$C:$C,MATCH(F2829,Agences!$A:$A,0))</f>
        <v>Ouest</v>
      </c>
      <c r="P2829" t="str">
        <f>INDEX(Produits!$C:$C,MATCH(H2829,Produits!$A:$A,0))</f>
        <v>Informatique</v>
      </c>
      <c r="Q2829" s="3">
        <f>I2829*INDEX(Produits!$E:$E,MATCH(H2829,Produits!$A:$A,0))</f>
        <v>150.48</v>
      </c>
      <c r="R2829" s="3">
        <f>L2829-Q2829</f>
        <v>43.56</v>
      </c>
      <c r="S2829" s="2">
        <f>NETWORKDAYS(B2829,C2829)-1</f>
        <v>1</v>
      </c>
      <c r="T2829" s="1">
        <f>WORKDAY(B2829,5)</f>
        <v>45848</v>
      </c>
      <c r="U2829" t="b">
        <f>C2829&gt;T2829</f>
        <v>0</v>
      </c>
    </row>
    <row r="2830" spans="1:21" x14ac:dyDescent="0.25">
      <c r="A2830" t="s">
        <v>1808</v>
      </c>
      <c r="B2830" s="1">
        <v>45841</v>
      </c>
      <c r="C2830" s="1">
        <v>45842</v>
      </c>
      <c r="D2830" t="s">
        <v>1168</v>
      </c>
      <c r="E2830" t="s">
        <v>185</v>
      </c>
      <c r="F2830" t="s">
        <v>31</v>
      </c>
      <c r="G2830" t="s">
        <v>32</v>
      </c>
      <c r="H2830" t="s">
        <v>35</v>
      </c>
      <c r="I2830" s="2">
        <v>4</v>
      </c>
      <c r="J2830" s="3">
        <v>79</v>
      </c>
      <c r="K2830" s="4">
        <v>0</v>
      </c>
      <c r="L2830" s="3">
        <v>316</v>
      </c>
      <c r="M2830" t="b">
        <v>1</v>
      </c>
      <c r="N2830" s="2">
        <f>YEAR(B2830)</f>
        <v>2025</v>
      </c>
      <c r="O2830" t="str">
        <f>INDEX(Agences!$C:$C,MATCH(F2830,Agences!$A:$A,0))</f>
        <v>Ouest</v>
      </c>
      <c r="P2830" t="str">
        <f>INDEX(Produits!$C:$C,MATCH(H2830,Produits!$A:$A,0))</f>
        <v>Mobilier</v>
      </c>
      <c r="Q2830" s="3">
        <f>I2830*INDEX(Produits!$E:$E,MATCH(H2830,Produits!$A:$A,0))</f>
        <v>186.44</v>
      </c>
      <c r="R2830" s="3">
        <f>L2830-Q2830</f>
        <v>129.56</v>
      </c>
      <c r="S2830" s="2">
        <f>NETWORKDAYS(B2830,C2830)-1</f>
        <v>1</v>
      </c>
      <c r="T2830" s="1">
        <f>WORKDAY(B2830,5)</f>
        <v>45848</v>
      </c>
      <c r="U2830" t="b">
        <f>C2830&gt;T2830</f>
        <v>0</v>
      </c>
    </row>
    <row r="2831" spans="1:21" x14ac:dyDescent="0.25">
      <c r="A2831" t="s">
        <v>1808</v>
      </c>
      <c r="B2831" s="1">
        <v>45841</v>
      </c>
      <c r="C2831" s="1">
        <v>45842</v>
      </c>
      <c r="D2831" t="s">
        <v>1168</v>
      </c>
      <c r="E2831" t="s">
        <v>185</v>
      </c>
      <c r="F2831" t="s">
        <v>31</v>
      </c>
      <c r="G2831" t="s">
        <v>32</v>
      </c>
      <c r="H2831" t="s">
        <v>233</v>
      </c>
      <c r="I2831" s="2">
        <v>5</v>
      </c>
      <c r="J2831" s="3">
        <v>27.5</v>
      </c>
      <c r="K2831" s="4">
        <v>0.08</v>
      </c>
      <c r="L2831" s="3">
        <v>126.5</v>
      </c>
      <c r="M2831" t="b">
        <v>1</v>
      </c>
      <c r="N2831" s="2">
        <f>YEAR(B2831)</f>
        <v>2025</v>
      </c>
      <c r="O2831" t="str">
        <f>INDEX(Agences!$C:$C,MATCH(F2831,Agences!$A:$A,0))</f>
        <v>Ouest</v>
      </c>
      <c r="P2831" t="str">
        <f>INDEX(Produits!$C:$C,MATCH(H2831,Produits!$A:$A,0))</f>
        <v>Fournitures</v>
      </c>
      <c r="Q2831" s="3">
        <f>I2831*INDEX(Produits!$E:$E,MATCH(H2831,Produits!$A:$A,0))</f>
        <v>77</v>
      </c>
      <c r="R2831" s="3">
        <f>L2831-Q2831</f>
        <v>49.5</v>
      </c>
      <c r="S2831" s="2">
        <f>NETWORKDAYS(B2831,C2831)-1</f>
        <v>1</v>
      </c>
      <c r="T2831" s="1">
        <f>WORKDAY(B2831,5)</f>
        <v>45848</v>
      </c>
      <c r="U2831" t="b">
        <f>C2831&gt;T2831</f>
        <v>0</v>
      </c>
    </row>
    <row r="2832" spans="1:21" x14ac:dyDescent="0.25">
      <c r="A2832" t="s">
        <v>1808</v>
      </c>
      <c r="B2832" s="1">
        <v>45841</v>
      </c>
      <c r="C2832" s="1">
        <v>45842</v>
      </c>
      <c r="D2832" t="s">
        <v>1168</v>
      </c>
      <c r="E2832" t="s">
        <v>185</v>
      </c>
      <c r="F2832" t="s">
        <v>31</v>
      </c>
      <c r="G2832" t="s">
        <v>32</v>
      </c>
      <c r="H2832" t="s">
        <v>112</v>
      </c>
      <c r="I2832" s="2">
        <v>1</v>
      </c>
      <c r="J2832" s="3">
        <v>129</v>
      </c>
      <c r="K2832" s="4">
        <v>0</v>
      </c>
      <c r="L2832" s="3">
        <v>129</v>
      </c>
      <c r="M2832" t="b">
        <v>1</v>
      </c>
      <c r="N2832" s="2">
        <f>YEAR(B2832)</f>
        <v>2025</v>
      </c>
      <c r="O2832" t="str">
        <f>INDEX(Agences!$C:$C,MATCH(F2832,Agences!$A:$A,0))</f>
        <v>Ouest</v>
      </c>
      <c r="P2832" t="str">
        <f>INDEX(Produits!$C:$C,MATCH(H2832,Produits!$A:$A,0))</f>
        <v>Mobilier</v>
      </c>
      <c r="Q2832" s="3">
        <f>I2832*INDEX(Produits!$E:$E,MATCH(H2832,Produits!$A:$A,0))</f>
        <v>86.43</v>
      </c>
      <c r="R2832" s="3">
        <f>L2832-Q2832</f>
        <v>42.56999999999999</v>
      </c>
      <c r="S2832" s="2">
        <f>NETWORKDAYS(B2832,C2832)-1</f>
        <v>1</v>
      </c>
      <c r="T2832" s="1">
        <f>WORKDAY(B2832,5)</f>
        <v>45848</v>
      </c>
      <c r="U2832" t="b">
        <f>C2832&gt;T2832</f>
        <v>0</v>
      </c>
    </row>
    <row r="2833" spans="1:21" x14ac:dyDescent="0.25">
      <c r="A2833" t="s">
        <v>1809</v>
      </c>
      <c r="B2833" s="1">
        <v>45841</v>
      </c>
      <c r="C2833" s="1">
        <v>45845</v>
      </c>
      <c r="D2833" t="s">
        <v>610</v>
      </c>
      <c r="E2833" t="s">
        <v>61</v>
      </c>
      <c r="F2833" t="s">
        <v>62</v>
      </c>
      <c r="G2833" t="s">
        <v>106</v>
      </c>
      <c r="H2833" t="s">
        <v>319</v>
      </c>
      <c r="I2833" s="2">
        <v>1</v>
      </c>
      <c r="J2833" s="3">
        <v>289</v>
      </c>
      <c r="K2833" s="4">
        <v>0.08</v>
      </c>
      <c r="L2833" s="3">
        <v>265.88</v>
      </c>
      <c r="M2833" t="b">
        <v>1</v>
      </c>
      <c r="N2833" s="2">
        <f>YEAR(B2833)</f>
        <v>2025</v>
      </c>
      <c r="O2833" t="str">
        <f>INDEX(Agences!$C:$C,MATCH(F2833,Agences!$A:$A,0))</f>
        <v>Méditerranée</v>
      </c>
      <c r="P2833" t="str">
        <f>INDEX(Produits!$C:$C,MATCH(H2833,Produits!$A:$A,0))</f>
        <v>Informatique</v>
      </c>
      <c r="Q2833" s="3">
        <f>I2833*INDEX(Produits!$E:$E,MATCH(H2833,Produits!$A:$A,0))</f>
        <v>213.86</v>
      </c>
      <c r="R2833" s="3">
        <f>L2833-Q2833</f>
        <v>52.01999999999998</v>
      </c>
      <c r="S2833" s="2">
        <f>NETWORKDAYS(B2833,C2833)-1</f>
        <v>2</v>
      </c>
      <c r="T2833" s="1">
        <f>WORKDAY(B2833,5)</f>
        <v>45848</v>
      </c>
      <c r="U2833" t="b">
        <f>C2833&gt;T2833</f>
        <v>0</v>
      </c>
    </row>
    <row r="2834" spans="1:21" x14ac:dyDescent="0.25">
      <c r="A2834" t="s">
        <v>1809</v>
      </c>
      <c r="B2834" s="1">
        <v>45841</v>
      </c>
      <c r="C2834" s="1">
        <v>45845</v>
      </c>
      <c r="D2834" t="s">
        <v>610</v>
      </c>
      <c r="E2834" t="s">
        <v>61</v>
      </c>
      <c r="F2834" t="s">
        <v>62</v>
      </c>
      <c r="G2834" t="s">
        <v>106</v>
      </c>
      <c r="H2834" t="s">
        <v>90</v>
      </c>
      <c r="I2834" s="2">
        <v>5</v>
      </c>
      <c r="J2834" s="3">
        <v>22.9</v>
      </c>
      <c r="K2834" s="4">
        <v>0</v>
      </c>
      <c r="L2834" s="3">
        <v>114.5</v>
      </c>
      <c r="M2834" t="b">
        <v>1</v>
      </c>
      <c r="N2834" s="2">
        <f>YEAR(B2834)</f>
        <v>2025</v>
      </c>
      <c r="O2834" t="str">
        <f>INDEX(Agences!$C:$C,MATCH(F2834,Agences!$A:$A,0))</f>
        <v>Méditerranée</v>
      </c>
      <c r="P2834" t="str">
        <f>INDEX(Produits!$C:$C,MATCH(H2834,Produits!$A:$A,0))</f>
        <v>Fournitures</v>
      </c>
      <c r="Q2834" s="3">
        <f>I2834*INDEX(Produits!$E:$E,MATCH(H2834,Produits!$A:$A,0))</f>
        <v>64.1</v>
      </c>
      <c r="R2834" s="3">
        <f>L2834-Q2834</f>
        <v>50.400000000000006</v>
      </c>
      <c r="S2834" s="2">
        <f>NETWORKDAYS(B2834,C2834)-1</f>
        <v>2</v>
      </c>
      <c r="T2834" s="1">
        <f>WORKDAY(B2834,5)</f>
        <v>45848</v>
      </c>
      <c r="U2834" t="b">
        <f>C2834&gt;T2834</f>
        <v>0</v>
      </c>
    </row>
    <row r="2835" spans="1:21" x14ac:dyDescent="0.25">
      <c r="A2835" t="s">
        <v>1809</v>
      </c>
      <c r="B2835" s="1">
        <v>45841</v>
      </c>
      <c r="C2835" s="1">
        <v>45845</v>
      </c>
      <c r="D2835" t="s">
        <v>610</v>
      </c>
      <c r="E2835" t="s">
        <v>61</v>
      </c>
      <c r="F2835" t="s">
        <v>62</v>
      </c>
      <c r="G2835" t="s">
        <v>106</v>
      </c>
      <c r="H2835" t="s">
        <v>48</v>
      </c>
      <c r="I2835" s="2">
        <v>3</v>
      </c>
      <c r="J2835" s="3">
        <v>165</v>
      </c>
      <c r="K2835" s="4">
        <v>0</v>
      </c>
      <c r="L2835" s="3">
        <v>495</v>
      </c>
      <c r="M2835" t="b">
        <v>1</v>
      </c>
      <c r="N2835" s="2">
        <f>YEAR(B2835)</f>
        <v>2025</v>
      </c>
      <c r="O2835" t="str">
        <f>INDEX(Agences!$C:$C,MATCH(F2835,Agences!$A:$A,0))</f>
        <v>Méditerranée</v>
      </c>
      <c r="P2835" t="str">
        <f>INDEX(Produits!$C:$C,MATCH(H2835,Produits!$A:$A,0))</f>
        <v>Mobilier</v>
      </c>
      <c r="Q2835" s="3">
        <f>I2835*INDEX(Produits!$E:$E,MATCH(H2835,Produits!$A:$A,0))</f>
        <v>321.75</v>
      </c>
      <c r="R2835" s="3">
        <f>L2835-Q2835</f>
        <v>173.25</v>
      </c>
      <c r="S2835" s="2">
        <f>NETWORKDAYS(B2835,C2835)-1</f>
        <v>2</v>
      </c>
      <c r="T2835" s="1">
        <f>WORKDAY(B2835,5)</f>
        <v>45848</v>
      </c>
      <c r="U2835" t="b">
        <f>C2835&gt;T2835</f>
        <v>0</v>
      </c>
    </row>
    <row r="2836" spans="1:21" x14ac:dyDescent="0.25">
      <c r="A2836" t="s">
        <v>1809</v>
      </c>
      <c r="B2836" s="1">
        <v>45841</v>
      </c>
      <c r="C2836" s="1">
        <v>45845</v>
      </c>
      <c r="D2836" t="s">
        <v>610</v>
      </c>
      <c r="E2836" t="s">
        <v>61</v>
      </c>
      <c r="F2836" t="s">
        <v>62</v>
      </c>
      <c r="G2836" t="s">
        <v>106</v>
      </c>
      <c r="H2836" t="s">
        <v>162</v>
      </c>
      <c r="I2836" s="2">
        <v>1</v>
      </c>
      <c r="J2836" s="3">
        <v>289</v>
      </c>
      <c r="K2836" s="4">
        <v>0.05</v>
      </c>
      <c r="L2836" s="3">
        <v>274.55</v>
      </c>
      <c r="M2836" t="b">
        <v>1</v>
      </c>
      <c r="N2836" s="2">
        <f>YEAR(B2836)</f>
        <v>2025</v>
      </c>
      <c r="O2836" t="str">
        <f>INDEX(Agences!$C:$C,MATCH(F2836,Agences!$A:$A,0))</f>
        <v>Méditerranée</v>
      </c>
      <c r="P2836" t="str">
        <f>INDEX(Produits!$C:$C,MATCH(H2836,Produits!$A:$A,0))</f>
        <v>Mobilier</v>
      </c>
      <c r="Q2836" s="3">
        <f>I2836*INDEX(Produits!$E:$E,MATCH(H2836,Produits!$A:$A,0))</f>
        <v>193.63</v>
      </c>
      <c r="R2836" s="3">
        <f>L2836-Q2836</f>
        <v>80.92000000000002</v>
      </c>
      <c r="S2836" s="2">
        <f>NETWORKDAYS(B2836,C2836)-1</f>
        <v>2</v>
      </c>
      <c r="T2836" s="1">
        <f>WORKDAY(B2836,5)</f>
        <v>45848</v>
      </c>
      <c r="U2836" t="b">
        <f>C2836&gt;T2836</f>
        <v>0</v>
      </c>
    </row>
    <row r="2837" spans="1:21" x14ac:dyDescent="0.25">
      <c r="A2837" t="s">
        <v>1810</v>
      </c>
      <c r="B2837" s="1">
        <v>45841</v>
      </c>
      <c r="C2837" s="1">
        <v>45848</v>
      </c>
      <c r="D2837" t="s">
        <v>1811</v>
      </c>
      <c r="E2837" t="s">
        <v>229</v>
      </c>
      <c r="F2837" t="s">
        <v>55</v>
      </c>
      <c r="G2837" t="s">
        <v>71</v>
      </c>
      <c r="H2837" t="s">
        <v>42</v>
      </c>
      <c r="I2837" s="2">
        <v>1</v>
      </c>
      <c r="J2837" s="3">
        <v>55</v>
      </c>
      <c r="K2837" s="4">
        <v>0</v>
      </c>
      <c r="L2837" s="3">
        <v>55</v>
      </c>
      <c r="M2837" t="b">
        <v>1</v>
      </c>
      <c r="N2837" s="2">
        <f>YEAR(B2837)</f>
        <v>2025</v>
      </c>
      <c r="O2837" t="str">
        <f>INDEX(Agences!$C:$C,MATCH(F2837,Agences!$A:$A,0))</f>
        <v>Est</v>
      </c>
      <c r="P2837" t="str">
        <f>INDEX(Produits!$C:$C,MATCH(H2837,Produits!$A:$A,0))</f>
        <v>Maintenance</v>
      </c>
      <c r="Q2837" s="3">
        <f>I2837*INDEX(Produits!$E:$E,MATCH(H2837,Produits!$A:$A,0))</f>
        <v>24.75</v>
      </c>
      <c r="R2837" s="3">
        <f>L2837-Q2837</f>
        <v>30.25</v>
      </c>
      <c r="S2837" s="2">
        <f>NETWORKDAYS(B2837,C2837)-1</f>
        <v>5</v>
      </c>
      <c r="T2837" s="1">
        <f>WORKDAY(B2837,5)</f>
        <v>45848</v>
      </c>
      <c r="U2837" t="b">
        <f>C2837&gt;T2837</f>
        <v>0</v>
      </c>
    </row>
    <row r="2838" spans="1:21" x14ac:dyDescent="0.25">
      <c r="A2838" t="s">
        <v>1810</v>
      </c>
      <c r="B2838" s="1">
        <v>45841</v>
      </c>
      <c r="C2838" s="1">
        <v>45848</v>
      </c>
      <c r="D2838" t="s">
        <v>1811</v>
      </c>
      <c r="E2838" t="s">
        <v>229</v>
      </c>
      <c r="F2838" t="s">
        <v>55</v>
      </c>
      <c r="G2838" t="s">
        <v>71</v>
      </c>
      <c r="H2838" t="s">
        <v>41</v>
      </c>
      <c r="I2838" s="2">
        <v>1</v>
      </c>
      <c r="J2838" s="3">
        <v>790</v>
      </c>
      <c r="K2838" s="4">
        <v>0</v>
      </c>
      <c r="L2838" s="3">
        <v>790</v>
      </c>
      <c r="M2838" t="b">
        <v>1</v>
      </c>
      <c r="N2838" s="2">
        <f>YEAR(B2838)</f>
        <v>2025</v>
      </c>
      <c r="O2838" t="str">
        <f>INDEX(Agences!$C:$C,MATCH(F2838,Agences!$A:$A,0))</f>
        <v>Est</v>
      </c>
      <c r="P2838" t="str">
        <f>INDEX(Produits!$C:$C,MATCH(H2838,Produits!$A:$A,0))</f>
        <v>Informatique</v>
      </c>
      <c r="Q2838" s="3">
        <f>I2838*INDEX(Produits!$E:$E,MATCH(H2838,Produits!$A:$A,0))</f>
        <v>576.7</v>
      </c>
      <c r="R2838" s="3">
        <f>L2838-Q2838</f>
        <v>213.29999999999995</v>
      </c>
      <c r="S2838" s="2">
        <f>NETWORKDAYS(B2838,C2838)-1</f>
        <v>5</v>
      </c>
      <c r="T2838" s="1">
        <f>WORKDAY(B2838,5)</f>
        <v>45848</v>
      </c>
      <c r="U2838" t="b">
        <f>C2838&gt;T2838</f>
        <v>0</v>
      </c>
    </row>
    <row r="2839" spans="1:21" x14ac:dyDescent="0.25">
      <c r="A2839" t="s">
        <v>1812</v>
      </c>
      <c r="B2839" s="1">
        <v>45840</v>
      </c>
      <c r="C2839" s="1">
        <v>45845</v>
      </c>
      <c r="D2839" t="s">
        <v>573</v>
      </c>
      <c r="E2839" t="s">
        <v>23</v>
      </c>
      <c r="F2839" t="s">
        <v>24</v>
      </c>
      <c r="G2839" t="s">
        <v>199</v>
      </c>
      <c r="H2839" t="s">
        <v>83</v>
      </c>
      <c r="I2839" s="2">
        <v>4</v>
      </c>
      <c r="J2839" s="3">
        <v>49</v>
      </c>
      <c r="K2839" s="4">
        <v>0</v>
      </c>
      <c r="L2839" s="3">
        <v>196</v>
      </c>
      <c r="M2839" t="b">
        <v>1</v>
      </c>
      <c r="N2839" s="2">
        <f>YEAR(B2839)</f>
        <v>2025</v>
      </c>
      <c r="O2839" t="str">
        <f>INDEX(Agences!$C:$C,MATCH(F2839,Agences!$A:$A,0))</f>
        <v>Nord</v>
      </c>
      <c r="P2839" t="str">
        <f>INDEX(Produits!$C:$C,MATCH(H2839,Produits!$A:$A,0))</f>
        <v>Mobilier</v>
      </c>
      <c r="Q2839" s="3">
        <f>I2839*INDEX(Produits!$E:$E,MATCH(H2839,Produits!$A:$A,0))</f>
        <v>113.68</v>
      </c>
      <c r="R2839" s="3">
        <f>L2839-Q2839</f>
        <v>82.32</v>
      </c>
      <c r="S2839" s="2">
        <f>NETWORKDAYS(B2839,C2839)-1</f>
        <v>3</v>
      </c>
      <c r="T2839" s="1">
        <f>WORKDAY(B2839,5)</f>
        <v>45847</v>
      </c>
      <c r="U2839" t="b">
        <f>C2839&gt;T2839</f>
        <v>0</v>
      </c>
    </row>
    <row r="2840" spans="1:21" x14ac:dyDescent="0.25">
      <c r="A2840" t="s">
        <v>1812</v>
      </c>
      <c r="B2840" s="1">
        <v>45840</v>
      </c>
      <c r="C2840" s="1">
        <v>45845</v>
      </c>
      <c r="D2840" t="s">
        <v>573</v>
      </c>
      <c r="E2840" t="s">
        <v>23</v>
      </c>
      <c r="F2840" t="s">
        <v>24</v>
      </c>
      <c r="G2840" t="s">
        <v>199</v>
      </c>
      <c r="H2840" t="s">
        <v>35</v>
      </c>
      <c r="I2840" s="2">
        <v>3</v>
      </c>
      <c r="J2840" s="3">
        <v>79</v>
      </c>
      <c r="K2840" s="4">
        <v>0.05</v>
      </c>
      <c r="L2840" s="3">
        <v>225.15</v>
      </c>
      <c r="M2840" t="b">
        <v>1</v>
      </c>
      <c r="N2840" s="2">
        <f>YEAR(B2840)</f>
        <v>2025</v>
      </c>
      <c r="O2840" t="str">
        <f>INDEX(Agences!$C:$C,MATCH(F2840,Agences!$A:$A,0))</f>
        <v>Nord</v>
      </c>
      <c r="P2840" t="str">
        <f>INDEX(Produits!$C:$C,MATCH(H2840,Produits!$A:$A,0))</f>
        <v>Mobilier</v>
      </c>
      <c r="Q2840" s="3">
        <f>I2840*INDEX(Produits!$E:$E,MATCH(H2840,Produits!$A:$A,0))</f>
        <v>139.82999999999998</v>
      </c>
      <c r="R2840" s="3">
        <f>L2840-Q2840</f>
        <v>85.32000000000002</v>
      </c>
      <c r="S2840" s="2">
        <f>NETWORKDAYS(B2840,C2840)-1</f>
        <v>3</v>
      </c>
      <c r="T2840" s="1">
        <f>WORKDAY(B2840,5)</f>
        <v>45847</v>
      </c>
      <c r="U2840" t="b">
        <f>C2840&gt;T2840</f>
        <v>0</v>
      </c>
    </row>
    <row r="2841" spans="1:21" x14ac:dyDescent="0.25">
      <c r="A2841" t="s">
        <v>1813</v>
      </c>
      <c r="B2841" s="1">
        <v>45840</v>
      </c>
      <c r="C2841" s="1">
        <v>45846</v>
      </c>
      <c r="D2841" t="s">
        <v>875</v>
      </c>
      <c r="E2841" t="s">
        <v>137</v>
      </c>
      <c r="F2841" t="s">
        <v>138</v>
      </c>
      <c r="G2841" t="s">
        <v>220</v>
      </c>
      <c r="H2841" t="s">
        <v>48</v>
      </c>
      <c r="I2841" s="2">
        <v>5</v>
      </c>
      <c r="J2841" s="3">
        <v>165</v>
      </c>
      <c r="K2841" s="4">
        <v>0</v>
      </c>
      <c r="L2841" s="3">
        <v>825</v>
      </c>
      <c r="M2841" t="b">
        <v>1</v>
      </c>
      <c r="N2841" s="2">
        <f>YEAR(B2841)</f>
        <v>2025</v>
      </c>
      <c r="O2841" t="str">
        <f>INDEX(Agences!$C:$C,MATCH(F2841,Agences!$A:$A,0))</f>
        <v>Île-de-France</v>
      </c>
      <c r="P2841" t="str">
        <f>INDEX(Produits!$C:$C,MATCH(H2841,Produits!$A:$A,0))</f>
        <v>Mobilier</v>
      </c>
      <c r="Q2841" s="3">
        <f>I2841*INDEX(Produits!$E:$E,MATCH(H2841,Produits!$A:$A,0))</f>
        <v>536.25</v>
      </c>
      <c r="R2841" s="3">
        <f>L2841-Q2841</f>
        <v>288.75</v>
      </c>
      <c r="S2841" s="2">
        <f>NETWORKDAYS(B2841,C2841)-1</f>
        <v>4</v>
      </c>
      <c r="T2841" s="1">
        <f>WORKDAY(B2841,5)</f>
        <v>45847</v>
      </c>
      <c r="U2841" t="b">
        <f>C2841&gt;T2841</f>
        <v>0</v>
      </c>
    </row>
    <row r="2842" spans="1:21" x14ac:dyDescent="0.25">
      <c r="A2842" t="s">
        <v>1813</v>
      </c>
      <c r="B2842" s="1">
        <v>45840</v>
      </c>
      <c r="C2842" s="1">
        <v>45846</v>
      </c>
      <c r="D2842" t="s">
        <v>875</v>
      </c>
      <c r="E2842" t="s">
        <v>137</v>
      </c>
      <c r="F2842" t="s">
        <v>138</v>
      </c>
      <c r="G2842" t="s">
        <v>220</v>
      </c>
      <c r="H2842" t="s">
        <v>49</v>
      </c>
      <c r="I2842" s="2">
        <v>1</v>
      </c>
      <c r="J2842" s="3">
        <v>120</v>
      </c>
      <c r="K2842" s="4">
        <v>0</v>
      </c>
      <c r="L2842" s="3">
        <v>120</v>
      </c>
      <c r="M2842" t="b">
        <v>1</v>
      </c>
      <c r="N2842" s="2">
        <f>YEAR(B2842)</f>
        <v>2025</v>
      </c>
      <c r="O2842" t="str">
        <f>INDEX(Agences!$C:$C,MATCH(F2842,Agences!$A:$A,0))</f>
        <v>Île-de-France</v>
      </c>
      <c r="P2842" t="str">
        <f>INDEX(Produits!$C:$C,MATCH(H2842,Produits!$A:$A,0))</f>
        <v>Maintenance</v>
      </c>
      <c r="Q2842" s="3">
        <f>I2842*INDEX(Produits!$E:$E,MATCH(H2842,Produits!$A:$A,0))</f>
        <v>55.2</v>
      </c>
      <c r="R2842" s="3">
        <f>L2842-Q2842</f>
        <v>64.8</v>
      </c>
      <c r="S2842" s="2">
        <f>NETWORKDAYS(B2842,C2842)-1</f>
        <v>4</v>
      </c>
      <c r="T2842" s="1">
        <f>WORKDAY(B2842,5)</f>
        <v>45847</v>
      </c>
      <c r="U2842" t="b">
        <f>C2842&gt;T2842</f>
        <v>0</v>
      </c>
    </row>
    <row r="2843" spans="1:21" x14ac:dyDescent="0.25">
      <c r="A2843" t="s">
        <v>1814</v>
      </c>
      <c r="B2843" s="1">
        <v>45840</v>
      </c>
      <c r="C2843" s="1">
        <v>45842</v>
      </c>
      <c r="D2843" t="s">
        <v>758</v>
      </c>
      <c r="E2843" t="s">
        <v>307</v>
      </c>
      <c r="F2843" t="s">
        <v>76</v>
      </c>
      <c r="G2843" t="s">
        <v>77</v>
      </c>
      <c r="H2843" t="s">
        <v>50</v>
      </c>
      <c r="I2843" s="2">
        <v>1</v>
      </c>
      <c r="J2843" s="3">
        <v>69</v>
      </c>
      <c r="K2843" s="4">
        <v>0</v>
      </c>
      <c r="L2843" s="3">
        <v>69</v>
      </c>
      <c r="M2843" t="b">
        <v>1</v>
      </c>
      <c r="N2843" s="2">
        <f>YEAR(B2843)</f>
        <v>2025</v>
      </c>
      <c r="O2843" t="str">
        <f>INDEX(Agences!$C:$C,MATCH(F2843,Agences!$A:$A,0))</f>
        <v>Île-de-France</v>
      </c>
      <c r="P2843" t="str">
        <f>INDEX(Produits!$C:$C,MATCH(H2843,Produits!$A:$A,0))</f>
        <v>Informatique</v>
      </c>
      <c r="Q2843" s="3">
        <f>I2843*INDEX(Produits!$E:$E,MATCH(H2843,Produits!$A:$A,0))</f>
        <v>54.51</v>
      </c>
      <c r="R2843" s="3">
        <f>L2843-Q2843</f>
        <v>14.490000000000002</v>
      </c>
      <c r="S2843" s="2">
        <f>NETWORKDAYS(B2843,C2843)-1</f>
        <v>2</v>
      </c>
      <c r="T2843" s="1">
        <f>WORKDAY(B2843,5)</f>
        <v>45847</v>
      </c>
      <c r="U2843" t="b">
        <f>C2843&gt;T2843</f>
        <v>0</v>
      </c>
    </row>
    <row r="2844" spans="1:21" x14ac:dyDescent="0.25">
      <c r="A2844" t="s">
        <v>1815</v>
      </c>
      <c r="B2844" s="1">
        <v>45839</v>
      </c>
      <c r="C2844" s="1">
        <v>45846</v>
      </c>
      <c r="D2844" t="s">
        <v>1684</v>
      </c>
      <c r="E2844" t="s">
        <v>119</v>
      </c>
      <c r="F2844" t="s">
        <v>24</v>
      </c>
      <c r="G2844" t="s">
        <v>25</v>
      </c>
      <c r="H2844" t="s">
        <v>83</v>
      </c>
      <c r="I2844" s="2">
        <v>2</v>
      </c>
      <c r="J2844" s="3">
        <v>49</v>
      </c>
      <c r="K2844" s="4">
        <v>0.05</v>
      </c>
      <c r="L2844" s="3">
        <v>93.1</v>
      </c>
      <c r="M2844" t="b">
        <v>1</v>
      </c>
      <c r="N2844" s="2">
        <f>YEAR(B2844)</f>
        <v>2025</v>
      </c>
      <c r="O2844" t="str">
        <f>INDEX(Agences!$C:$C,MATCH(F2844,Agences!$A:$A,0))</f>
        <v>Nord</v>
      </c>
      <c r="P2844" t="str">
        <f>INDEX(Produits!$C:$C,MATCH(H2844,Produits!$A:$A,0))</f>
        <v>Mobilier</v>
      </c>
      <c r="Q2844" s="3">
        <f>I2844*INDEX(Produits!$E:$E,MATCH(H2844,Produits!$A:$A,0))</f>
        <v>56.84</v>
      </c>
      <c r="R2844" s="3">
        <f>L2844-Q2844</f>
        <v>36.25999999999999</v>
      </c>
      <c r="S2844" s="2">
        <f>NETWORKDAYS(B2844,C2844)-1</f>
        <v>5</v>
      </c>
      <c r="T2844" s="1">
        <f>WORKDAY(B2844,5)</f>
        <v>45846</v>
      </c>
      <c r="U2844" t="b">
        <f>C2844&gt;T2844</f>
        <v>0</v>
      </c>
    </row>
    <row r="2845" spans="1:21" x14ac:dyDescent="0.25">
      <c r="A2845" t="s">
        <v>1816</v>
      </c>
      <c r="B2845" s="1">
        <v>45839</v>
      </c>
      <c r="C2845" s="1">
        <v>45842</v>
      </c>
      <c r="D2845" t="s">
        <v>253</v>
      </c>
      <c r="E2845" t="s">
        <v>165</v>
      </c>
      <c r="F2845" t="s">
        <v>166</v>
      </c>
      <c r="G2845" t="s">
        <v>167</v>
      </c>
      <c r="H2845" t="s">
        <v>72</v>
      </c>
      <c r="I2845" s="2">
        <v>4</v>
      </c>
      <c r="J2845" s="3">
        <v>179</v>
      </c>
      <c r="K2845" s="4">
        <v>0</v>
      </c>
      <c r="L2845" s="3">
        <v>716</v>
      </c>
      <c r="M2845" t="b">
        <v>1</v>
      </c>
      <c r="N2845" s="2">
        <f>YEAR(B2845)</f>
        <v>2025</v>
      </c>
      <c r="O2845" t="str">
        <f>INDEX(Agences!$C:$C,MATCH(F2845,Agences!$A:$A,0))</f>
        <v>Ouest</v>
      </c>
      <c r="P2845" t="str">
        <f>INDEX(Produits!$C:$C,MATCH(H2845,Produits!$A:$A,0))</f>
        <v>Informatique</v>
      </c>
      <c r="Q2845" s="3">
        <f>I2845*INDEX(Produits!$E:$E,MATCH(H2845,Produits!$A:$A,0))</f>
        <v>587.12</v>
      </c>
      <c r="R2845" s="3">
        <f>L2845-Q2845</f>
        <v>128.88</v>
      </c>
      <c r="S2845" s="2">
        <f>NETWORKDAYS(B2845,C2845)-1</f>
        <v>3</v>
      </c>
      <c r="T2845" s="1">
        <f>WORKDAY(B2845,5)</f>
        <v>45846</v>
      </c>
      <c r="U2845" t="b">
        <f>C2845&gt;T2845</f>
        <v>0</v>
      </c>
    </row>
    <row r="2846" spans="1:21" x14ac:dyDescent="0.25">
      <c r="A2846" t="s">
        <v>1816</v>
      </c>
      <c r="B2846" s="1">
        <v>45839</v>
      </c>
      <c r="C2846" s="1">
        <v>45842</v>
      </c>
      <c r="D2846" t="s">
        <v>253</v>
      </c>
      <c r="E2846" t="s">
        <v>165</v>
      </c>
      <c r="F2846" t="s">
        <v>166</v>
      </c>
      <c r="G2846" t="s">
        <v>167</v>
      </c>
      <c r="H2846" t="s">
        <v>64</v>
      </c>
      <c r="I2846" s="2">
        <v>10</v>
      </c>
      <c r="J2846" s="3">
        <v>16.8</v>
      </c>
      <c r="K2846" s="4">
        <v>0</v>
      </c>
      <c r="L2846" s="3">
        <v>168</v>
      </c>
      <c r="M2846" t="b">
        <v>1</v>
      </c>
      <c r="N2846" s="2">
        <f>YEAR(B2846)</f>
        <v>2025</v>
      </c>
      <c r="O2846" t="str">
        <f>INDEX(Agences!$C:$C,MATCH(F2846,Agences!$A:$A,0))</f>
        <v>Ouest</v>
      </c>
      <c r="P2846" t="str">
        <f>INDEX(Produits!$C:$C,MATCH(H2846,Produits!$A:$A,0))</f>
        <v>Fournitures</v>
      </c>
      <c r="Q2846" s="3">
        <f>I2846*INDEX(Produits!$E:$E,MATCH(H2846,Produits!$A:$A,0))</f>
        <v>87.4</v>
      </c>
      <c r="R2846" s="3">
        <f>L2846-Q2846</f>
        <v>80.6</v>
      </c>
      <c r="S2846" s="2">
        <f>NETWORKDAYS(B2846,C2846)-1</f>
        <v>3</v>
      </c>
      <c r="T2846" s="1">
        <f>WORKDAY(B2846,5)</f>
        <v>45846</v>
      </c>
      <c r="U2846" t="b">
        <f>C2846&gt;T2846</f>
        <v>0</v>
      </c>
    </row>
    <row r="2847" spans="1:21" x14ac:dyDescent="0.25">
      <c r="A2847" t="s">
        <v>1816</v>
      </c>
      <c r="B2847" s="1">
        <v>45839</v>
      </c>
      <c r="C2847" s="1">
        <v>45842</v>
      </c>
      <c r="D2847" t="s">
        <v>253</v>
      </c>
      <c r="E2847" t="s">
        <v>165</v>
      </c>
      <c r="F2847" t="s">
        <v>166</v>
      </c>
      <c r="G2847" t="s">
        <v>167</v>
      </c>
      <c r="H2847" t="s">
        <v>79</v>
      </c>
      <c r="I2847" s="2">
        <v>10</v>
      </c>
      <c r="J2847" s="3">
        <v>14.9</v>
      </c>
      <c r="K2847" s="4">
        <v>0</v>
      </c>
      <c r="L2847" s="3">
        <v>149</v>
      </c>
      <c r="M2847" t="b">
        <v>1</v>
      </c>
      <c r="N2847" s="2">
        <f>YEAR(B2847)</f>
        <v>2025</v>
      </c>
      <c r="O2847" t="str">
        <f>INDEX(Agences!$C:$C,MATCH(F2847,Agences!$A:$A,0))</f>
        <v>Ouest</v>
      </c>
      <c r="P2847" t="str">
        <f>INDEX(Produits!$C:$C,MATCH(H2847,Produits!$A:$A,0))</f>
        <v>Fournitures</v>
      </c>
      <c r="Q2847" s="3">
        <f>I2847*INDEX(Produits!$E:$E,MATCH(H2847,Produits!$A:$A,0))</f>
        <v>80.5</v>
      </c>
      <c r="R2847" s="3">
        <f>L2847-Q2847</f>
        <v>68.5</v>
      </c>
      <c r="S2847" s="2">
        <f>NETWORKDAYS(B2847,C2847)-1</f>
        <v>3</v>
      </c>
      <c r="T2847" s="1">
        <f>WORKDAY(B2847,5)</f>
        <v>45846</v>
      </c>
      <c r="U2847" t="b">
        <f>C2847&gt;T2847</f>
        <v>0</v>
      </c>
    </row>
    <row r="2848" spans="1:21" x14ac:dyDescent="0.25">
      <c r="A2848" t="s">
        <v>1817</v>
      </c>
      <c r="B2848" s="1">
        <v>45839</v>
      </c>
      <c r="C2848" s="1">
        <v>45846</v>
      </c>
      <c r="D2848" t="s">
        <v>1240</v>
      </c>
      <c r="E2848" t="s">
        <v>374</v>
      </c>
      <c r="F2848" t="s">
        <v>31</v>
      </c>
      <c r="G2848" t="s">
        <v>186</v>
      </c>
      <c r="H2848" t="s">
        <v>83</v>
      </c>
      <c r="I2848" s="2">
        <v>4</v>
      </c>
      <c r="J2848" s="3">
        <v>49</v>
      </c>
      <c r="K2848" s="4">
        <v>0.02</v>
      </c>
      <c r="L2848" s="3">
        <v>192.08</v>
      </c>
      <c r="M2848" t="b">
        <v>1</v>
      </c>
      <c r="N2848" s="2">
        <f>YEAR(B2848)</f>
        <v>2025</v>
      </c>
      <c r="O2848" t="str">
        <f>INDEX(Agences!$C:$C,MATCH(F2848,Agences!$A:$A,0))</f>
        <v>Ouest</v>
      </c>
      <c r="P2848" t="str">
        <f>INDEX(Produits!$C:$C,MATCH(H2848,Produits!$A:$A,0))</f>
        <v>Mobilier</v>
      </c>
      <c r="Q2848" s="3">
        <f>I2848*INDEX(Produits!$E:$E,MATCH(H2848,Produits!$A:$A,0))</f>
        <v>113.68</v>
      </c>
      <c r="R2848" s="3">
        <f>L2848-Q2848</f>
        <v>78.4</v>
      </c>
      <c r="S2848" s="2">
        <f>NETWORKDAYS(B2848,C2848)-1</f>
        <v>5</v>
      </c>
      <c r="T2848" s="1">
        <f>WORKDAY(B2848,5)</f>
        <v>45846</v>
      </c>
      <c r="U2848" t="b">
        <f>C2848&gt;T2848</f>
        <v>0</v>
      </c>
    </row>
    <row r="2849" spans="1:21" x14ac:dyDescent="0.25">
      <c r="A2849" t="s">
        <v>1817</v>
      </c>
      <c r="B2849" s="1">
        <v>45839</v>
      </c>
      <c r="C2849" s="1">
        <v>45846</v>
      </c>
      <c r="D2849" t="s">
        <v>1240</v>
      </c>
      <c r="E2849" t="s">
        <v>374</v>
      </c>
      <c r="F2849" t="s">
        <v>31</v>
      </c>
      <c r="G2849" t="s">
        <v>186</v>
      </c>
      <c r="H2849" t="s">
        <v>34</v>
      </c>
      <c r="I2849" s="2">
        <v>3</v>
      </c>
      <c r="J2849" s="3">
        <v>340</v>
      </c>
      <c r="K2849" s="4">
        <v>0</v>
      </c>
      <c r="L2849" s="3">
        <v>1020</v>
      </c>
      <c r="M2849" t="b">
        <v>1</v>
      </c>
      <c r="N2849" s="2">
        <f>YEAR(B2849)</f>
        <v>2025</v>
      </c>
      <c r="O2849" t="str">
        <f>INDEX(Agences!$C:$C,MATCH(F2849,Agences!$A:$A,0))</f>
        <v>Ouest</v>
      </c>
      <c r="P2849" t="str">
        <f>INDEX(Produits!$C:$C,MATCH(H2849,Produits!$A:$A,0))</f>
        <v>Informatique</v>
      </c>
      <c r="Q2849" s="3">
        <f>I2849*INDEX(Produits!$E:$E,MATCH(H2849,Produits!$A:$A,0))</f>
        <v>826.1999999999999</v>
      </c>
      <c r="R2849" s="3">
        <f>L2849-Q2849</f>
        <v>193.80000000000007</v>
      </c>
      <c r="S2849" s="2">
        <f>NETWORKDAYS(B2849,C2849)-1</f>
        <v>5</v>
      </c>
      <c r="T2849" s="1">
        <f>WORKDAY(B2849,5)</f>
        <v>45846</v>
      </c>
      <c r="U2849" t="b">
        <f>C2849&gt;T2849</f>
        <v>0</v>
      </c>
    </row>
    <row r="2850" spans="1:21" x14ac:dyDescent="0.25">
      <c r="A2850" t="s">
        <v>1818</v>
      </c>
      <c r="B2850" s="1">
        <v>45839</v>
      </c>
      <c r="C2850" s="1">
        <v>45845</v>
      </c>
      <c r="D2850" t="s">
        <v>224</v>
      </c>
      <c r="E2850" t="s">
        <v>225</v>
      </c>
      <c r="F2850" t="s">
        <v>88</v>
      </c>
      <c r="G2850" t="s">
        <v>226</v>
      </c>
      <c r="H2850" t="s">
        <v>49</v>
      </c>
      <c r="I2850" s="2">
        <v>3</v>
      </c>
      <c r="J2850" s="3">
        <v>120</v>
      </c>
      <c r="K2850" s="4">
        <v>0</v>
      </c>
      <c r="L2850" s="3">
        <v>360</v>
      </c>
      <c r="M2850" t="b">
        <v>1</v>
      </c>
      <c r="N2850" s="2">
        <f>YEAR(B2850)</f>
        <v>2025</v>
      </c>
      <c r="O2850" t="str">
        <f>INDEX(Agences!$C:$C,MATCH(F2850,Agences!$A:$A,0))</f>
        <v>Sud-Ouest</v>
      </c>
      <c r="P2850" t="str">
        <f>INDEX(Produits!$C:$C,MATCH(H2850,Produits!$A:$A,0))</f>
        <v>Maintenance</v>
      </c>
      <c r="Q2850" s="3">
        <f>I2850*INDEX(Produits!$E:$E,MATCH(H2850,Produits!$A:$A,0))</f>
        <v>165.60000000000002</v>
      </c>
      <c r="R2850" s="3">
        <f>L2850-Q2850</f>
        <v>194.39999999999998</v>
      </c>
      <c r="S2850" s="2">
        <f>NETWORKDAYS(B2850,C2850)-1</f>
        <v>4</v>
      </c>
      <c r="T2850" s="1">
        <f>WORKDAY(B2850,5)</f>
        <v>45846</v>
      </c>
      <c r="U2850" t="b">
        <f>C2850&gt;T2850</f>
        <v>0</v>
      </c>
    </row>
    <row r="2851" spans="1:21" x14ac:dyDescent="0.25">
      <c r="A2851" t="s">
        <v>1818</v>
      </c>
      <c r="B2851" s="1">
        <v>45839</v>
      </c>
      <c r="C2851" s="1">
        <v>45845</v>
      </c>
      <c r="D2851" t="s">
        <v>224</v>
      </c>
      <c r="E2851" t="s">
        <v>225</v>
      </c>
      <c r="F2851" t="s">
        <v>88</v>
      </c>
      <c r="G2851" t="s">
        <v>226</v>
      </c>
      <c r="H2851" t="s">
        <v>233</v>
      </c>
      <c r="I2851" s="2">
        <v>5</v>
      </c>
      <c r="J2851" s="3">
        <v>27.5</v>
      </c>
      <c r="K2851" s="4">
        <v>0</v>
      </c>
      <c r="L2851" s="3">
        <v>137.5</v>
      </c>
      <c r="M2851" t="b">
        <v>1</v>
      </c>
      <c r="N2851" s="2">
        <f>YEAR(B2851)</f>
        <v>2025</v>
      </c>
      <c r="O2851" t="str">
        <f>INDEX(Agences!$C:$C,MATCH(F2851,Agences!$A:$A,0))</f>
        <v>Sud-Ouest</v>
      </c>
      <c r="P2851" t="str">
        <f>INDEX(Produits!$C:$C,MATCH(H2851,Produits!$A:$A,0))</f>
        <v>Fournitures</v>
      </c>
      <c r="Q2851" s="3">
        <f>I2851*INDEX(Produits!$E:$E,MATCH(H2851,Produits!$A:$A,0))</f>
        <v>77</v>
      </c>
      <c r="R2851" s="3">
        <f>L2851-Q2851</f>
        <v>60.5</v>
      </c>
      <c r="S2851" s="2">
        <f>NETWORKDAYS(B2851,C2851)-1</f>
        <v>4</v>
      </c>
      <c r="T2851" s="1">
        <f>WORKDAY(B2851,5)</f>
        <v>45846</v>
      </c>
      <c r="U2851" t="b">
        <f>C2851&gt;T2851</f>
        <v>0</v>
      </c>
    </row>
    <row r="2852" spans="1:21" x14ac:dyDescent="0.25">
      <c r="A2852" t="s">
        <v>1818</v>
      </c>
      <c r="B2852" s="1">
        <v>45839</v>
      </c>
      <c r="C2852" s="1">
        <v>45845</v>
      </c>
      <c r="D2852" t="s">
        <v>224</v>
      </c>
      <c r="E2852" t="s">
        <v>225</v>
      </c>
      <c r="F2852" t="s">
        <v>88</v>
      </c>
      <c r="G2852" t="s">
        <v>226</v>
      </c>
      <c r="H2852" t="s">
        <v>41</v>
      </c>
      <c r="I2852" s="2">
        <v>2</v>
      </c>
      <c r="J2852" s="3">
        <v>790</v>
      </c>
      <c r="K2852" s="4">
        <v>0</v>
      </c>
      <c r="L2852" s="3">
        <v>1580</v>
      </c>
      <c r="M2852" t="b">
        <v>1</v>
      </c>
      <c r="N2852" s="2">
        <f>YEAR(B2852)</f>
        <v>2025</v>
      </c>
      <c r="O2852" t="str">
        <f>INDEX(Agences!$C:$C,MATCH(F2852,Agences!$A:$A,0))</f>
        <v>Sud-Ouest</v>
      </c>
      <c r="P2852" t="str">
        <f>INDEX(Produits!$C:$C,MATCH(H2852,Produits!$A:$A,0))</f>
        <v>Informatique</v>
      </c>
      <c r="Q2852" s="3">
        <f>I2852*INDEX(Produits!$E:$E,MATCH(H2852,Produits!$A:$A,0))</f>
        <v>1153.4</v>
      </c>
      <c r="R2852" s="3">
        <f>L2852-Q2852</f>
        <v>426.5999999999999</v>
      </c>
      <c r="S2852" s="2">
        <f>NETWORKDAYS(B2852,C2852)-1</f>
        <v>4</v>
      </c>
      <c r="T2852" s="1">
        <f>WORKDAY(B2852,5)</f>
        <v>45846</v>
      </c>
      <c r="U2852" t="b">
        <f>C2852&gt;T2852</f>
        <v>0</v>
      </c>
    </row>
    <row r="2853" spans="1:21" x14ac:dyDescent="0.25">
      <c r="A2853" t="s">
        <v>1818</v>
      </c>
      <c r="B2853" s="1">
        <v>45839</v>
      </c>
      <c r="C2853" s="1">
        <v>45845</v>
      </c>
      <c r="D2853" t="s">
        <v>224</v>
      </c>
      <c r="E2853" t="s">
        <v>225</v>
      </c>
      <c r="F2853" t="s">
        <v>88</v>
      </c>
      <c r="G2853" t="s">
        <v>226</v>
      </c>
      <c r="H2853" t="s">
        <v>64</v>
      </c>
      <c r="I2853" s="2">
        <v>10</v>
      </c>
      <c r="J2853" s="3">
        <v>16.8</v>
      </c>
      <c r="K2853" s="4">
        <v>0.05</v>
      </c>
      <c r="L2853" s="3">
        <v>159.6</v>
      </c>
      <c r="M2853" t="b">
        <v>1</v>
      </c>
      <c r="N2853" s="2">
        <f>YEAR(B2853)</f>
        <v>2025</v>
      </c>
      <c r="O2853" t="str">
        <f>INDEX(Agences!$C:$C,MATCH(F2853,Agences!$A:$A,0))</f>
        <v>Sud-Ouest</v>
      </c>
      <c r="P2853" t="str">
        <f>INDEX(Produits!$C:$C,MATCH(H2853,Produits!$A:$A,0))</f>
        <v>Fournitures</v>
      </c>
      <c r="Q2853" s="3">
        <f>I2853*INDEX(Produits!$E:$E,MATCH(H2853,Produits!$A:$A,0))</f>
        <v>87.4</v>
      </c>
      <c r="R2853" s="3">
        <f>L2853-Q2853</f>
        <v>72.19999999999999</v>
      </c>
      <c r="S2853" s="2">
        <f>NETWORKDAYS(B2853,C2853)-1</f>
        <v>4</v>
      </c>
      <c r="T2853" s="1">
        <f>WORKDAY(B2853,5)</f>
        <v>45846</v>
      </c>
      <c r="U2853" t="b">
        <f>C2853&gt;T2853</f>
        <v>0</v>
      </c>
    </row>
    <row r="2854" spans="1:21" x14ac:dyDescent="0.25">
      <c r="A2854" t="s">
        <v>1819</v>
      </c>
      <c r="B2854" s="1">
        <v>45838</v>
      </c>
      <c r="C2854" s="1">
        <v>45839</v>
      </c>
      <c r="D2854" t="s">
        <v>1101</v>
      </c>
      <c r="E2854" t="s">
        <v>75</v>
      </c>
      <c r="F2854" t="s">
        <v>76</v>
      </c>
      <c r="G2854" t="s">
        <v>176</v>
      </c>
      <c r="H2854" t="s">
        <v>79</v>
      </c>
      <c r="I2854" s="2">
        <v>10</v>
      </c>
      <c r="J2854" s="3">
        <v>14.9</v>
      </c>
      <c r="K2854" s="4">
        <v>0.05</v>
      </c>
      <c r="L2854" s="3">
        <v>141.55</v>
      </c>
      <c r="M2854" t="b">
        <v>1</v>
      </c>
      <c r="N2854" s="2">
        <f>YEAR(B2854)</f>
        <v>2025</v>
      </c>
      <c r="O2854" t="str">
        <f>INDEX(Agences!$C:$C,MATCH(F2854,Agences!$A:$A,0))</f>
        <v>Île-de-France</v>
      </c>
      <c r="P2854" t="str">
        <f>INDEX(Produits!$C:$C,MATCH(H2854,Produits!$A:$A,0))</f>
        <v>Fournitures</v>
      </c>
      <c r="Q2854" s="3">
        <f>I2854*INDEX(Produits!$E:$E,MATCH(H2854,Produits!$A:$A,0))</f>
        <v>80.5</v>
      </c>
      <c r="R2854" s="3">
        <f>L2854-Q2854</f>
        <v>61.05000000000001</v>
      </c>
      <c r="S2854" s="2">
        <f>NETWORKDAYS(B2854,C2854)-1</f>
        <v>1</v>
      </c>
      <c r="T2854" s="1">
        <f>WORKDAY(B2854,5)</f>
        <v>45845</v>
      </c>
      <c r="U2854" t="b">
        <f>C2854&gt;T2854</f>
        <v>0</v>
      </c>
    </row>
    <row r="2855" spans="1:21" x14ac:dyDescent="0.25">
      <c r="A2855" t="s">
        <v>1819</v>
      </c>
      <c r="B2855" s="1">
        <v>45838</v>
      </c>
      <c r="C2855" s="1">
        <v>45839</v>
      </c>
      <c r="D2855" t="s">
        <v>1101</v>
      </c>
      <c r="E2855" t="s">
        <v>75</v>
      </c>
      <c r="F2855" t="s">
        <v>76</v>
      </c>
      <c r="G2855" t="s">
        <v>176</v>
      </c>
      <c r="H2855" t="s">
        <v>35</v>
      </c>
      <c r="I2855" s="2">
        <v>1</v>
      </c>
      <c r="J2855" s="3">
        <v>79</v>
      </c>
      <c r="K2855" s="4">
        <v>0</v>
      </c>
      <c r="L2855" s="3">
        <v>79</v>
      </c>
      <c r="M2855" t="b">
        <v>1</v>
      </c>
      <c r="N2855" s="2">
        <f>YEAR(B2855)</f>
        <v>2025</v>
      </c>
      <c r="O2855" t="str">
        <f>INDEX(Agences!$C:$C,MATCH(F2855,Agences!$A:$A,0))</f>
        <v>Île-de-France</v>
      </c>
      <c r="P2855" t="str">
        <f>INDEX(Produits!$C:$C,MATCH(H2855,Produits!$A:$A,0))</f>
        <v>Mobilier</v>
      </c>
      <c r="Q2855" s="3">
        <f>I2855*INDEX(Produits!$E:$E,MATCH(H2855,Produits!$A:$A,0))</f>
        <v>46.61</v>
      </c>
      <c r="R2855" s="3">
        <f>L2855-Q2855</f>
        <v>32.39</v>
      </c>
      <c r="S2855" s="2">
        <f>NETWORKDAYS(B2855,C2855)-1</f>
        <v>1</v>
      </c>
      <c r="T2855" s="1">
        <f>WORKDAY(B2855,5)</f>
        <v>45845</v>
      </c>
      <c r="U2855" t="b">
        <f>C2855&gt;T2855</f>
        <v>0</v>
      </c>
    </row>
    <row r="2856" spans="1:21" x14ac:dyDescent="0.25">
      <c r="A2856" t="s">
        <v>1819</v>
      </c>
      <c r="B2856" s="1">
        <v>45838</v>
      </c>
      <c r="C2856" s="1">
        <v>45839</v>
      </c>
      <c r="D2856" t="s">
        <v>1101</v>
      </c>
      <c r="E2856" t="s">
        <v>75</v>
      </c>
      <c r="F2856" t="s">
        <v>76</v>
      </c>
      <c r="G2856" t="s">
        <v>176</v>
      </c>
      <c r="H2856" t="s">
        <v>26</v>
      </c>
      <c r="I2856" s="2">
        <v>1</v>
      </c>
      <c r="J2856" s="3">
        <v>290</v>
      </c>
      <c r="K2856" s="4">
        <v>0</v>
      </c>
      <c r="L2856" s="3">
        <v>290</v>
      </c>
      <c r="M2856" t="b">
        <v>1</v>
      </c>
      <c r="N2856" s="2">
        <f>YEAR(B2856)</f>
        <v>2025</v>
      </c>
      <c r="O2856" t="str">
        <f>INDEX(Agences!$C:$C,MATCH(F2856,Agences!$A:$A,0))</f>
        <v>Île-de-France</v>
      </c>
      <c r="P2856" t="str">
        <f>INDEX(Produits!$C:$C,MATCH(H2856,Produits!$A:$A,0))</f>
        <v>Maintenance</v>
      </c>
      <c r="Q2856" s="3">
        <f>I2856*INDEX(Produits!$E:$E,MATCH(H2856,Produits!$A:$A,0))</f>
        <v>139.2</v>
      </c>
      <c r="R2856" s="3">
        <f>L2856-Q2856</f>
        <v>150.8</v>
      </c>
      <c r="S2856" s="2">
        <f>NETWORKDAYS(B2856,C2856)-1</f>
        <v>1</v>
      </c>
      <c r="T2856" s="1">
        <f>WORKDAY(B2856,5)</f>
        <v>45845</v>
      </c>
      <c r="U2856" t="b">
        <f>C2856&gt;T2856</f>
        <v>0</v>
      </c>
    </row>
    <row r="2857" spans="1:21" x14ac:dyDescent="0.25">
      <c r="A2857" t="s">
        <v>1819</v>
      </c>
      <c r="B2857" s="1">
        <v>45838</v>
      </c>
      <c r="C2857" s="1">
        <v>45839</v>
      </c>
      <c r="D2857" t="s">
        <v>1101</v>
      </c>
      <c r="E2857" t="s">
        <v>75</v>
      </c>
      <c r="F2857" t="s">
        <v>76</v>
      </c>
      <c r="G2857" t="s">
        <v>176</v>
      </c>
      <c r="H2857" t="s">
        <v>161</v>
      </c>
      <c r="I2857" s="2">
        <v>5</v>
      </c>
      <c r="J2857" s="3">
        <v>32</v>
      </c>
      <c r="K2857" s="4">
        <v>0</v>
      </c>
      <c r="L2857" s="3">
        <v>160</v>
      </c>
      <c r="M2857" t="b">
        <v>1</v>
      </c>
      <c r="N2857" s="2">
        <f>YEAR(B2857)</f>
        <v>2025</v>
      </c>
      <c r="O2857" t="str">
        <f>INDEX(Agences!$C:$C,MATCH(F2857,Agences!$A:$A,0))</f>
        <v>Île-de-France</v>
      </c>
      <c r="P2857" t="str">
        <f>INDEX(Produits!$C:$C,MATCH(H2857,Produits!$A:$A,0))</f>
        <v>Fournitures</v>
      </c>
      <c r="Q2857" s="3">
        <f>I2857*INDEX(Produits!$E:$E,MATCH(H2857,Produits!$A:$A,0))</f>
        <v>88</v>
      </c>
      <c r="R2857" s="3">
        <f>L2857-Q2857</f>
        <v>72</v>
      </c>
      <c r="S2857" s="2">
        <f>NETWORKDAYS(B2857,C2857)-1</f>
        <v>1</v>
      </c>
      <c r="T2857" s="1">
        <f>WORKDAY(B2857,5)</f>
        <v>45845</v>
      </c>
      <c r="U2857" t="b">
        <f>C2857&gt;T2857</f>
        <v>0</v>
      </c>
    </row>
    <row r="2858" spans="1:21" x14ac:dyDescent="0.25">
      <c r="A2858" t="s">
        <v>1820</v>
      </c>
      <c r="B2858" s="1">
        <v>45838</v>
      </c>
      <c r="C2858" s="1">
        <v>45839</v>
      </c>
      <c r="D2858" t="s">
        <v>1608</v>
      </c>
      <c r="E2858" t="s">
        <v>185</v>
      </c>
      <c r="F2858" t="s">
        <v>31</v>
      </c>
      <c r="G2858" t="s">
        <v>32</v>
      </c>
      <c r="H2858" t="s">
        <v>33</v>
      </c>
      <c r="I2858" s="2">
        <v>2</v>
      </c>
      <c r="J2858" s="3">
        <v>219</v>
      </c>
      <c r="K2858" s="4">
        <v>0</v>
      </c>
      <c r="L2858" s="3">
        <v>438</v>
      </c>
      <c r="M2858" t="b">
        <v>1</v>
      </c>
      <c r="N2858" s="2">
        <f>YEAR(B2858)</f>
        <v>2025</v>
      </c>
      <c r="O2858" t="str">
        <f>INDEX(Agences!$C:$C,MATCH(F2858,Agences!$A:$A,0))</f>
        <v>Ouest</v>
      </c>
      <c r="P2858" t="str">
        <f>INDEX(Produits!$C:$C,MATCH(H2858,Produits!$A:$A,0))</f>
        <v>Informatique</v>
      </c>
      <c r="Q2858" s="3">
        <f>I2858*INDEX(Produits!$E:$E,MATCH(H2858,Produits!$A:$A,0))</f>
        <v>359.16</v>
      </c>
      <c r="R2858" s="3">
        <f>L2858-Q2858</f>
        <v>78.83999999999997</v>
      </c>
      <c r="S2858" s="2">
        <f>NETWORKDAYS(B2858,C2858)-1</f>
        <v>1</v>
      </c>
      <c r="T2858" s="1">
        <f>WORKDAY(B2858,5)</f>
        <v>45845</v>
      </c>
      <c r="U2858" t="b">
        <f>C2858&gt;T2858</f>
        <v>0</v>
      </c>
    </row>
    <row r="2859" spans="1:21" x14ac:dyDescent="0.25">
      <c r="A2859" t="s">
        <v>1820</v>
      </c>
      <c r="B2859" s="1">
        <v>45838</v>
      </c>
      <c r="C2859" s="1">
        <v>45839</v>
      </c>
      <c r="D2859" t="s">
        <v>1608</v>
      </c>
      <c r="E2859" t="s">
        <v>185</v>
      </c>
      <c r="F2859" t="s">
        <v>31</v>
      </c>
      <c r="G2859" t="s">
        <v>32</v>
      </c>
      <c r="H2859" t="s">
        <v>162</v>
      </c>
      <c r="I2859" s="2">
        <v>2</v>
      </c>
      <c r="J2859" s="3">
        <v>289</v>
      </c>
      <c r="K2859" s="4">
        <v>0</v>
      </c>
      <c r="L2859" s="3">
        <v>578</v>
      </c>
      <c r="M2859" t="b">
        <v>1</v>
      </c>
      <c r="N2859" s="2">
        <f>YEAR(B2859)</f>
        <v>2025</v>
      </c>
      <c r="O2859" t="str">
        <f>INDEX(Agences!$C:$C,MATCH(F2859,Agences!$A:$A,0))</f>
        <v>Ouest</v>
      </c>
      <c r="P2859" t="str">
        <f>INDEX(Produits!$C:$C,MATCH(H2859,Produits!$A:$A,0))</f>
        <v>Mobilier</v>
      </c>
      <c r="Q2859" s="3">
        <f>I2859*INDEX(Produits!$E:$E,MATCH(H2859,Produits!$A:$A,0))</f>
        <v>387.26</v>
      </c>
      <c r="R2859" s="3">
        <f>L2859-Q2859</f>
        <v>190.74</v>
      </c>
      <c r="S2859" s="2">
        <f>NETWORKDAYS(B2859,C2859)-1</f>
        <v>1</v>
      </c>
      <c r="T2859" s="1">
        <f>WORKDAY(B2859,5)</f>
        <v>45845</v>
      </c>
      <c r="U2859" t="b">
        <f>C2859&gt;T2859</f>
        <v>0</v>
      </c>
    </row>
    <row r="2860" spans="1:21" x14ac:dyDescent="0.25">
      <c r="A2860" t="s">
        <v>1820</v>
      </c>
      <c r="B2860" s="1">
        <v>45838</v>
      </c>
      <c r="C2860" s="1">
        <v>45839</v>
      </c>
      <c r="D2860" t="s">
        <v>1608</v>
      </c>
      <c r="E2860" t="s">
        <v>185</v>
      </c>
      <c r="F2860" t="s">
        <v>31</v>
      </c>
      <c r="G2860" t="s">
        <v>32</v>
      </c>
      <c r="H2860" t="s">
        <v>49</v>
      </c>
      <c r="I2860" s="2">
        <v>2</v>
      </c>
      <c r="J2860" s="3">
        <v>120</v>
      </c>
      <c r="K2860" s="4">
        <v>0.02</v>
      </c>
      <c r="L2860" s="3">
        <v>235.2</v>
      </c>
      <c r="M2860" t="b">
        <v>1</v>
      </c>
      <c r="N2860" s="2">
        <f>YEAR(B2860)</f>
        <v>2025</v>
      </c>
      <c r="O2860" t="str">
        <f>INDEX(Agences!$C:$C,MATCH(F2860,Agences!$A:$A,0))</f>
        <v>Ouest</v>
      </c>
      <c r="P2860" t="str">
        <f>INDEX(Produits!$C:$C,MATCH(H2860,Produits!$A:$A,0))</f>
        <v>Maintenance</v>
      </c>
      <c r="Q2860" s="3">
        <f>I2860*INDEX(Produits!$E:$E,MATCH(H2860,Produits!$A:$A,0))</f>
        <v>110.4</v>
      </c>
      <c r="R2860" s="3">
        <f>L2860-Q2860</f>
        <v>124.79999999999998</v>
      </c>
      <c r="S2860" s="2">
        <f>NETWORKDAYS(B2860,C2860)-1</f>
        <v>1</v>
      </c>
      <c r="T2860" s="1">
        <f>WORKDAY(B2860,5)</f>
        <v>45845</v>
      </c>
      <c r="U2860" t="b">
        <f>C2860&gt;T2860</f>
        <v>0</v>
      </c>
    </row>
    <row r="2861" spans="1:21" x14ac:dyDescent="0.25">
      <c r="A2861" t="s">
        <v>1821</v>
      </c>
      <c r="B2861" s="1">
        <v>45838</v>
      </c>
      <c r="C2861" s="1">
        <v>45841</v>
      </c>
      <c r="D2861" t="s">
        <v>321</v>
      </c>
      <c r="E2861" t="s">
        <v>38</v>
      </c>
      <c r="F2861" t="s">
        <v>39</v>
      </c>
      <c r="G2861" t="s">
        <v>40</v>
      </c>
      <c r="H2861" t="s">
        <v>108</v>
      </c>
      <c r="I2861" s="2">
        <v>20</v>
      </c>
      <c r="J2861" s="3">
        <v>24.5</v>
      </c>
      <c r="K2861" s="4">
        <v>0.05</v>
      </c>
      <c r="L2861" s="3">
        <v>465.5</v>
      </c>
      <c r="M2861" t="b">
        <v>1</v>
      </c>
      <c r="N2861" s="2">
        <f>YEAR(B2861)</f>
        <v>2025</v>
      </c>
      <c r="O2861" t="str">
        <f>INDEX(Agences!$C:$C,MATCH(F2861,Agences!$A:$A,0))</f>
        <v>Sud-Ouest</v>
      </c>
      <c r="P2861" t="str">
        <f>INDEX(Produits!$C:$C,MATCH(H2861,Produits!$A:$A,0))</f>
        <v>Fournitures</v>
      </c>
      <c r="Q2861" s="3">
        <f>I2861*INDEX(Produits!$E:$E,MATCH(H2861,Produits!$A:$A,0))</f>
        <v>294</v>
      </c>
      <c r="R2861" s="3">
        <f>L2861-Q2861</f>
        <v>171.5</v>
      </c>
      <c r="S2861" s="2">
        <f>NETWORKDAYS(B2861,C2861)-1</f>
        <v>3</v>
      </c>
      <c r="T2861" s="1">
        <f>WORKDAY(B2861,5)</f>
        <v>45845</v>
      </c>
      <c r="U2861" t="b">
        <f>C2861&gt;T2861</f>
        <v>0</v>
      </c>
    </row>
    <row r="2862" spans="1:21" x14ac:dyDescent="0.25">
      <c r="A2862" t="s">
        <v>1821</v>
      </c>
      <c r="B2862" s="1">
        <v>45838</v>
      </c>
      <c r="C2862" s="1">
        <v>45841</v>
      </c>
      <c r="D2862" t="s">
        <v>321</v>
      </c>
      <c r="E2862" t="s">
        <v>38</v>
      </c>
      <c r="F2862" t="s">
        <v>39</v>
      </c>
      <c r="G2862" t="s">
        <v>40</v>
      </c>
      <c r="H2862" t="s">
        <v>33</v>
      </c>
      <c r="I2862" s="2">
        <v>1</v>
      </c>
      <c r="J2862" s="3">
        <v>219</v>
      </c>
      <c r="K2862" s="4">
        <v>0.1</v>
      </c>
      <c r="L2862" s="3">
        <v>197.1</v>
      </c>
      <c r="M2862" t="b">
        <v>1</v>
      </c>
      <c r="N2862" s="2">
        <f>YEAR(B2862)</f>
        <v>2025</v>
      </c>
      <c r="O2862" t="str">
        <f>INDEX(Agences!$C:$C,MATCH(F2862,Agences!$A:$A,0))</f>
        <v>Sud-Ouest</v>
      </c>
      <c r="P2862" t="str">
        <f>INDEX(Produits!$C:$C,MATCH(H2862,Produits!$A:$A,0))</f>
        <v>Informatique</v>
      </c>
      <c r="Q2862" s="3">
        <f>I2862*INDEX(Produits!$E:$E,MATCH(H2862,Produits!$A:$A,0))</f>
        <v>179.58</v>
      </c>
      <c r="R2862" s="3">
        <f>L2862-Q2862</f>
        <v>17.519999999999982</v>
      </c>
      <c r="S2862" s="2">
        <f>NETWORKDAYS(B2862,C2862)-1</f>
        <v>3</v>
      </c>
      <c r="T2862" s="1">
        <f>WORKDAY(B2862,5)</f>
        <v>45845</v>
      </c>
      <c r="U2862" t="b">
        <f>C2862&gt;T2862</f>
        <v>0</v>
      </c>
    </row>
    <row r="2863" spans="1:21" x14ac:dyDescent="0.25">
      <c r="A2863" t="s">
        <v>1821</v>
      </c>
      <c r="B2863" s="1">
        <v>45838</v>
      </c>
      <c r="C2863" s="1">
        <v>45841</v>
      </c>
      <c r="D2863" t="s">
        <v>321</v>
      </c>
      <c r="E2863" t="s">
        <v>38</v>
      </c>
      <c r="F2863" t="s">
        <v>39</v>
      </c>
      <c r="G2863" t="s">
        <v>40</v>
      </c>
      <c r="H2863" t="s">
        <v>319</v>
      </c>
      <c r="I2863" s="2">
        <v>5</v>
      </c>
      <c r="J2863" s="3">
        <v>289</v>
      </c>
      <c r="K2863" s="4">
        <v>0</v>
      </c>
      <c r="L2863" s="3">
        <v>1445</v>
      </c>
      <c r="M2863" t="b">
        <v>1</v>
      </c>
      <c r="N2863" s="2">
        <f>YEAR(B2863)</f>
        <v>2025</v>
      </c>
      <c r="O2863" t="str">
        <f>INDEX(Agences!$C:$C,MATCH(F2863,Agences!$A:$A,0))</f>
        <v>Sud-Ouest</v>
      </c>
      <c r="P2863" t="str">
        <f>INDEX(Produits!$C:$C,MATCH(H2863,Produits!$A:$A,0))</f>
        <v>Informatique</v>
      </c>
      <c r="Q2863" s="3">
        <f>I2863*INDEX(Produits!$E:$E,MATCH(H2863,Produits!$A:$A,0))</f>
        <v>1069.3000000000002</v>
      </c>
      <c r="R2863" s="3">
        <f>L2863-Q2863</f>
        <v>375.6999999999998</v>
      </c>
      <c r="S2863" s="2">
        <f>NETWORKDAYS(B2863,C2863)-1</f>
        <v>3</v>
      </c>
      <c r="T2863" s="1">
        <f>WORKDAY(B2863,5)</f>
        <v>45845</v>
      </c>
      <c r="U2863" t="b">
        <f>C2863&gt;T2863</f>
        <v>0</v>
      </c>
    </row>
    <row r="2864" spans="1:21" x14ac:dyDescent="0.25">
      <c r="A2864" t="s">
        <v>1822</v>
      </c>
      <c r="B2864" s="1">
        <v>45838</v>
      </c>
      <c r="C2864" s="1">
        <v>45841</v>
      </c>
      <c r="D2864" t="s">
        <v>453</v>
      </c>
      <c r="E2864" t="s">
        <v>130</v>
      </c>
      <c r="F2864" t="s">
        <v>39</v>
      </c>
      <c r="G2864" t="s">
        <v>40</v>
      </c>
      <c r="H2864" t="s">
        <v>205</v>
      </c>
      <c r="I2864" s="2">
        <v>1</v>
      </c>
      <c r="J2864" s="3">
        <v>359</v>
      </c>
      <c r="K2864" s="4">
        <v>0.02</v>
      </c>
      <c r="L2864" s="3">
        <v>351.82</v>
      </c>
      <c r="M2864" t="b">
        <v>1</v>
      </c>
      <c r="N2864" s="2">
        <f>YEAR(B2864)</f>
        <v>2025</v>
      </c>
      <c r="O2864" t="str">
        <f>INDEX(Agences!$C:$C,MATCH(F2864,Agences!$A:$A,0))</f>
        <v>Sud-Ouest</v>
      </c>
      <c r="P2864" t="str">
        <f>INDEX(Produits!$C:$C,MATCH(H2864,Produits!$A:$A,0))</f>
        <v>Mobilier</v>
      </c>
      <c r="Q2864" s="3">
        <f>I2864*INDEX(Produits!$E:$E,MATCH(H2864,Produits!$A:$A,0))</f>
        <v>204.63</v>
      </c>
      <c r="R2864" s="3">
        <f>L2864-Q2864</f>
        <v>147.19</v>
      </c>
      <c r="S2864" s="2">
        <f>NETWORKDAYS(B2864,C2864)-1</f>
        <v>3</v>
      </c>
      <c r="T2864" s="1">
        <f>WORKDAY(B2864,5)</f>
        <v>45845</v>
      </c>
      <c r="U2864" t="b">
        <f>C2864&gt;T2864</f>
        <v>0</v>
      </c>
    </row>
    <row r="2865" spans="1:21" x14ac:dyDescent="0.25">
      <c r="A2865" t="s">
        <v>1822</v>
      </c>
      <c r="B2865" s="1">
        <v>45838</v>
      </c>
      <c r="C2865" s="1">
        <v>45841</v>
      </c>
      <c r="D2865" t="s">
        <v>453</v>
      </c>
      <c r="E2865" t="s">
        <v>130</v>
      </c>
      <c r="F2865" t="s">
        <v>39</v>
      </c>
      <c r="G2865" t="s">
        <v>40</v>
      </c>
      <c r="H2865" t="s">
        <v>83</v>
      </c>
      <c r="I2865" s="2">
        <v>3</v>
      </c>
      <c r="J2865" s="3">
        <v>49</v>
      </c>
      <c r="K2865" s="4">
        <v>0.05</v>
      </c>
      <c r="L2865" s="3">
        <v>139.65</v>
      </c>
      <c r="M2865" t="b">
        <v>1</v>
      </c>
      <c r="N2865" s="2">
        <f>YEAR(B2865)</f>
        <v>2025</v>
      </c>
      <c r="O2865" t="str">
        <f>INDEX(Agences!$C:$C,MATCH(F2865,Agences!$A:$A,0))</f>
        <v>Sud-Ouest</v>
      </c>
      <c r="P2865" t="str">
        <f>INDEX(Produits!$C:$C,MATCH(H2865,Produits!$A:$A,0))</f>
        <v>Mobilier</v>
      </c>
      <c r="Q2865" s="3">
        <f>I2865*INDEX(Produits!$E:$E,MATCH(H2865,Produits!$A:$A,0))</f>
        <v>85.26</v>
      </c>
      <c r="R2865" s="3">
        <f>L2865-Q2865</f>
        <v>54.39</v>
      </c>
      <c r="S2865" s="2">
        <f>NETWORKDAYS(B2865,C2865)-1</f>
        <v>3</v>
      </c>
      <c r="T2865" s="1">
        <f>WORKDAY(B2865,5)</f>
        <v>45845</v>
      </c>
      <c r="U2865" t="b">
        <f>C2865&gt;T2865</f>
        <v>0</v>
      </c>
    </row>
    <row r="2866" spans="1:21" x14ac:dyDescent="0.25">
      <c r="A2866" t="s">
        <v>1822</v>
      </c>
      <c r="B2866" s="1">
        <v>45838</v>
      </c>
      <c r="C2866" s="1">
        <v>45841</v>
      </c>
      <c r="D2866" t="s">
        <v>453</v>
      </c>
      <c r="E2866" t="s">
        <v>130</v>
      </c>
      <c r="F2866" t="s">
        <v>39</v>
      </c>
      <c r="G2866" t="s">
        <v>40</v>
      </c>
      <c r="H2866" t="s">
        <v>112</v>
      </c>
      <c r="I2866" s="2">
        <v>3</v>
      </c>
      <c r="J2866" s="3">
        <v>129</v>
      </c>
      <c r="K2866" s="4">
        <v>0.05</v>
      </c>
      <c r="L2866" s="3">
        <v>367.65</v>
      </c>
      <c r="M2866" t="b">
        <v>1</v>
      </c>
      <c r="N2866" s="2">
        <f>YEAR(B2866)</f>
        <v>2025</v>
      </c>
      <c r="O2866" t="str">
        <f>INDEX(Agences!$C:$C,MATCH(F2866,Agences!$A:$A,0))</f>
        <v>Sud-Ouest</v>
      </c>
      <c r="P2866" t="str">
        <f>INDEX(Produits!$C:$C,MATCH(H2866,Produits!$A:$A,0))</f>
        <v>Mobilier</v>
      </c>
      <c r="Q2866" s="3">
        <f>I2866*INDEX(Produits!$E:$E,MATCH(H2866,Produits!$A:$A,0))</f>
        <v>259.29</v>
      </c>
      <c r="R2866" s="3">
        <f>L2866-Q2866</f>
        <v>108.35999999999996</v>
      </c>
      <c r="S2866" s="2">
        <f>NETWORKDAYS(B2866,C2866)-1</f>
        <v>3</v>
      </c>
      <c r="T2866" s="1">
        <f>WORKDAY(B2866,5)</f>
        <v>45845</v>
      </c>
      <c r="U2866" t="b">
        <f>C2866&gt;T2866</f>
        <v>0</v>
      </c>
    </row>
    <row r="2867" spans="1:21" x14ac:dyDescent="0.25">
      <c r="A2867" t="s">
        <v>1823</v>
      </c>
      <c r="B2867" s="1">
        <v>45838</v>
      </c>
      <c r="C2867" s="1">
        <v>45841</v>
      </c>
      <c r="D2867" t="s">
        <v>1824</v>
      </c>
      <c r="E2867" t="s">
        <v>87</v>
      </c>
      <c r="F2867" t="s">
        <v>88</v>
      </c>
      <c r="G2867" t="s">
        <v>226</v>
      </c>
      <c r="H2867" t="s">
        <v>64</v>
      </c>
      <c r="I2867" s="2">
        <v>5</v>
      </c>
      <c r="J2867" s="3">
        <v>16.8</v>
      </c>
      <c r="K2867" s="4">
        <v>0</v>
      </c>
      <c r="L2867" s="3">
        <v>84</v>
      </c>
      <c r="M2867" t="b">
        <v>1</v>
      </c>
      <c r="N2867" s="2">
        <f>YEAR(B2867)</f>
        <v>2025</v>
      </c>
      <c r="O2867" t="str">
        <f>INDEX(Agences!$C:$C,MATCH(F2867,Agences!$A:$A,0))</f>
        <v>Sud-Ouest</v>
      </c>
      <c r="P2867" t="str">
        <f>INDEX(Produits!$C:$C,MATCH(H2867,Produits!$A:$A,0))</f>
        <v>Fournitures</v>
      </c>
      <c r="Q2867" s="3">
        <f>I2867*INDEX(Produits!$E:$E,MATCH(H2867,Produits!$A:$A,0))</f>
        <v>43.7</v>
      </c>
      <c r="R2867" s="3">
        <f>L2867-Q2867</f>
        <v>40.3</v>
      </c>
      <c r="S2867" s="2">
        <f>NETWORKDAYS(B2867,C2867)-1</f>
        <v>3</v>
      </c>
      <c r="T2867" s="1">
        <f>WORKDAY(B2867,5)</f>
        <v>45845</v>
      </c>
      <c r="U2867" t="b">
        <f>C2867&gt;T2867</f>
        <v>0</v>
      </c>
    </row>
    <row r="2868" spans="1:21" x14ac:dyDescent="0.25">
      <c r="A2868" t="s">
        <v>1825</v>
      </c>
      <c r="B2868" s="1">
        <v>45838</v>
      </c>
      <c r="C2868" s="1">
        <v>45842</v>
      </c>
      <c r="D2868" t="s">
        <v>448</v>
      </c>
      <c r="E2868" t="s">
        <v>449</v>
      </c>
      <c r="F2868" t="s">
        <v>94</v>
      </c>
      <c r="G2868" t="s">
        <v>95</v>
      </c>
      <c r="H2868" t="s">
        <v>51</v>
      </c>
      <c r="I2868" s="2">
        <v>2</v>
      </c>
      <c r="J2868" s="3">
        <v>180</v>
      </c>
      <c r="K2868" s="4">
        <v>0.05</v>
      </c>
      <c r="L2868" s="3">
        <v>342</v>
      </c>
      <c r="M2868" t="b">
        <v>1</v>
      </c>
      <c r="N2868" s="2">
        <f>YEAR(B2868)</f>
        <v>2025</v>
      </c>
      <c r="O2868" t="str">
        <f>INDEX(Agences!$C:$C,MATCH(F2868,Agences!$A:$A,0))</f>
        <v>Méditerranée</v>
      </c>
      <c r="P2868" t="str">
        <f>INDEX(Produits!$C:$C,MATCH(H2868,Produits!$A:$A,0))</f>
        <v>Maintenance</v>
      </c>
      <c r="Q2868" s="3">
        <f>I2868*INDEX(Produits!$E:$E,MATCH(H2868,Produits!$A:$A,0))</f>
        <v>165.6</v>
      </c>
      <c r="R2868" s="3">
        <f>L2868-Q2868</f>
        <v>176.4</v>
      </c>
      <c r="S2868" s="2">
        <f>NETWORKDAYS(B2868,C2868)-1</f>
        <v>4</v>
      </c>
      <c r="T2868" s="1">
        <f>WORKDAY(B2868,5)</f>
        <v>45845</v>
      </c>
      <c r="U2868" t="b">
        <f>C2868&gt;T2868</f>
        <v>0</v>
      </c>
    </row>
    <row r="2869" spans="1:21" x14ac:dyDescent="0.25">
      <c r="A2869" t="s">
        <v>1825</v>
      </c>
      <c r="B2869" s="1">
        <v>45838</v>
      </c>
      <c r="C2869" s="1">
        <v>45842</v>
      </c>
      <c r="D2869" t="s">
        <v>448</v>
      </c>
      <c r="E2869" t="s">
        <v>449</v>
      </c>
      <c r="F2869" t="s">
        <v>94</v>
      </c>
      <c r="G2869" t="s">
        <v>95</v>
      </c>
      <c r="H2869" t="s">
        <v>84</v>
      </c>
      <c r="I2869" s="2">
        <v>2</v>
      </c>
      <c r="J2869" s="3">
        <v>420</v>
      </c>
      <c r="K2869" s="4">
        <v>0</v>
      </c>
      <c r="L2869" s="3">
        <v>840</v>
      </c>
      <c r="M2869" t="b">
        <v>1</v>
      </c>
      <c r="N2869" s="2">
        <f>YEAR(B2869)</f>
        <v>2025</v>
      </c>
      <c r="O2869" t="str">
        <f>INDEX(Agences!$C:$C,MATCH(F2869,Agences!$A:$A,0))</f>
        <v>Méditerranée</v>
      </c>
      <c r="P2869" t="str">
        <f>INDEX(Produits!$C:$C,MATCH(H2869,Produits!$A:$A,0))</f>
        <v>Mobilier</v>
      </c>
      <c r="Q2869" s="3">
        <f>I2869*INDEX(Produits!$E:$E,MATCH(H2869,Produits!$A:$A,0))</f>
        <v>487.2</v>
      </c>
      <c r="R2869" s="3">
        <f>L2869-Q2869</f>
        <v>352.8</v>
      </c>
      <c r="S2869" s="2">
        <f>NETWORKDAYS(B2869,C2869)-1</f>
        <v>4</v>
      </c>
      <c r="T2869" s="1">
        <f>WORKDAY(B2869,5)</f>
        <v>45845</v>
      </c>
      <c r="U2869" t="b">
        <f>C2869&gt;T2869</f>
        <v>0</v>
      </c>
    </row>
    <row r="2870" spans="1:21" x14ac:dyDescent="0.25">
      <c r="A2870" t="s">
        <v>1825</v>
      </c>
      <c r="B2870" s="1">
        <v>45838</v>
      </c>
      <c r="C2870" s="1">
        <v>45842</v>
      </c>
      <c r="D2870" t="s">
        <v>448</v>
      </c>
      <c r="E2870" t="s">
        <v>449</v>
      </c>
      <c r="F2870" t="s">
        <v>94</v>
      </c>
      <c r="G2870" t="s">
        <v>95</v>
      </c>
      <c r="H2870" t="s">
        <v>50</v>
      </c>
      <c r="I2870" s="2">
        <v>1</v>
      </c>
      <c r="J2870" s="3">
        <v>69</v>
      </c>
      <c r="K2870" s="4">
        <v>0</v>
      </c>
      <c r="L2870" s="3">
        <v>69</v>
      </c>
      <c r="M2870" t="b">
        <v>1</v>
      </c>
      <c r="N2870" s="2">
        <f>YEAR(B2870)</f>
        <v>2025</v>
      </c>
      <c r="O2870" t="str">
        <f>INDEX(Agences!$C:$C,MATCH(F2870,Agences!$A:$A,0))</f>
        <v>Méditerranée</v>
      </c>
      <c r="P2870" t="str">
        <f>INDEX(Produits!$C:$C,MATCH(H2870,Produits!$A:$A,0))</f>
        <v>Informatique</v>
      </c>
      <c r="Q2870" s="3">
        <f>I2870*INDEX(Produits!$E:$E,MATCH(H2870,Produits!$A:$A,0))</f>
        <v>54.51</v>
      </c>
      <c r="R2870" s="3">
        <f>L2870-Q2870</f>
        <v>14.490000000000002</v>
      </c>
      <c r="S2870" s="2">
        <f>NETWORKDAYS(B2870,C2870)-1</f>
        <v>4</v>
      </c>
      <c r="T2870" s="1">
        <f>WORKDAY(B2870,5)</f>
        <v>45845</v>
      </c>
      <c r="U2870" t="b">
        <f>C2870&gt;T2870</f>
        <v>0</v>
      </c>
    </row>
    <row r="2871" spans="1:21" x14ac:dyDescent="0.25">
      <c r="A2871" t="s">
        <v>1826</v>
      </c>
      <c r="B2871" s="1">
        <v>45838</v>
      </c>
      <c r="C2871" s="1">
        <v>45842</v>
      </c>
      <c r="D2871" t="s">
        <v>292</v>
      </c>
      <c r="E2871" t="s">
        <v>45</v>
      </c>
      <c r="F2871" t="s">
        <v>46</v>
      </c>
      <c r="G2871" t="s">
        <v>158</v>
      </c>
      <c r="H2871" t="s">
        <v>64</v>
      </c>
      <c r="I2871" s="2">
        <v>5</v>
      </c>
      <c r="J2871" s="3">
        <v>16.8</v>
      </c>
      <c r="K2871" s="4">
        <v>0</v>
      </c>
      <c r="L2871" s="3">
        <v>84</v>
      </c>
      <c r="M2871" t="b">
        <v>1</v>
      </c>
      <c r="N2871" s="2">
        <f>YEAR(B2871)</f>
        <v>2025</v>
      </c>
      <c r="O2871" t="str">
        <f>INDEX(Agences!$C:$C,MATCH(F2871,Agences!$A:$A,0))</f>
        <v>Est</v>
      </c>
      <c r="P2871" t="str">
        <f>INDEX(Produits!$C:$C,MATCH(H2871,Produits!$A:$A,0))</f>
        <v>Fournitures</v>
      </c>
      <c r="Q2871" s="3">
        <f>I2871*INDEX(Produits!$E:$E,MATCH(H2871,Produits!$A:$A,0))</f>
        <v>43.7</v>
      </c>
      <c r="R2871" s="3">
        <f>L2871-Q2871</f>
        <v>40.3</v>
      </c>
      <c r="S2871" s="2">
        <f>NETWORKDAYS(B2871,C2871)-1</f>
        <v>4</v>
      </c>
      <c r="T2871" s="1">
        <f>WORKDAY(B2871,5)</f>
        <v>45845</v>
      </c>
      <c r="U2871" t="b">
        <f>C2871&gt;T2871</f>
        <v>0</v>
      </c>
    </row>
    <row r="2872" spans="1:21" x14ac:dyDescent="0.25">
      <c r="A2872" t="s">
        <v>1826</v>
      </c>
      <c r="B2872" s="1">
        <v>45838</v>
      </c>
      <c r="C2872" s="1">
        <v>45842</v>
      </c>
      <c r="D2872" t="s">
        <v>292</v>
      </c>
      <c r="E2872" t="s">
        <v>45</v>
      </c>
      <c r="F2872" t="s">
        <v>46</v>
      </c>
      <c r="G2872" t="s">
        <v>158</v>
      </c>
      <c r="H2872" t="s">
        <v>51</v>
      </c>
      <c r="I2872" s="2">
        <v>2</v>
      </c>
      <c r="J2872" s="3">
        <v>180</v>
      </c>
      <c r="K2872" s="4">
        <v>0</v>
      </c>
      <c r="L2872" s="3">
        <v>360</v>
      </c>
      <c r="M2872" t="b">
        <v>1</v>
      </c>
      <c r="N2872" s="2">
        <f>YEAR(B2872)</f>
        <v>2025</v>
      </c>
      <c r="O2872" t="str">
        <f>INDEX(Agences!$C:$C,MATCH(F2872,Agences!$A:$A,0))</f>
        <v>Est</v>
      </c>
      <c r="P2872" t="str">
        <f>INDEX(Produits!$C:$C,MATCH(H2872,Produits!$A:$A,0))</f>
        <v>Maintenance</v>
      </c>
      <c r="Q2872" s="3">
        <f>I2872*INDEX(Produits!$E:$E,MATCH(H2872,Produits!$A:$A,0))</f>
        <v>165.6</v>
      </c>
      <c r="R2872" s="3">
        <f>L2872-Q2872</f>
        <v>194.4</v>
      </c>
      <c r="S2872" s="2">
        <f>NETWORKDAYS(B2872,C2872)-1</f>
        <v>4</v>
      </c>
      <c r="T2872" s="1">
        <f>WORKDAY(B2872,5)</f>
        <v>45845</v>
      </c>
      <c r="U2872" t="b">
        <f>C2872&gt;T2872</f>
        <v>0</v>
      </c>
    </row>
    <row r="2873" spans="1:21" x14ac:dyDescent="0.25">
      <c r="A2873" t="s">
        <v>1826</v>
      </c>
      <c r="B2873" s="1">
        <v>45838</v>
      </c>
      <c r="C2873" s="1">
        <v>45842</v>
      </c>
      <c r="D2873" t="s">
        <v>292</v>
      </c>
      <c r="E2873" t="s">
        <v>45</v>
      </c>
      <c r="F2873" t="s">
        <v>46</v>
      </c>
      <c r="G2873" t="s">
        <v>158</v>
      </c>
      <c r="H2873" t="s">
        <v>205</v>
      </c>
      <c r="I2873" s="2">
        <v>2</v>
      </c>
      <c r="J2873" s="3">
        <v>359</v>
      </c>
      <c r="K2873" s="4">
        <v>0</v>
      </c>
      <c r="L2873" s="3">
        <v>718</v>
      </c>
      <c r="M2873" t="b">
        <v>1</v>
      </c>
      <c r="N2873" s="2">
        <f>YEAR(B2873)</f>
        <v>2025</v>
      </c>
      <c r="O2873" t="str">
        <f>INDEX(Agences!$C:$C,MATCH(F2873,Agences!$A:$A,0))</f>
        <v>Est</v>
      </c>
      <c r="P2873" t="str">
        <f>INDEX(Produits!$C:$C,MATCH(H2873,Produits!$A:$A,0))</f>
        <v>Mobilier</v>
      </c>
      <c r="Q2873" s="3">
        <f>I2873*INDEX(Produits!$E:$E,MATCH(H2873,Produits!$A:$A,0))</f>
        <v>409.26</v>
      </c>
      <c r="R2873" s="3">
        <f>L2873-Q2873</f>
        <v>308.74</v>
      </c>
      <c r="S2873" s="2">
        <f>NETWORKDAYS(B2873,C2873)-1</f>
        <v>4</v>
      </c>
      <c r="T2873" s="1">
        <f>WORKDAY(B2873,5)</f>
        <v>45845</v>
      </c>
      <c r="U2873" t="b">
        <f>C2873&gt;T2873</f>
        <v>0</v>
      </c>
    </row>
    <row r="2874" spans="1:21" x14ac:dyDescent="0.25">
      <c r="A2874" t="s">
        <v>1827</v>
      </c>
      <c r="B2874" s="1">
        <v>45835</v>
      </c>
      <c r="C2874" s="1">
        <v>45839</v>
      </c>
      <c r="D2874" t="s">
        <v>365</v>
      </c>
      <c r="E2874" t="s">
        <v>119</v>
      </c>
      <c r="F2874" t="s">
        <v>24</v>
      </c>
      <c r="G2874" t="s">
        <v>116</v>
      </c>
      <c r="H2874" t="s">
        <v>41</v>
      </c>
      <c r="I2874" s="2">
        <v>1</v>
      </c>
      <c r="J2874" s="3">
        <v>790</v>
      </c>
      <c r="K2874" s="4">
        <v>0.05</v>
      </c>
      <c r="L2874" s="3">
        <v>750.5</v>
      </c>
      <c r="M2874" t="b">
        <v>1</v>
      </c>
      <c r="N2874" s="2">
        <f>YEAR(B2874)</f>
        <v>2025</v>
      </c>
      <c r="O2874" t="str">
        <f>INDEX(Agences!$C:$C,MATCH(F2874,Agences!$A:$A,0))</f>
        <v>Nord</v>
      </c>
      <c r="P2874" t="str">
        <f>INDEX(Produits!$C:$C,MATCH(H2874,Produits!$A:$A,0))</f>
        <v>Informatique</v>
      </c>
      <c r="Q2874" s="3">
        <f>I2874*INDEX(Produits!$E:$E,MATCH(H2874,Produits!$A:$A,0))</f>
        <v>576.7</v>
      </c>
      <c r="R2874" s="3">
        <f>L2874-Q2874</f>
        <v>173.79999999999995</v>
      </c>
      <c r="S2874" s="2">
        <f>NETWORKDAYS(B2874,C2874)-1</f>
        <v>2</v>
      </c>
      <c r="T2874" s="1">
        <f>WORKDAY(B2874,5)</f>
        <v>45842</v>
      </c>
      <c r="U2874" t="b">
        <f>C2874&gt;T2874</f>
        <v>0</v>
      </c>
    </row>
    <row r="2875" spans="1:21" x14ac:dyDescent="0.25">
      <c r="A2875" t="s">
        <v>1828</v>
      </c>
      <c r="B2875" s="1">
        <v>45835</v>
      </c>
      <c r="C2875" s="1">
        <v>45841</v>
      </c>
      <c r="D2875" t="s">
        <v>1284</v>
      </c>
      <c r="E2875" t="s">
        <v>119</v>
      </c>
      <c r="F2875" t="s">
        <v>24</v>
      </c>
      <c r="G2875" t="s">
        <v>199</v>
      </c>
      <c r="H2875" t="s">
        <v>50</v>
      </c>
      <c r="I2875" s="2">
        <v>1</v>
      </c>
      <c r="J2875" s="3">
        <v>69</v>
      </c>
      <c r="K2875" s="4">
        <v>0.1</v>
      </c>
      <c r="L2875" s="3">
        <v>62.1</v>
      </c>
      <c r="M2875" t="b">
        <v>1</v>
      </c>
      <c r="N2875" s="2">
        <f>YEAR(B2875)</f>
        <v>2025</v>
      </c>
      <c r="O2875" t="str">
        <f>INDEX(Agences!$C:$C,MATCH(F2875,Agences!$A:$A,0))</f>
        <v>Nord</v>
      </c>
      <c r="P2875" t="str">
        <f>INDEX(Produits!$C:$C,MATCH(H2875,Produits!$A:$A,0))</f>
        <v>Informatique</v>
      </c>
      <c r="Q2875" s="3">
        <f>I2875*INDEX(Produits!$E:$E,MATCH(H2875,Produits!$A:$A,0))</f>
        <v>54.51</v>
      </c>
      <c r="R2875" s="3">
        <f>L2875-Q2875</f>
        <v>7.590000000000003</v>
      </c>
      <c r="S2875" s="2">
        <f>NETWORKDAYS(B2875,C2875)-1</f>
        <v>4</v>
      </c>
      <c r="T2875" s="1">
        <f>WORKDAY(B2875,5)</f>
        <v>45842</v>
      </c>
      <c r="U2875" t="b">
        <f>C2875&gt;T2875</f>
        <v>0</v>
      </c>
    </row>
    <row r="2876" spans="1:21" x14ac:dyDescent="0.25">
      <c r="A2876" t="s">
        <v>1828</v>
      </c>
      <c r="B2876" s="1">
        <v>45835</v>
      </c>
      <c r="C2876" s="1">
        <v>45841</v>
      </c>
      <c r="D2876" t="s">
        <v>1284</v>
      </c>
      <c r="E2876" t="s">
        <v>119</v>
      </c>
      <c r="F2876" t="s">
        <v>24</v>
      </c>
      <c r="G2876" t="s">
        <v>199</v>
      </c>
      <c r="H2876" t="s">
        <v>42</v>
      </c>
      <c r="I2876" s="2">
        <v>1</v>
      </c>
      <c r="J2876" s="3">
        <v>55</v>
      </c>
      <c r="K2876" s="4">
        <v>0</v>
      </c>
      <c r="L2876" s="3">
        <v>55</v>
      </c>
      <c r="M2876" t="b">
        <v>1</v>
      </c>
      <c r="N2876" s="2">
        <f>YEAR(B2876)</f>
        <v>2025</v>
      </c>
      <c r="O2876" t="str">
        <f>INDEX(Agences!$C:$C,MATCH(F2876,Agences!$A:$A,0))</f>
        <v>Nord</v>
      </c>
      <c r="P2876" t="str">
        <f>INDEX(Produits!$C:$C,MATCH(H2876,Produits!$A:$A,0))</f>
        <v>Maintenance</v>
      </c>
      <c r="Q2876" s="3">
        <f>I2876*INDEX(Produits!$E:$E,MATCH(H2876,Produits!$A:$A,0))</f>
        <v>24.75</v>
      </c>
      <c r="R2876" s="3">
        <f>L2876-Q2876</f>
        <v>30.25</v>
      </c>
      <c r="S2876" s="2">
        <f>NETWORKDAYS(B2876,C2876)-1</f>
        <v>4</v>
      </c>
      <c r="T2876" s="1">
        <f>WORKDAY(B2876,5)</f>
        <v>45842</v>
      </c>
      <c r="U2876" t="b">
        <f>C2876&gt;T2876</f>
        <v>0</v>
      </c>
    </row>
    <row r="2877" spans="1:21" x14ac:dyDescent="0.25">
      <c r="A2877" t="s">
        <v>1828</v>
      </c>
      <c r="B2877" s="1">
        <v>45835</v>
      </c>
      <c r="C2877" s="1">
        <v>45841</v>
      </c>
      <c r="D2877" t="s">
        <v>1284</v>
      </c>
      <c r="E2877" t="s">
        <v>119</v>
      </c>
      <c r="F2877" t="s">
        <v>24</v>
      </c>
      <c r="G2877" t="s">
        <v>199</v>
      </c>
      <c r="H2877" t="s">
        <v>64</v>
      </c>
      <c r="I2877" s="2">
        <v>25</v>
      </c>
      <c r="J2877" s="3">
        <v>16.8</v>
      </c>
      <c r="K2877" s="4">
        <v>0</v>
      </c>
      <c r="L2877" s="3">
        <v>420</v>
      </c>
      <c r="M2877" t="b">
        <v>1</v>
      </c>
      <c r="N2877" s="2">
        <f>YEAR(B2877)</f>
        <v>2025</v>
      </c>
      <c r="O2877" t="str">
        <f>INDEX(Agences!$C:$C,MATCH(F2877,Agences!$A:$A,0))</f>
        <v>Nord</v>
      </c>
      <c r="P2877" t="str">
        <f>INDEX(Produits!$C:$C,MATCH(H2877,Produits!$A:$A,0))</f>
        <v>Fournitures</v>
      </c>
      <c r="Q2877" s="3">
        <f>I2877*INDEX(Produits!$E:$E,MATCH(H2877,Produits!$A:$A,0))</f>
        <v>218.5</v>
      </c>
      <c r="R2877" s="3">
        <f>L2877-Q2877</f>
        <v>201.5</v>
      </c>
      <c r="S2877" s="2">
        <f>NETWORKDAYS(B2877,C2877)-1</f>
        <v>4</v>
      </c>
      <c r="T2877" s="1">
        <f>WORKDAY(B2877,5)</f>
        <v>45842</v>
      </c>
      <c r="U2877" t="b">
        <f>C2877&gt;T2877</f>
        <v>0</v>
      </c>
    </row>
    <row r="2878" spans="1:21" x14ac:dyDescent="0.25">
      <c r="A2878" t="s">
        <v>1828</v>
      </c>
      <c r="B2878" s="1">
        <v>45835</v>
      </c>
      <c r="C2878" s="1">
        <v>45841</v>
      </c>
      <c r="D2878" t="s">
        <v>1284</v>
      </c>
      <c r="E2878" t="s">
        <v>119</v>
      </c>
      <c r="F2878" t="s">
        <v>24</v>
      </c>
      <c r="G2878" t="s">
        <v>199</v>
      </c>
      <c r="H2878" t="s">
        <v>35</v>
      </c>
      <c r="I2878" s="2">
        <v>1</v>
      </c>
      <c r="J2878" s="3">
        <v>79</v>
      </c>
      <c r="K2878" s="4">
        <v>0</v>
      </c>
      <c r="L2878" s="3">
        <v>79</v>
      </c>
      <c r="M2878" t="b">
        <v>1</v>
      </c>
      <c r="N2878" s="2">
        <f>YEAR(B2878)</f>
        <v>2025</v>
      </c>
      <c r="O2878" t="str">
        <f>INDEX(Agences!$C:$C,MATCH(F2878,Agences!$A:$A,0))</f>
        <v>Nord</v>
      </c>
      <c r="P2878" t="str">
        <f>INDEX(Produits!$C:$C,MATCH(H2878,Produits!$A:$A,0))</f>
        <v>Mobilier</v>
      </c>
      <c r="Q2878" s="3">
        <f>I2878*INDEX(Produits!$E:$E,MATCH(H2878,Produits!$A:$A,0))</f>
        <v>46.61</v>
      </c>
      <c r="R2878" s="3">
        <f>L2878-Q2878</f>
        <v>32.39</v>
      </c>
      <c r="S2878" s="2">
        <f>NETWORKDAYS(B2878,C2878)-1</f>
        <v>4</v>
      </c>
      <c r="T2878" s="1">
        <f>WORKDAY(B2878,5)</f>
        <v>45842</v>
      </c>
      <c r="U2878" t="b">
        <f>C2878&gt;T2878</f>
        <v>0</v>
      </c>
    </row>
    <row r="2879" spans="1:21" x14ac:dyDescent="0.25">
      <c r="A2879" t="s">
        <v>1829</v>
      </c>
      <c r="B2879" s="1">
        <v>45835</v>
      </c>
      <c r="C2879" s="1">
        <v>45838</v>
      </c>
      <c r="D2879" t="s">
        <v>201</v>
      </c>
      <c r="E2879" t="s">
        <v>202</v>
      </c>
      <c r="F2879" t="s">
        <v>138</v>
      </c>
      <c r="G2879" t="s">
        <v>220</v>
      </c>
      <c r="H2879" t="s">
        <v>35</v>
      </c>
      <c r="I2879" s="2">
        <v>1</v>
      </c>
      <c r="J2879" s="3">
        <v>79</v>
      </c>
      <c r="K2879" s="4">
        <v>0</v>
      </c>
      <c r="L2879" s="3">
        <v>79</v>
      </c>
      <c r="M2879" t="b">
        <v>1</v>
      </c>
      <c r="N2879" s="2">
        <f>YEAR(B2879)</f>
        <v>2025</v>
      </c>
      <c r="O2879" t="str">
        <f>INDEX(Agences!$C:$C,MATCH(F2879,Agences!$A:$A,0))</f>
        <v>Île-de-France</v>
      </c>
      <c r="P2879" t="str">
        <f>INDEX(Produits!$C:$C,MATCH(H2879,Produits!$A:$A,0))</f>
        <v>Mobilier</v>
      </c>
      <c r="Q2879" s="3">
        <f>I2879*INDEX(Produits!$E:$E,MATCH(H2879,Produits!$A:$A,0))</f>
        <v>46.61</v>
      </c>
      <c r="R2879" s="3">
        <f>L2879-Q2879</f>
        <v>32.39</v>
      </c>
      <c r="S2879" s="2">
        <f>NETWORKDAYS(B2879,C2879)-1</f>
        <v>1</v>
      </c>
      <c r="T2879" s="1">
        <f>WORKDAY(B2879,5)</f>
        <v>45842</v>
      </c>
      <c r="U2879" t="b">
        <f>C2879&gt;T2879</f>
        <v>0</v>
      </c>
    </row>
    <row r="2880" spans="1:21" x14ac:dyDescent="0.25">
      <c r="A2880" t="s">
        <v>1829</v>
      </c>
      <c r="B2880" s="1">
        <v>45835</v>
      </c>
      <c r="C2880" s="1">
        <v>45838</v>
      </c>
      <c r="D2880" t="s">
        <v>201</v>
      </c>
      <c r="E2880" t="s">
        <v>202</v>
      </c>
      <c r="F2880" t="s">
        <v>138</v>
      </c>
      <c r="G2880" t="s">
        <v>220</v>
      </c>
      <c r="H2880" t="s">
        <v>48</v>
      </c>
      <c r="I2880" s="2">
        <v>2</v>
      </c>
      <c r="J2880" s="3">
        <v>165</v>
      </c>
      <c r="K2880" s="4">
        <v>0.02</v>
      </c>
      <c r="L2880" s="3">
        <v>323.4</v>
      </c>
      <c r="M2880" t="b">
        <v>1</v>
      </c>
      <c r="N2880" s="2">
        <f>YEAR(B2880)</f>
        <v>2025</v>
      </c>
      <c r="O2880" t="str">
        <f>INDEX(Agences!$C:$C,MATCH(F2880,Agences!$A:$A,0))</f>
        <v>Île-de-France</v>
      </c>
      <c r="P2880" t="str">
        <f>INDEX(Produits!$C:$C,MATCH(H2880,Produits!$A:$A,0))</f>
        <v>Mobilier</v>
      </c>
      <c r="Q2880" s="3">
        <f>I2880*INDEX(Produits!$E:$E,MATCH(H2880,Produits!$A:$A,0))</f>
        <v>214.5</v>
      </c>
      <c r="R2880" s="3">
        <f>L2880-Q2880</f>
        <v>108.89999999999998</v>
      </c>
      <c r="S2880" s="2">
        <f>NETWORKDAYS(B2880,C2880)-1</f>
        <v>1</v>
      </c>
      <c r="T2880" s="1">
        <f>WORKDAY(B2880,5)</f>
        <v>45842</v>
      </c>
      <c r="U2880" t="b">
        <f>C2880&gt;T2880</f>
        <v>0</v>
      </c>
    </row>
    <row r="2881" spans="1:21" x14ac:dyDescent="0.25">
      <c r="A2881" t="s">
        <v>1829</v>
      </c>
      <c r="B2881" s="1">
        <v>45835</v>
      </c>
      <c r="C2881" s="1">
        <v>45838</v>
      </c>
      <c r="D2881" t="s">
        <v>201</v>
      </c>
      <c r="E2881" t="s">
        <v>202</v>
      </c>
      <c r="F2881" t="s">
        <v>138</v>
      </c>
      <c r="G2881" t="s">
        <v>220</v>
      </c>
      <c r="H2881" t="s">
        <v>72</v>
      </c>
      <c r="I2881" s="2">
        <v>2</v>
      </c>
      <c r="J2881" s="3">
        <v>179</v>
      </c>
      <c r="K2881" s="4">
        <v>0.02</v>
      </c>
      <c r="L2881" s="3">
        <v>350.84</v>
      </c>
      <c r="M2881" t="b">
        <v>1</v>
      </c>
      <c r="N2881" s="2">
        <f>YEAR(B2881)</f>
        <v>2025</v>
      </c>
      <c r="O2881" t="str">
        <f>INDEX(Agences!$C:$C,MATCH(F2881,Agences!$A:$A,0))</f>
        <v>Île-de-France</v>
      </c>
      <c r="P2881" t="str">
        <f>INDEX(Produits!$C:$C,MATCH(H2881,Produits!$A:$A,0))</f>
        <v>Informatique</v>
      </c>
      <c r="Q2881" s="3">
        <f>I2881*INDEX(Produits!$E:$E,MATCH(H2881,Produits!$A:$A,0))</f>
        <v>293.56</v>
      </c>
      <c r="R2881" s="3">
        <f>L2881-Q2881</f>
        <v>57.27999999999997</v>
      </c>
      <c r="S2881" s="2">
        <f>NETWORKDAYS(B2881,C2881)-1</f>
        <v>1</v>
      </c>
      <c r="T2881" s="1">
        <f>WORKDAY(B2881,5)</f>
        <v>45842</v>
      </c>
      <c r="U2881" t="b">
        <f>C2881&gt;T2881</f>
        <v>0</v>
      </c>
    </row>
    <row r="2882" spans="1:21" x14ac:dyDescent="0.25">
      <c r="A2882" t="s">
        <v>1830</v>
      </c>
      <c r="B2882" s="1">
        <v>45835</v>
      </c>
      <c r="C2882" s="1">
        <v>45840</v>
      </c>
      <c r="D2882" t="s">
        <v>239</v>
      </c>
      <c r="E2882" t="s">
        <v>87</v>
      </c>
      <c r="F2882" t="s">
        <v>88</v>
      </c>
      <c r="G2882" t="s">
        <v>142</v>
      </c>
      <c r="H2882" t="s">
        <v>107</v>
      </c>
      <c r="I2882" s="2">
        <v>4</v>
      </c>
      <c r="J2882" s="3">
        <v>99</v>
      </c>
      <c r="K2882" s="4">
        <v>0.08</v>
      </c>
      <c r="L2882" s="3">
        <v>364.32</v>
      </c>
      <c r="M2882" t="b">
        <v>1</v>
      </c>
      <c r="N2882" s="2">
        <f>YEAR(B2882)</f>
        <v>2025</v>
      </c>
      <c r="O2882" t="str">
        <f>INDEX(Agences!$C:$C,MATCH(F2882,Agences!$A:$A,0))</f>
        <v>Sud-Ouest</v>
      </c>
      <c r="P2882" t="str">
        <f>INDEX(Produits!$C:$C,MATCH(H2882,Produits!$A:$A,0))</f>
        <v>Informatique</v>
      </c>
      <c r="Q2882" s="3">
        <f>I2882*INDEX(Produits!$E:$E,MATCH(H2882,Produits!$A:$A,0))</f>
        <v>300.96</v>
      </c>
      <c r="R2882" s="3">
        <f>L2882-Q2882</f>
        <v>63.360000000000014</v>
      </c>
      <c r="S2882" s="2">
        <f>NETWORKDAYS(B2882,C2882)-1</f>
        <v>3</v>
      </c>
      <c r="T2882" s="1">
        <f>WORKDAY(B2882,5)</f>
        <v>45842</v>
      </c>
      <c r="U2882" t="b">
        <f>C2882&gt;T2882</f>
        <v>0</v>
      </c>
    </row>
    <row r="2883" spans="1:21" x14ac:dyDescent="0.25">
      <c r="A2883" t="s">
        <v>1831</v>
      </c>
      <c r="B2883" s="1">
        <v>45835</v>
      </c>
      <c r="C2883" s="1">
        <v>45842</v>
      </c>
      <c r="D2883" t="s">
        <v>241</v>
      </c>
      <c r="E2883" t="s">
        <v>242</v>
      </c>
      <c r="F2883" t="s">
        <v>94</v>
      </c>
      <c r="G2883" t="s">
        <v>182</v>
      </c>
      <c r="H2883" t="s">
        <v>79</v>
      </c>
      <c r="I2883" s="2">
        <v>15</v>
      </c>
      <c r="J2883" s="3">
        <v>14.9</v>
      </c>
      <c r="K2883" s="4">
        <v>0.05</v>
      </c>
      <c r="L2883" s="3">
        <v>212.33</v>
      </c>
      <c r="M2883" t="b">
        <v>1</v>
      </c>
      <c r="N2883" s="2">
        <f>YEAR(B2883)</f>
        <v>2025</v>
      </c>
      <c r="O2883" t="str">
        <f>INDEX(Agences!$C:$C,MATCH(F2883,Agences!$A:$A,0))</f>
        <v>Méditerranée</v>
      </c>
      <c r="P2883" t="str">
        <f>INDEX(Produits!$C:$C,MATCH(H2883,Produits!$A:$A,0))</f>
        <v>Fournitures</v>
      </c>
      <c r="Q2883" s="3">
        <f>I2883*INDEX(Produits!$E:$E,MATCH(H2883,Produits!$A:$A,0))</f>
        <v>120.75000000000001</v>
      </c>
      <c r="R2883" s="3">
        <f>L2883-Q2883</f>
        <v>91.58</v>
      </c>
      <c r="S2883" s="2">
        <f>NETWORKDAYS(B2883,C2883)-1</f>
        <v>5</v>
      </c>
      <c r="T2883" s="1">
        <f>WORKDAY(B2883,5)</f>
        <v>45842</v>
      </c>
      <c r="U2883" t="b">
        <f>C2883&gt;T2883</f>
        <v>0</v>
      </c>
    </row>
    <row r="2884" spans="1:21" x14ac:dyDescent="0.25">
      <c r="A2884" t="s">
        <v>1831</v>
      </c>
      <c r="B2884" s="1">
        <v>45835</v>
      </c>
      <c r="C2884" s="1">
        <v>45842</v>
      </c>
      <c r="D2884" t="s">
        <v>241</v>
      </c>
      <c r="E2884" t="s">
        <v>242</v>
      </c>
      <c r="F2884" t="s">
        <v>94</v>
      </c>
      <c r="G2884" t="s">
        <v>182</v>
      </c>
      <c r="H2884" t="s">
        <v>83</v>
      </c>
      <c r="I2884" s="2">
        <v>1</v>
      </c>
      <c r="J2884" s="3">
        <v>49</v>
      </c>
      <c r="K2884" s="4">
        <v>0</v>
      </c>
      <c r="L2884" s="3">
        <v>49</v>
      </c>
      <c r="M2884" t="b">
        <v>1</v>
      </c>
      <c r="N2884" s="2">
        <f>YEAR(B2884)</f>
        <v>2025</v>
      </c>
      <c r="O2884" t="str">
        <f>INDEX(Agences!$C:$C,MATCH(F2884,Agences!$A:$A,0))</f>
        <v>Méditerranée</v>
      </c>
      <c r="P2884" t="str">
        <f>INDEX(Produits!$C:$C,MATCH(H2884,Produits!$A:$A,0))</f>
        <v>Mobilier</v>
      </c>
      <c r="Q2884" s="3">
        <f>I2884*INDEX(Produits!$E:$E,MATCH(H2884,Produits!$A:$A,0))</f>
        <v>28.42</v>
      </c>
      <c r="R2884" s="3">
        <f>L2884-Q2884</f>
        <v>20.58</v>
      </c>
      <c r="S2884" s="2">
        <f>NETWORKDAYS(B2884,C2884)-1</f>
        <v>5</v>
      </c>
      <c r="T2884" s="1">
        <f>WORKDAY(B2884,5)</f>
        <v>45842</v>
      </c>
      <c r="U2884" t="b">
        <f>C2884&gt;T2884</f>
        <v>0</v>
      </c>
    </row>
    <row r="2885" spans="1:21" x14ac:dyDescent="0.25">
      <c r="A2885" t="s">
        <v>1831</v>
      </c>
      <c r="B2885" s="1">
        <v>45835</v>
      </c>
      <c r="C2885" s="1">
        <v>45842</v>
      </c>
      <c r="D2885" t="s">
        <v>241</v>
      </c>
      <c r="E2885" t="s">
        <v>242</v>
      </c>
      <c r="F2885" t="s">
        <v>94</v>
      </c>
      <c r="G2885" t="s">
        <v>182</v>
      </c>
      <c r="H2885" t="s">
        <v>233</v>
      </c>
      <c r="I2885" s="2">
        <v>5</v>
      </c>
      <c r="J2885" s="3">
        <v>27.5</v>
      </c>
      <c r="K2885" s="4">
        <v>0</v>
      </c>
      <c r="L2885" s="3">
        <v>137.5</v>
      </c>
      <c r="M2885" t="b">
        <v>1</v>
      </c>
      <c r="N2885" s="2">
        <f>YEAR(B2885)</f>
        <v>2025</v>
      </c>
      <c r="O2885" t="str">
        <f>INDEX(Agences!$C:$C,MATCH(F2885,Agences!$A:$A,0))</f>
        <v>Méditerranée</v>
      </c>
      <c r="P2885" t="str">
        <f>INDEX(Produits!$C:$C,MATCH(H2885,Produits!$A:$A,0))</f>
        <v>Fournitures</v>
      </c>
      <c r="Q2885" s="3">
        <f>I2885*INDEX(Produits!$E:$E,MATCH(H2885,Produits!$A:$A,0))</f>
        <v>77</v>
      </c>
      <c r="R2885" s="3">
        <f>L2885-Q2885</f>
        <v>60.5</v>
      </c>
      <c r="S2885" s="2">
        <f>NETWORKDAYS(B2885,C2885)-1</f>
        <v>5</v>
      </c>
      <c r="T2885" s="1">
        <f>WORKDAY(B2885,5)</f>
        <v>45842</v>
      </c>
      <c r="U2885" t="b">
        <f>C2885&gt;T2885</f>
        <v>0</v>
      </c>
    </row>
    <row r="2886" spans="1:21" x14ac:dyDescent="0.25">
      <c r="A2886" t="s">
        <v>1831</v>
      </c>
      <c r="B2886" s="1">
        <v>45835</v>
      </c>
      <c r="C2886" s="1">
        <v>45842</v>
      </c>
      <c r="D2886" t="s">
        <v>241</v>
      </c>
      <c r="E2886" t="s">
        <v>242</v>
      </c>
      <c r="F2886" t="s">
        <v>94</v>
      </c>
      <c r="G2886" t="s">
        <v>182</v>
      </c>
      <c r="H2886" t="s">
        <v>319</v>
      </c>
      <c r="I2886" s="2">
        <v>3</v>
      </c>
      <c r="J2886" s="3">
        <v>289</v>
      </c>
      <c r="K2886" s="4">
        <v>0.05</v>
      </c>
      <c r="L2886" s="3">
        <v>823.65</v>
      </c>
      <c r="M2886" t="b">
        <v>1</v>
      </c>
      <c r="N2886" s="2">
        <f>YEAR(B2886)</f>
        <v>2025</v>
      </c>
      <c r="O2886" t="str">
        <f>INDEX(Agences!$C:$C,MATCH(F2886,Agences!$A:$A,0))</f>
        <v>Méditerranée</v>
      </c>
      <c r="P2886" t="str">
        <f>INDEX(Produits!$C:$C,MATCH(H2886,Produits!$A:$A,0))</f>
        <v>Informatique</v>
      </c>
      <c r="Q2886" s="3">
        <f>I2886*INDEX(Produits!$E:$E,MATCH(H2886,Produits!$A:$A,0))</f>
        <v>641.58</v>
      </c>
      <c r="R2886" s="3">
        <f>L2886-Q2886</f>
        <v>182.06999999999994</v>
      </c>
      <c r="S2886" s="2">
        <f>NETWORKDAYS(B2886,C2886)-1</f>
        <v>5</v>
      </c>
      <c r="T2886" s="1">
        <f>WORKDAY(B2886,5)</f>
        <v>45842</v>
      </c>
      <c r="U2886" t="b">
        <f>C2886&gt;T2886</f>
        <v>0</v>
      </c>
    </row>
    <row r="2887" spans="1:21" x14ac:dyDescent="0.25">
      <c r="A2887" t="s">
        <v>1831</v>
      </c>
      <c r="B2887" s="1">
        <v>45835</v>
      </c>
      <c r="C2887" s="1">
        <v>45842</v>
      </c>
      <c r="D2887" t="s">
        <v>241</v>
      </c>
      <c r="E2887" t="s">
        <v>242</v>
      </c>
      <c r="F2887" t="s">
        <v>94</v>
      </c>
      <c r="G2887" t="s">
        <v>182</v>
      </c>
      <c r="H2887" t="s">
        <v>49</v>
      </c>
      <c r="I2887" s="2">
        <v>1</v>
      </c>
      <c r="J2887" s="3">
        <v>120</v>
      </c>
      <c r="K2887" s="4">
        <v>0.02</v>
      </c>
      <c r="L2887" s="3">
        <v>117.6</v>
      </c>
      <c r="M2887" t="b">
        <v>1</v>
      </c>
      <c r="N2887" s="2">
        <f>YEAR(B2887)</f>
        <v>2025</v>
      </c>
      <c r="O2887" t="str">
        <f>INDEX(Agences!$C:$C,MATCH(F2887,Agences!$A:$A,0))</f>
        <v>Méditerranée</v>
      </c>
      <c r="P2887" t="str">
        <f>INDEX(Produits!$C:$C,MATCH(H2887,Produits!$A:$A,0))</f>
        <v>Maintenance</v>
      </c>
      <c r="Q2887" s="3">
        <f>I2887*INDEX(Produits!$E:$E,MATCH(H2887,Produits!$A:$A,0))</f>
        <v>55.2</v>
      </c>
      <c r="R2887" s="3">
        <f>L2887-Q2887</f>
        <v>62.39999999999999</v>
      </c>
      <c r="S2887" s="2">
        <f>NETWORKDAYS(B2887,C2887)-1</f>
        <v>5</v>
      </c>
      <c r="T2887" s="1">
        <f>WORKDAY(B2887,5)</f>
        <v>45842</v>
      </c>
      <c r="U2887" t="b">
        <f>C2887&gt;T2887</f>
        <v>0</v>
      </c>
    </row>
    <row r="2888" spans="1:21" x14ac:dyDescent="0.25">
      <c r="A2888" t="s">
        <v>1832</v>
      </c>
      <c r="B2888" s="1">
        <v>45834</v>
      </c>
      <c r="C2888" s="1">
        <v>45839</v>
      </c>
      <c r="D2888" t="s">
        <v>752</v>
      </c>
      <c r="E2888" t="s">
        <v>137</v>
      </c>
      <c r="F2888" t="s">
        <v>138</v>
      </c>
      <c r="G2888" t="s">
        <v>214</v>
      </c>
      <c r="H2888" t="s">
        <v>49</v>
      </c>
      <c r="I2888" s="2">
        <v>1</v>
      </c>
      <c r="J2888" s="3">
        <v>120</v>
      </c>
      <c r="K2888" s="4">
        <v>0</v>
      </c>
      <c r="L2888" s="3">
        <v>120</v>
      </c>
      <c r="M2888" t="b">
        <v>1</v>
      </c>
      <c r="N2888" s="2">
        <f>YEAR(B2888)</f>
        <v>2025</v>
      </c>
      <c r="O2888" t="str">
        <f>INDEX(Agences!$C:$C,MATCH(F2888,Agences!$A:$A,0))</f>
        <v>Île-de-France</v>
      </c>
      <c r="P2888" t="str">
        <f>INDEX(Produits!$C:$C,MATCH(H2888,Produits!$A:$A,0))</f>
        <v>Maintenance</v>
      </c>
      <c r="Q2888" s="3">
        <f>I2888*INDEX(Produits!$E:$E,MATCH(H2888,Produits!$A:$A,0))</f>
        <v>55.2</v>
      </c>
      <c r="R2888" s="3">
        <f>L2888-Q2888</f>
        <v>64.8</v>
      </c>
      <c r="S2888" s="2">
        <f>NETWORKDAYS(B2888,C2888)-1</f>
        <v>3</v>
      </c>
      <c r="T2888" s="1">
        <f>WORKDAY(B2888,5)</f>
        <v>45841</v>
      </c>
      <c r="U2888" t="b">
        <f>C2888&gt;T2888</f>
        <v>0</v>
      </c>
    </row>
    <row r="2889" spans="1:21" x14ac:dyDescent="0.25">
      <c r="A2889" t="s">
        <v>1833</v>
      </c>
      <c r="B2889" s="1">
        <v>45834</v>
      </c>
      <c r="C2889" s="1">
        <v>45839</v>
      </c>
      <c r="D2889" t="s">
        <v>1722</v>
      </c>
      <c r="E2889" t="s">
        <v>202</v>
      </c>
      <c r="F2889" t="s">
        <v>138</v>
      </c>
      <c r="G2889" t="s">
        <v>139</v>
      </c>
      <c r="H2889" t="s">
        <v>51</v>
      </c>
      <c r="I2889" s="2">
        <v>1</v>
      </c>
      <c r="J2889" s="3">
        <v>180</v>
      </c>
      <c r="K2889" s="4">
        <v>0.02</v>
      </c>
      <c r="L2889" s="3">
        <v>176.4</v>
      </c>
      <c r="M2889" t="b">
        <v>1</v>
      </c>
      <c r="N2889" s="2">
        <f>YEAR(B2889)</f>
        <v>2025</v>
      </c>
      <c r="O2889" t="str">
        <f>INDEX(Agences!$C:$C,MATCH(F2889,Agences!$A:$A,0))</f>
        <v>Île-de-France</v>
      </c>
      <c r="P2889" t="str">
        <f>INDEX(Produits!$C:$C,MATCH(H2889,Produits!$A:$A,0))</f>
        <v>Maintenance</v>
      </c>
      <c r="Q2889" s="3">
        <f>I2889*INDEX(Produits!$E:$E,MATCH(H2889,Produits!$A:$A,0))</f>
        <v>82.8</v>
      </c>
      <c r="R2889" s="3">
        <f>L2889-Q2889</f>
        <v>93.60000000000001</v>
      </c>
      <c r="S2889" s="2">
        <f>NETWORKDAYS(B2889,C2889)-1</f>
        <v>3</v>
      </c>
      <c r="T2889" s="1">
        <f>WORKDAY(B2889,5)</f>
        <v>45841</v>
      </c>
      <c r="U2889" t="b">
        <f>C2889&gt;T2889</f>
        <v>0</v>
      </c>
    </row>
    <row r="2890" spans="1:21" x14ac:dyDescent="0.25">
      <c r="A2890" t="s">
        <v>1833</v>
      </c>
      <c r="B2890" s="1">
        <v>45834</v>
      </c>
      <c r="C2890" s="1">
        <v>45839</v>
      </c>
      <c r="D2890" t="s">
        <v>1722</v>
      </c>
      <c r="E2890" t="s">
        <v>202</v>
      </c>
      <c r="F2890" t="s">
        <v>138</v>
      </c>
      <c r="G2890" t="s">
        <v>139</v>
      </c>
      <c r="H2890" t="s">
        <v>49</v>
      </c>
      <c r="I2890" s="2">
        <v>1</v>
      </c>
      <c r="J2890" s="3">
        <v>120</v>
      </c>
      <c r="K2890" s="4">
        <v>0.02</v>
      </c>
      <c r="L2890" s="3">
        <v>117.6</v>
      </c>
      <c r="M2890" t="b">
        <v>1</v>
      </c>
      <c r="N2890" s="2">
        <f>YEAR(B2890)</f>
        <v>2025</v>
      </c>
      <c r="O2890" t="str">
        <f>INDEX(Agences!$C:$C,MATCH(F2890,Agences!$A:$A,0))</f>
        <v>Île-de-France</v>
      </c>
      <c r="P2890" t="str">
        <f>INDEX(Produits!$C:$C,MATCH(H2890,Produits!$A:$A,0))</f>
        <v>Maintenance</v>
      </c>
      <c r="Q2890" s="3">
        <f>I2890*INDEX(Produits!$E:$E,MATCH(H2890,Produits!$A:$A,0))</f>
        <v>55.2</v>
      </c>
      <c r="R2890" s="3">
        <f>L2890-Q2890</f>
        <v>62.39999999999999</v>
      </c>
      <c r="S2890" s="2">
        <f>NETWORKDAYS(B2890,C2890)-1</f>
        <v>3</v>
      </c>
      <c r="T2890" s="1">
        <f>WORKDAY(B2890,5)</f>
        <v>45841</v>
      </c>
      <c r="U2890" t="b">
        <f>C2890&gt;T2890</f>
        <v>0</v>
      </c>
    </row>
    <row r="2891" spans="1:21" x14ac:dyDescent="0.25">
      <c r="A2891" t="s">
        <v>1833</v>
      </c>
      <c r="B2891" s="1">
        <v>45834</v>
      </c>
      <c r="C2891" s="1">
        <v>45839</v>
      </c>
      <c r="D2891" t="s">
        <v>1722</v>
      </c>
      <c r="E2891" t="s">
        <v>202</v>
      </c>
      <c r="F2891" t="s">
        <v>138</v>
      </c>
      <c r="G2891" t="s">
        <v>139</v>
      </c>
      <c r="H2891" t="s">
        <v>42</v>
      </c>
      <c r="I2891" s="2">
        <v>1</v>
      </c>
      <c r="J2891" s="3">
        <v>55</v>
      </c>
      <c r="K2891" s="4">
        <v>0</v>
      </c>
      <c r="L2891" s="3">
        <v>55</v>
      </c>
      <c r="M2891" t="b">
        <v>1</v>
      </c>
      <c r="N2891" s="2">
        <f>YEAR(B2891)</f>
        <v>2025</v>
      </c>
      <c r="O2891" t="str">
        <f>INDEX(Agences!$C:$C,MATCH(F2891,Agences!$A:$A,0))</f>
        <v>Île-de-France</v>
      </c>
      <c r="P2891" t="str">
        <f>INDEX(Produits!$C:$C,MATCH(H2891,Produits!$A:$A,0))</f>
        <v>Maintenance</v>
      </c>
      <c r="Q2891" s="3">
        <f>I2891*INDEX(Produits!$E:$E,MATCH(H2891,Produits!$A:$A,0))</f>
        <v>24.75</v>
      </c>
      <c r="R2891" s="3">
        <f>L2891-Q2891</f>
        <v>30.25</v>
      </c>
      <c r="S2891" s="2">
        <f>NETWORKDAYS(B2891,C2891)-1</f>
        <v>3</v>
      </c>
      <c r="T2891" s="1">
        <f>WORKDAY(B2891,5)</f>
        <v>45841</v>
      </c>
      <c r="U2891" t="b">
        <f>C2891&gt;T2891</f>
        <v>0</v>
      </c>
    </row>
    <row r="2892" spans="1:21" x14ac:dyDescent="0.25">
      <c r="A2892" t="s">
        <v>1833</v>
      </c>
      <c r="B2892" s="1">
        <v>45834</v>
      </c>
      <c r="C2892" s="1">
        <v>45839</v>
      </c>
      <c r="D2892" t="s">
        <v>1722</v>
      </c>
      <c r="E2892" t="s">
        <v>202</v>
      </c>
      <c r="F2892" t="s">
        <v>138</v>
      </c>
      <c r="G2892" t="s">
        <v>139</v>
      </c>
      <c r="H2892" t="s">
        <v>79</v>
      </c>
      <c r="I2892" s="2">
        <v>5</v>
      </c>
      <c r="J2892" s="3">
        <v>14.9</v>
      </c>
      <c r="K2892" s="4">
        <v>0.08</v>
      </c>
      <c r="L2892" s="3">
        <v>68.54</v>
      </c>
      <c r="M2892" t="b">
        <v>1</v>
      </c>
      <c r="N2892" s="2">
        <f>YEAR(B2892)</f>
        <v>2025</v>
      </c>
      <c r="O2892" t="str">
        <f>INDEX(Agences!$C:$C,MATCH(F2892,Agences!$A:$A,0))</f>
        <v>Île-de-France</v>
      </c>
      <c r="P2892" t="str">
        <f>INDEX(Produits!$C:$C,MATCH(H2892,Produits!$A:$A,0))</f>
        <v>Fournitures</v>
      </c>
      <c r="Q2892" s="3">
        <f>I2892*INDEX(Produits!$E:$E,MATCH(H2892,Produits!$A:$A,0))</f>
        <v>40.25</v>
      </c>
      <c r="R2892" s="3">
        <f>L2892-Q2892</f>
        <v>28.290000000000006</v>
      </c>
      <c r="S2892" s="2">
        <f>NETWORKDAYS(B2892,C2892)-1</f>
        <v>3</v>
      </c>
      <c r="T2892" s="1">
        <f>WORKDAY(B2892,5)</f>
        <v>45841</v>
      </c>
      <c r="U2892" t="b">
        <f>C2892&gt;T2892</f>
        <v>0</v>
      </c>
    </row>
    <row r="2893" spans="1:21" x14ac:dyDescent="0.25">
      <c r="A2893" t="s">
        <v>1833</v>
      </c>
      <c r="B2893" s="1">
        <v>45834</v>
      </c>
      <c r="C2893" s="1">
        <v>45839</v>
      </c>
      <c r="D2893" t="s">
        <v>1722</v>
      </c>
      <c r="E2893" t="s">
        <v>202</v>
      </c>
      <c r="F2893" t="s">
        <v>138</v>
      </c>
      <c r="G2893" t="s">
        <v>139</v>
      </c>
      <c r="H2893" t="s">
        <v>58</v>
      </c>
      <c r="I2893" s="2">
        <v>3</v>
      </c>
      <c r="J2893" s="3">
        <v>649</v>
      </c>
      <c r="K2893" s="4">
        <v>0</v>
      </c>
      <c r="L2893" s="3">
        <v>1947</v>
      </c>
      <c r="M2893" t="b">
        <v>1</v>
      </c>
      <c r="N2893" s="2">
        <f>YEAR(B2893)</f>
        <v>2025</v>
      </c>
      <c r="O2893" t="str">
        <f>INDEX(Agences!$C:$C,MATCH(F2893,Agences!$A:$A,0))</f>
        <v>Île-de-France</v>
      </c>
      <c r="P2893" t="str">
        <f>INDEX(Produits!$C:$C,MATCH(H2893,Produits!$A:$A,0))</f>
        <v>Mobilier</v>
      </c>
      <c r="Q2893" s="3">
        <f>I2893*INDEX(Produits!$E:$E,MATCH(H2893,Produits!$A:$A,0))</f>
        <v>1226.6100000000001</v>
      </c>
      <c r="R2893" s="3">
        <f>L2893-Q2893</f>
        <v>720.3899999999999</v>
      </c>
      <c r="S2893" s="2">
        <f>NETWORKDAYS(B2893,C2893)-1</f>
        <v>3</v>
      </c>
      <c r="T2893" s="1">
        <f>WORKDAY(B2893,5)</f>
        <v>45841</v>
      </c>
      <c r="U2893" t="b">
        <f>C2893&gt;T2893</f>
        <v>0</v>
      </c>
    </row>
    <row r="2894" spans="1:21" x14ac:dyDescent="0.25">
      <c r="A2894" t="s">
        <v>1834</v>
      </c>
      <c r="B2894" s="1">
        <v>45834</v>
      </c>
      <c r="C2894" s="1">
        <v>45839</v>
      </c>
      <c r="D2894" t="s">
        <v>1045</v>
      </c>
      <c r="E2894" t="s">
        <v>185</v>
      </c>
      <c r="F2894" t="s">
        <v>31</v>
      </c>
      <c r="G2894" t="s">
        <v>186</v>
      </c>
      <c r="H2894" t="s">
        <v>48</v>
      </c>
      <c r="I2894" s="2">
        <v>1</v>
      </c>
      <c r="J2894" s="3">
        <v>165</v>
      </c>
      <c r="K2894" s="4">
        <v>0.02</v>
      </c>
      <c r="L2894" s="3">
        <v>161.7</v>
      </c>
      <c r="M2894" t="b">
        <v>1</v>
      </c>
      <c r="N2894" s="2">
        <f>YEAR(B2894)</f>
        <v>2025</v>
      </c>
      <c r="O2894" t="str">
        <f>INDEX(Agences!$C:$C,MATCH(F2894,Agences!$A:$A,0))</f>
        <v>Ouest</v>
      </c>
      <c r="P2894" t="str">
        <f>INDEX(Produits!$C:$C,MATCH(H2894,Produits!$A:$A,0))</f>
        <v>Mobilier</v>
      </c>
      <c r="Q2894" s="3">
        <f>I2894*INDEX(Produits!$E:$E,MATCH(H2894,Produits!$A:$A,0))</f>
        <v>107.25</v>
      </c>
      <c r="R2894" s="3">
        <f>L2894-Q2894</f>
        <v>54.44999999999999</v>
      </c>
      <c r="S2894" s="2">
        <f>NETWORKDAYS(B2894,C2894)-1</f>
        <v>3</v>
      </c>
      <c r="T2894" s="1">
        <f>WORKDAY(B2894,5)</f>
        <v>45841</v>
      </c>
      <c r="U2894" t="b">
        <f>C2894&gt;T2894</f>
        <v>0</v>
      </c>
    </row>
    <row r="2895" spans="1:21" x14ac:dyDescent="0.25">
      <c r="A2895" t="s">
        <v>1834</v>
      </c>
      <c r="B2895" s="1">
        <v>45834</v>
      </c>
      <c r="C2895" s="1">
        <v>45839</v>
      </c>
      <c r="D2895" t="s">
        <v>1045</v>
      </c>
      <c r="E2895" t="s">
        <v>185</v>
      </c>
      <c r="F2895" t="s">
        <v>31</v>
      </c>
      <c r="G2895" t="s">
        <v>186</v>
      </c>
      <c r="H2895" t="s">
        <v>112</v>
      </c>
      <c r="I2895" s="2">
        <v>3</v>
      </c>
      <c r="J2895" s="3">
        <v>129</v>
      </c>
      <c r="K2895" s="4">
        <v>0</v>
      </c>
      <c r="L2895" s="3">
        <v>387</v>
      </c>
      <c r="M2895" t="b">
        <v>1</v>
      </c>
      <c r="N2895" s="2">
        <f>YEAR(B2895)</f>
        <v>2025</v>
      </c>
      <c r="O2895" t="str">
        <f>INDEX(Agences!$C:$C,MATCH(F2895,Agences!$A:$A,0))</f>
        <v>Ouest</v>
      </c>
      <c r="P2895" t="str">
        <f>INDEX(Produits!$C:$C,MATCH(H2895,Produits!$A:$A,0))</f>
        <v>Mobilier</v>
      </c>
      <c r="Q2895" s="3">
        <f>I2895*INDEX(Produits!$E:$E,MATCH(H2895,Produits!$A:$A,0))</f>
        <v>259.29</v>
      </c>
      <c r="R2895" s="3">
        <f>L2895-Q2895</f>
        <v>127.70999999999998</v>
      </c>
      <c r="S2895" s="2">
        <f>NETWORKDAYS(B2895,C2895)-1</f>
        <v>3</v>
      </c>
      <c r="T2895" s="1">
        <f>WORKDAY(B2895,5)</f>
        <v>45841</v>
      </c>
      <c r="U2895" t="b">
        <f>C2895&gt;T2895</f>
        <v>0</v>
      </c>
    </row>
    <row r="2896" spans="1:21" x14ac:dyDescent="0.25">
      <c r="A2896" t="s">
        <v>1835</v>
      </c>
      <c r="B2896" s="1">
        <v>45834</v>
      </c>
      <c r="C2896" s="1">
        <v>45840</v>
      </c>
      <c r="D2896" t="s">
        <v>1287</v>
      </c>
      <c r="E2896" t="s">
        <v>236</v>
      </c>
      <c r="F2896" t="s">
        <v>39</v>
      </c>
      <c r="G2896" t="s">
        <v>131</v>
      </c>
      <c r="H2896" t="s">
        <v>103</v>
      </c>
      <c r="I2896" s="2">
        <v>2</v>
      </c>
      <c r="J2896" s="3">
        <v>245</v>
      </c>
      <c r="K2896" s="4">
        <v>0</v>
      </c>
      <c r="L2896" s="3">
        <v>490</v>
      </c>
      <c r="M2896" t="b">
        <v>1</v>
      </c>
      <c r="N2896" s="2">
        <f>YEAR(B2896)</f>
        <v>2025</v>
      </c>
      <c r="O2896" t="str">
        <f>INDEX(Agences!$C:$C,MATCH(F2896,Agences!$A:$A,0))</f>
        <v>Sud-Ouest</v>
      </c>
      <c r="P2896" t="str">
        <f>INDEX(Produits!$C:$C,MATCH(H2896,Produits!$A:$A,0))</f>
        <v>Mobilier</v>
      </c>
      <c r="Q2896" s="3">
        <f>I2896*INDEX(Produits!$E:$E,MATCH(H2896,Produits!$A:$A,0))</f>
        <v>328.3</v>
      </c>
      <c r="R2896" s="3">
        <f>L2896-Q2896</f>
        <v>161.7</v>
      </c>
      <c r="S2896" s="2">
        <f>NETWORKDAYS(B2896,C2896)-1</f>
        <v>4</v>
      </c>
      <c r="T2896" s="1">
        <f>WORKDAY(B2896,5)</f>
        <v>45841</v>
      </c>
      <c r="U2896" t="b">
        <f>C2896&gt;T2896</f>
        <v>0</v>
      </c>
    </row>
    <row r="2897" spans="1:21" x14ac:dyDescent="0.25">
      <c r="A2897" t="s">
        <v>1836</v>
      </c>
      <c r="B2897" s="1">
        <v>45834</v>
      </c>
      <c r="C2897" s="1">
        <v>45838</v>
      </c>
      <c r="D2897" t="s">
        <v>1837</v>
      </c>
      <c r="E2897" t="s">
        <v>54</v>
      </c>
      <c r="F2897" t="s">
        <v>55</v>
      </c>
      <c r="G2897" t="s">
        <v>71</v>
      </c>
      <c r="H2897" t="s">
        <v>50</v>
      </c>
      <c r="I2897" s="2">
        <v>1</v>
      </c>
      <c r="J2897" s="3">
        <v>69</v>
      </c>
      <c r="K2897" s="4">
        <v>0.02</v>
      </c>
      <c r="L2897" s="3">
        <v>67.62</v>
      </c>
      <c r="M2897" t="b">
        <v>1</v>
      </c>
      <c r="N2897" s="2">
        <f>YEAR(B2897)</f>
        <v>2025</v>
      </c>
      <c r="O2897" t="str">
        <f>INDEX(Agences!$C:$C,MATCH(F2897,Agences!$A:$A,0))</f>
        <v>Est</v>
      </c>
      <c r="P2897" t="str">
        <f>INDEX(Produits!$C:$C,MATCH(H2897,Produits!$A:$A,0))</f>
        <v>Informatique</v>
      </c>
      <c r="Q2897" s="3">
        <f>I2897*INDEX(Produits!$E:$E,MATCH(H2897,Produits!$A:$A,0))</f>
        <v>54.51</v>
      </c>
      <c r="R2897" s="3">
        <f>L2897-Q2897</f>
        <v>13.110000000000007</v>
      </c>
      <c r="S2897" s="2">
        <f>NETWORKDAYS(B2897,C2897)-1</f>
        <v>2</v>
      </c>
      <c r="T2897" s="1">
        <f>WORKDAY(B2897,5)</f>
        <v>45841</v>
      </c>
      <c r="U2897" t="b">
        <f>C2897&gt;T2897</f>
        <v>0</v>
      </c>
    </row>
    <row r="2898" spans="1:21" x14ac:dyDescent="0.25">
      <c r="A2898" t="s">
        <v>1836</v>
      </c>
      <c r="B2898" s="1">
        <v>45834</v>
      </c>
      <c r="C2898" s="1">
        <v>45838</v>
      </c>
      <c r="D2898" t="s">
        <v>1837</v>
      </c>
      <c r="E2898" t="s">
        <v>54</v>
      </c>
      <c r="F2898" t="s">
        <v>55</v>
      </c>
      <c r="G2898" t="s">
        <v>71</v>
      </c>
      <c r="H2898" t="s">
        <v>57</v>
      </c>
      <c r="I2898" s="2">
        <v>4</v>
      </c>
      <c r="J2898" s="3">
        <v>149</v>
      </c>
      <c r="K2898" s="4">
        <v>0</v>
      </c>
      <c r="L2898" s="3">
        <v>596</v>
      </c>
      <c r="M2898" t="b">
        <v>1</v>
      </c>
      <c r="N2898" s="2">
        <f>YEAR(B2898)</f>
        <v>2025</v>
      </c>
      <c r="O2898" t="str">
        <f>INDEX(Agences!$C:$C,MATCH(F2898,Agences!$A:$A,0))</f>
        <v>Est</v>
      </c>
      <c r="P2898" t="str">
        <f>INDEX(Produits!$C:$C,MATCH(H2898,Produits!$A:$A,0))</f>
        <v>Informatique</v>
      </c>
      <c r="Q2898" s="3">
        <f>I2898*INDEX(Produits!$E:$E,MATCH(H2898,Produits!$A:$A,0))</f>
        <v>458.92</v>
      </c>
      <c r="R2898" s="3">
        <f>L2898-Q2898</f>
        <v>137.07999999999998</v>
      </c>
      <c r="S2898" s="2">
        <f>NETWORKDAYS(B2898,C2898)-1</f>
        <v>2</v>
      </c>
      <c r="T2898" s="1">
        <f>WORKDAY(B2898,5)</f>
        <v>45841</v>
      </c>
      <c r="U2898" t="b">
        <f>C2898&gt;T2898</f>
        <v>0</v>
      </c>
    </row>
    <row r="2899" spans="1:21" x14ac:dyDescent="0.25">
      <c r="A2899" t="s">
        <v>1836</v>
      </c>
      <c r="B2899" s="1">
        <v>45834</v>
      </c>
      <c r="C2899" s="1">
        <v>45838</v>
      </c>
      <c r="D2899" t="s">
        <v>1837</v>
      </c>
      <c r="E2899" t="s">
        <v>54</v>
      </c>
      <c r="F2899" t="s">
        <v>55</v>
      </c>
      <c r="G2899" t="s">
        <v>71</v>
      </c>
      <c r="H2899" t="s">
        <v>237</v>
      </c>
      <c r="I2899" s="2">
        <v>1</v>
      </c>
      <c r="J2899" s="3">
        <v>890</v>
      </c>
      <c r="K2899" s="4">
        <v>0</v>
      </c>
      <c r="L2899" s="3">
        <v>890</v>
      </c>
      <c r="M2899" t="b">
        <v>1</v>
      </c>
      <c r="N2899" s="2">
        <f>YEAR(B2899)</f>
        <v>2025</v>
      </c>
      <c r="O2899" t="str">
        <f>INDEX(Agences!$C:$C,MATCH(F2899,Agences!$A:$A,0))</f>
        <v>Est</v>
      </c>
      <c r="P2899" t="str">
        <f>INDEX(Produits!$C:$C,MATCH(H2899,Produits!$A:$A,0))</f>
        <v>Mobilier</v>
      </c>
      <c r="Q2899" s="3">
        <f>I2899*INDEX(Produits!$E:$E,MATCH(H2899,Produits!$A:$A,0))</f>
        <v>596.3</v>
      </c>
      <c r="R2899" s="3">
        <f>L2899-Q2899</f>
        <v>293.70000000000005</v>
      </c>
      <c r="S2899" s="2">
        <f>NETWORKDAYS(B2899,C2899)-1</f>
        <v>2</v>
      </c>
      <c r="T2899" s="1">
        <f>WORKDAY(B2899,5)</f>
        <v>45841</v>
      </c>
      <c r="U2899" t="b">
        <f>C2899&gt;T2899</f>
        <v>0</v>
      </c>
    </row>
    <row r="2900" spans="1:21" x14ac:dyDescent="0.25">
      <c r="A2900" t="s">
        <v>1838</v>
      </c>
      <c r="B2900" s="1">
        <v>45833</v>
      </c>
      <c r="C2900" s="1">
        <v>45834</v>
      </c>
      <c r="D2900" t="s">
        <v>260</v>
      </c>
      <c r="E2900" t="s">
        <v>157</v>
      </c>
      <c r="F2900" t="s">
        <v>46</v>
      </c>
      <c r="G2900" t="s">
        <v>47</v>
      </c>
      <c r="H2900" t="s">
        <v>237</v>
      </c>
      <c r="I2900" s="2">
        <v>1</v>
      </c>
      <c r="J2900" s="3">
        <v>890</v>
      </c>
      <c r="K2900" s="4">
        <v>0</v>
      </c>
      <c r="L2900" s="3">
        <v>890</v>
      </c>
      <c r="M2900" t="b">
        <v>1</v>
      </c>
      <c r="N2900" s="2">
        <f>YEAR(B2900)</f>
        <v>2025</v>
      </c>
      <c r="O2900" t="str">
        <f>INDEX(Agences!$C:$C,MATCH(F2900,Agences!$A:$A,0))</f>
        <v>Est</v>
      </c>
      <c r="P2900" t="str">
        <f>INDEX(Produits!$C:$C,MATCH(H2900,Produits!$A:$A,0))</f>
        <v>Mobilier</v>
      </c>
      <c r="Q2900" s="3">
        <f>I2900*INDEX(Produits!$E:$E,MATCH(H2900,Produits!$A:$A,0))</f>
        <v>596.3</v>
      </c>
      <c r="R2900" s="3">
        <f>L2900-Q2900</f>
        <v>293.70000000000005</v>
      </c>
      <c r="S2900" s="2">
        <f>NETWORKDAYS(B2900,C2900)-1</f>
        <v>1</v>
      </c>
      <c r="T2900" s="1">
        <f>WORKDAY(B2900,5)</f>
        <v>45840</v>
      </c>
      <c r="U2900" t="b">
        <f>C2900&gt;T2900</f>
        <v>0</v>
      </c>
    </row>
    <row r="2901" spans="1:21" x14ac:dyDescent="0.25">
      <c r="A2901" t="s">
        <v>1838</v>
      </c>
      <c r="B2901" s="1">
        <v>45833</v>
      </c>
      <c r="C2901" s="1">
        <v>45834</v>
      </c>
      <c r="D2901" t="s">
        <v>260</v>
      </c>
      <c r="E2901" t="s">
        <v>157</v>
      </c>
      <c r="F2901" t="s">
        <v>46</v>
      </c>
      <c r="G2901" t="s">
        <v>47</v>
      </c>
      <c r="H2901" t="s">
        <v>107</v>
      </c>
      <c r="I2901" s="2">
        <v>1</v>
      </c>
      <c r="J2901" s="3">
        <v>99</v>
      </c>
      <c r="K2901" s="4">
        <v>0.08</v>
      </c>
      <c r="L2901" s="3">
        <v>91.08</v>
      </c>
      <c r="M2901" t="b">
        <v>1</v>
      </c>
      <c r="N2901" s="2">
        <f>YEAR(B2901)</f>
        <v>2025</v>
      </c>
      <c r="O2901" t="str">
        <f>INDEX(Agences!$C:$C,MATCH(F2901,Agences!$A:$A,0))</f>
        <v>Est</v>
      </c>
      <c r="P2901" t="str">
        <f>INDEX(Produits!$C:$C,MATCH(H2901,Produits!$A:$A,0))</f>
        <v>Informatique</v>
      </c>
      <c r="Q2901" s="3">
        <f>I2901*INDEX(Produits!$E:$E,MATCH(H2901,Produits!$A:$A,0))</f>
        <v>75.24</v>
      </c>
      <c r="R2901" s="3">
        <f>L2901-Q2901</f>
        <v>15.840000000000003</v>
      </c>
      <c r="S2901" s="2">
        <f>NETWORKDAYS(B2901,C2901)-1</f>
        <v>1</v>
      </c>
      <c r="T2901" s="1">
        <f>WORKDAY(B2901,5)</f>
        <v>45840</v>
      </c>
      <c r="U2901" t="b">
        <f>C2901&gt;T2901</f>
        <v>0</v>
      </c>
    </row>
    <row r="2902" spans="1:21" x14ac:dyDescent="0.25">
      <c r="A2902" t="s">
        <v>1838</v>
      </c>
      <c r="B2902" s="1">
        <v>45833</v>
      </c>
      <c r="C2902" s="1">
        <v>45834</v>
      </c>
      <c r="D2902" t="s">
        <v>260</v>
      </c>
      <c r="E2902" t="s">
        <v>157</v>
      </c>
      <c r="F2902" t="s">
        <v>46</v>
      </c>
      <c r="G2902" t="s">
        <v>47</v>
      </c>
      <c r="H2902" t="s">
        <v>319</v>
      </c>
      <c r="I2902" s="2">
        <v>1</v>
      </c>
      <c r="J2902" s="3">
        <v>289</v>
      </c>
      <c r="K2902" s="4">
        <v>0</v>
      </c>
      <c r="L2902" s="3">
        <v>289</v>
      </c>
      <c r="M2902" t="b">
        <v>1</v>
      </c>
      <c r="N2902" s="2">
        <f>YEAR(B2902)</f>
        <v>2025</v>
      </c>
      <c r="O2902" t="str">
        <f>INDEX(Agences!$C:$C,MATCH(F2902,Agences!$A:$A,0))</f>
        <v>Est</v>
      </c>
      <c r="P2902" t="str">
        <f>INDEX(Produits!$C:$C,MATCH(H2902,Produits!$A:$A,0))</f>
        <v>Informatique</v>
      </c>
      <c r="Q2902" s="3">
        <f>I2902*INDEX(Produits!$E:$E,MATCH(H2902,Produits!$A:$A,0))</f>
        <v>213.86</v>
      </c>
      <c r="R2902" s="3">
        <f>L2902-Q2902</f>
        <v>75.13999999999999</v>
      </c>
      <c r="S2902" s="2">
        <f>NETWORKDAYS(B2902,C2902)-1</f>
        <v>1</v>
      </c>
      <c r="T2902" s="1">
        <f>WORKDAY(B2902,5)</f>
        <v>45840</v>
      </c>
      <c r="U2902" t="b">
        <f>C2902&gt;T2902</f>
        <v>0</v>
      </c>
    </row>
    <row r="2903" spans="1:21" x14ac:dyDescent="0.25">
      <c r="A2903" t="s">
        <v>1839</v>
      </c>
      <c r="B2903" s="1">
        <v>45833</v>
      </c>
      <c r="C2903" s="1">
        <v>45839</v>
      </c>
      <c r="D2903" t="s">
        <v>1467</v>
      </c>
      <c r="E2903" t="s">
        <v>194</v>
      </c>
      <c r="F2903" t="s">
        <v>55</v>
      </c>
      <c r="G2903" t="s">
        <v>56</v>
      </c>
      <c r="H2903" t="s">
        <v>107</v>
      </c>
      <c r="I2903" s="2">
        <v>1</v>
      </c>
      <c r="J2903" s="3">
        <v>99</v>
      </c>
      <c r="K2903" s="4">
        <v>0</v>
      </c>
      <c r="L2903" s="3">
        <v>99</v>
      </c>
      <c r="M2903" t="b">
        <v>1</v>
      </c>
      <c r="N2903" s="2">
        <f>YEAR(B2903)</f>
        <v>2025</v>
      </c>
      <c r="O2903" t="str">
        <f>INDEX(Agences!$C:$C,MATCH(F2903,Agences!$A:$A,0))</f>
        <v>Est</v>
      </c>
      <c r="P2903" t="str">
        <f>INDEX(Produits!$C:$C,MATCH(H2903,Produits!$A:$A,0))</f>
        <v>Informatique</v>
      </c>
      <c r="Q2903" s="3">
        <f>I2903*INDEX(Produits!$E:$E,MATCH(H2903,Produits!$A:$A,0))</f>
        <v>75.24</v>
      </c>
      <c r="R2903" s="3">
        <f>L2903-Q2903</f>
        <v>23.760000000000005</v>
      </c>
      <c r="S2903" s="2">
        <f>NETWORKDAYS(B2903,C2903)-1</f>
        <v>4</v>
      </c>
      <c r="T2903" s="1">
        <f>WORKDAY(B2903,5)</f>
        <v>45840</v>
      </c>
      <c r="U2903" t="b">
        <f>C2903&gt;T2903</f>
        <v>0</v>
      </c>
    </row>
    <row r="2904" spans="1:21" x14ac:dyDescent="0.25">
      <c r="A2904" t="s">
        <v>1840</v>
      </c>
      <c r="B2904" s="1">
        <v>45832</v>
      </c>
      <c r="C2904" s="1">
        <v>45838</v>
      </c>
      <c r="D2904" t="s">
        <v>1648</v>
      </c>
      <c r="E2904" t="s">
        <v>119</v>
      </c>
      <c r="F2904" t="s">
        <v>24</v>
      </c>
      <c r="G2904" t="s">
        <v>25</v>
      </c>
      <c r="H2904" t="s">
        <v>90</v>
      </c>
      <c r="I2904" s="2">
        <v>5</v>
      </c>
      <c r="J2904" s="3">
        <v>22.9</v>
      </c>
      <c r="K2904" s="4">
        <v>0.05</v>
      </c>
      <c r="L2904" s="3">
        <v>108.78</v>
      </c>
      <c r="M2904" t="b">
        <v>1</v>
      </c>
      <c r="N2904" s="2">
        <f>YEAR(B2904)</f>
        <v>2025</v>
      </c>
      <c r="O2904" t="str">
        <f>INDEX(Agences!$C:$C,MATCH(F2904,Agences!$A:$A,0))</f>
        <v>Nord</v>
      </c>
      <c r="P2904" t="str">
        <f>INDEX(Produits!$C:$C,MATCH(H2904,Produits!$A:$A,0))</f>
        <v>Fournitures</v>
      </c>
      <c r="Q2904" s="3">
        <f>I2904*INDEX(Produits!$E:$E,MATCH(H2904,Produits!$A:$A,0))</f>
        <v>64.1</v>
      </c>
      <c r="R2904" s="3">
        <f>L2904-Q2904</f>
        <v>44.68000000000001</v>
      </c>
      <c r="S2904" s="2">
        <f>NETWORKDAYS(B2904,C2904)-1</f>
        <v>4</v>
      </c>
      <c r="T2904" s="1">
        <f>WORKDAY(B2904,5)</f>
        <v>45839</v>
      </c>
      <c r="U2904" t="b">
        <f>C2904&gt;T2904</f>
        <v>0</v>
      </c>
    </row>
    <row r="2905" spans="1:21" x14ac:dyDescent="0.25">
      <c r="A2905" t="s">
        <v>1840</v>
      </c>
      <c r="B2905" s="1">
        <v>45832</v>
      </c>
      <c r="C2905" s="1">
        <v>45838</v>
      </c>
      <c r="D2905" t="s">
        <v>1648</v>
      </c>
      <c r="E2905" t="s">
        <v>119</v>
      </c>
      <c r="F2905" t="s">
        <v>24</v>
      </c>
      <c r="G2905" t="s">
        <v>25</v>
      </c>
      <c r="H2905" t="s">
        <v>196</v>
      </c>
      <c r="I2905" s="2">
        <v>5</v>
      </c>
      <c r="J2905" s="3">
        <v>18.5</v>
      </c>
      <c r="K2905" s="4">
        <v>0</v>
      </c>
      <c r="L2905" s="3">
        <v>92.5</v>
      </c>
      <c r="M2905" t="b">
        <v>1</v>
      </c>
      <c r="N2905" s="2">
        <f>YEAR(B2905)</f>
        <v>2025</v>
      </c>
      <c r="O2905" t="str">
        <f>INDEX(Agences!$C:$C,MATCH(F2905,Agences!$A:$A,0))</f>
        <v>Nord</v>
      </c>
      <c r="P2905" t="str">
        <f>INDEX(Produits!$C:$C,MATCH(H2905,Produits!$A:$A,0))</f>
        <v>Fournitures</v>
      </c>
      <c r="Q2905" s="3">
        <f>I2905*INDEX(Produits!$E:$E,MATCH(H2905,Produits!$A:$A,0))</f>
        <v>47.199999999999996</v>
      </c>
      <c r="R2905" s="3">
        <f>L2905-Q2905</f>
        <v>45.300000000000004</v>
      </c>
      <c r="S2905" s="2">
        <f>NETWORKDAYS(B2905,C2905)-1</f>
        <v>4</v>
      </c>
      <c r="T2905" s="1">
        <f>WORKDAY(B2905,5)</f>
        <v>45839</v>
      </c>
      <c r="U2905" t="b">
        <f>C2905&gt;T2905</f>
        <v>0</v>
      </c>
    </row>
    <row r="2906" spans="1:21" x14ac:dyDescent="0.25">
      <c r="A2906" t="s">
        <v>1841</v>
      </c>
      <c r="B2906" s="1">
        <v>45832</v>
      </c>
      <c r="C2906" s="1">
        <v>45834</v>
      </c>
      <c r="D2906" t="s">
        <v>1842</v>
      </c>
      <c r="E2906" t="s">
        <v>209</v>
      </c>
      <c r="F2906" t="s">
        <v>99</v>
      </c>
      <c r="G2906" t="s">
        <v>210</v>
      </c>
      <c r="H2906" t="s">
        <v>83</v>
      </c>
      <c r="I2906" s="2">
        <v>7</v>
      </c>
      <c r="J2906" s="3">
        <v>49</v>
      </c>
      <c r="K2906" s="4">
        <v>0</v>
      </c>
      <c r="L2906" s="3">
        <v>343</v>
      </c>
      <c r="M2906" t="b">
        <v>1</v>
      </c>
      <c r="N2906" s="2">
        <f>YEAR(B2906)</f>
        <v>2025</v>
      </c>
      <c r="O2906" t="str">
        <f>INDEX(Agences!$C:$C,MATCH(F2906,Agences!$A:$A,0))</f>
        <v>Nord</v>
      </c>
      <c r="P2906" t="str">
        <f>INDEX(Produits!$C:$C,MATCH(H2906,Produits!$A:$A,0))</f>
        <v>Mobilier</v>
      </c>
      <c r="Q2906" s="3">
        <f>I2906*INDEX(Produits!$E:$E,MATCH(H2906,Produits!$A:$A,0))</f>
        <v>198.94</v>
      </c>
      <c r="R2906" s="3">
        <f>L2906-Q2906</f>
        <v>144.06</v>
      </c>
      <c r="S2906" s="2">
        <f>NETWORKDAYS(B2906,C2906)-1</f>
        <v>2</v>
      </c>
      <c r="T2906" s="1">
        <f>WORKDAY(B2906,5)</f>
        <v>45839</v>
      </c>
      <c r="U2906" t="b">
        <f>C2906&gt;T2906</f>
        <v>0</v>
      </c>
    </row>
    <row r="2907" spans="1:21" x14ac:dyDescent="0.25">
      <c r="A2907" t="s">
        <v>1841</v>
      </c>
      <c r="B2907" s="1">
        <v>45832</v>
      </c>
      <c r="C2907" s="1">
        <v>45834</v>
      </c>
      <c r="D2907" t="s">
        <v>1842</v>
      </c>
      <c r="E2907" t="s">
        <v>209</v>
      </c>
      <c r="F2907" t="s">
        <v>99</v>
      </c>
      <c r="G2907" t="s">
        <v>210</v>
      </c>
      <c r="H2907" t="s">
        <v>108</v>
      </c>
      <c r="I2907" s="2">
        <v>10</v>
      </c>
      <c r="J2907" s="3">
        <v>24.5</v>
      </c>
      <c r="K2907" s="4">
        <v>0.05</v>
      </c>
      <c r="L2907" s="3">
        <v>232.75</v>
      </c>
      <c r="M2907" t="b">
        <v>1</v>
      </c>
      <c r="N2907" s="2">
        <f>YEAR(B2907)</f>
        <v>2025</v>
      </c>
      <c r="O2907" t="str">
        <f>INDEX(Agences!$C:$C,MATCH(F2907,Agences!$A:$A,0))</f>
        <v>Nord</v>
      </c>
      <c r="P2907" t="str">
        <f>INDEX(Produits!$C:$C,MATCH(H2907,Produits!$A:$A,0))</f>
        <v>Fournitures</v>
      </c>
      <c r="Q2907" s="3">
        <f>I2907*INDEX(Produits!$E:$E,MATCH(H2907,Produits!$A:$A,0))</f>
        <v>147</v>
      </c>
      <c r="R2907" s="3">
        <f>L2907-Q2907</f>
        <v>85.75</v>
      </c>
      <c r="S2907" s="2">
        <f>NETWORKDAYS(B2907,C2907)-1</f>
        <v>2</v>
      </c>
      <c r="T2907" s="1">
        <f>WORKDAY(B2907,5)</f>
        <v>45839</v>
      </c>
      <c r="U2907" t="b">
        <f>C2907&gt;T2907</f>
        <v>0</v>
      </c>
    </row>
    <row r="2908" spans="1:21" x14ac:dyDescent="0.25">
      <c r="A2908" t="s">
        <v>1841</v>
      </c>
      <c r="B2908" s="1">
        <v>45832</v>
      </c>
      <c r="C2908" s="1">
        <v>45834</v>
      </c>
      <c r="D2908" t="s">
        <v>1842</v>
      </c>
      <c r="E2908" t="s">
        <v>209</v>
      </c>
      <c r="F2908" t="s">
        <v>99</v>
      </c>
      <c r="G2908" t="s">
        <v>210</v>
      </c>
      <c r="H2908" t="s">
        <v>42</v>
      </c>
      <c r="I2908" s="2">
        <v>1</v>
      </c>
      <c r="J2908" s="3">
        <v>55</v>
      </c>
      <c r="K2908" s="4">
        <v>0</v>
      </c>
      <c r="L2908" s="3">
        <v>55</v>
      </c>
      <c r="M2908" t="b">
        <v>1</v>
      </c>
      <c r="N2908" s="2">
        <f>YEAR(B2908)</f>
        <v>2025</v>
      </c>
      <c r="O2908" t="str">
        <f>INDEX(Agences!$C:$C,MATCH(F2908,Agences!$A:$A,0))</f>
        <v>Nord</v>
      </c>
      <c r="P2908" t="str">
        <f>INDEX(Produits!$C:$C,MATCH(H2908,Produits!$A:$A,0))</f>
        <v>Maintenance</v>
      </c>
      <c r="Q2908" s="3">
        <f>I2908*INDEX(Produits!$E:$E,MATCH(H2908,Produits!$A:$A,0))</f>
        <v>24.75</v>
      </c>
      <c r="R2908" s="3">
        <f>L2908-Q2908</f>
        <v>30.25</v>
      </c>
      <c r="S2908" s="2">
        <f>NETWORKDAYS(B2908,C2908)-1</f>
        <v>2</v>
      </c>
      <c r="T2908" s="1">
        <f>WORKDAY(B2908,5)</f>
        <v>45839</v>
      </c>
      <c r="U2908" t="b">
        <f>C2908&gt;T2908</f>
        <v>0</v>
      </c>
    </row>
    <row r="2909" spans="1:21" x14ac:dyDescent="0.25">
      <c r="A2909" t="s">
        <v>1843</v>
      </c>
      <c r="B2909" s="1">
        <v>45832</v>
      </c>
      <c r="C2909" s="1">
        <v>45838</v>
      </c>
      <c r="D2909" t="s">
        <v>1166</v>
      </c>
      <c r="E2909" t="s">
        <v>165</v>
      </c>
      <c r="F2909" t="s">
        <v>166</v>
      </c>
      <c r="G2909" t="s">
        <v>167</v>
      </c>
      <c r="H2909" t="s">
        <v>35</v>
      </c>
      <c r="I2909" s="2">
        <v>1</v>
      </c>
      <c r="J2909" s="3">
        <v>79</v>
      </c>
      <c r="K2909" s="4">
        <v>0.05</v>
      </c>
      <c r="L2909" s="3">
        <v>75.05</v>
      </c>
      <c r="M2909" t="b">
        <v>1</v>
      </c>
      <c r="N2909" s="2">
        <f>YEAR(B2909)</f>
        <v>2025</v>
      </c>
      <c r="O2909" t="str">
        <f>INDEX(Agences!$C:$C,MATCH(F2909,Agences!$A:$A,0))</f>
        <v>Ouest</v>
      </c>
      <c r="P2909" t="str">
        <f>INDEX(Produits!$C:$C,MATCH(H2909,Produits!$A:$A,0))</f>
        <v>Mobilier</v>
      </c>
      <c r="Q2909" s="3">
        <f>I2909*INDEX(Produits!$E:$E,MATCH(H2909,Produits!$A:$A,0))</f>
        <v>46.61</v>
      </c>
      <c r="R2909" s="3">
        <f>L2909-Q2909</f>
        <v>28.439999999999998</v>
      </c>
      <c r="S2909" s="2">
        <f>NETWORKDAYS(B2909,C2909)-1</f>
        <v>4</v>
      </c>
      <c r="T2909" s="1">
        <f>WORKDAY(B2909,5)</f>
        <v>45839</v>
      </c>
      <c r="U2909" t="b">
        <f>C2909&gt;T2909</f>
        <v>0</v>
      </c>
    </row>
    <row r="2910" spans="1:21" x14ac:dyDescent="0.25">
      <c r="A2910" t="s">
        <v>1843</v>
      </c>
      <c r="B2910" s="1">
        <v>45832</v>
      </c>
      <c r="C2910" s="1">
        <v>45838</v>
      </c>
      <c r="D2910" t="s">
        <v>1166</v>
      </c>
      <c r="E2910" t="s">
        <v>165</v>
      </c>
      <c r="F2910" t="s">
        <v>166</v>
      </c>
      <c r="G2910" t="s">
        <v>167</v>
      </c>
      <c r="H2910" t="s">
        <v>83</v>
      </c>
      <c r="I2910" s="2">
        <v>4</v>
      </c>
      <c r="J2910" s="3">
        <v>49</v>
      </c>
      <c r="K2910" s="4">
        <v>0.02</v>
      </c>
      <c r="L2910" s="3">
        <v>192.08</v>
      </c>
      <c r="M2910" t="b">
        <v>1</v>
      </c>
      <c r="N2910" s="2">
        <f>YEAR(B2910)</f>
        <v>2025</v>
      </c>
      <c r="O2910" t="str">
        <f>INDEX(Agences!$C:$C,MATCH(F2910,Agences!$A:$A,0))</f>
        <v>Ouest</v>
      </c>
      <c r="P2910" t="str">
        <f>INDEX(Produits!$C:$C,MATCH(H2910,Produits!$A:$A,0))</f>
        <v>Mobilier</v>
      </c>
      <c r="Q2910" s="3">
        <f>I2910*INDEX(Produits!$E:$E,MATCH(H2910,Produits!$A:$A,0))</f>
        <v>113.68</v>
      </c>
      <c r="R2910" s="3">
        <f>L2910-Q2910</f>
        <v>78.4</v>
      </c>
      <c r="S2910" s="2">
        <f>NETWORKDAYS(B2910,C2910)-1</f>
        <v>4</v>
      </c>
      <c r="T2910" s="1">
        <f>WORKDAY(B2910,5)</f>
        <v>45839</v>
      </c>
      <c r="U2910" t="b">
        <f>C2910&gt;T2910</f>
        <v>0</v>
      </c>
    </row>
    <row r="2911" spans="1:21" x14ac:dyDescent="0.25">
      <c r="A2911" t="s">
        <v>1843</v>
      </c>
      <c r="B2911" s="1">
        <v>45832</v>
      </c>
      <c r="C2911" s="1">
        <v>45838</v>
      </c>
      <c r="D2911" t="s">
        <v>1166</v>
      </c>
      <c r="E2911" t="s">
        <v>165</v>
      </c>
      <c r="F2911" t="s">
        <v>166</v>
      </c>
      <c r="G2911" t="s">
        <v>167</v>
      </c>
      <c r="H2911" t="s">
        <v>42</v>
      </c>
      <c r="I2911" s="2">
        <v>1</v>
      </c>
      <c r="J2911" s="3">
        <v>55</v>
      </c>
      <c r="K2911" s="4">
        <v>0</v>
      </c>
      <c r="L2911" s="3">
        <v>55</v>
      </c>
      <c r="M2911" t="b">
        <v>1</v>
      </c>
      <c r="N2911" s="2">
        <f>YEAR(B2911)</f>
        <v>2025</v>
      </c>
      <c r="O2911" t="str">
        <f>INDEX(Agences!$C:$C,MATCH(F2911,Agences!$A:$A,0))</f>
        <v>Ouest</v>
      </c>
      <c r="P2911" t="str">
        <f>INDEX(Produits!$C:$C,MATCH(H2911,Produits!$A:$A,0))</f>
        <v>Maintenance</v>
      </c>
      <c r="Q2911" s="3">
        <f>I2911*INDEX(Produits!$E:$E,MATCH(H2911,Produits!$A:$A,0))</f>
        <v>24.75</v>
      </c>
      <c r="R2911" s="3">
        <f>L2911-Q2911</f>
        <v>30.25</v>
      </c>
      <c r="S2911" s="2">
        <f>NETWORKDAYS(B2911,C2911)-1</f>
        <v>4</v>
      </c>
      <c r="T2911" s="1">
        <f>WORKDAY(B2911,5)</f>
        <v>45839</v>
      </c>
      <c r="U2911" t="b">
        <f>C2911&gt;T2911</f>
        <v>0</v>
      </c>
    </row>
    <row r="2912" spans="1:21" x14ac:dyDescent="0.25">
      <c r="A2912" t="s">
        <v>1844</v>
      </c>
      <c r="B2912" s="1">
        <v>45832</v>
      </c>
      <c r="C2912" s="1">
        <v>45835</v>
      </c>
      <c r="D2912" t="s">
        <v>1845</v>
      </c>
      <c r="E2912" t="s">
        <v>185</v>
      </c>
      <c r="F2912" t="s">
        <v>31</v>
      </c>
      <c r="G2912" t="s">
        <v>32</v>
      </c>
      <c r="H2912" t="s">
        <v>34</v>
      </c>
      <c r="I2912" s="2">
        <v>2</v>
      </c>
      <c r="J2912" s="3">
        <v>340</v>
      </c>
      <c r="K2912" s="4">
        <v>0.05</v>
      </c>
      <c r="L2912" s="3">
        <v>646</v>
      </c>
      <c r="M2912" t="b">
        <v>1</v>
      </c>
      <c r="N2912" s="2">
        <f>YEAR(B2912)</f>
        <v>2025</v>
      </c>
      <c r="O2912" t="str">
        <f>INDEX(Agences!$C:$C,MATCH(F2912,Agences!$A:$A,0))</f>
        <v>Ouest</v>
      </c>
      <c r="P2912" t="str">
        <f>INDEX(Produits!$C:$C,MATCH(H2912,Produits!$A:$A,0))</f>
        <v>Informatique</v>
      </c>
      <c r="Q2912" s="3">
        <f>I2912*INDEX(Produits!$E:$E,MATCH(H2912,Produits!$A:$A,0))</f>
        <v>550.8</v>
      </c>
      <c r="R2912" s="3">
        <f>L2912-Q2912</f>
        <v>95.20000000000005</v>
      </c>
      <c r="S2912" s="2">
        <f>NETWORKDAYS(B2912,C2912)-1</f>
        <v>3</v>
      </c>
      <c r="T2912" s="1">
        <f>WORKDAY(B2912,5)</f>
        <v>45839</v>
      </c>
      <c r="U2912" t="b">
        <f>C2912&gt;T2912</f>
        <v>0</v>
      </c>
    </row>
    <row r="2913" spans="1:21" x14ac:dyDescent="0.25">
      <c r="A2913" t="s">
        <v>1846</v>
      </c>
      <c r="B2913" s="1">
        <v>45832</v>
      </c>
      <c r="C2913" s="1">
        <v>45834</v>
      </c>
      <c r="D2913" t="s">
        <v>418</v>
      </c>
      <c r="E2913" t="s">
        <v>419</v>
      </c>
      <c r="F2913" t="s">
        <v>62</v>
      </c>
      <c r="G2913" t="s">
        <v>68</v>
      </c>
      <c r="H2913" t="s">
        <v>51</v>
      </c>
      <c r="I2913" s="2">
        <v>3</v>
      </c>
      <c r="J2913" s="3">
        <v>180</v>
      </c>
      <c r="K2913" s="4">
        <v>0.08</v>
      </c>
      <c r="L2913" s="3">
        <v>496.8</v>
      </c>
      <c r="M2913" t="b">
        <v>1</v>
      </c>
      <c r="N2913" s="2">
        <f>YEAR(B2913)</f>
        <v>2025</v>
      </c>
      <c r="O2913" t="str">
        <f>INDEX(Agences!$C:$C,MATCH(F2913,Agences!$A:$A,0))</f>
        <v>Méditerranée</v>
      </c>
      <c r="P2913" t="str">
        <f>INDEX(Produits!$C:$C,MATCH(H2913,Produits!$A:$A,0))</f>
        <v>Maintenance</v>
      </c>
      <c r="Q2913" s="3">
        <f>I2913*INDEX(Produits!$E:$E,MATCH(H2913,Produits!$A:$A,0))</f>
        <v>248.39999999999998</v>
      </c>
      <c r="R2913" s="3">
        <f>L2913-Q2913</f>
        <v>248.40000000000003</v>
      </c>
      <c r="S2913" s="2">
        <f>NETWORKDAYS(B2913,C2913)-1</f>
        <v>2</v>
      </c>
      <c r="T2913" s="1">
        <f>WORKDAY(B2913,5)</f>
        <v>45839</v>
      </c>
      <c r="U2913" t="b">
        <f>C2913&gt;T2913</f>
        <v>0</v>
      </c>
    </row>
    <row r="2914" spans="1:21" x14ac:dyDescent="0.25">
      <c r="A2914" t="s">
        <v>1846</v>
      </c>
      <c r="B2914" s="1">
        <v>45832</v>
      </c>
      <c r="C2914" s="1">
        <v>45834</v>
      </c>
      <c r="D2914" t="s">
        <v>418</v>
      </c>
      <c r="E2914" t="s">
        <v>419</v>
      </c>
      <c r="F2914" t="s">
        <v>62</v>
      </c>
      <c r="G2914" t="s">
        <v>68</v>
      </c>
      <c r="H2914" t="s">
        <v>90</v>
      </c>
      <c r="I2914" s="2">
        <v>20</v>
      </c>
      <c r="J2914" s="3">
        <v>22.9</v>
      </c>
      <c r="K2914" s="4">
        <v>0</v>
      </c>
      <c r="L2914" s="3">
        <v>458</v>
      </c>
      <c r="M2914" t="b">
        <v>1</v>
      </c>
      <c r="N2914" s="2">
        <f>YEAR(B2914)</f>
        <v>2025</v>
      </c>
      <c r="O2914" t="str">
        <f>INDEX(Agences!$C:$C,MATCH(F2914,Agences!$A:$A,0))</f>
        <v>Méditerranée</v>
      </c>
      <c r="P2914" t="str">
        <f>INDEX(Produits!$C:$C,MATCH(H2914,Produits!$A:$A,0))</f>
        <v>Fournitures</v>
      </c>
      <c r="Q2914" s="3">
        <f>I2914*INDEX(Produits!$E:$E,MATCH(H2914,Produits!$A:$A,0))</f>
        <v>256.4</v>
      </c>
      <c r="R2914" s="3">
        <f>L2914-Q2914</f>
        <v>201.60000000000002</v>
      </c>
      <c r="S2914" s="2">
        <f>NETWORKDAYS(B2914,C2914)-1</f>
        <v>2</v>
      </c>
      <c r="T2914" s="1">
        <f>WORKDAY(B2914,5)</f>
        <v>45839</v>
      </c>
      <c r="U2914" t="b">
        <f>C2914&gt;T2914</f>
        <v>0</v>
      </c>
    </row>
    <row r="2915" spans="1:21" x14ac:dyDescent="0.25">
      <c r="A2915" t="s">
        <v>1846</v>
      </c>
      <c r="B2915" s="1">
        <v>45832</v>
      </c>
      <c r="C2915" s="1">
        <v>45834</v>
      </c>
      <c r="D2915" t="s">
        <v>418</v>
      </c>
      <c r="E2915" t="s">
        <v>419</v>
      </c>
      <c r="F2915" t="s">
        <v>62</v>
      </c>
      <c r="G2915" t="s">
        <v>68</v>
      </c>
      <c r="H2915" t="s">
        <v>319</v>
      </c>
      <c r="I2915" s="2">
        <v>3</v>
      </c>
      <c r="J2915" s="3">
        <v>289</v>
      </c>
      <c r="K2915" s="4">
        <v>0.08</v>
      </c>
      <c r="L2915" s="3">
        <v>797.64</v>
      </c>
      <c r="M2915" t="b">
        <v>1</v>
      </c>
      <c r="N2915" s="2">
        <f>YEAR(B2915)</f>
        <v>2025</v>
      </c>
      <c r="O2915" t="str">
        <f>INDEX(Agences!$C:$C,MATCH(F2915,Agences!$A:$A,0))</f>
        <v>Méditerranée</v>
      </c>
      <c r="P2915" t="str">
        <f>INDEX(Produits!$C:$C,MATCH(H2915,Produits!$A:$A,0))</f>
        <v>Informatique</v>
      </c>
      <c r="Q2915" s="3">
        <f>I2915*INDEX(Produits!$E:$E,MATCH(H2915,Produits!$A:$A,0))</f>
        <v>641.58</v>
      </c>
      <c r="R2915" s="3">
        <f>L2915-Q2915</f>
        <v>156.05999999999995</v>
      </c>
      <c r="S2915" s="2">
        <f>NETWORKDAYS(B2915,C2915)-1</f>
        <v>2</v>
      </c>
      <c r="T2915" s="1">
        <f>WORKDAY(B2915,5)</f>
        <v>45839</v>
      </c>
      <c r="U2915" t="b">
        <f>C2915&gt;T2915</f>
        <v>0</v>
      </c>
    </row>
    <row r="2916" spans="1:21" x14ac:dyDescent="0.25">
      <c r="A2916" t="s">
        <v>1846</v>
      </c>
      <c r="B2916" s="1">
        <v>45832</v>
      </c>
      <c r="C2916" s="1">
        <v>45834</v>
      </c>
      <c r="D2916" t="s">
        <v>418</v>
      </c>
      <c r="E2916" t="s">
        <v>419</v>
      </c>
      <c r="F2916" t="s">
        <v>62</v>
      </c>
      <c r="G2916" t="s">
        <v>68</v>
      </c>
      <c r="H2916" t="s">
        <v>72</v>
      </c>
      <c r="I2916" s="2">
        <v>1</v>
      </c>
      <c r="J2916" s="3">
        <v>179</v>
      </c>
      <c r="K2916" s="4">
        <v>0.05</v>
      </c>
      <c r="L2916" s="3">
        <v>170.05</v>
      </c>
      <c r="M2916" t="b">
        <v>1</v>
      </c>
      <c r="N2916" s="2">
        <f>YEAR(B2916)</f>
        <v>2025</v>
      </c>
      <c r="O2916" t="str">
        <f>INDEX(Agences!$C:$C,MATCH(F2916,Agences!$A:$A,0))</f>
        <v>Méditerranée</v>
      </c>
      <c r="P2916" t="str">
        <f>INDEX(Produits!$C:$C,MATCH(H2916,Produits!$A:$A,0))</f>
        <v>Informatique</v>
      </c>
      <c r="Q2916" s="3">
        <f>I2916*INDEX(Produits!$E:$E,MATCH(H2916,Produits!$A:$A,0))</f>
        <v>146.78</v>
      </c>
      <c r="R2916" s="3">
        <f>L2916-Q2916</f>
        <v>23.27000000000001</v>
      </c>
      <c r="S2916" s="2">
        <f>NETWORKDAYS(B2916,C2916)-1</f>
        <v>2</v>
      </c>
      <c r="T2916" s="1">
        <f>WORKDAY(B2916,5)</f>
        <v>45839</v>
      </c>
      <c r="U2916" t="b">
        <f>C2916&gt;T2916</f>
        <v>0</v>
      </c>
    </row>
    <row r="2917" spans="1:21" x14ac:dyDescent="0.25">
      <c r="A2917" t="s">
        <v>1846</v>
      </c>
      <c r="B2917" s="1">
        <v>45832</v>
      </c>
      <c r="C2917" s="1">
        <v>45834</v>
      </c>
      <c r="D2917" t="s">
        <v>418</v>
      </c>
      <c r="E2917" t="s">
        <v>419</v>
      </c>
      <c r="F2917" t="s">
        <v>62</v>
      </c>
      <c r="G2917" t="s">
        <v>68</v>
      </c>
      <c r="H2917" t="s">
        <v>83</v>
      </c>
      <c r="I2917" s="2">
        <v>1</v>
      </c>
      <c r="J2917" s="3">
        <v>49</v>
      </c>
      <c r="K2917" s="4">
        <v>0.05</v>
      </c>
      <c r="L2917" s="3">
        <v>46.55</v>
      </c>
      <c r="M2917" t="b">
        <v>1</v>
      </c>
      <c r="N2917" s="2">
        <f>YEAR(B2917)</f>
        <v>2025</v>
      </c>
      <c r="O2917" t="str">
        <f>INDEX(Agences!$C:$C,MATCH(F2917,Agences!$A:$A,0))</f>
        <v>Méditerranée</v>
      </c>
      <c r="P2917" t="str">
        <f>INDEX(Produits!$C:$C,MATCH(H2917,Produits!$A:$A,0))</f>
        <v>Mobilier</v>
      </c>
      <c r="Q2917" s="3">
        <f>I2917*INDEX(Produits!$E:$E,MATCH(H2917,Produits!$A:$A,0))</f>
        <v>28.42</v>
      </c>
      <c r="R2917" s="3">
        <f>L2917-Q2917</f>
        <v>18.129999999999995</v>
      </c>
      <c r="S2917" s="2">
        <f>NETWORKDAYS(B2917,C2917)-1</f>
        <v>2</v>
      </c>
      <c r="T2917" s="1">
        <f>WORKDAY(B2917,5)</f>
        <v>45839</v>
      </c>
      <c r="U2917" t="b">
        <f>C2917&gt;T2917</f>
        <v>0</v>
      </c>
    </row>
    <row r="2918" spans="1:21" x14ac:dyDescent="0.25">
      <c r="A2918" t="s">
        <v>1847</v>
      </c>
      <c r="B2918" s="1">
        <v>45832</v>
      </c>
      <c r="C2918" s="1">
        <v>45838</v>
      </c>
      <c r="D2918" t="s">
        <v>458</v>
      </c>
      <c r="E2918" t="s">
        <v>419</v>
      </c>
      <c r="F2918" t="s">
        <v>62</v>
      </c>
      <c r="G2918" t="s">
        <v>63</v>
      </c>
      <c r="H2918" t="s">
        <v>34</v>
      </c>
      <c r="I2918" s="2">
        <v>3</v>
      </c>
      <c r="J2918" s="3">
        <v>340</v>
      </c>
      <c r="K2918" s="4">
        <v>0.05</v>
      </c>
      <c r="L2918" s="3">
        <v>969</v>
      </c>
      <c r="M2918" t="b">
        <v>1</v>
      </c>
      <c r="N2918" s="2">
        <f>YEAR(B2918)</f>
        <v>2025</v>
      </c>
      <c r="O2918" t="str">
        <f>INDEX(Agences!$C:$C,MATCH(F2918,Agences!$A:$A,0))</f>
        <v>Méditerranée</v>
      </c>
      <c r="P2918" t="str">
        <f>INDEX(Produits!$C:$C,MATCH(H2918,Produits!$A:$A,0))</f>
        <v>Informatique</v>
      </c>
      <c r="Q2918" s="3">
        <f>I2918*INDEX(Produits!$E:$E,MATCH(H2918,Produits!$A:$A,0))</f>
        <v>826.1999999999999</v>
      </c>
      <c r="R2918" s="3">
        <f>L2918-Q2918</f>
        <v>142.80000000000007</v>
      </c>
      <c r="S2918" s="2">
        <f>NETWORKDAYS(B2918,C2918)-1</f>
        <v>4</v>
      </c>
      <c r="T2918" s="1">
        <f>WORKDAY(B2918,5)</f>
        <v>45839</v>
      </c>
      <c r="U2918" t="b">
        <f>C2918&gt;T2918</f>
        <v>0</v>
      </c>
    </row>
    <row r="2919" spans="1:21" x14ac:dyDescent="0.25">
      <c r="A2919" t="s">
        <v>1847</v>
      </c>
      <c r="B2919" s="1">
        <v>45832</v>
      </c>
      <c r="C2919" s="1">
        <v>45838</v>
      </c>
      <c r="D2919" t="s">
        <v>458</v>
      </c>
      <c r="E2919" t="s">
        <v>419</v>
      </c>
      <c r="F2919" t="s">
        <v>62</v>
      </c>
      <c r="G2919" t="s">
        <v>63</v>
      </c>
      <c r="H2919" t="s">
        <v>50</v>
      </c>
      <c r="I2919" s="2">
        <v>2</v>
      </c>
      <c r="J2919" s="3">
        <v>69</v>
      </c>
      <c r="K2919" s="4">
        <v>0.08</v>
      </c>
      <c r="L2919" s="3">
        <v>126.96</v>
      </c>
      <c r="M2919" t="b">
        <v>1</v>
      </c>
      <c r="N2919" s="2">
        <f>YEAR(B2919)</f>
        <v>2025</v>
      </c>
      <c r="O2919" t="str">
        <f>INDEX(Agences!$C:$C,MATCH(F2919,Agences!$A:$A,0))</f>
        <v>Méditerranée</v>
      </c>
      <c r="P2919" t="str">
        <f>INDEX(Produits!$C:$C,MATCH(H2919,Produits!$A:$A,0))</f>
        <v>Informatique</v>
      </c>
      <c r="Q2919" s="3">
        <f>I2919*INDEX(Produits!$E:$E,MATCH(H2919,Produits!$A:$A,0))</f>
        <v>109.02</v>
      </c>
      <c r="R2919" s="3">
        <f>L2919-Q2919</f>
        <v>17.939999999999998</v>
      </c>
      <c r="S2919" s="2">
        <f>NETWORKDAYS(B2919,C2919)-1</f>
        <v>4</v>
      </c>
      <c r="T2919" s="1">
        <f>WORKDAY(B2919,5)</f>
        <v>45839</v>
      </c>
      <c r="U2919" t="b">
        <f>C2919&gt;T2919</f>
        <v>0</v>
      </c>
    </row>
    <row r="2920" spans="1:21" x14ac:dyDescent="0.25">
      <c r="A2920" t="s">
        <v>1848</v>
      </c>
      <c r="B2920" s="1">
        <v>45831</v>
      </c>
      <c r="C2920" s="1">
        <v>45832</v>
      </c>
      <c r="D2920" t="s">
        <v>1337</v>
      </c>
      <c r="E2920" t="s">
        <v>98</v>
      </c>
      <c r="F2920" t="s">
        <v>99</v>
      </c>
      <c r="G2920" t="s">
        <v>265</v>
      </c>
      <c r="H2920" t="s">
        <v>42</v>
      </c>
      <c r="I2920" s="2">
        <v>1</v>
      </c>
      <c r="J2920" s="3">
        <v>55</v>
      </c>
      <c r="K2920" s="4">
        <v>0</v>
      </c>
      <c r="L2920" s="3">
        <v>55</v>
      </c>
      <c r="M2920" t="b">
        <v>1</v>
      </c>
      <c r="N2920" s="2">
        <f>YEAR(B2920)</f>
        <v>2025</v>
      </c>
      <c r="O2920" t="str">
        <f>INDEX(Agences!$C:$C,MATCH(F2920,Agences!$A:$A,0))</f>
        <v>Nord</v>
      </c>
      <c r="P2920" t="str">
        <f>INDEX(Produits!$C:$C,MATCH(H2920,Produits!$A:$A,0))</f>
        <v>Maintenance</v>
      </c>
      <c r="Q2920" s="3">
        <f>I2920*INDEX(Produits!$E:$E,MATCH(H2920,Produits!$A:$A,0))</f>
        <v>24.75</v>
      </c>
      <c r="R2920" s="3">
        <f>L2920-Q2920</f>
        <v>30.25</v>
      </c>
      <c r="S2920" s="2">
        <f>NETWORKDAYS(B2920,C2920)-1</f>
        <v>1</v>
      </c>
      <c r="T2920" s="1">
        <f>WORKDAY(B2920,5)</f>
        <v>45838</v>
      </c>
      <c r="U2920" t="b">
        <f>C2920&gt;T2920</f>
        <v>0</v>
      </c>
    </row>
    <row r="2921" spans="1:21" x14ac:dyDescent="0.25">
      <c r="A2921" t="s">
        <v>1848</v>
      </c>
      <c r="B2921" s="1">
        <v>45831</v>
      </c>
      <c r="C2921" s="1">
        <v>45832</v>
      </c>
      <c r="D2921" t="s">
        <v>1337</v>
      </c>
      <c r="E2921" t="s">
        <v>98</v>
      </c>
      <c r="F2921" t="s">
        <v>99</v>
      </c>
      <c r="G2921" t="s">
        <v>265</v>
      </c>
      <c r="H2921" t="s">
        <v>49</v>
      </c>
      <c r="I2921" s="2">
        <v>2</v>
      </c>
      <c r="J2921" s="3">
        <v>120</v>
      </c>
      <c r="K2921" s="4">
        <v>0</v>
      </c>
      <c r="L2921" s="3">
        <v>240</v>
      </c>
      <c r="M2921" t="b">
        <v>1</v>
      </c>
      <c r="N2921" s="2">
        <f>YEAR(B2921)</f>
        <v>2025</v>
      </c>
      <c r="O2921" t="str">
        <f>INDEX(Agences!$C:$C,MATCH(F2921,Agences!$A:$A,0))</f>
        <v>Nord</v>
      </c>
      <c r="P2921" t="str">
        <f>INDEX(Produits!$C:$C,MATCH(H2921,Produits!$A:$A,0))</f>
        <v>Maintenance</v>
      </c>
      <c r="Q2921" s="3">
        <f>I2921*INDEX(Produits!$E:$E,MATCH(H2921,Produits!$A:$A,0))</f>
        <v>110.4</v>
      </c>
      <c r="R2921" s="3">
        <f>L2921-Q2921</f>
        <v>129.6</v>
      </c>
      <c r="S2921" s="2">
        <f>NETWORKDAYS(B2921,C2921)-1</f>
        <v>1</v>
      </c>
      <c r="T2921" s="1">
        <f>WORKDAY(B2921,5)</f>
        <v>45838</v>
      </c>
      <c r="U2921" t="b">
        <f>C2921&gt;T2921</f>
        <v>0</v>
      </c>
    </row>
    <row r="2922" spans="1:21" x14ac:dyDescent="0.25">
      <c r="A2922" t="s">
        <v>1848</v>
      </c>
      <c r="B2922" s="1">
        <v>45831</v>
      </c>
      <c r="C2922" s="1">
        <v>45832</v>
      </c>
      <c r="D2922" t="s">
        <v>1337</v>
      </c>
      <c r="E2922" t="s">
        <v>98</v>
      </c>
      <c r="F2922" t="s">
        <v>99</v>
      </c>
      <c r="G2922" t="s">
        <v>265</v>
      </c>
      <c r="H2922" t="s">
        <v>196</v>
      </c>
      <c r="I2922" s="2">
        <v>10</v>
      </c>
      <c r="J2922" s="3">
        <v>18.5</v>
      </c>
      <c r="K2922" s="4">
        <v>0</v>
      </c>
      <c r="L2922" s="3">
        <v>185</v>
      </c>
      <c r="M2922" t="b">
        <v>1</v>
      </c>
      <c r="N2922" s="2">
        <f>YEAR(B2922)</f>
        <v>2025</v>
      </c>
      <c r="O2922" t="str">
        <f>INDEX(Agences!$C:$C,MATCH(F2922,Agences!$A:$A,0))</f>
        <v>Nord</v>
      </c>
      <c r="P2922" t="str">
        <f>INDEX(Produits!$C:$C,MATCH(H2922,Produits!$A:$A,0))</f>
        <v>Fournitures</v>
      </c>
      <c r="Q2922" s="3">
        <f>I2922*INDEX(Produits!$E:$E,MATCH(H2922,Produits!$A:$A,0))</f>
        <v>94.39999999999999</v>
      </c>
      <c r="R2922" s="3">
        <f>L2922-Q2922</f>
        <v>90.60000000000001</v>
      </c>
      <c r="S2922" s="2">
        <f>NETWORKDAYS(B2922,C2922)-1</f>
        <v>1</v>
      </c>
      <c r="T2922" s="1">
        <f>WORKDAY(B2922,5)</f>
        <v>45838</v>
      </c>
      <c r="U2922" t="b">
        <f>C2922&gt;T2922</f>
        <v>0</v>
      </c>
    </row>
    <row r="2923" spans="1:21" x14ac:dyDescent="0.25">
      <c r="A2923" t="s">
        <v>1849</v>
      </c>
      <c r="B2923" s="1">
        <v>45831</v>
      </c>
      <c r="C2923" s="1">
        <v>45834</v>
      </c>
      <c r="D2923" t="s">
        <v>920</v>
      </c>
      <c r="E2923" t="s">
        <v>137</v>
      </c>
      <c r="F2923" t="s">
        <v>138</v>
      </c>
      <c r="G2923" t="s">
        <v>220</v>
      </c>
      <c r="H2923" t="s">
        <v>206</v>
      </c>
      <c r="I2923" s="2">
        <v>5</v>
      </c>
      <c r="J2923" s="3">
        <v>34</v>
      </c>
      <c r="K2923" s="4">
        <v>0.1</v>
      </c>
      <c r="L2923" s="3">
        <v>153</v>
      </c>
      <c r="M2923" t="b">
        <v>1</v>
      </c>
      <c r="N2923" s="2">
        <f>YEAR(B2923)</f>
        <v>2025</v>
      </c>
      <c r="O2923" t="str">
        <f>INDEX(Agences!$C:$C,MATCH(F2923,Agences!$A:$A,0))</f>
        <v>Île-de-France</v>
      </c>
      <c r="P2923" t="str">
        <f>INDEX(Produits!$C:$C,MATCH(H2923,Produits!$A:$A,0))</f>
        <v>Fournitures</v>
      </c>
      <c r="Q2923" s="3">
        <f>I2923*INDEX(Produits!$E:$E,MATCH(H2923,Produits!$A:$A,0))</f>
        <v>96.89999999999999</v>
      </c>
      <c r="R2923" s="3">
        <f>L2923-Q2923</f>
        <v>56.10000000000001</v>
      </c>
      <c r="S2923" s="2">
        <f>NETWORKDAYS(B2923,C2923)-1</f>
        <v>3</v>
      </c>
      <c r="T2923" s="1">
        <f>WORKDAY(B2923,5)</f>
        <v>45838</v>
      </c>
      <c r="U2923" t="b">
        <f>C2923&gt;T2923</f>
        <v>0</v>
      </c>
    </row>
    <row r="2924" spans="1:21" x14ac:dyDescent="0.25">
      <c r="A2924" t="s">
        <v>1849</v>
      </c>
      <c r="B2924" s="1">
        <v>45831</v>
      </c>
      <c r="C2924" s="1">
        <v>45834</v>
      </c>
      <c r="D2924" t="s">
        <v>920</v>
      </c>
      <c r="E2924" t="s">
        <v>137</v>
      </c>
      <c r="F2924" t="s">
        <v>138</v>
      </c>
      <c r="G2924" t="s">
        <v>220</v>
      </c>
      <c r="H2924" t="s">
        <v>83</v>
      </c>
      <c r="I2924" s="2">
        <v>1</v>
      </c>
      <c r="J2924" s="3">
        <v>49</v>
      </c>
      <c r="K2924" s="4">
        <v>0.05</v>
      </c>
      <c r="L2924" s="3">
        <v>46.55</v>
      </c>
      <c r="M2924" t="b">
        <v>1</v>
      </c>
      <c r="N2924" s="2">
        <f>YEAR(B2924)</f>
        <v>2025</v>
      </c>
      <c r="O2924" t="str">
        <f>INDEX(Agences!$C:$C,MATCH(F2924,Agences!$A:$A,0))</f>
        <v>Île-de-France</v>
      </c>
      <c r="P2924" t="str">
        <f>INDEX(Produits!$C:$C,MATCH(H2924,Produits!$A:$A,0))</f>
        <v>Mobilier</v>
      </c>
      <c r="Q2924" s="3">
        <f>I2924*INDEX(Produits!$E:$E,MATCH(H2924,Produits!$A:$A,0))</f>
        <v>28.42</v>
      </c>
      <c r="R2924" s="3">
        <f>L2924-Q2924</f>
        <v>18.129999999999995</v>
      </c>
      <c r="S2924" s="2">
        <f>NETWORKDAYS(B2924,C2924)-1</f>
        <v>3</v>
      </c>
      <c r="T2924" s="1">
        <f>WORKDAY(B2924,5)</f>
        <v>45838</v>
      </c>
      <c r="U2924" t="b">
        <f>C2924&gt;T2924</f>
        <v>0</v>
      </c>
    </row>
    <row r="2925" spans="1:21" x14ac:dyDescent="0.25">
      <c r="A2925" t="s">
        <v>1849</v>
      </c>
      <c r="B2925" s="1">
        <v>45831</v>
      </c>
      <c r="C2925" s="1">
        <v>45834</v>
      </c>
      <c r="D2925" t="s">
        <v>920</v>
      </c>
      <c r="E2925" t="s">
        <v>137</v>
      </c>
      <c r="F2925" t="s">
        <v>138</v>
      </c>
      <c r="G2925" t="s">
        <v>220</v>
      </c>
      <c r="H2925" t="s">
        <v>108</v>
      </c>
      <c r="I2925" s="2">
        <v>5</v>
      </c>
      <c r="J2925" s="3">
        <v>24.5</v>
      </c>
      <c r="K2925" s="4">
        <v>0</v>
      </c>
      <c r="L2925" s="3">
        <v>122.5</v>
      </c>
      <c r="M2925" t="b">
        <v>1</v>
      </c>
      <c r="N2925" s="2">
        <f>YEAR(B2925)</f>
        <v>2025</v>
      </c>
      <c r="O2925" t="str">
        <f>INDEX(Agences!$C:$C,MATCH(F2925,Agences!$A:$A,0))</f>
        <v>Île-de-France</v>
      </c>
      <c r="P2925" t="str">
        <f>INDEX(Produits!$C:$C,MATCH(H2925,Produits!$A:$A,0))</f>
        <v>Fournitures</v>
      </c>
      <c r="Q2925" s="3">
        <f>I2925*INDEX(Produits!$E:$E,MATCH(H2925,Produits!$A:$A,0))</f>
        <v>73.5</v>
      </c>
      <c r="R2925" s="3">
        <f>L2925-Q2925</f>
        <v>49</v>
      </c>
      <c r="S2925" s="2">
        <f>NETWORKDAYS(B2925,C2925)-1</f>
        <v>3</v>
      </c>
      <c r="T2925" s="1">
        <f>WORKDAY(B2925,5)</f>
        <v>45838</v>
      </c>
      <c r="U2925" t="b">
        <f>C2925&gt;T2925</f>
        <v>0</v>
      </c>
    </row>
    <row r="2926" spans="1:21" x14ac:dyDescent="0.25">
      <c r="A2926" t="s">
        <v>1850</v>
      </c>
      <c r="B2926" s="1">
        <v>45831</v>
      </c>
      <c r="C2926" s="1">
        <v>45833</v>
      </c>
      <c r="D2926" t="s">
        <v>224</v>
      </c>
      <c r="E2926" t="s">
        <v>225</v>
      </c>
      <c r="F2926" t="s">
        <v>88</v>
      </c>
      <c r="G2926" t="s">
        <v>89</v>
      </c>
      <c r="H2926" t="s">
        <v>48</v>
      </c>
      <c r="I2926" s="2">
        <v>2</v>
      </c>
      <c r="J2926" s="3">
        <v>165</v>
      </c>
      <c r="K2926" s="4">
        <v>0.08</v>
      </c>
      <c r="L2926" s="3">
        <v>303.6</v>
      </c>
      <c r="M2926" t="b">
        <v>1</v>
      </c>
      <c r="N2926" s="2">
        <f>YEAR(B2926)</f>
        <v>2025</v>
      </c>
      <c r="O2926" t="str">
        <f>INDEX(Agences!$C:$C,MATCH(F2926,Agences!$A:$A,0))</f>
        <v>Sud-Ouest</v>
      </c>
      <c r="P2926" t="str">
        <f>INDEX(Produits!$C:$C,MATCH(H2926,Produits!$A:$A,0))</f>
        <v>Mobilier</v>
      </c>
      <c r="Q2926" s="3">
        <f>I2926*INDEX(Produits!$E:$E,MATCH(H2926,Produits!$A:$A,0))</f>
        <v>214.5</v>
      </c>
      <c r="R2926" s="3">
        <f>L2926-Q2926</f>
        <v>89.10000000000002</v>
      </c>
      <c r="S2926" s="2">
        <f>NETWORKDAYS(B2926,C2926)-1</f>
        <v>2</v>
      </c>
      <c r="T2926" s="1">
        <f>WORKDAY(B2926,5)</f>
        <v>45838</v>
      </c>
      <c r="U2926" t="b">
        <f>C2926&gt;T2926</f>
        <v>0</v>
      </c>
    </row>
    <row r="2927" spans="1:21" x14ac:dyDescent="0.25">
      <c r="A2927" t="s">
        <v>1851</v>
      </c>
      <c r="B2927" s="1">
        <v>45831</v>
      </c>
      <c r="C2927" s="1">
        <v>45838</v>
      </c>
      <c r="D2927" t="s">
        <v>781</v>
      </c>
      <c r="E2927" t="s">
        <v>256</v>
      </c>
      <c r="F2927" t="s">
        <v>88</v>
      </c>
      <c r="G2927" t="s">
        <v>142</v>
      </c>
      <c r="H2927" t="s">
        <v>49</v>
      </c>
      <c r="I2927" s="2">
        <v>2</v>
      </c>
      <c r="J2927" s="3">
        <v>120</v>
      </c>
      <c r="K2927" s="4">
        <v>0</v>
      </c>
      <c r="L2927" s="3">
        <v>240</v>
      </c>
      <c r="M2927" t="b">
        <v>1</v>
      </c>
      <c r="N2927" s="2">
        <f>YEAR(B2927)</f>
        <v>2025</v>
      </c>
      <c r="O2927" t="str">
        <f>INDEX(Agences!$C:$C,MATCH(F2927,Agences!$A:$A,0))</f>
        <v>Sud-Ouest</v>
      </c>
      <c r="P2927" t="str">
        <f>INDEX(Produits!$C:$C,MATCH(H2927,Produits!$A:$A,0))</f>
        <v>Maintenance</v>
      </c>
      <c r="Q2927" s="3">
        <f>I2927*INDEX(Produits!$E:$E,MATCH(H2927,Produits!$A:$A,0))</f>
        <v>110.4</v>
      </c>
      <c r="R2927" s="3">
        <f>L2927-Q2927</f>
        <v>129.6</v>
      </c>
      <c r="S2927" s="2">
        <f>NETWORKDAYS(B2927,C2927)-1</f>
        <v>5</v>
      </c>
      <c r="T2927" s="1">
        <f>WORKDAY(B2927,5)</f>
        <v>45838</v>
      </c>
      <c r="U2927" t="b">
        <f>C2927&gt;T2927</f>
        <v>0</v>
      </c>
    </row>
    <row r="2928" spans="1:21" x14ac:dyDescent="0.25">
      <c r="A2928" t="s">
        <v>1851</v>
      </c>
      <c r="B2928" s="1">
        <v>45831</v>
      </c>
      <c r="C2928" s="1">
        <v>45838</v>
      </c>
      <c r="D2928" t="s">
        <v>781</v>
      </c>
      <c r="E2928" t="s">
        <v>256</v>
      </c>
      <c r="F2928" t="s">
        <v>88</v>
      </c>
      <c r="G2928" t="s">
        <v>142</v>
      </c>
      <c r="H2928" t="s">
        <v>42</v>
      </c>
      <c r="I2928" s="2">
        <v>1</v>
      </c>
      <c r="J2928" s="3">
        <v>55</v>
      </c>
      <c r="K2928" s="4">
        <v>0</v>
      </c>
      <c r="L2928" s="3">
        <v>55</v>
      </c>
      <c r="M2928" t="b">
        <v>1</v>
      </c>
      <c r="N2928" s="2">
        <f>YEAR(B2928)</f>
        <v>2025</v>
      </c>
      <c r="O2928" t="str">
        <f>INDEX(Agences!$C:$C,MATCH(F2928,Agences!$A:$A,0))</f>
        <v>Sud-Ouest</v>
      </c>
      <c r="P2928" t="str">
        <f>INDEX(Produits!$C:$C,MATCH(H2928,Produits!$A:$A,0))</f>
        <v>Maintenance</v>
      </c>
      <c r="Q2928" s="3">
        <f>I2928*INDEX(Produits!$E:$E,MATCH(H2928,Produits!$A:$A,0))</f>
        <v>24.75</v>
      </c>
      <c r="R2928" s="3">
        <f>L2928-Q2928</f>
        <v>30.25</v>
      </c>
      <c r="S2928" s="2">
        <f>NETWORKDAYS(B2928,C2928)-1</f>
        <v>5</v>
      </c>
      <c r="T2928" s="1">
        <f>WORKDAY(B2928,5)</f>
        <v>45838</v>
      </c>
      <c r="U2928" t="b">
        <f>C2928&gt;T2928</f>
        <v>0</v>
      </c>
    </row>
    <row r="2929" spans="1:21" x14ac:dyDescent="0.25">
      <c r="A2929" t="s">
        <v>1851</v>
      </c>
      <c r="B2929" s="1">
        <v>45831</v>
      </c>
      <c r="C2929" s="1">
        <v>45838</v>
      </c>
      <c r="D2929" t="s">
        <v>781</v>
      </c>
      <c r="E2929" t="s">
        <v>256</v>
      </c>
      <c r="F2929" t="s">
        <v>88</v>
      </c>
      <c r="G2929" t="s">
        <v>142</v>
      </c>
      <c r="H2929" t="s">
        <v>237</v>
      </c>
      <c r="I2929" s="2">
        <v>2</v>
      </c>
      <c r="J2929" s="3">
        <v>890</v>
      </c>
      <c r="K2929" s="4">
        <v>0</v>
      </c>
      <c r="L2929" s="3">
        <v>1780</v>
      </c>
      <c r="M2929" t="b">
        <v>1</v>
      </c>
      <c r="N2929" s="2">
        <f>YEAR(B2929)</f>
        <v>2025</v>
      </c>
      <c r="O2929" t="str">
        <f>INDEX(Agences!$C:$C,MATCH(F2929,Agences!$A:$A,0))</f>
        <v>Sud-Ouest</v>
      </c>
      <c r="P2929" t="str">
        <f>INDEX(Produits!$C:$C,MATCH(H2929,Produits!$A:$A,0))</f>
        <v>Mobilier</v>
      </c>
      <c r="Q2929" s="3">
        <f>I2929*INDEX(Produits!$E:$E,MATCH(H2929,Produits!$A:$A,0))</f>
        <v>1192.6</v>
      </c>
      <c r="R2929" s="3">
        <f>L2929-Q2929</f>
        <v>587.4000000000001</v>
      </c>
      <c r="S2929" s="2">
        <f>NETWORKDAYS(B2929,C2929)-1</f>
        <v>5</v>
      </c>
      <c r="T2929" s="1">
        <f>WORKDAY(B2929,5)</f>
        <v>45838</v>
      </c>
      <c r="U2929" t="b">
        <f>C2929&gt;T2929</f>
        <v>0</v>
      </c>
    </row>
    <row r="2930" spans="1:21" x14ac:dyDescent="0.25">
      <c r="A2930" t="s">
        <v>1852</v>
      </c>
      <c r="B2930" s="1">
        <v>45831</v>
      </c>
      <c r="C2930" s="1">
        <v>45833</v>
      </c>
      <c r="D2930" t="s">
        <v>777</v>
      </c>
      <c r="E2930" t="s">
        <v>256</v>
      </c>
      <c r="F2930" t="s">
        <v>88</v>
      </c>
      <c r="G2930" t="s">
        <v>226</v>
      </c>
      <c r="H2930" t="s">
        <v>41</v>
      </c>
      <c r="I2930" s="2">
        <v>2</v>
      </c>
      <c r="J2930" s="3">
        <v>790</v>
      </c>
      <c r="K2930" s="4">
        <v>0.1</v>
      </c>
      <c r="L2930" s="3">
        <v>1422</v>
      </c>
      <c r="M2930" t="b">
        <v>1</v>
      </c>
      <c r="N2930" s="2">
        <f>YEAR(B2930)</f>
        <v>2025</v>
      </c>
      <c r="O2930" t="str">
        <f>INDEX(Agences!$C:$C,MATCH(F2930,Agences!$A:$A,0))</f>
        <v>Sud-Ouest</v>
      </c>
      <c r="P2930" t="str">
        <f>INDEX(Produits!$C:$C,MATCH(H2930,Produits!$A:$A,0))</f>
        <v>Informatique</v>
      </c>
      <c r="Q2930" s="3">
        <f>I2930*INDEX(Produits!$E:$E,MATCH(H2930,Produits!$A:$A,0))</f>
        <v>1153.4</v>
      </c>
      <c r="R2930" s="3">
        <f>L2930-Q2930</f>
        <v>268.5999999999999</v>
      </c>
      <c r="S2930" s="2">
        <f>NETWORKDAYS(B2930,C2930)-1</f>
        <v>2</v>
      </c>
      <c r="T2930" s="1">
        <f>WORKDAY(B2930,5)</f>
        <v>45838</v>
      </c>
      <c r="U2930" t="b">
        <f>C2930&gt;T2930</f>
        <v>0</v>
      </c>
    </row>
    <row r="2931" spans="1:21" x14ac:dyDescent="0.25">
      <c r="A2931" t="s">
        <v>1853</v>
      </c>
      <c r="B2931" s="1">
        <v>45827</v>
      </c>
      <c r="C2931" s="1">
        <v>45834</v>
      </c>
      <c r="D2931" t="s">
        <v>1385</v>
      </c>
      <c r="E2931" t="s">
        <v>339</v>
      </c>
      <c r="F2931" t="s">
        <v>31</v>
      </c>
      <c r="G2931" t="s">
        <v>186</v>
      </c>
      <c r="H2931" t="s">
        <v>51</v>
      </c>
      <c r="I2931" s="2">
        <v>1</v>
      </c>
      <c r="J2931" s="3">
        <v>180</v>
      </c>
      <c r="K2931" s="4">
        <v>0</v>
      </c>
      <c r="L2931" s="3">
        <v>180</v>
      </c>
      <c r="M2931" t="b">
        <v>1</v>
      </c>
      <c r="N2931" s="2">
        <f>YEAR(B2931)</f>
        <v>2025</v>
      </c>
      <c r="O2931" t="str">
        <f>INDEX(Agences!$C:$C,MATCH(F2931,Agences!$A:$A,0))</f>
        <v>Ouest</v>
      </c>
      <c r="P2931" t="str">
        <f>INDEX(Produits!$C:$C,MATCH(H2931,Produits!$A:$A,0))</f>
        <v>Maintenance</v>
      </c>
      <c r="Q2931" s="3">
        <f>I2931*INDEX(Produits!$E:$E,MATCH(H2931,Produits!$A:$A,0))</f>
        <v>82.8</v>
      </c>
      <c r="R2931" s="3">
        <f>L2931-Q2931</f>
        <v>97.2</v>
      </c>
      <c r="S2931" s="2">
        <f>NETWORKDAYS(B2931,C2931)-1</f>
        <v>5</v>
      </c>
      <c r="T2931" s="1">
        <f>WORKDAY(B2931,5)</f>
        <v>45834</v>
      </c>
      <c r="U2931" t="b">
        <f>C2931&gt;T2931</f>
        <v>0</v>
      </c>
    </row>
    <row r="2932" spans="1:21" x14ac:dyDescent="0.25">
      <c r="A2932" t="s">
        <v>1854</v>
      </c>
      <c r="B2932" s="1">
        <v>45827</v>
      </c>
      <c r="C2932" s="1">
        <v>45833</v>
      </c>
      <c r="D2932" t="s">
        <v>511</v>
      </c>
      <c r="E2932" t="s">
        <v>242</v>
      </c>
      <c r="F2932" t="s">
        <v>94</v>
      </c>
      <c r="G2932" t="s">
        <v>182</v>
      </c>
      <c r="H2932" t="s">
        <v>319</v>
      </c>
      <c r="I2932" s="2">
        <v>2</v>
      </c>
      <c r="J2932" s="3">
        <v>289</v>
      </c>
      <c r="K2932" s="4">
        <v>0.05</v>
      </c>
      <c r="L2932" s="3">
        <v>549.1</v>
      </c>
      <c r="M2932" t="b">
        <v>1</v>
      </c>
      <c r="N2932" s="2">
        <f>YEAR(B2932)</f>
        <v>2025</v>
      </c>
      <c r="O2932" t="str">
        <f>INDEX(Agences!$C:$C,MATCH(F2932,Agences!$A:$A,0))</f>
        <v>Méditerranée</v>
      </c>
      <c r="P2932" t="str">
        <f>INDEX(Produits!$C:$C,MATCH(H2932,Produits!$A:$A,0))</f>
        <v>Informatique</v>
      </c>
      <c r="Q2932" s="3">
        <f>I2932*INDEX(Produits!$E:$E,MATCH(H2932,Produits!$A:$A,0))</f>
        <v>427.72</v>
      </c>
      <c r="R2932" s="3">
        <f>L2932-Q2932</f>
        <v>121.38</v>
      </c>
      <c r="S2932" s="2">
        <f>NETWORKDAYS(B2932,C2932)-1</f>
        <v>4</v>
      </c>
      <c r="T2932" s="1">
        <f>WORKDAY(B2932,5)</f>
        <v>45834</v>
      </c>
      <c r="U2932" t="b">
        <f>C2932&gt;T2932</f>
        <v>0</v>
      </c>
    </row>
    <row r="2933" spans="1:21" x14ac:dyDescent="0.25">
      <c r="A2933" t="s">
        <v>1854</v>
      </c>
      <c r="B2933" s="1">
        <v>45827</v>
      </c>
      <c r="C2933" s="1">
        <v>45833</v>
      </c>
      <c r="D2933" t="s">
        <v>511</v>
      </c>
      <c r="E2933" t="s">
        <v>242</v>
      </c>
      <c r="F2933" t="s">
        <v>94</v>
      </c>
      <c r="G2933" t="s">
        <v>182</v>
      </c>
      <c r="H2933" t="s">
        <v>79</v>
      </c>
      <c r="I2933" s="2">
        <v>5</v>
      </c>
      <c r="J2933" s="3">
        <v>14.9</v>
      </c>
      <c r="K2933" s="4">
        <v>0</v>
      </c>
      <c r="L2933" s="3">
        <v>74.5</v>
      </c>
      <c r="M2933" t="b">
        <v>1</v>
      </c>
      <c r="N2933" s="2">
        <f>YEAR(B2933)</f>
        <v>2025</v>
      </c>
      <c r="O2933" t="str">
        <f>INDEX(Agences!$C:$C,MATCH(F2933,Agences!$A:$A,0))</f>
        <v>Méditerranée</v>
      </c>
      <c r="P2933" t="str">
        <f>INDEX(Produits!$C:$C,MATCH(H2933,Produits!$A:$A,0))</f>
        <v>Fournitures</v>
      </c>
      <c r="Q2933" s="3">
        <f>I2933*INDEX(Produits!$E:$E,MATCH(H2933,Produits!$A:$A,0))</f>
        <v>40.25</v>
      </c>
      <c r="R2933" s="3">
        <f>L2933-Q2933</f>
        <v>34.25</v>
      </c>
      <c r="S2933" s="2">
        <f>NETWORKDAYS(B2933,C2933)-1</f>
        <v>4</v>
      </c>
      <c r="T2933" s="1">
        <f>WORKDAY(B2933,5)</f>
        <v>45834</v>
      </c>
      <c r="U2933" t="b">
        <f>C2933&gt;T2933</f>
        <v>0</v>
      </c>
    </row>
    <row r="2934" spans="1:21" x14ac:dyDescent="0.25">
      <c r="A2934" t="s">
        <v>1855</v>
      </c>
      <c r="B2934" s="1">
        <v>45826</v>
      </c>
      <c r="C2934" s="1">
        <v>45827</v>
      </c>
      <c r="D2934" t="s">
        <v>504</v>
      </c>
      <c r="E2934" t="s">
        <v>115</v>
      </c>
      <c r="F2934" t="s">
        <v>24</v>
      </c>
      <c r="G2934" t="s">
        <v>199</v>
      </c>
      <c r="H2934" t="s">
        <v>42</v>
      </c>
      <c r="I2934" s="2">
        <v>1</v>
      </c>
      <c r="J2934" s="3">
        <v>55</v>
      </c>
      <c r="K2934" s="4">
        <v>0.08</v>
      </c>
      <c r="L2934" s="3">
        <v>50.6</v>
      </c>
      <c r="M2934" t="b">
        <v>1</v>
      </c>
      <c r="N2934" s="2">
        <f>YEAR(B2934)</f>
        <v>2025</v>
      </c>
      <c r="O2934" t="str">
        <f>INDEX(Agences!$C:$C,MATCH(F2934,Agences!$A:$A,0))</f>
        <v>Nord</v>
      </c>
      <c r="P2934" t="str">
        <f>INDEX(Produits!$C:$C,MATCH(H2934,Produits!$A:$A,0))</f>
        <v>Maintenance</v>
      </c>
      <c r="Q2934" s="3">
        <f>I2934*INDEX(Produits!$E:$E,MATCH(H2934,Produits!$A:$A,0))</f>
        <v>24.75</v>
      </c>
      <c r="R2934" s="3">
        <f>L2934-Q2934</f>
        <v>25.85</v>
      </c>
      <c r="S2934" s="2">
        <f>NETWORKDAYS(B2934,C2934)-1</f>
        <v>1</v>
      </c>
      <c r="T2934" s="1">
        <f>WORKDAY(B2934,5)</f>
        <v>45833</v>
      </c>
      <c r="U2934" t="b">
        <f>C2934&gt;T2934</f>
        <v>0</v>
      </c>
    </row>
    <row r="2935" spans="1:21" x14ac:dyDescent="0.25">
      <c r="A2935" t="s">
        <v>1855</v>
      </c>
      <c r="B2935" s="1">
        <v>45826</v>
      </c>
      <c r="C2935" s="1">
        <v>45827</v>
      </c>
      <c r="D2935" t="s">
        <v>504</v>
      </c>
      <c r="E2935" t="s">
        <v>115</v>
      </c>
      <c r="F2935" t="s">
        <v>24</v>
      </c>
      <c r="G2935" t="s">
        <v>199</v>
      </c>
      <c r="H2935" t="s">
        <v>237</v>
      </c>
      <c r="I2935" s="2">
        <v>1</v>
      </c>
      <c r="J2935" s="3">
        <v>890</v>
      </c>
      <c r="K2935" s="4">
        <v>0</v>
      </c>
      <c r="L2935" s="3">
        <v>890</v>
      </c>
      <c r="M2935" t="b">
        <v>1</v>
      </c>
      <c r="N2935" s="2">
        <f>YEAR(B2935)</f>
        <v>2025</v>
      </c>
      <c r="O2935" t="str">
        <f>INDEX(Agences!$C:$C,MATCH(F2935,Agences!$A:$A,0))</f>
        <v>Nord</v>
      </c>
      <c r="P2935" t="str">
        <f>INDEX(Produits!$C:$C,MATCH(H2935,Produits!$A:$A,0))</f>
        <v>Mobilier</v>
      </c>
      <c r="Q2935" s="3">
        <f>I2935*INDEX(Produits!$E:$E,MATCH(H2935,Produits!$A:$A,0))</f>
        <v>596.3</v>
      </c>
      <c r="R2935" s="3">
        <f>L2935-Q2935</f>
        <v>293.70000000000005</v>
      </c>
      <c r="S2935" s="2">
        <f>NETWORKDAYS(B2935,C2935)-1</f>
        <v>1</v>
      </c>
      <c r="T2935" s="1">
        <f>WORKDAY(B2935,5)</f>
        <v>45833</v>
      </c>
      <c r="U2935" t="b">
        <f>C2935&gt;T2935</f>
        <v>0</v>
      </c>
    </row>
    <row r="2936" spans="1:21" x14ac:dyDescent="0.25">
      <c r="A2936" t="s">
        <v>1855</v>
      </c>
      <c r="B2936" s="1">
        <v>45826</v>
      </c>
      <c r="C2936" s="1">
        <v>45827</v>
      </c>
      <c r="D2936" t="s">
        <v>504</v>
      </c>
      <c r="E2936" t="s">
        <v>115</v>
      </c>
      <c r="F2936" t="s">
        <v>24</v>
      </c>
      <c r="G2936" t="s">
        <v>199</v>
      </c>
      <c r="H2936" t="s">
        <v>35</v>
      </c>
      <c r="I2936" s="2">
        <v>1</v>
      </c>
      <c r="J2936" s="3">
        <v>79</v>
      </c>
      <c r="K2936" s="4">
        <v>0</v>
      </c>
      <c r="L2936" s="3">
        <v>79</v>
      </c>
      <c r="M2936" t="b">
        <v>1</v>
      </c>
      <c r="N2936" s="2">
        <f>YEAR(B2936)</f>
        <v>2025</v>
      </c>
      <c r="O2936" t="str">
        <f>INDEX(Agences!$C:$C,MATCH(F2936,Agences!$A:$A,0))</f>
        <v>Nord</v>
      </c>
      <c r="P2936" t="str">
        <f>INDEX(Produits!$C:$C,MATCH(H2936,Produits!$A:$A,0))</f>
        <v>Mobilier</v>
      </c>
      <c r="Q2936" s="3">
        <f>I2936*INDEX(Produits!$E:$E,MATCH(H2936,Produits!$A:$A,0))</f>
        <v>46.61</v>
      </c>
      <c r="R2936" s="3">
        <f>L2936-Q2936</f>
        <v>32.39</v>
      </c>
      <c r="S2936" s="2">
        <f>NETWORKDAYS(B2936,C2936)-1</f>
        <v>1</v>
      </c>
      <c r="T2936" s="1">
        <f>WORKDAY(B2936,5)</f>
        <v>45833</v>
      </c>
      <c r="U2936" t="b">
        <f>C2936&gt;T2936</f>
        <v>0</v>
      </c>
    </row>
    <row r="2937" spans="1:21" x14ac:dyDescent="0.25">
      <c r="A2937" t="s">
        <v>1856</v>
      </c>
      <c r="B2937" s="1">
        <v>45826</v>
      </c>
      <c r="C2937" s="1">
        <v>45832</v>
      </c>
      <c r="D2937" t="s">
        <v>1364</v>
      </c>
      <c r="E2937" t="s">
        <v>137</v>
      </c>
      <c r="F2937" t="s">
        <v>138</v>
      </c>
      <c r="G2937" t="s">
        <v>139</v>
      </c>
      <c r="H2937" t="s">
        <v>150</v>
      </c>
      <c r="I2937" s="2">
        <v>3</v>
      </c>
      <c r="J2937" s="3">
        <v>790</v>
      </c>
      <c r="K2937" s="4">
        <v>0.05</v>
      </c>
      <c r="L2937" s="3">
        <v>2251.5</v>
      </c>
      <c r="M2937" t="b">
        <v>1</v>
      </c>
      <c r="N2937" s="2">
        <f>YEAR(B2937)</f>
        <v>2025</v>
      </c>
      <c r="O2937" t="str">
        <f>INDEX(Agences!$C:$C,MATCH(F2937,Agences!$A:$A,0))</f>
        <v>Île-de-France</v>
      </c>
      <c r="P2937" t="str">
        <f>INDEX(Produits!$C:$C,MATCH(H2937,Produits!$A:$A,0))</f>
        <v>Informatique</v>
      </c>
      <c r="Q2937" s="3">
        <f>I2937*INDEX(Produits!$E:$E,MATCH(H2937,Produits!$A:$A,0))</f>
        <v>1753.8000000000002</v>
      </c>
      <c r="R2937" s="3">
        <f>L2937-Q2937</f>
        <v>497.6999999999998</v>
      </c>
      <c r="S2937" s="2">
        <f>NETWORKDAYS(B2937,C2937)-1</f>
        <v>4</v>
      </c>
      <c r="T2937" s="1">
        <f>WORKDAY(B2937,5)</f>
        <v>45833</v>
      </c>
      <c r="U2937" t="b">
        <f>C2937&gt;T2937</f>
        <v>0</v>
      </c>
    </row>
    <row r="2938" spans="1:21" x14ac:dyDescent="0.25">
      <c r="A2938" t="s">
        <v>1857</v>
      </c>
      <c r="B2938" s="1">
        <v>45826</v>
      </c>
      <c r="C2938" s="1">
        <v>45827</v>
      </c>
      <c r="D2938" t="s">
        <v>1517</v>
      </c>
      <c r="E2938" t="s">
        <v>213</v>
      </c>
      <c r="F2938" t="s">
        <v>138</v>
      </c>
      <c r="G2938" t="s">
        <v>214</v>
      </c>
      <c r="H2938" t="s">
        <v>205</v>
      </c>
      <c r="I2938" s="2">
        <v>1</v>
      </c>
      <c r="J2938" s="3">
        <v>359</v>
      </c>
      <c r="K2938" s="4">
        <v>0.05</v>
      </c>
      <c r="L2938" s="3">
        <v>341.05</v>
      </c>
      <c r="M2938" t="b">
        <v>1</v>
      </c>
      <c r="N2938" s="2">
        <f>YEAR(B2938)</f>
        <v>2025</v>
      </c>
      <c r="O2938" t="str">
        <f>INDEX(Agences!$C:$C,MATCH(F2938,Agences!$A:$A,0))</f>
        <v>Île-de-France</v>
      </c>
      <c r="P2938" t="str">
        <f>INDEX(Produits!$C:$C,MATCH(H2938,Produits!$A:$A,0))</f>
        <v>Mobilier</v>
      </c>
      <c r="Q2938" s="3">
        <f>I2938*INDEX(Produits!$E:$E,MATCH(H2938,Produits!$A:$A,0))</f>
        <v>204.63</v>
      </c>
      <c r="R2938" s="3">
        <f>L2938-Q2938</f>
        <v>136.42000000000002</v>
      </c>
      <c r="S2938" s="2">
        <f>NETWORKDAYS(B2938,C2938)-1</f>
        <v>1</v>
      </c>
      <c r="T2938" s="1">
        <f>WORKDAY(B2938,5)</f>
        <v>45833</v>
      </c>
      <c r="U2938" t="b">
        <f>C2938&gt;T2938</f>
        <v>0</v>
      </c>
    </row>
    <row r="2939" spans="1:21" x14ac:dyDescent="0.25">
      <c r="A2939" t="s">
        <v>1857</v>
      </c>
      <c r="B2939" s="1">
        <v>45826</v>
      </c>
      <c r="C2939" s="1">
        <v>45827</v>
      </c>
      <c r="D2939" t="s">
        <v>1517</v>
      </c>
      <c r="E2939" t="s">
        <v>213</v>
      </c>
      <c r="F2939" t="s">
        <v>138</v>
      </c>
      <c r="G2939" t="s">
        <v>214</v>
      </c>
      <c r="H2939" t="s">
        <v>83</v>
      </c>
      <c r="I2939" s="2">
        <v>2</v>
      </c>
      <c r="J2939" s="3">
        <v>49</v>
      </c>
      <c r="K2939" s="4">
        <v>0</v>
      </c>
      <c r="L2939" s="3">
        <v>98</v>
      </c>
      <c r="M2939" t="b">
        <v>1</v>
      </c>
      <c r="N2939" s="2">
        <f>YEAR(B2939)</f>
        <v>2025</v>
      </c>
      <c r="O2939" t="str">
        <f>INDEX(Agences!$C:$C,MATCH(F2939,Agences!$A:$A,0))</f>
        <v>Île-de-France</v>
      </c>
      <c r="P2939" t="str">
        <f>INDEX(Produits!$C:$C,MATCH(H2939,Produits!$A:$A,0))</f>
        <v>Mobilier</v>
      </c>
      <c r="Q2939" s="3">
        <f>I2939*INDEX(Produits!$E:$E,MATCH(H2939,Produits!$A:$A,0))</f>
        <v>56.84</v>
      </c>
      <c r="R2939" s="3">
        <f>L2939-Q2939</f>
        <v>41.16</v>
      </c>
      <c r="S2939" s="2">
        <f>NETWORKDAYS(B2939,C2939)-1</f>
        <v>1</v>
      </c>
      <c r="T2939" s="1">
        <f>WORKDAY(B2939,5)</f>
        <v>45833</v>
      </c>
      <c r="U2939" t="b">
        <f>C2939&gt;T2939</f>
        <v>0</v>
      </c>
    </row>
    <row r="2940" spans="1:21" x14ac:dyDescent="0.25">
      <c r="A2940" t="s">
        <v>1857</v>
      </c>
      <c r="B2940" s="1">
        <v>45826</v>
      </c>
      <c r="C2940" s="1">
        <v>45827</v>
      </c>
      <c r="D2940" t="s">
        <v>1517</v>
      </c>
      <c r="E2940" t="s">
        <v>213</v>
      </c>
      <c r="F2940" t="s">
        <v>138</v>
      </c>
      <c r="G2940" t="s">
        <v>214</v>
      </c>
      <c r="H2940" t="s">
        <v>42</v>
      </c>
      <c r="I2940" s="2">
        <v>1</v>
      </c>
      <c r="J2940" s="3">
        <v>55</v>
      </c>
      <c r="K2940" s="4">
        <v>0</v>
      </c>
      <c r="L2940" s="3">
        <v>55</v>
      </c>
      <c r="M2940" t="b">
        <v>1</v>
      </c>
      <c r="N2940" s="2">
        <f>YEAR(B2940)</f>
        <v>2025</v>
      </c>
      <c r="O2940" t="str">
        <f>INDEX(Agences!$C:$C,MATCH(F2940,Agences!$A:$A,0))</f>
        <v>Île-de-France</v>
      </c>
      <c r="P2940" t="str">
        <f>INDEX(Produits!$C:$C,MATCH(H2940,Produits!$A:$A,0))</f>
        <v>Maintenance</v>
      </c>
      <c r="Q2940" s="3">
        <f>I2940*INDEX(Produits!$E:$E,MATCH(H2940,Produits!$A:$A,0))</f>
        <v>24.75</v>
      </c>
      <c r="R2940" s="3">
        <f>L2940-Q2940</f>
        <v>30.25</v>
      </c>
      <c r="S2940" s="2">
        <f>NETWORKDAYS(B2940,C2940)-1</f>
        <v>1</v>
      </c>
      <c r="T2940" s="1">
        <f>WORKDAY(B2940,5)</f>
        <v>45833</v>
      </c>
      <c r="U2940" t="b">
        <f>C2940&gt;T2940</f>
        <v>0</v>
      </c>
    </row>
    <row r="2941" spans="1:21" x14ac:dyDescent="0.25">
      <c r="A2941" t="s">
        <v>1857</v>
      </c>
      <c r="B2941" s="1">
        <v>45826</v>
      </c>
      <c r="C2941" s="1">
        <v>45827</v>
      </c>
      <c r="D2941" t="s">
        <v>1517</v>
      </c>
      <c r="E2941" t="s">
        <v>213</v>
      </c>
      <c r="F2941" t="s">
        <v>138</v>
      </c>
      <c r="G2941" t="s">
        <v>214</v>
      </c>
      <c r="H2941" t="s">
        <v>57</v>
      </c>
      <c r="I2941" s="2">
        <v>1</v>
      </c>
      <c r="J2941" s="3">
        <v>149</v>
      </c>
      <c r="K2941" s="4">
        <v>0</v>
      </c>
      <c r="L2941" s="3">
        <v>149</v>
      </c>
      <c r="M2941" t="b">
        <v>1</v>
      </c>
      <c r="N2941" s="2">
        <f>YEAR(B2941)</f>
        <v>2025</v>
      </c>
      <c r="O2941" t="str">
        <f>INDEX(Agences!$C:$C,MATCH(F2941,Agences!$A:$A,0))</f>
        <v>Île-de-France</v>
      </c>
      <c r="P2941" t="str">
        <f>INDEX(Produits!$C:$C,MATCH(H2941,Produits!$A:$A,0))</f>
        <v>Informatique</v>
      </c>
      <c r="Q2941" s="3">
        <f>I2941*INDEX(Produits!$E:$E,MATCH(H2941,Produits!$A:$A,0))</f>
        <v>114.73</v>
      </c>
      <c r="R2941" s="3">
        <f>L2941-Q2941</f>
        <v>34.269999999999996</v>
      </c>
      <c r="S2941" s="2">
        <f>NETWORKDAYS(B2941,C2941)-1</f>
        <v>1</v>
      </c>
      <c r="T2941" s="1">
        <f>WORKDAY(B2941,5)</f>
        <v>45833</v>
      </c>
      <c r="U2941" t="b">
        <f>C2941&gt;T2941</f>
        <v>0</v>
      </c>
    </row>
    <row r="2942" spans="1:21" x14ac:dyDescent="0.25">
      <c r="A2942" t="s">
        <v>1858</v>
      </c>
      <c r="B2942" s="1">
        <v>45826</v>
      </c>
      <c r="C2942" s="1">
        <v>45831</v>
      </c>
      <c r="D2942" t="s">
        <v>1441</v>
      </c>
      <c r="E2942" t="s">
        <v>242</v>
      </c>
      <c r="F2942" t="s">
        <v>94</v>
      </c>
      <c r="G2942" t="s">
        <v>154</v>
      </c>
      <c r="H2942" t="s">
        <v>50</v>
      </c>
      <c r="I2942" s="2">
        <v>2</v>
      </c>
      <c r="J2942" s="3">
        <v>69</v>
      </c>
      <c r="K2942" s="4">
        <v>0</v>
      </c>
      <c r="L2942" s="3">
        <v>138</v>
      </c>
      <c r="M2942" t="b">
        <v>1</v>
      </c>
      <c r="N2942" s="2">
        <f>YEAR(B2942)</f>
        <v>2025</v>
      </c>
      <c r="O2942" t="str">
        <f>INDEX(Agences!$C:$C,MATCH(F2942,Agences!$A:$A,0))</f>
        <v>Méditerranée</v>
      </c>
      <c r="P2942" t="str">
        <f>INDEX(Produits!$C:$C,MATCH(H2942,Produits!$A:$A,0))</f>
        <v>Informatique</v>
      </c>
      <c r="Q2942" s="3">
        <f>I2942*INDEX(Produits!$E:$E,MATCH(H2942,Produits!$A:$A,0))</f>
        <v>109.02</v>
      </c>
      <c r="R2942" s="3">
        <f>L2942-Q2942</f>
        <v>28.980000000000004</v>
      </c>
      <c r="S2942" s="2">
        <f>NETWORKDAYS(B2942,C2942)-1</f>
        <v>3</v>
      </c>
      <c r="T2942" s="1">
        <f>WORKDAY(B2942,5)</f>
        <v>45833</v>
      </c>
      <c r="U2942" t="b">
        <f>C2942&gt;T2942</f>
        <v>0</v>
      </c>
    </row>
    <row r="2943" spans="1:21" x14ac:dyDescent="0.25">
      <c r="A2943" t="s">
        <v>1858</v>
      </c>
      <c r="B2943" s="1">
        <v>45826</v>
      </c>
      <c r="C2943" s="1">
        <v>45831</v>
      </c>
      <c r="D2943" t="s">
        <v>1441</v>
      </c>
      <c r="E2943" t="s">
        <v>242</v>
      </c>
      <c r="F2943" t="s">
        <v>94</v>
      </c>
      <c r="G2943" t="s">
        <v>154</v>
      </c>
      <c r="H2943" t="s">
        <v>107</v>
      </c>
      <c r="I2943" s="2">
        <v>1</v>
      </c>
      <c r="J2943" s="3">
        <v>99</v>
      </c>
      <c r="K2943" s="4">
        <v>0</v>
      </c>
      <c r="L2943" s="3">
        <v>99</v>
      </c>
      <c r="M2943" t="b">
        <v>1</v>
      </c>
      <c r="N2943" s="2">
        <f>YEAR(B2943)</f>
        <v>2025</v>
      </c>
      <c r="O2943" t="str">
        <f>INDEX(Agences!$C:$C,MATCH(F2943,Agences!$A:$A,0))</f>
        <v>Méditerranée</v>
      </c>
      <c r="P2943" t="str">
        <f>INDEX(Produits!$C:$C,MATCH(H2943,Produits!$A:$A,0))</f>
        <v>Informatique</v>
      </c>
      <c r="Q2943" s="3">
        <f>I2943*INDEX(Produits!$E:$E,MATCH(H2943,Produits!$A:$A,0))</f>
        <v>75.24</v>
      </c>
      <c r="R2943" s="3">
        <f>L2943-Q2943</f>
        <v>23.760000000000005</v>
      </c>
      <c r="S2943" s="2">
        <f>NETWORKDAYS(B2943,C2943)-1</f>
        <v>3</v>
      </c>
      <c r="T2943" s="1">
        <f>WORKDAY(B2943,5)</f>
        <v>45833</v>
      </c>
      <c r="U2943" t="b">
        <f>C2943&gt;T2943</f>
        <v>0</v>
      </c>
    </row>
    <row r="2944" spans="1:21" x14ac:dyDescent="0.25">
      <c r="A2944" t="s">
        <v>1859</v>
      </c>
      <c r="B2944" s="1">
        <v>45825</v>
      </c>
      <c r="C2944" s="1">
        <v>45827</v>
      </c>
      <c r="D2944" t="s">
        <v>1397</v>
      </c>
      <c r="E2944" t="s">
        <v>137</v>
      </c>
      <c r="F2944" t="s">
        <v>138</v>
      </c>
      <c r="G2944" t="s">
        <v>220</v>
      </c>
      <c r="H2944" t="s">
        <v>49</v>
      </c>
      <c r="I2944" s="2">
        <v>1</v>
      </c>
      <c r="J2944" s="3">
        <v>120</v>
      </c>
      <c r="K2944" s="4">
        <v>0</v>
      </c>
      <c r="L2944" s="3">
        <v>120</v>
      </c>
      <c r="M2944" t="b">
        <v>1</v>
      </c>
      <c r="N2944" s="2">
        <f>YEAR(B2944)</f>
        <v>2025</v>
      </c>
      <c r="O2944" t="str">
        <f>INDEX(Agences!$C:$C,MATCH(F2944,Agences!$A:$A,0))</f>
        <v>Île-de-France</v>
      </c>
      <c r="P2944" t="str">
        <f>INDEX(Produits!$C:$C,MATCH(H2944,Produits!$A:$A,0))</f>
        <v>Maintenance</v>
      </c>
      <c r="Q2944" s="3">
        <f>I2944*INDEX(Produits!$E:$E,MATCH(H2944,Produits!$A:$A,0))</f>
        <v>55.2</v>
      </c>
      <c r="R2944" s="3">
        <f>L2944-Q2944</f>
        <v>64.8</v>
      </c>
      <c r="S2944" s="2">
        <f>NETWORKDAYS(B2944,C2944)-1</f>
        <v>2</v>
      </c>
      <c r="T2944" s="1">
        <f>WORKDAY(B2944,5)</f>
        <v>45832</v>
      </c>
      <c r="U2944" t="b">
        <f>C2944&gt;T2944</f>
        <v>0</v>
      </c>
    </row>
    <row r="2945" spans="1:21" x14ac:dyDescent="0.25">
      <c r="A2945" t="s">
        <v>1859</v>
      </c>
      <c r="B2945" s="1">
        <v>45825</v>
      </c>
      <c r="C2945" s="1">
        <v>45827</v>
      </c>
      <c r="D2945" t="s">
        <v>1397</v>
      </c>
      <c r="E2945" t="s">
        <v>137</v>
      </c>
      <c r="F2945" t="s">
        <v>138</v>
      </c>
      <c r="G2945" t="s">
        <v>220</v>
      </c>
      <c r="H2945" t="s">
        <v>233</v>
      </c>
      <c r="I2945" s="2">
        <v>10</v>
      </c>
      <c r="J2945" s="3">
        <v>27.5</v>
      </c>
      <c r="K2945" s="4">
        <v>0</v>
      </c>
      <c r="L2945" s="3">
        <v>275</v>
      </c>
      <c r="M2945" t="b">
        <v>1</v>
      </c>
      <c r="N2945" s="2">
        <f>YEAR(B2945)</f>
        <v>2025</v>
      </c>
      <c r="O2945" t="str">
        <f>INDEX(Agences!$C:$C,MATCH(F2945,Agences!$A:$A,0))</f>
        <v>Île-de-France</v>
      </c>
      <c r="P2945" t="str">
        <f>INDEX(Produits!$C:$C,MATCH(H2945,Produits!$A:$A,0))</f>
        <v>Fournitures</v>
      </c>
      <c r="Q2945" s="3">
        <f>I2945*INDEX(Produits!$E:$E,MATCH(H2945,Produits!$A:$A,0))</f>
        <v>154</v>
      </c>
      <c r="R2945" s="3">
        <f>L2945-Q2945</f>
        <v>121</v>
      </c>
      <c r="S2945" s="2">
        <f>NETWORKDAYS(B2945,C2945)-1</f>
        <v>2</v>
      </c>
      <c r="T2945" s="1">
        <f>WORKDAY(B2945,5)</f>
        <v>45832</v>
      </c>
      <c r="U2945" t="b">
        <f>C2945&gt;T2945</f>
        <v>0</v>
      </c>
    </row>
    <row r="2946" spans="1:21" x14ac:dyDescent="0.25">
      <c r="A2946" t="s">
        <v>1859</v>
      </c>
      <c r="B2946" s="1">
        <v>45825</v>
      </c>
      <c r="C2946" s="1">
        <v>45827</v>
      </c>
      <c r="D2946" t="s">
        <v>1397</v>
      </c>
      <c r="E2946" t="s">
        <v>137</v>
      </c>
      <c r="F2946" t="s">
        <v>138</v>
      </c>
      <c r="G2946" t="s">
        <v>220</v>
      </c>
      <c r="H2946" t="s">
        <v>112</v>
      </c>
      <c r="I2946" s="2">
        <v>1</v>
      </c>
      <c r="J2946" s="3">
        <v>129</v>
      </c>
      <c r="K2946" s="4">
        <v>0.1</v>
      </c>
      <c r="L2946" s="3">
        <v>116.1</v>
      </c>
      <c r="M2946" t="b">
        <v>1</v>
      </c>
      <c r="N2946" s="2">
        <f>YEAR(B2946)</f>
        <v>2025</v>
      </c>
      <c r="O2946" t="str">
        <f>INDEX(Agences!$C:$C,MATCH(F2946,Agences!$A:$A,0))</f>
        <v>Île-de-France</v>
      </c>
      <c r="P2946" t="str">
        <f>INDEX(Produits!$C:$C,MATCH(H2946,Produits!$A:$A,0))</f>
        <v>Mobilier</v>
      </c>
      <c r="Q2946" s="3">
        <f>I2946*INDEX(Produits!$E:$E,MATCH(H2946,Produits!$A:$A,0))</f>
        <v>86.43</v>
      </c>
      <c r="R2946" s="3">
        <f>L2946-Q2946</f>
        <v>29.669999999999987</v>
      </c>
      <c r="S2946" s="2">
        <f>NETWORKDAYS(B2946,C2946)-1</f>
        <v>2</v>
      </c>
      <c r="T2946" s="1">
        <f>WORKDAY(B2946,5)</f>
        <v>45832</v>
      </c>
      <c r="U2946" t="b">
        <f>C2946&gt;T2946</f>
        <v>0</v>
      </c>
    </row>
    <row r="2947" spans="1:21" x14ac:dyDescent="0.25">
      <c r="A2947" t="s">
        <v>1859</v>
      </c>
      <c r="B2947" s="1">
        <v>45825</v>
      </c>
      <c r="C2947" s="1">
        <v>45827</v>
      </c>
      <c r="D2947" t="s">
        <v>1397</v>
      </c>
      <c r="E2947" t="s">
        <v>137</v>
      </c>
      <c r="F2947" t="s">
        <v>138</v>
      </c>
      <c r="G2947" t="s">
        <v>220</v>
      </c>
      <c r="H2947" t="s">
        <v>108</v>
      </c>
      <c r="I2947" s="2">
        <v>5</v>
      </c>
      <c r="J2947" s="3">
        <v>24.5</v>
      </c>
      <c r="K2947" s="4">
        <v>0.05</v>
      </c>
      <c r="L2947" s="3">
        <v>116.38</v>
      </c>
      <c r="M2947" t="b">
        <v>1</v>
      </c>
      <c r="N2947" s="2">
        <f>YEAR(B2947)</f>
        <v>2025</v>
      </c>
      <c r="O2947" t="str">
        <f>INDEX(Agences!$C:$C,MATCH(F2947,Agences!$A:$A,0))</f>
        <v>Île-de-France</v>
      </c>
      <c r="P2947" t="str">
        <f>INDEX(Produits!$C:$C,MATCH(H2947,Produits!$A:$A,0))</f>
        <v>Fournitures</v>
      </c>
      <c r="Q2947" s="3">
        <f>I2947*INDEX(Produits!$E:$E,MATCH(H2947,Produits!$A:$A,0))</f>
        <v>73.5</v>
      </c>
      <c r="R2947" s="3">
        <f>L2947-Q2947</f>
        <v>42.879999999999995</v>
      </c>
      <c r="S2947" s="2">
        <f>NETWORKDAYS(B2947,C2947)-1</f>
        <v>2</v>
      </c>
      <c r="T2947" s="1">
        <f>WORKDAY(B2947,5)</f>
        <v>45832</v>
      </c>
      <c r="U2947" t="b">
        <f>C2947&gt;T2947</f>
        <v>0</v>
      </c>
    </row>
    <row r="2948" spans="1:21" x14ac:dyDescent="0.25">
      <c r="A2948" t="s">
        <v>1860</v>
      </c>
      <c r="B2948" s="1">
        <v>45825</v>
      </c>
      <c r="C2948" s="1">
        <v>45826</v>
      </c>
      <c r="D2948" t="s">
        <v>758</v>
      </c>
      <c r="E2948" t="s">
        <v>307</v>
      </c>
      <c r="F2948" t="s">
        <v>76</v>
      </c>
      <c r="G2948" t="s">
        <v>176</v>
      </c>
      <c r="H2948" t="s">
        <v>51</v>
      </c>
      <c r="I2948" s="2">
        <v>1</v>
      </c>
      <c r="J2948" s="3">
        <v>180</v>
      </c>
      <c r="K2948" s="4">
        <v>0.02</v>
      </c>
      <c r="L2948" s="3">
        <v>176.4</v>
      </c>
      <c r="M2948" t="b">
        <v>1</v>
      </c>
      <c r="N2948" s="2">
        <f>YEAR(B2948)</f>
        <v>2025</v>
      </c>
      <c r="O2948" t="str">
        <f>INDEX(Agences!$C:$C,MATCH(F2948,Agences!$A:$A,0))</f>
        <v>Île-de-France</v>
      </c>
      <c r="P2948" t="str">
        <f>INDEX(Produits!$C:$C,MATCH(H2948,Produits!$A:$A,0))</f>
        <v>Maintenance</v>
      </c>
      <c r="Q2948" s="3">
        <f>I2948*INDEX(Produits!$E:$E,MATCH(H2948,Produits!$A:$A,0))</f>
        <v>82.8</v>
      </c>
      <c r="R2948" s="3">
        <f>L2948-Q2948</f>
        <v>93.60000000000001</v>
      </c>
      <c r="S2948" s="2">
        <f>NETWORKDAYS(B2948,C2948)-1</f>
        <v>1</v>
      </c>
      <c r="T2948" s="1">
        <f>WORKDAY(B2948,5)</f>
        <v>45832</v>
      </c>
      <c r="U2948" t="b">
        <f>C2948&gt;T2948</f>
        <v>0</v>
      </c>
    </row>
    <row r="2949" spans="1:21" x14ac:dyDescent="0.25">
      <c r="A2949" t="s">
        <v>1860</v>
      </c>
      <c r="B2949" s="1">
        <v>45825</v>
      </c>
      <c r="C2949" s="1">
        <v>45826</v>
      </c>
      <c r="D2949" t="s">
        <v>758</v>
      </c>
      <c r="E2949" t="s">
        <v>307</v>
      </c>
      <c r="F2949" t="s">
        <v>76</v>
      </c>
      <c r="G2949" t="s">
        <v>176</v>
      </c>
      <c r="H2949" t="s">
        <v>112</v>
      </c>
      <c r="I2949" s="2">
        <v>1</v>
      </c>
      <c r="J2949" s="3">
        <v>129</v>
      </c>
      <c r="K2949" s="4">
        <v>0.05</v>
      </c>
      <c r="L2949" s="3">
        <v>122.55</v>
      </c>
      <c r="M2949" t="b">
        <v>1</v>
      </c>
      <c r="N2949" s="2">
        <f>YEAR(B2949)</f>
        <v>2025</v>
      </c>
      <c r="O2949" t="str">
        <f>INDEX(Agences!$C:$C,MATCH(F2949,Agences!$A:$A,0))</f>
        <v>Île-de-France</v>
      </c>
      <c r="P2949" t="str">
        <f>INDEX(Produits!$C:$C,MATCH(H2949,Produits!$A:$A,0))</f>
        <v>Mobilier</v>
      </c>
      <c r="Q2949" s="3">
        <f>I2949*INDEX(Produits!$E:$E,MATCH(H2949,Produits!$A:$A,0))</f>
        <v>86.43</v>
      </c>
      <c r="R2949" s="3">
        <f>L2949-Q2949</f>
        <v>36.11999999999999</v>
      </c>
      <c r="S2949" s="2">
        <f>NETWORKDAYS(B2949,C2949)-1</f>
        <v>1</v>
      </c>
      <c r="T2949" s="1">
        <f>WORKDAY(B2949,5)</f>
        <v>45832</v>
      </c>
      <c r="U2949" t="b">
        <f>C2949&gt;T2949</f>
        <v>0</v>
      </c>
    </row>
    <row r="2950" spans="1:21" x14ac:dyDescent="0.25">
      <c r="A2950" t="s">
        <v>1860</v>
      </c>
      <c r="B2950" s="1">
        <v>45825</v>
      </c>
      <c r="C2950" s="1">
        <v>45826</v>
      </c>
      <c r="D2950" t="s">
        <v>758</v>
      </c>
      <c r="E2950" t="s">
        <v>307</v>
      </c>
      <c r="F2950" t="s">
        <v>76</v>
      </c>
      <c r="G2950" t="s">
        <v>176</v>
      </c>
      <c r="H2950" t="s">
        <v>196</v>
      </c>
      <c r="I2950" s="2">
        <v>15</v>
      </c>
      <c r="J2950" s="3">
        <v>18.5</v>
      </c>
      <c r="K2950" s="4">
        <v>0.08</v>
      </c>
      <c r="L2950" s="3">
        <v>255.3</v>
      </c>
      <c r="M2950" t="b">
        <v>1</v>
      </c>
      <c r="N2950" s="2">
        <f>YEAR(B2950)</f>
        <v>2025</v>
      </c>
      <c r="O2950" t="str">
        <f>INDEX(Agences!$C:$C,MATCH(F2950,Agences!$A:$A,0))</f>
        <v>Île-de-France</v>
      </c>
      <c r="P2950" t="str">
        <f>INDEX(Produits!$C:$C,MATCH(H2950,Produits!$A:$A,0))</f>
        <v>Fournitures</v>
      </c>
      <c r="Q2950" s="3">
        <f>I2950*INDEX(Produits!$E:$E,MATCH(H2950,Produits!$A:$A,0))</f>
        <v>141.6</v>
      </c>
      <c r="R2950" s="3">
        <f>L2950-Q2950</f>
        <v>113.70000000000002</v>
      </c>
      <c r="S2950" s="2">
        <f>NETWORKDAYS(B2950,C2950)-1</f>
        <v>1</v>
      </c>
      <c r="T2950" s="1">
        <f>WORKDAY(B2950,5)</f>
        <v>45832</v>
      </c>
      <c r="U2950" t="b">
        <f>C2950&gt;T2950</f>
        <v>0</v>
      </c>
    </row>
    <row r="2951" spans="1:21" x14ac:dyDescent="0.25">
      <c r="A2951" t="s">
        <v>1860</v>
      </c>
      <c r="B2951" s="1">
        <v>45825</v>
      </c>
      <c r="C2951" s="1">
        <v>45826</v>
      </c>
      <c r="D2951" t="s">
        <v>758</v>
      </c>
      <c r="E2951" t="s">
        <v>307</v>
      </c>
      <c r="F2951" t="s">
        <v>76</v>
      </c>
      <c r="G2951" t="s">
        <v>176</v>
      </c>
      <c r="H2951" t="s">
        <v>162</v>
      </c>
      <c r="I2951" s="2">
        <v>4</v>
      </c>
      <c r="J2951" s="3">
        <v>289</v>
      </c>
      <c r="K2951" s="4">
        <v>0</v>
      </c>
      <c r="L2951" s="3">
        <v>1156</v>
      </c>
      <c r="M2951" t="b">
        <v>1</v>
      </c>
      <c r="N2951" s="2">
        <f>YEAR(B2951)</f>
        <v>2025</v>
      </c>
      <c r="O2951" t="str">
        <f>INDEX(Agences!$C:$C,MATCH(F2951,Agences!$A:$A,0))</f>
        <v>Île-de-France</v>
      </c>
      <c r="P2951" t="str">
        <f>INDEX(Produits!$C:$C,MATCH(H2951,Produits!$A:$A,0))</f>
        <v>Mobilier</v>
      </c>
      <c r="Q2951" s="3">
        <f>I2951*INDEX(Produits!$E:$E,MATCH(H2951,Produits!$A:$A,0))</f>
        <v>774.52</v>
      </c>
      <c r="R2951" s="3">
        <f>L2951-Q2951</f>
        <v>381.48</v>
      </c>
      <c r="S2951" s="2">
        <f>NETWORKDAYS(B2951,C2951)-1</f>
        <v>1</v>
      </c>
      <c r="T2951" s="1">
        <f>WORKDAY(B2951,5)</f>
        <v>45832</v>
      </c>
      <c r="U2951" t="b">
        <f>C2951&gt;T2951</f>
        <v>0</v>
      </c>
    </row>
    <row r="2952" spans="1:21" x14ac:dyDescent="0.25">
      <c r="A2952" t="s">
        <v>1861</v>
      </c>
      <c r="B2952" s="1">
        <v>45825</v>
      </c>
      <c r="C2952" s="1">
        <v>45828</v>
      </c>
      <c r="D2952" t="s">
        <v>1862</v>
      </c>
      <c r="E2952" t="s">
        <v>175</v>
      </c>
      <c r="F2952" t="s">
        <v>76</v>
      </c>
      <c r="G2952" t="s">
        <v>77</v>
      </c>
      <c r="H2952" t="s">
        <v>35</v>
      </c>
      <c r="I2952" s="2">
        <v>1</v>
      </c>
      <c r="J2952" s="3">
        <v>79</v>
      </c>
      <c r="K2952" s="4">
        <v>0.05</v>
      </c>
      <c r="L2952" s="3">
        <v>75.05</v>
      </c>
      <c r="M2952" t="b">
        <v>1</v>
      </c>
      <c r="N2952" s="2">
        <f>YEAR(B2952)</f>
        <v>2025</v>
      </c>
      <c r="O2952" t="str">
        <f>INDEX(Agences!$C:$C,MATCH(F2952,Agences!$A:$A,0))</f>
        <v>Île-de-France</v>
      </c>
      <c r="P2952" t="str">
        <f>INDEX(Produits!$C:$C,MATCH(H2952,Produits!$A:$A,0))</f>
        <v>Mobilier</v>
      </c>
      <c r="Q2952" s="3">
        <f>I2952*INDEX(Produits!$E:$E,MATCH(H2952,Produits!$A:$A,0))</f>
        <v>46.61</v>
      </c>
      <c r="R2952" s="3">
        <f>L2952-Q2952</f>
        <v>28.439999999999998</v>
      </c>
      <c r="S2952" s="2">
        <f>NETWORKDAYS(B2952,C2952)-1</f>
        <v>3</v>
      </c>
      <c r="T2952" s="1">
        <f>WORKDAY(B2952,5)</f>
        <v>45832</v>
      </c>
      <c r="U2952" t="b">
        <f>C2952&gt;T2952</f>
        <v>0</v>
      </c>
    </row>
    <row r="2953" spans="1:21" x14ac:dyDescent="0.25">
      <c r="A2953" t="s">
        <v>1861</v>
      </c>
      <c r="B2953" s="1">
        <v>45825</v>
      </c>
      <c r="C2953" s="1">
        <v>45828</v>
      </c>
      <c r="D2953" t="s">
        <v>1862</v>
      </c>
      <c r="E2953" t="s">
        <v>175</v>
      </c>
      <c r="F2953" t="s">
        <v>76</v>
      </c>
      <c r="G2953" t="s">
        <v>77</v>
      </c>
      <c r="H2953" t="s">
        <v>108</v>
      </c>
      <c r="I2953" s="2">
        <v>5</v>
      </c>
      <c r="J2953" s="3">
        <v>24.5</v>
      </c>
      <c r="K2953" s="4">
        <v>0</v>
      </c>
      <c r="L2953" s="3">
        <v>122.5</v>
      </c>
      <c r="M2953" t="b">
        <v>1</v>
      </c>
      <c r="N2953" s="2">
        <f>YEAR(B2953)</f>
        <v>2025</v>
      </c>
      <c r="O2953" t="str">
        <f>INDEX(Agences!$C:$C,MATCH(F2953,Agences!$A:$A,0))</f>
        <v>Île-de-France</v>
      </c>
      <c r="P2953" t="str">
        <f>INDEX(Produits!$C:$C,MATCH(H2953,Produits!$A:$A,0))</f>
        <v>Fournitures</v>
      </c>
      <c r="Q2953" s="3">
        <f>I2953*INDEX(Produits!$E:$E,MATCH(H2953,Produits!$A:$A,0))</f>
        <v>73.5</v>
      </c>
      <c r="R2953" s="3">
        <f>L2953-Q2953</f>
        <v>49</v>
      </c>
      <c r="S2953" s="2">
        <f>NETWORKDAYS(B2953,C2953)-1</f>
        <v>3</v>
      </c>
      <c r="T2953" s="1">
        <f>WORKDAY(B2953,5)</f>
        <v>45832</v>
      </c>
      <c r="U2953" t="b">
        <f>C2953&gt;T2953</f>
        <v>0</v>
      </c>
    </row>
    <row r="2954" spans="1:21" x14ac:dyDescent="0.25">
      <c r="A2954" t="s">
        <v>1861</v>
      </c>
      <c r="B2954" s="1">
        <v>45825</v>
      </c>
      <c r="C2954" s="1">
        <v>45828</v>
      </c>
      <c r="D2954" t="s">
        <v>1862</v>
      </c>
      <c r="E2954" t="s">
        <v>175</v>
      </c>
      <c r="F2954" t="s">
        <v>76</v>
      </c>
      <c r="G2954" t="s">
        <v>77</v>
      </c>
      <c r="H2954" t="s">
        <v>83</v>
      </c>
      <c r="I2954" s="2">
        <v>1</v>
      </c>
      <c r="J2954" s="3">
        <v>49</v>
      </c>
      <c r="K2954" s="4">
        <v>0</v>
      </c>
      <c r="L2954" s="3">
        <v>49</v>
      </c>
      <c r="M2954" t="b">
        <v>1</v>
      </c>
      <c r="N2954" s="2">
        <f>YEAR(B2954)</f>
        <v>2025</v>
      </c>
      <c r="O2954" t="str">
        <f>INDEX(Agences!$C:$C,MATCH(F2954,Agences!$A:$A,0))</f>
        <v>Île-de-France</v>
      </c>
      <c r="P2954" t="str">
        <f>INDEX(Produits!$C:$C,MATCH(H2954,Produits!$A:$A,0))</f>
        <v>Mobilier</v>
      </c>
      <c r="Q2954" s="3">
        <f>I2954*INDEX(Produits!$E:$E,MATCH(H2954,Produits!$A:$A,0))</f>
        <v>28.42</v>
      </c>
      <c r="R2954" s="3">
        <f>L2954-Q2954</f>
        <v>20.58</v>
      </c>
      <c r="S2954" s="2">
        <f>NETWORKDAYS(B2954,C2954)-1</f>
        <v>3</v>
      </c>
      <c r="T2954" s="1">
        <f>WORKDAY(B2954,5)</f>
        <v>45832</v>
      </c>
      <c r="U2954" t="b">
        <f>C2954&gt;T2954</f>
        <v>0</v>
      </c>
    </row>
    <row r="2955" spans="1:21" x14ac:dyDescent="0.25">
      <c r="A2955" t="s">
        <v>1863</v>
      </c>
      <c r="B2955" s="1">
        <v>45825</v>
      </c>
      <c r="C2955" s="1">
        <v>45828</v>
      </c>
      <c r="D2955" t="s">
        <v>1696</v>
      </c>
      <c r="E2955" t="s">
        <v>336</v>
      </c>
      <c r="F2955" t="s">
        <v>166</v>
      </c>
      <c r="G2955" t="s">
        <v>248</v>
      </c>
      <c r="H2955" t="s">
        <v>42</v>
      </c>
      <c r="I2955" s="2">
        <v>2</v>
      </c>
      <c r="J2955" s="3">
        <v>55</v>
      </c>
      <c r="K2955" s="4">
        <v>0</v>
      </c>
      <c r="L2955" s="3">
        <v>110</v>
      </c>
      <c r="M2955" t="b">
        <v>1</v>
      </c>
      <c r="N2955" s="2">
        <f>YEAR(B2955)</f>
        <v>2025</v>
      </c>
      <c r="O2955" t="str">
        <f>INDEX(Agences!$C:$C,MATCH(F2955,Agences!$A:$A,0))</f>
        <v>Ouest</v>
      </c>
      <c r="P2955" t="str">
        <f>INDEX(Produits!$C:$C,MATCH(H2955,Produits!$A:$A,0))</f>
        <v>Maintenance</v>
      </c>
      <c r="Q2955" s="3">
        <f>I2955*INDEX(Produits!$E:$E,MATCH(H2955,Produits!$A:$A,0))</f>
        <v>49.5</v>
      </c>
      <c r="R2955" s="3">
        <f>L2955-Q2955</f>
        <v>60.5</v>
      </c>
      <c r="S2955" s="2">
        <f>NETWORKDAYS(B2955,C2955)-1</f>
        <v>3</v>
      </c>
      <c r="T2955" s="1">
        <f>WORKDAY(B2955,5)</f>
        <v>45832</v>
      </c>
      <c r="U2955" t="b">
        <f>C2955&gt;T2955</f>
        <v>0</v>
      </c>
    </row>
    <row r="2956" spans="1:21" x14ac:dyDescent="0.25">
      <c r="A2956" t="s">
        <v>1864</v>
      </c>
      <c r="B2956" s="1">
        <v>45821</v>
      </c>
      <c r="C2956" s="1">
        <v>45824</v>
      </c>
      <c r="D2956" t="s">
        <v>1595</v>
      </c>
      <c r="E2956" t="s">
        <v>209</v>
      </c>
      <c r="F2956" t="s">
        <v>99</v>
      </c>
      <c r="G2956" t="s">
        <v>265</v>
      </c>
      <c r="H2956" t="s">
        <v>57</v>
      </c>
      <c r="I2956" s="2">
        <v>1</v>
      </c>
      <c r="J2956" s="3">
        <v>149</v>
      </c>
      <c r="K2956" s="4">
        <v>0</v>
      </c>
      <c r="L2956" s="3">
        <v>149</v>
      </c>
      <c r="M2956" t="b">
        <v>1</v>
      </c>
      <c r="N2956" s="2">
        <f>YEAR(B2956)</f>
        <v>2025</v>
      </c>
      <c r="O2956" t="str">
        <f>INDEX(Agences!$C:$C,MATCH(F2956,Agences!$A:$A,0))</f>
        <v>Nord</v>
      </c>
      <c r="P2956" t="str">
        <f>INDEX(Produits!$C:$C,MATCH(H2956,Produits!$A:$A,0))</f>
        <v>Informatique</v>
      </c>
      <c r="Q2956" s="3">
        <f>I2956*INDEX(Produits!$E:$E,MATCH(H2956,Produits!$A:$A,0))</f>
        <v>114.73</v>
      </c>
      <c r="R2956" s="3">
        <f>L2956-Q2956</f>
        <v>34.269999999999996</v>
      </c>
      <c r="S2956" s="2">
        <f>NETWORKDAYS(B2956,C2956)-1</f>
        <v>1</v>
      </c>
      <c r="T2956" s="1">
        <f>WORKDAY(B2956,5)</f>
        <v>45828</v>
      </c>
      <c r="U2956" t="b">
        <f>C2956&gt;T2956</f>
        <v>0</v>
      </c>
    </row>
    <row r="2957" spans="1:21" x14ac:dyDescent="0.25">
      <c r="A2957" t="s">
        <v>1864</v>
      </c>
      <c r="B2957" s="1">
        <v>45821</v>
      </c>
      <c r="C2957" s="1">
        <v>45824</v>
      </c>
      <c r="D2957" t="s">
        <v>1595</v>
      </c>
      <c r="E2957" t="s">
        <v>209</v>
      </c>
      <c r="F2957" t="s">
        <v>99</v>
      </c>
      <c r="G2957" t="s">
        <v>265</v>
      </c>
      <c r="H2957" t="s">
        <v>50</v>
      </c>
      <c r="I2957" s="2">
        <v>1</v>
      </c>
      <c r="J2957" s="3">
        <v>69</v>
      </c>
      <c r="K2957" s="4">
        <v>0</v>
      </c>
      <c r="L2957" s="3">
        <v>69</v>
      </c>
      <c r="M2957" t="b">
        <v>1</v>
      </c>
      <c r="N2957" s="2">
        <f>YEAR(B2957)</f>
        <v>2025</v>
      </c>
      <c r="O2957" t="str">
        <f>INDEX(Agences!$C:$C,MATCH(F2957,Agences!$A:$A,0))</f>
        <v>Nord</v>
      </c>
      <c r="P2957" t="str">
        <f>INDEX(Produits!$C:$C,MATCH(H2957,Produits!$A:$A,0))</f>
        <v>Informatique</v>
      </c>
      <c r="Q2957" s="3">
        <f>I2957*INDEX(Produits!$E:$E,MATCH(H2957,Produits!$A:$A,0))</f>
        <v>54.51</v>
      </c>
      <c r="R2957" s="3">
        <f>L2957-Q2957</f>
        <v>14.490000000000002</v>
      </c>
      <c r="S2957" s="2">
        <f>NETWORKDAYS(B2957,C2957)-1</f>
        <v>1</v>
      </c>
      <c r="T2957" s="1">
        <f>WORKDAY(B2957,5)</f>
        <v>45828</v>
      </c>
      <c r="U2957" t="b">
        <f>C2957&gt;T2957</f>
        <v>0</v>
      </c>
    </row>
    <row r="2958" spans="1:21" x14ac:dyDescent="0.25">
      <c r="A2958" t="s">
        <v>1865</v>
      </c>
      <c r="B2958" s="1">
        <v>45821</v>
      </c>
      <c r="C2958" s="1">
        <v>45825</v>
      </c>
      <c r="D2958" t="s">
        <v>1087</v>
      </c>
      <c r="E2958" t="s">
        <v>399</v>
      </c>
      <c r="F2958" t="s">
        <v>166</v>
      </c>
      <c r="G2958" t="s">
        <v>248</v>
      </c>
      <c r="H2958" t="s">
        <v>103</v>
      </c>
      <c r="I2958" s="2">
        <v>2</v>
      </c>
      <c r="J2958" s="3">
        <v>245</v>
      </c>
      <c r="K2958" s="4">
        <v>0</v>
      </c>
      <c r="L2958" s="3">
        <v>490</v>
      </c>
      <c r="M2958" t="b">
        <v>1</v>
      </c>
      <c r="N2958" s="2">
        <f>YEAR(B2958)</f>
        <v>2025</v>
      </c>
      <c r="O2958" t="str">
        <f>INDEX(Agences!$C:$C,MATCH(F2958,Agences!$A:$A,0))</f>
        <v>Ouest</v>
      </c>
      <c r="P2958" t="str">
        <f>INDEX(Produits!$C:$C,MATCH(H2958,Produits!$A:$A,0))</f>
        <v>Mobilier</v>
      </c>
      <c r="Q2958" s="3">
        <f>I2958*INDEX(Produits!$E:$E,MATCH(H2958,Produits!$A:$A,0))</f>
        <v>328.3</v>
      </c>
      <c r="R2958" s="3">
        <f>L2958-Q2958</f>
        <v>161.7</v>
      </c>
      <c r="S2958" s="2">
        <f>NETWORKDAYS(B2958,C2958)-1</f>
        <v>2</v>
      </c>
      <c r="T2958" s="1">
        <f>WORKDAY(B2958,5)</f>
        <v>45828</v>
      </c>
      <c r="U2958" t="b">
        <f>C2958&gt;T2958</f>
        <v>0</v>
      </c>
    </row>
    <row r="2959" spans="1:21" x14ac:dyDescent="0.25">
      <c r="A2959" t="s">
        <v>1865</v>
      </c>
      <c r="B2959" s="1">
        <v>45821</v>
      </c>
      <c r="C2959" s="1">
        <v>45825</v>
      </c>
      <c r="D2959" t="s">
        <v>1087</v>
      </c>
      <c r="E2959" t="s">
        <v>399</v>
      </c>
      <c r="F2959" t="s">
        <v>166</v>
      </c>
      <c r="G2959" t="s">
        <v>248</v>
      </c>
      <c r="H2959" t="s">
        <v>49</v>
      </c>
      <c r="I2959" s="2">
        <v>1</v>
      </c>
      <c r="J2959" s="3">
        <v>120</v>
      </c>
      <c r="K2959" s="4">
        <v>0</v>
      </c>
      <c r="L2959" s="3">
        <v>120</v>
      </c>
      <c r="M2959" t="b">
        <v>1</v>
      </c>
      <c r="N2959" s="2">
        <f>YEAR(B2959)</f>
        <v>2025</v>
      </c>
      <c r="O2959" t="str">
        <f>INDEX(Agences!$C:$C,MATCH(F2959,Agences!$A:$A,0))</f>
        <v>Ouest</v>
      </c>
      <c r="P2959" t="str">
        <f>INDEX(Produits!$C:$C,MATCH(H2959,Produits!$A:$A,0))</f>
        <v>Maintenance</v>
      </c>
      <c r="Q2959" s="3">
        <f>I2959*INDEX(Produits!$E:$E,MATCH(H2959,Produits!$A:$A,0))</f>
        <v>55.2</v>
      </c>
      <c r="R2959" s="3">
        <f>L2959-Q2959</f>
        <v>64.8</v>
      </c>
      <c r="S2959" s="2">
        <f>NETWORKDAYS(B2959,C2959)-1</f>
        <v>2</v>
      </c>
      <c r="T2959" s="1">
        <f>WORKDAY(B2959,5)</f>
        <v>45828</v>
      </c>
      <c r="U2959" t="b">
        <f>C2959&gt;T2959</f>
        <v>0</v>
      </c>
    </row>
    <row r="2960" spans="1:21" x14ac:dyDescent="0.25">
      <c r="A2960" t="s">
        <v>1865</v>
      </c>
      <c r="B2960" s="1">
        <v>45821</v>
      </c>
      <c r="C2960" s="1">
        <v>45825</v>
      </c>
      <c r="D2960" t="s">
        <v>1087</v>
      </c>
      <c r="E2960" t="s">
        <v>399</v>
      </c>
      <c r="F2960" t="s">
        <v>166</v>
      </c>
      <c r="G2960" t="s">
        <v>248</v>
      </c>
      <c r="H2960" t="s">
        <v>78</v>
      </c>
      <c r="I2960" s="2">
        <v>1</v>
      </c>
      <c r="J2960" s="3">
        <v>1390</v>
      </c>
      <c r="K2960" s="4">
        <v>0.02</v>
      </c>
      <c r="L2960" s="3">
        <v>1362.2</v>
      </c>
      <c r="M2960" t="b">
        <v>1</v>
      </c>
      <c r="N2960" s="2">
        <f>YEAR(B2960)</f>
        <v>2025</v>
      </c>
      <c r="O2960" t="str">
        <f>INDEX(Agences!$C:$C,MATCH(F2960,Agences!$A:$A,0))</f>
        <v>Ouest</v>
      </c>
      <c r="P2960" t="str">
        <f>INDEX(Produits!$C:$C,MATCH(H2960,Produits!$A:$A,0))</f>
        <v>Informatique</v>
      </c>
      <c r="Q2960" s="3">
        <f>I2960*INDEX(Produits!$E:$E,MATCH(H2960,Produits!$A:$A,0))</f>
        <v>1125.9</v>
      </c>
      <c r="R2960" s="3">
        <f>L2960-Q2960</f>
        <v>236.29999999999995</v>
      </c>
      <c r="S2960" s="2">
        <f>NETWORKDAYS(B2960,C2960)-1</f>
        <v>2</v>
      </c>
      <c r="T2960" s="1">
        <f>WORKDAY(B2960,5)</f>
        <v>45828</v>
      </c>
      <c r="U2960" t="b">
        <f>C2960&gt;T2960</f>
        <v>0</v>
      </c>
    </row>
    <row r="2961" spans="1:21" x14ac:dyDescent="0.25">
      <c r="A2961" t="s">
        <v>1865</v>
      </c>
      <c r="B2961" s="1">
        <v>45821</v>
      </c>
      <c r="C2961" s="1">
        <v>45825</v>
      </c>
      <c r="D2961" t="s">
        <v>1087</v>
      </c>
      <c r="E2961" t="s">
        <v>399</v>
      </c>
      <c r="F2961" t="s">
        <v>166</v>
      </c>
      <c r="G2961" t="s">
        <v>248</v>
      </c>
      <c r="H2961" t="s">
        <v>205</v>
      </c>
      <c r="I2961" s="2">
        <v>3</v>
      </c>
      <c r="J2961" s="3">
        <v>359</v>
      </c>
      <c r="K2961" s="4">
        <v>0</v>
      </c>
      <c r="L2961" s="3">
        <v>1077</v>
      </c>
      <c r="M2961" t="b">
        <v>1</v>
      </c>
      <c r="N2961" s="2">
        <f>YEAR(B2961)</f>
        <v>2025</v>
      </c>
      <c r="O2961" t="str">
        <f>INDEX(Agences!$C:$C,MATCH(F2961,Agences!$A:$A,0))</f>
        <v>Ouest</v>
      </c>
      <c r="P2961" t="str">
        <f>INDEX(Produits!$C:$C,MATCH(H2961,Produits!$A:$A,0))</f>
        <v>Mobilier</v>
      </c>
      <c r="Q2961" s="3">
        <f>I2961*INDEX(Produits!$E:$E,MATCH(H2961,Produits!$A:$A,0))</f>
        <v>613.89</v>
      </c>
      <c r="R2961" s="3">
        <f>L2961-Q2961</f>
        <v>463.11</v>
      </c>
      <c r="S2961" s="2">
        <f>NETWORKDAYS(B2961,C2961)-1</f>
        <v>2</v>
      </c>
      <c r="T2961" s="1">
        <f>WORKDAY(B2961,5)</f>
        <v>45828</v>
      </c>
      <c r="U2961" t="b">
        <f>C2961&gt;T2961</f>
        <v>0</v>
      </c>
    </row>
    <row r="2962" spans="1:21" x14ac:dyDescent="0.25">
      <c r="A2962" t="s">
        <v>1865</v>
      </c>
      <c r="B2962" s="1">
        <v>45821</v>
      </c>
      <c r="C2962" s="1">
        <v>45825</v>
      </c>
      <c r="D2962" t="s">
        <v>1087</v>
      </c>
      <c r="E2962" t="s">
        <v>399</v>
      </c>
      <c r="F2962" t="s">
        <v>166</v>
      </c>
      <c r="G2962" t="s">
        <v>248</v>
      </c>
      <c r="H2962" t="s">
        <v>83</v>
      </c>
      <c r="I2962" s="2">
        <v>3</v>
      </c>
      <c r="J2962" s="3">
        <v>49</v>
      </c>
      <c r="K2962" s="4">
        <v>0</v>
      </c>
      <c r="L2962" s="3">
        <v>147</v>
      </c>
      <c r="M2962" t="b">
        <v>1</v>
      </c>
      <c r="N2962" s="2">
        <f>YEAR(B2962)</f>
        <v>2025</v>
      </c>
      <c r="O2962" t="str">
        <f>INDEX(Agences!$C:$C,MATCH(F2962,Agences!$A:$A,0))</f>
        <v>Ouest</v>
      </c>
      <c r="P2962" t="str">
        <f>INDEX(Produits!$C:$C,MATCH(H2962,Produits!$A:$A,0))</f>
        <v>Mobilier</v>
      </c>
      <c r="Q2962" s="3">
        <f>I2962*INDEX(Produits!$E:$E,MATCH(H2962,Produits!$A:$A,0))</f>
        <v>85.26</v>
      </c>
      <c r="R2962" s="3">
        <f>L2962-Q2962</f>
        <v>61.739999999999995</v>
      </c>
      <c r="S2962" s="2">
        <f>NETWORKDAYS(B2962,C2962)-1</f>
        <v>2</v>
      </c>
      <c r="T2962" s="1">
        <f>WORKDAY(B2962,5)</f>
        <v>45828</v>
      </c>
      <c r="U2962" t="b">
        <f>C2962&gt;T2962</f>
        <v>0</v>
      </c>
    </row>
    <row r="2963" spans="1:21" x14ac:dyDescent="0.25">
      <c r="A2963" t="s">
        <v>1866</v>
      </c>
      <c r="B2963" s="1">
        <v>45820</v>
      </c>
      <c r="C2963" s="1">
        <v>45825</v>
      </c>
      <c r="D2963" t="s">
        <v>1209</v>
      </c>
      <c r="E2963" t="s">
        <v>119</v>
      </c>
      <c r="F2963" t="s">
        <v>24</v>
      </c>
      <c r="G2963" t="s">
        <v>25</v>
      </c>
      <c r="H2963" t="s">
        <v>50</v>
      </c>
      <c r="I2963" s="2">
        <v>4</v>
      </c>
      <c r="J2963" s="3">
        <v>69</v>
      </c>
      <c r="K2963" s="4">
        <v>0</v>
      </c>
      <c r="L2963" s="3">
        <v>276</v>
      </c>
      <c r="M2963" t="b">
        <v>1</v>
      </c>
      <c r="N2963" s="2">
        <f>YEAR(B2963)</f>
        <v>2025</v>
      </c>
      <c r="O2963" t="str">
        <f>INDEX(Agences!$C:$C,MATCH(F2963,Agences!$A:$A,0))</f>
        <v>Nord</v>
      </c>
      <c r="P2963" t="str">
        <f>INDEX(Produits!$C:$C,MATCH(H2963,Produits!$A:$A,0))</f>
        <v>Informatique</v>
      </c>
      <c r="Q2963" s="3">
        <f>I2963*INDEX(Produits!$E:$E,MATCH(H2963,Produits!$A:$A,0))</f>
        <v>218.04</v>
      </c>
      <c r="R2963" s="3">
        <f>L2963-Q2963</f>
        <v>57.96000000000001</v>
      </c>
      <c r="S2963" s="2">
        <f>NETWORKDAYS(B2963,C2963)-1</f>
        <v>3</v>
      </c>
      <c r="T2963" s="1">
        <f>WORKDAY(B2963,5)</f>
        <v>45827</v>
      </c>
      <c r="U2963" t="b">
        <f>C2963&gt;T2963</f>
        <v>0</v>
      </c>
    </row>
    <row r="2964" spans="1:21" x14ac:dyDescent="0.25">
      <c r="A2964" t="s">
        <v>1866</v>
      </c>
      <c r="B2964" s="1">
        <v>45820</v>
      </c>
      <c r="C2964" s="1">
        <v>45825</v>
      </c>
      <c r="D2964" t="s">
        <v>1209</v>
      </c>
      <c r="E2964" t="s">
        <v>119</v>
      </c>
      <c r="F2964" t="s">
        <v>24</v>
      </c>
      <c r="G2964" t="s">
        <v>25</v>
      </c>
      <c r="H2964" t="s">
        <v>34</v>
      </c>
      <c r="I2964" s="2">
        <v>1</v>
      </c>
      <c r="J2964" s="3">
        <v>340</v>
      </c>
      <c r="K2964" s="4">
        <v>0</v>
      </c>
      <c r="L2964" s="3">
        <v>340</v>
      </c>
      <c r="M2964" t="b">
        <v>1</v>
      </c>
      <c r="N2964" s="2">
        <f>YEAR(B2964)</f>
        <v>2025</v>
      </c>
      <c r="O2964" t="str">
        <f>INDEX(Agences!$C:$C,MATCH(F2964,Agences!$A:$A,0))</f>
        <v>Nord</v>
      </c>
      <c r="P2964" t="str">
        <f>INDEX(Produits!$C:$C,MATCH(H2964,Produits!$A:$A,0))</f>
        <v>Informatique</v>
      </c>
      <c r="Q2964" s="3">
        <f>I2964*INDEX(Produits!$E:$E,MATCH(H2964,Produits!$A:$A,0))</f>
        <v>275.4</v>
      </c>
      <c r="R2964" s="3">
        <f>L2964-Q2964</f>
        <v>64.60000000000002</v>
      </c>
      <c r="S2964" s="2">
        <f>NETWORKDAYS(B2964,C2964)-1</f>
        <v>3</v>
      </c>
      <c r="T2964" s="1">
        <f>WORKDAY(B2964,5)</f>
        <v>45827</v>
      </c>
      <c r="U2964" t="b">
        <f>C2964&gt;T2964</f>
        <v>0</v>
      </c>
    </row>
    <row r="2965" spans="1:21" x14ac:dyDescent="0.25">
      <c r="A2965" t="s">
        <v>1866</v>
      </c>
      <c r="B2965" s="1">
        <v>45820</v>
      </c>
      <c r="C2965" s="1">
        <v>45825</v>
      </c>
      <c r="D2965" t="s">
        <v>1209</v>
      </c>
      <c r="E2965" t="s">
        <v>119</v>
      </c>
      <c r="F2965" t="s">
        <v>24</v>
      </c>
      <c r="G2965" t="s">
        <v>25</v>
      </c>
      <c r="H2965" t="s">
        <v>42</v>
      </c>
      <c r="I2965" s="2">
        <v>4</v>
      </c>
      <c r="J2965" s="3">
        <v>55</v>
      </c>
      <c r="K2965" s="4">
        <v>0</v>
      </c>
      <c r="L2965" s="3">
        <v>220</v>
      </c>
      <c r="M2965" t="b">
        <v>1</v>
      </c>
      <c r="N2965" s="2">
        <f>YEAR(B2965)</f>
        <v>2025</v>
      </c>
      <c r="O2965" t="str">
        <f>INDEX(Agences!$C:$C,MATCH(F2965,Agences!$A:$A,0))</f>
        <v>Nord</v>
      </c>
      <c r="P2965" t="str">
        <f>INDEX(Produits!$C:$C,MATCH(H2965,Produits!$A:$A,0))</f>
        <v>Maintenance</v>
      </c>
      <c r="Q2965" s="3">
        <f>I2965*INDEX(Produits!$E:$E,MATCH(H2965,Produits!$A:$A,0))</f>
        <v>99</v>
      </c>
      <c r="R2965" s="3">
        <f>L2965-Q2965</f>
        <v>121</v>
      </c>
      <c r="S2965" s="2">
        <f>NETWORKDAYS(B2965,C2965)-1</f>
        <v>3</v>
      </c>
      <c r="T2965" s="1">
        <f>WORKDAY(B2965,5)</f>
        <v>45827</v>
      </c>
      <c r="U2965" t="b">
        <f>C2965&gt;T2965</f>
        <v>0</v>
      </c>
    </row>
    <row r="2966" spans="1:21" x14ac:dyDescent="0.25">
      <c r="A2966" t="s">
        <v>1866</v>
      </c>
      <c r="B2966" s="1">
        <v>45820</v>
      </c>
      <c r="C2966" s="1">
        <v>45825</v>
      </c>
      <c r="D2966" t="s">
        <v>1209</v>
      </c>
      <c r="E2966" t="s">
        <v>119</v>
      </c>
      <c r="F2966" t="s">
        <v>24</v>
      </c>
      <c r="G2966" t="s">
        <v>25</v>
      </c>
      <c r="H2966" t="s">
        <v>107</v>
      </c>
      <c r="I2966" s="2">
        <v>1</v>
      </c>
      <c r="J2966" s="3">
        <v>99</v>
      </c>
      <c r="K2966" s="4">
        <v>0</v>
      </c>
      <c r="L2966" s="3">
        <v>99</v>
      </c>
      <c r="M2966" t="b">
        <v>1</v>
      </c>
      <c r="N2966" s="2">
        <f>YEAR(B2966)</f>
        <v>2025</v>
      </c>
      <c r="O2966" t="str">
        <f>INDEX(Agences!$C:$C,MATCH(F2966,Agences!$A:$A,0))</f>
        <v>Nord</v>
      </c>
      <c r="P2966" t="str">
        <f>INDEX(Produits!$C:$C,MATCH(H2966,Produits!$A:$A,0))</f>
        <v>Informatique</v>
      </c>
      <c r="Q2966" s="3">
        <f>I2966*INDEX(Produits!$E:$E,MATCH(H2966,Produits!$A:$A,0))</f>
        <v>75.24</v>
      </c>
      <c r="R2966" s="3">
        <f>L2966-Q2966</f>
        <v>23.760000000000005</v>
      </c>
      <c r="S2966" s="2">
        <f>NETWORKDAYS(B2966,C2966)-1</f>
        <v>3</v>
      </c>
      <c r="T2966" s="1">
        <f>WORKDAY(B2966,5)</f>
        <v>45827</v>
      </c>
      <c r="U2966" t="b">
        <f>C2966&gt;T2966</f>
        <v>0</v>
      </c>
    </row>
    <row r="2967" spans="1:21" x14ac:dyDescent="0.25">
      <c r="A2967" t="s">
        <v>1867</v>
      </c>
      <c r="B2967" s="1">
        <v>45820</v>
      </c>
      <c r="C2967" s="1">
        <v>45825</v>
      </c>
      <c r="D2967" t="s">
        <v>869</v>
      </c>
      <c r="E2967" t="s">
        <v>175</v>
      </c>
      <c r="F2967" t="s">
        <v>76</v>
      </c>
      <c r="G2967" t="s">
        <v>232</v>
      </c>
      <c r="H2967" t="s">
        <v>42</v>
      </c>
      <c r="I2967" s="2">
        <v>1</v>
      </c>
      <c r="J2967" s="3">
        <v>55</v>
      </c>
      <c r="K2967" s="4">
        <v>0.02</v>
      </c>
      <c r="L2967" s="3">
        <v>53.9</v>
      </c>
      <c r="M2967" t="b">
        <v>1</v>
      </c>
      <c r="N2967" s="2">
        <f>YEAR(B2967)</f>
        <v>2025</v>
      </c>
      <c r="O2967" t="str">
        <f>INDEX(Agences!$C:$C,MATCH(F2967,Agences!$A:$A,0))</f>
        <v>Île-de-France</v>
      </c>
      <c r="P2967" t="str">
        <f>INDEX(Produits!$C:$C,MATCH(H2967,Produits!$A:$A,0))</f>
        <v>Maintenance</v>
      </c>
      <c r="Q2967" s="3">
        <f>I2967*INDEX(Produits!$E:$E,MATCH(H2967,Produits!$A:$A,0))</f>
        <v>24.75</v>
      </c>
      <c r="R2967" s="3">
        <f>L2967-Q2967</f>
        <v>29.15</v>
      </c>
      <c r="S2967" s="2">
        <f>NETWORKDAYS(B2967,C2967)-1</f>
        <v>3</v>
      </c>
      <c r="T2967" s="1">
        <f>WORKDAY(B2967,5)</f>
        <v>45827</v>
      </c>
      <c r="U2967" t="b">
        <f>C2967&gt;T2967</f>
        <v>0</v>
      </c>
    </row>
    <row r="2968" spans="1:21" x14ac:dyDescent="0.25">
      <c r="A2968" t="s">
        <v>1868</v>
      </c>
      <c r="B2968" s="1">
        <v>45820</v>
      </c>
      <c r="C2968" s="1">
        <v>45827</v>
      </c>
      <c r="D2968" t="s">
        <v>239</v>
      </c>
      <c r="E2968" t="s">
        <v>87</v>
      </c>
      <c r="F2968" t="s">
        <v>88</v>
      </c>
      <c r="G2968" t="s">
        <v>89</v>
      </c>
      <c r="H2968" t="s">
        <v>108</v>
      </c>
      <c r="I2968" s="2">
        <v>5</v>
      </c>
      <c r="J2968" s="3">
        <v>24.5</v>
      </c>
      <c r="K2968" s="4">
        <v>0</v>
      </c>
      <c r="L2968" s="3">
        <v>122.5</v>
      </c>
      <c r="M2968" t="b">
        <v>1</v>
      </c>
      <c r="N2968" s="2">
        <f>YEAR(B2968)</f>
        <v>2025</v>
      </c>
      <c r="O2968" t="str">
        <f>INDEX(Agences!$C:$C,MATCH(F2968,Agences!$A:$A,0))</f>
        <v>Sud-Ouest</v>
      </c>
      <c r="P2968" t="str">
        <f>INDEX(Produits!$C:$C,MATCH(H2968,Produits!$A:$A,0))</f>
        <v>Fournitures</v>
      </c>
      <c r="Q2968" s="3">
        <f>I2968*INDEX(Produits!$E:$E,MATCH(H2968,Produits!$A:$A,0))</f>
        <v>73.5</v>
      </c>
      <c r="R2968" s="3">
        <f>L2968-Q2968</f>
        <v>49</v>
      </c>
      <c r="S2968" s="2">
        <f>NETWORKDAYS(B2968,C2968)-1</f>
        <v>5</v>
      </c>
      <c r="T2968" s="1">
        <f>WORKDAY(B2968,5)</f>
        <v>45827</v>
      </c>
      <c r="U2968" t="b">
        <f>C2968&gt;T2968</f>
        <v>0</v>
      </c>
    </row>
    <row r="2969" spans="1:21" x14ac:dyDescent="0.25">
      <c r="A2969" t="s">
        <v>1868</v>
      </c>
      <c r="B2969" s="1">
        <v>45820</v>
      </c>
      <c r="C2969" s="1">
        <v>45827</v>
      </c>
      <c r="D2969" t="s">
        <v>239</v>
      </c>
      <c r="E2969" t="s">
        <v>87</v>
      </c>
      <c r="F2969" t="s">
        <v>88</v>
      </c>
      <c r="G2969" t="s">
        <v>89</v>
      </c>
      <c r="H2969" t="s">
        <v>107</v>
      </c>
      <c r="I2969" s="2">
        <v>1</v>
      </c>
      <c r="J2969" s="3">
        <v>99</v>
      </c>
      <c r="K2969" s="4">
        <v>0</v>
      </c>
      <c r="L2969" s="3">
        <v>99</v>
      </c>
      <c r="M2969" t="b">
        <v>1</v>
      </c>
      <c r="N2969" s="2">
        <f>YEAR(B2969)</f>
        <v>2025</v>
      </c>
      <c r="O2969" t="str">
        <f>INDEX(Agences!$C:$C,MATCH(F2969,Agences!$A:$A,0))</f>
        <v>Sud-Ouest</v>
      </c>
      <c r="P2969" t="str">
        <f>INDEX(Produits!$C:$C,MATCH(H2969,Produits!$A:$A,0))</f>
        <v>Informatique</v>
      </c>
      <c r="Q2969" s="3">
        <f>I2969*INDEX(Produits!$E:$E,MATCH(H2969,Produits!$A:$A,0))</f>
        <v>75.24</v>
      </c>
      <c r="R2969" s="3">
        <f>L2969-Q2969</f>
        <v>23.760000000000005</v>
      </c>
      <c r="S2969" s="2">
        <f>NETWORKDAYS(B2969,C2969)-1</f>
        <v>5</v>
      </c>
      <c r="T2969" s="1">
        <f>WORKDAY(B2969,5)</f>
        <v>45827</v>
      </c>
      <c r="U2969" t="b">
        <f>C2969&gt;T2969</f>
        <v>0</v>
      </c>
    </row>
    <row r="2970" spans="1:21" x14ac:dyDescent="0.25">
      <c r="A2970" t="s">
        <v>1869</v>
      </c>
      <c r="B2970" s="1">
        <v>45819</v>
      </c>
      <c r="C2970" s="1">
        <v>45821</v>
      </c>
      <c r="D2970" t="s">
        <v>1006</v>
      </c>
      <c r="E2970" t="s">
        <v>122</v>
      </c>
      <c r="F2970" t="s">
        <v>24</v>
      </c>
      <c r="G2970" t="s">
        <v>199</v>
      </c>
      <c r="H2970" t="s">
        <v>83</v>
      </c>
      <c r="I2970" s="2">
        <v>2</v>
      </c>
      <c r="J2970" s="3">
        <v>49</v>
      </c>
      <c r="K2970" s="4">
        <v>0</v>
      </c>
      <c r="L2970" s="3">
        <v>98</v>
      </c>
      <c r="M2970" t="b">
        <v>1</v>
      </c>
      <c r="N2970" s="2">
        <f>YEAR(B2970)</f>
        <v>2025</v>
      </c>
      <c r="O2970" t="str">
        <f>INDEX(Agences!$C:$C,MATCH(F2970,Agences!$A:$A,0))</f>
        <v>Nord</v>
      </c>
      <c r="P2970" t="str">
        <f>INDEX(Produits!$C:$C,MATCH(H2970,Produits!$A:$A,0))</f>
        <v>Mobilier</v>
      </c>
      <c r="Q2970" s="3">
        <f>I2970*INDEX(Produits!$E:$E,MATCH(H2970,Produits!$A:$A,0))</f>
        <v>56.84</v>
      </c>
      <c r="R2970" s="3">
        <f>L2970-Q2970</f>
        <v>41.16</v>
      </c>
      <c r="S2970" s="2">
        <f>NETWORKDAYS(B2970,C2970)-1</f>
        <v>2</v>
      </c>
      <c r="T2970" s="1">
        <f>WORKDAY(B2970,5)</f>
        <v>45826</v>
      </c>
      <c r="U2970" t="b">
        <f>C2970&gt;T2970</f>
        <v>0</v>
      </c>
    </row>
    <row r="2971" spans="1:21" x14ac:dyDescent="0.25">
      <c r="A2971" t="s">
        <v>1869</v>
      </c>
      <c r="B2971" s="1">
        <v>45819</v>
      </c>
      <c r="C2971" s="1">
        <v>45821</v>
      </c>
      <c r="D2971" t="s">
        <v>1006</v>
      </c>
      <c r="E2971" t="s">
        <v>122</v>
      </c>
      <c r="F2971" t="s">
        <v>24</v>
      </c>
      <c r="G2971" t="s">
        <v>199</v>
      </c>
      <c r="H2971" t="s">
        <v>84</v>
      </c>
      <c r="I2971" s="2">
        <v>2</v>
      </c>
      <c r="J2971" s="3">
        <v>420</v>
      </c>
      <c r="K2971" s="4">
        <v>0.05</v>
      </c>
      <c r="L2971" s="3">
        <v>798</v>
      </c>
      <c r="M2971" t="b">
        <v>1</v>
      </c>
      <c r="N2971" s="2">
        <f>YEAR(B2971)</f>
        <v>2025</v>
      </c>
      <c r="O2971" t="str">
        <f>INDEX(Agences!$C:$C,MATCH(F2971,Agences!$A:$A,0))</f>
        <v>Nord</v>
      </c>
      <c r="P2971" t="str">
        <f>INDEX(Produits!$C:$C,MATCH(H2971,Produits!$A:$A,0))</f>
        <v>Mobilier</v>
      </c>
      <c r="Q2971" s="3">
        <f>I2971*INDEX(Produits!$E:$E,MATCH(H2971,Produits!$A:$A,0))</f>
        <v>487.2</v>
      </c>
      <c r="R2971" s="3">
        <f>L2971-Q2971</f>
        <v>310.8</v>
      </c>
      <c r="S2971" s="2">
        <f>NETWORKDAYS(B2971,C2971)-1</f>
        <v>2</v>
      </c>
      <c r="T2971" s="1">
        <f>WORKDAY(B2971,5)</f>
        <v>45826</v>
      </c>
      <c r="U2971" t="b">
        <f>C2971&gt;T2971</f>
        <v>0</v>
      </c>
    </row>
    <row r="2972" spans="1:21" x14ac:dyDescent="0.25">
      <c r="A2972" t="s">
        <v>1870</v>
      </c>
      <c r="B2972" s="1">
        <v>45819</v>
      </c>
      <c r="C2972" s="1">
        <v>45825</v>
      </c>
      <c r="D2972" t="s">
        <v>1871</v>
      </c>
      <c r="E2972" t="s">
        <v>165</v>
      </c>
      <c r="F2972" t="s">
        <v>166</v>
      </c>
      <c r="G2972" t="s">
        <v>179</v>
      </c>
      <c r="H2972" t="s">
        <v>206</v>
      </c>
      <c r="I2972" s="2">
        <v>5</v>
      </c>
      <c r="J2972" s="3">
        <v>34</v>
      </c>
      <c r="K2972" s="4">
        <v>0</v>
      </c>
      <c r="L2972" s="3">
        <v>170</v>
      </c>
      <c r="M2972" t="b">
        <v>1</v>
      </c>
      <c r="N2972" s="2">
        <f>YEAR(B2972)</f>
        <v>2025</v>
      </c>
      <c r="O2972" t="str">
        <f>INDEX(Agences!$C:$C,MATCH(F2972,Agences!$A:$A,0))</f>
        <v>Ouest</v>
      </c>
      <c r="P2972" t="str">
        <f>INDEX(Produits!$C:$C,MATCH(H2972,Produits!$A:$A,0))</f>
        <v>Fournitures</v>
      </c>
      <c r="Q2972" s="3">
        <f>I2972*INDEX(Produits!$E:$E,MATCH(H2972,Produits!$A:$A,0))</f>
        <v>96.89999999999999</v>
      </c>
      <c r="R2972" s="3">
        <f>L2972-Q2972</f>
        <v>73.10000000000001</v>
      </c>
      <c r="S2972" s="2">
        <f>NETWORKDAYS(B2972,C2972)-1</f>
        <v>4</v>
      </c>
      <c r="T2972" s="1">
        <f>WORKDAY(B2972,5)</f>
        <v>45826</v>
      </c>
      <c r="U2972" t="b">
        <f>C2972&gt;T2972</f>
        <v>0</v>
      </c>
    </row>
    <row r="2973" spans="1:21" x14ac:dyDescent="0.25">
      <c r="A2973" t="s">
        <v>1870</v>
      </c>
      <c r="B2973" s="1">
        <v>45819</v>
      </c>
      <c r="C2973" s="1">
        <v>45825</v>
      </c>
      <c r="D2973" t="s">
        <v>1871</v>
      </c>
      <c r="E2973" t="s">
        <v>165</v>
      </c>
      <c r="F2973" t="s">
        <v>166</v>
      </c>
      <c r="G2973" t="s">
        <v>179</v>
      </c>
      <c r="H2973" t="s">
        <v>83</v>
      </c>
      <c r="I2973" s="2">
        <v>1</v>
      </c>
      <c r="J2973" s="3">
        <v>49</v>
      </c>
      <c r="K2973" s="4">
        <v>0.02</v>
      </c>
      <c r="L2973" s="3">
        <v>48.02</v>
      </c>
      <c r="M2973" t="b">
        <v>1</v>
      </c>
      <c r="N2973" s="2">
        <f>YEAR(B2973)</f>
        <v>2025</v>
      </c>
      <c r="O2973" t="str">
        <f>INDEX(Agences!$C:$C,MATCH(F2973,Agences!$A:$A,0))</f>
        <v>Ouest</v>
      </c>
      <c r="P2973" t="str">
        <f>INDEX(Produits!$C:$C,MATCH(H2973,Produits!$A:$A,0))</f>
        <v>Mobilier</v>
      </c>
      <c r="Q2973" s="3">
        <f>I2973*INDEX(Produits!$E:$E,MATCH(H2973,Produits!$A:$A,0))</f>
        <v>28.42</v>
      </c>
      <c r="R2973" s="3">
        <f>L2973-Q2973</f>
        <v>19.6</v>
      </c>
      <c r="S2973" s="2">
        <f>NETWORKDAYS(B2973,C2973)-1</f>
        <v>4</v>
      </c>
      <c r="T2973" s="1">
        <f>WORKDAY(B2973,5)</f>
        <v>45826</v>
      </c>
      <c r="U2973" t="b">
        <f>C2973&gt;T2973</f>
        <v>0</v>
      </c>
    </row>
    <row r="2974" spans="1:21" x14ac:dyDescent="0.25">
      <c r="A2974" t="s">
        <v>1872</v>
      </c>
      <c r="B2974" s="1">
        <v>45819</v>
      </c>
      <c r="C2974" s="1">
        <v>45824</v>
      </c>
      <c r="D2974" t="s">
        <v>1039</v>
      </c>
      <c r="E2974" t="s">
        <v>374</v>
      </c>
      <c r="F2974" t="s">
        <v>31</v>
      </c>
      <c r="G2974" t="s">
        <v>375</v>
      </c>
      <c r="H2974" t="s">
        <v>103</v>
      </c>
      <c r="I2974" s="2">
        <v>3</v>
      </c>
      <c r="J2974" s="3">
        <v>245</v>
      </c>
      <c r="K2974" s="4">
        <v>0.02</v>
      </c>
      <c r="L2974" s="3">
        <v>720.3</v>
      </c>
      <c r="M2974" t="b">
        <v>1</v>
      </c>
      <c r="N2974" s="2">
        <f>YEAR(B2974)</f>
        <v>2025</v>
      </c>
      <c r="O2974" t="str">
        <f>INDEX(Agences!$C:$C,MATCH(F2974,Agences!$A:$A,0))</f>
        <v>Ouest</v>
      </c>
      <c r="P2974" t="str">
        <f>INDEX(Produits!$C:$C,MATCH(H2974,Produits!$A:$A,0))</f>
        <v>Mobilier</v>
      </c>
      <c r="Q2974" s="3">
        <f>I2974*INDEX(Produits!$E:$E,MATCH(H2974,Produits!$A:$A,0))</f>
        <v>492.45000000000005</v>
      </c>
      <c r="R2974" s="3">
        <f>L2974-Q2974</f>
        <v>227.8499999999999</v>
      </c>
      <c r="S2974" s="2">
        <f>NETWORKDAYS(B2974,C2974)-1</f>
        <v>3</v>
      </c>
      <c r="T2974" s="1">
        <f>WORKDAY(B2974,5)</f>
        <v>45826</v>
      </c>
      <c r="U2974" t="b">
        <f>C2974&gt;T2974</f>
        <v>0</v>
      </c>
    </row>
    <row r="2975" spans="1:21" x14ac:dyDescent="0.25">
      <c r="A2975" t="s">
        <v>1873</v>
      </c>
      <c r="B2975" s="1">
        <v>45819</v>
      </c>
      <c r="C2975" s="1">
        <v>45820</v>
      </c>
      <c r="D2975" t="s">
        <v>1874</v>
      </c>
      <c r="E2975" t="s">
        <v>130</v>
      </c>
      <c r="F2975" t="s">
        <v>39</v>
      </c>
      <c r="G2975" t="s">
        <v>131</v>
      </c>
      <c r="H2975" t="s">
        <v>58</v>
      </c>
      <c r="I2975" s="2">
        <v>1</v>
      </c>
      <c r="J2975" s="3">
        <v>649</v>
      </c>
      <c r="K2975" s="4">
        <v>0.05</v>
      </c>
      <c r="L2975" s="3">
        <v>616.55</v>
      </c>
      <c r="M2975" t="b">
        <v>1</v>
      </c>
      <c r="N2975" s="2">
        <f>YEAR(B2975)</f>
        <v>2025</v>
      </c>
      <c r="O2975" t="str">
        <f>INDEX(Agences!$C:$C,MATCH(F2975,Agences!$A:$A,0))</f>
        <v>Sud-Ouest</v>
      </c>
      <c r="P2975" t="str">
        <f>INDEX(Produits!$C:$C,MATCH(H2975,Produits!$A:$A,0))</f>
        <v>Mobilier</v>
      </c>
      <c r="Q2975" s="3">
        <f>I2975*INDEX(Produits!$E:$E,MATCH(H2975,Produits!$A:$A,0))</f>
        <v>408.87</v>
      </c>
      <c r="R2975" s="3">
        <f>L2975-Q2975</f>
        <v>207.67999999999995</v>
      </c>
      <c r="S2975" s="2">
        <f>NETWORKDAYS(B2975,C2975)-1</f>
        <v>1</v>
      </c>
      <c r="T2975" s="1">
        <f>WORKDAY(B2975,5)</f>
        <v>45826</v>
      </c>
      <c r="U2975" t="b">
        <f>C2975&gt;T2975</f>
        <v>0</v>
      </c>
    </row>
    <row r="2976" spans="1:21" x14ac:dyDescent="0.25">
      <c r="A2976" t="s">
        <v>1873</v>
      </c>
      <c r="B2976" s="1">
        <v>45819</v>
      </c>
      <c r="C2976" s="1">
        <v>45820</v>
      </c>
      <c r="D2976" t="s">
        <v>1874</v>
      </c>
      <c r="E2976" t="s">
        <v>130</v>
      </c>
      <c r="F2976" t="s">
        <v>39</v>
      </c>
      <c r="G2976" t="s">
        <v>131</v>
      </c>
      <c r="H2976" t="s">
        <v>83</v>
      </c>
      <c r="I2976" s="2">
        <v>1</v>
      </c>
      <c r="J2976" s="3">
        <v>49</v>
      </c>
      <c r="K2976" s="4">
        <v>0</v>
      </c>
      <c r="L2976" s="3">
        <v>49</v>
      </c>
      <c r="M2976" t="b">
        <v>1</v>
      </c>
      <c r="N2976" s="2">
        <f>YEAR(B2976)</f>
        <v>2025</v>
      </c>
      <c r="O2976" t="str">
        <f>INDEX(Agences!$C:$C,MATCH(F2976,Agences!$A:$A,0))</f>
        <v>Sud-Ouest</v>
      </c>
      <c r="P2976" t="str">
        <f>INDEX(Produits!$C:$C,MATCH(H2976,Produits!$A:$A,0))</f>
        <v>Mobilier</v>
      </c>
      <c r="Q2976" s="3">
        <f>I2976*INDEX(Produits!$E:$E,MATCH(H2976,Produits!$A:$A,0))</f>
        <v>28.42</v>
      </c>
      <c r="R2976" s="3">
        <f>L2976-Q2976</f>
        <v>20.58</v>
      </c>
      <c r="S2976" s="2">
        <f>NETWORKDAYS(B2976,C2976)-1</f>
        <v>1</v>
      </c>
      <c r="T2976" s="1">
        <f>WORKDAY(B2976,5)</f>
        <v>45826</v>
      </c>
      <c r="U2976" t="b">
        <f>C2976&gt;T2976</f>
        <v>0</v>
      </c>
    </row>
    <row r="2977" spans="1:21" x14ac:dyDescent="0.25">
      <c r="A2977" t="s">
        <v>1875</v>
      </c>
      <c r="B2977" s="1">
        <v>45819</v>
      </c>
      <c r="C2977" s="1">
        <v>45820</v>
      </c>
      <c r="D2977" t="s">
        <v>1152</v>
      </c>
      <c r="E2977" t="s">
        <v>194</v>
      </c>
      <c r="F2977" t="s">
        <v>55</v>
      </c>
      <c r="G2977" t="s">
        <v>195</v>
      </c>
      <c r="H2977" t="s">
        <v>57</v>
      </c>
      <c r="I2977" s="2">
        <v>1</v>
      </c>
      <c r="J2977" s="3">
        <v>149</v>
      </c>
      <c r="K2977" s="4">
        <v>0</v>
      </c>
      <c r="L2977" s="3">
        <v>149</v>
      </c>
      <c r="M2977" t="b">
        <v>1</v>
      </c>
      <c r="N2977" s="2">
        <f>YEAR(B2977)</f>
        <v>2025</v>
      </c>
      <c r="O2977" t="str">
        <f>INDEX(Agences!$C:$C,MATCH(F2977,Agences!$A:$A,0))</f>
        <v>Est</v>
      </c>
      <c r="P2977" t="str">
        <f>INDEX(Produits!$C:$C,MATCH(H2977,Produits!$A:$A,0))</f>
        <v>Informatique</v>
      </c>
      <c r="Q2977" s="3">
        <f>I2977*INDEX(Produits!$E:$E,MATCH(H2977,Produits!$A:$A,0))</f>
        <v>114.73</v>
      </c>
      <c r="R2977" s="3">
        <f>L2977-Q2977</f>
        <v>34.269999999999996</v>
      </c>
      <c r="S2977" s="2">
        <f>NETWORKDAYS(B2977,C2977)-1</f>
        <v>1</v>
      </c>
      <c r="T2977" s="1">
        <f>WORKDAY(B2977,5)</f>
        <v>45826</v>
      </c>
      <c r="U2977" t="b">
        <f>C2977&gt;T2977</f>
        <v>0</v>
      </c>
    </row>
    <row r="2978" spans="1:21" x14ac:dyDescent="0.25">
      <c r="A2978" t="s">
        <v>1875</v>
      </c>
      <c r="B2978" s="1">
        <v>45819</v>
      </c>
      <c r="C2978" s="1">
        <v>45820</v>
      </c>
      <c r="D2978" t="s">
        <v>1152</v>
      </c>
      <c r="E2978" t="s">
        <v>194</v>
      </c>
      <c r="F2978" t="s">
        <v>55</v>
      </c>
      <c r="G2978" t="s">
        <v>195</v>
      </c>
      <c r="H2978" t="s">
        <v>72</v>
      </c>
      <c r="I2978" s="2">
        <v>2</v>
      </c>
      <c r="J2978" s="3">
        <v>179</v>
      </c>
      <c r="K2978" s="4">
        <v>0.08</v>
      </c>
      <c r="L2978" s="3">
        <v>329.36</v>
      </c>
      <c r="M2978" t="b">
        <v>1</v>
      </c>
      <c r="N2978" s="2">
        <f>YEAR(B2978)</f>
        <v>2025</v>
      </c>
      <c r="O2978" t="str">
        <f>INDEX(Agences!$C:$C,MATCH(F2978,Agences!$A:$A,0))</f>
        <v>Est</v>
      </c>
      <c r="P2978" t="str">
        <f>INDEX(Produits!$C:$C,MATCH(H2978,Produits!$A:$A,0))</f>
        <v>Informatique</v>
      </c>
      <c r="Q2978" s="3">
        <f>I2978*INDEX(Produits!$E:$E,MATCH(H2978,Produits!$A:$A,0))</f>
        <v>293.56</v>
      </c>
      <c r="R2978" s="3">
        <f>L2978-Q2978</f>
        <v>35.80000000000001</v>
      </c>
      <c r="S2978" s="2">
        <f>NETWORKDAYS(B2978,C2978)-1</f>
        <v>1</v>
      </c>
      <c r="T2978" s="1">
        <f>WORKDAY(B2978,5)</f>
        <v>45826</v>
      </c>
      <c r="U2978" t="b">
        <f>C2978&gt;T2978</f>
        <v>0</v>
      </c>
    </row>
    <row r="2979" spans="1:21" x14ac:dyDescent="0.25">
      <c r="A2979" t="s">
        <v>1875</v>
      </c>
      <c r="B2979" s="1">
        <v>45819</v>
      </c>
      <c r="C2979" s="1">
        <v>45820</v>
      </c>
      <c r="D2979" t="s">
        <v>1152</v>
      </c>
      <c r="E2979" t="s">
        <v>194</v>
      </c>
      <c r="F2979" t="s">
        <v>55</v>
      </c>
      <c r="G2979" t="s">
        <v>195</v>
      </c>
      <c r="H2979" t="s">
        <v>27</v>
      </c>
      <c r="I2979" s="2">
        <v>2</v>
      </c>
      <c r="J2979" s="3">
        <v>310</v>
      </c>
      <c r="K2979" s="4">
        <v>0.02</v>
      </c>
      <c r="L2979" s="3">
        <v>607.6</v>
      </c>
      <c r="M2979" t="b">
        <v>1</v>
      </c>
      <c r="N2979" s="2">
        <f>YEAR(B2979)</f>
        <v>2025</v>
      </c>
      <c r="O2979" t="str">
        <f>INDEX(Agences!$C:$C,MATCH(F2979,Agences!$A:$A,0))</f>
        <v>Est</v>
      </c>
      <c r="P2979" t="str">
        <f>INDEX(Produits!$C:$C,MATCH(H2979,Produits!$A:$A,0))</f>
        <v>Mobilier</v>
      </c>
      <c r="Q2979" s="3">
        <f>I2979*INDEX(Produits!$E:$E,MATCH(H2979,Produits!$A:$A,0))</f>
        <v>372</v>
      </c>
      <c r="R2979" s="3">
        <f>L2979-Q2979</f>
        <v>235.60000000000002</v>
      </c>
      <c r="S2979" s="2">
        <f>NETWORKDAYS(B2979,C2979)-1</f>
        <v>1</v>
      </c>
      <c r="T2979" s="1">
        <f>WORKDAY(B2979,5)</f>
        <v>45826</v>
      </c>
      <c r="U2979" t="b">
        <f>C2979&gt;T2979</f>
        <v>0</v>
      </c>
    </row>
    <row r="2980" spans="1:21" x14ac:dyDescent="0.25">
      <c r="A2980" t="s">
        <v>1876</v>
      </c>
      <c r="B2980" s="1">
        <v>45818</v>
      </c>
      <c r="C2980" s="1">
        <v>45819</v>
      </c>
      <c r="D2980" t="s">
        <v>1506</v>
      </c>
      <c r="E2980" t="s">
        <v>339</v>
      </c>
      <c r="F2980" t="s">
        <v>31</v>
      </c>
      <c r="G2980" t="s">
        <v>375</v>
      </c>
      <c r="H2980" t="s">
        <v>79</v>
      </c>
      <c r="I2980" s="2">
        <v>25</v>
      </c>
      <c r="J2980" s="3">
        <v>14.9</v>
      </c>
      <c r="K2980" s="4">
        <v>0.02</v>
      </c>
      <c r="L2980" s="3">
        <v>365.05</v>
      </c>
      <c r="M2980" t="b">
        <v>1</v>
      </c>
      <c r="N2980" s="2">
        <f>YEAR(B2980)</f>
        <v>2025</v>
      </c>
      <c r="O2980" t="str">
        <f>INDEX(Agences!$C:$C,MATCH(F2980,Agences!$A:$A,0))</f>
        <v>Ouest</v>
      </c>
      <c r="P2980" t="str">
        <f>INDEX(Produits!$C:$C,MATCH(H2980,Produits!$A:$A,0))</f>
        <v>Fournitures</v>
      </c>
      <c r="Q2980" s="3">
        <f>I2980*INDEX(Produits!$E:$E,MATCH(H2980,Produits!$A:$A,0))</f>
        <v>201.25000000000003</v>
      </c>
      <c r="R2980" s="3">
        <f>L2980-Q2980</f>
        <v>163.79999999999998</v>
      </c>
      <c r="S2980" s="2">
        <f>NETWORKDAYS(B2980,C2980)-1</f>
        <v>1</v>
      </c>
      <c r="T2980" s="1">
        <f>WORKDAY(B2980,5)</f>
        <v>45825</v>
      </c>
      <c r="U2980" t="b">
        <f>C2980&gt;T2980</f>
        <v>0</v>
      </c>
    </row>
    <row r="2981" spans="1:21" x14ac:dyDescent="0.25">
      <c r="A2981" t="s">
        <v>1877</v>
      </c>
      <c r="B2981" s="1">
        <v>45818</v>
      </c>
      <c r="C2981" s="1">
        <v>45821</v>
      </c>
      <c r="D2981" t="s">
        <v>1878</v>
      </c>
      <c r="E2981" t="s">
        <v>236</v>
      </c>
      <c r="F2981" t="s">
        <v>39</v>
      </c>
      <c r="G2981" t="s">
        <v>322</v>
      </c>
      <c r="H2981" t="s">
        <v>35</v>
      </c>
      <c r="I2981" s="2">
        <v>3</v>
      </c>
      <c r="J2981" s="3">
        <v>79</v>
      </c>
      <c r="K2981" s="4">
        <v>0.1</v>
      </c>
      <c r="L2981" s="3">
        <v>213.3</v>
      </c>
      <c r="M2981" t="b">
        <v>1</v>
      </c>
      <c r="N2981" s="2">
        <f>YEAR(B2981)</f>
        <v>2025</v>
      </c>
      <c r="O2981" t="str">
        <f>INDEX(Agences!$C:$C,MATCH(F2981,Agences!$A:$A,0))</f>
        <v>Sud-Ouest</v>
      </c>
      <c r="P2981" t="str">
        <f>INDEX(Produits!$C:$C,MATCH(H2981,Produits!$A:$A,0))</f>
        <v>Mobilier</v>
      </c>
      <c r="Q2981" s="3">
        <f>I2981*INDEX(Produits!$E:$E,MATCH(H2981,Produits!$A:$A,0))</f>
        <v>139.82999999999998</v>
      </c>
      <c r="R2981" s="3">
        <f>L2981-Q2981</f>
        <v>73.47000000000003</v>
      </c>
      <c r="S2981" s="2">
        <f>NETWORKDAYS(B2981,C2981)-1</f>
        <v>3</v>
      </c>
      <c r="T2981" s="1">
        <f>WORKDAY(B2981,5)</f>
        <v>45825</v>
      </c>
      <c r="U2981" t="b">
        <f>C2981&gt;T2981</f>
        <v>0</v>
      </c>
    </row>
    <row r="2982" spans="1:21" x14ac:dyDescent="0.25">
      <c r="A2982" t="s">
        <v>1877</v>
      </c>
      <c r="B2982" s="1">
        <v>45818</v>
      </c>
      <c r="C2982" s="1">
        <v>45821</v>
      </c>
      <c r="D2982" t="s">
        <v>1878</v>
      </c>
      <c r="E2982" t="s">
        <v>236</v>
      </c>
      <c r="F2982" t="s">
        <v>39</v>
      </c>
      <c r="G2982" t="s">
        <v>322</v>
      </c>
      <c r="H2982" t="s">
        <v>79</v>
      </c>
      <c r="I2982" s="2">
        <v>10</v>
      </c>
      <c r="J2982" s="3">
        <v>14.9</v>
      </c>
      <c r="K2982" s="4">
        <v>0.02</v>
      </c>
      <c r="L2982" s="3">
        <v>146.02</v>
      </c>
      <c r="M2982" t="b">
        <v>1</v>
      </c>
      <c r="N2982" s="2">
        <f>YEAR(B2982)</f>
        <v>2025</v>
      </c>
      <c r="O2982" t="str">
        <f>INDEX(Agences!$C:$C,MATCH(F2982,Agences!$A:$A,0))</f>
        <v>Sud-Ouest</v>
      </c>
      <c r="P2982" t="str">
        <f>INDEX(Produits!$C:$C,MATCH(H2982,Produits!$A:$A,0))</f>
        <v>Fournitures</v>
      </c>
      <c r="Q2982" s="3">
        <f>I2982*INDEX(Produits!$E:$E,MATCH(H2982,Produits!$A:$A,0))</f>
        <v>80.5</v>
      </c>
      <c r="R2982" s="3">
        <f>L2982-Q2982</f>
        <v>65.52000000000001</v>
      </c>
      <c r="S2982" s="2">
        <f>NETWORKDAYS(B2982,C2982)-1</f>
        <v>3</v>
      </c>
      <c r="T2982" s="1">
        <f>WORKDAY(B2982,5)</f>
        <v>45825</v>
      </c>
      <c r="U2982" t="b">
        <f>C2982&gt;T2982</f>
        <v>0</v>
      </c>
    </row>
    <row r="2983" spans="1:21" x14ac:dyDescent="0.25">
      <c r="A2983" t="s">
        <v>1879</v>
      </c>
      <c r="B2983" s="1">
        <v>45818</v>
      </c>
      <c r="C2983" s="1">
        <v>45819</v>
      </c>
      <c r="D2983" t="s">
        <v>535</v>
      </c>
      <c r="E2983" t="s">
        <v>236</v>
      </c>
      <c r="F2983" t="s">
        <v>39</v>
      </c>
      <c r="G2983" t="s">
        <v>131</v>
      </c>
      <c r="H2983" t="s">
        <v>72</v>
      </c>
      <c r="I2983" s="2">
        <v>1</v>
      </c>
      <c r="J2983" s="3">
        <v>179</v>
      </c>
      <c r="K2983" s="4">
        <v>0.02</v>
      </c>
      <c r="L2983" s="3">
        <v>175.42</v>
      </c>
      <c r="M2983" t="b">
        <v>1</v>
      </c>
      <c r="N2983" s="2">
        <f>YEAR(B2983)</f>
        <v>2025</v>
      </c>
      <c r="O2983" t="str">
        <f>INDEX(Agences!$C:$C,MATCH(F2983,Agences!$A:$A,0))</f>
        <v>Sud-Ouest</v>
      </c>
      <c r="P2983" t="str">
        <f>INDEX(Produits!$C:$C,MATCH(H2983,Produits!$A:$A,0))</f>
        <v>Informatique</v>
      </c>
      <c r="Q2983" s="3">
        <f>I2983*INDEX(Produits!$E:$E,MATCH(H2983,Produits!$A:$A,0))</f>
        <v>146.78</v>
      </c>
      <c r="R2983" s="3">
        <f>L2983-Q2983</f>
        <v>28.639999999999986</v>
      </c>
      <c r="S2983" s="2">
        <f>NETWORKDAYS(B2983,C2983)-1</f>
        <v>1</v>
      </c>
      <c r="T2983" s="1">
        <f>WORKDAY(B2983,5)</f>
        <v>45825</v>
      </c>
      <c r="U2983" t="b">
        <f>C2983&gt;T2983</f>
        <v>0</v>
      </c>
    </row>
    <row r="2984" spans="1:21" x14ac:dyDescent="0.25">
      <c r="A2984" t="s">
        <v>1879</v>
      </c>
      <c r="B2984" s="1">
        <v>45818</v>
      </c>
      <c r="C2984" s="1">
        <v>45819</v>
      </c>
      <c r="D2984" t="s">
        <v>535</v>
      </c>
      <c r="E2984" t="s">
        <v>236</v>
      </c>
      <c r="F2984" t="s">
        <v>39</v>
      </c>
      <c r="G2984" t="s">
        <v>131</v>
      </c>
      <c r="H2984" t="s">
        <v>107</v>
      </c>
      <c r="I2984" s="2">
        <v>3</v>
      </c>
      <c r="J2984" s="3">
        <v>99</v>
      </c>
      <c r="K2984" s="4">
        <v>0.08</v>
      </c>
      <c r="L2984" s="3">
        <v>273.24</v>
      </c>
      <c r="M2984" t="b">
        <v>1</v>
      </c>
      <c r="N2984" s="2">
        <f>YEAR(B2984)</f>
        <v>2025</v>
      </c>
      <c r="O2984" t="str">
        <f>INDEX(Agences!$C:$C,MATCH(F2984,Agences!$A:$A,0))</f>
        <v>Sud-Ouest</v>
      </c>
      <c r="P2984" t="str">
        <f>INDEX(Produits!$C:$C,MATCH(H2984,Produits!$A:$A,0))</f>
        <v>Informatique</v>
      </c>
      <c r="Q2984" s="3">
        <f>I2984*INDEX(Produits!$E:$E,MATCH(H2984,Produits!$A:$A,0))</f>
        <v>225.71999999999997</v>
      </c>
      <c r="R2984" s="3">
        <f>L2984-Q2984</f>
        <v>47.52000000000004</v>
      </c>
      <c r="S2984" s="2">
        <f>NETWORKDAYS(B2984,C2984)-1</f>
        <v>1</v>
      </c>
      <c r="T2984" s="1">
        <f>WORKDAY(B2984,5)</f>
        <v>45825</v>
      </c>
      <c r="U2984" t="b">
        <f>C2984&gt;T2984</f>
        <v>0</v>
      </c>
    </row>
    <row r="2985" spans="1:21" x14ac:dyDescent="0.25">
      <c r="A2985" t="s">
        <v>1879</v>
      </c>
      <c r="B2985" s="1">
        <v>45818</v>
      </c>
      <c r="C2985" s="1">
        <v>45819</v>
      </c>
      <c r="D2985" t="s">
        <v>535</v>
      </c>
      <c r="E2985" t="s">
        <v>236</v>
      </c>
      <c r="F2985" t="s">
        <v>39</v>
      </c>
      <c r="G2985" t="s">
        <v>131</v>
      </c>
      <c r="H2985" t="s">
        <v>51</v>
      </c>
      <c r="I2985" s="2">
        <v>1</v>
      </c>
      <c r="J2985" s="3">
        <v>180</v>
      </c>
      <c r="K2985" s="4">
        <v>0</v>
      </c>
      <c r="L2985" s="3">
        <v>180</v>
      </c>
      <c r="M2985" t="b">
        <v>1</v>
      </c>
      <c r="N2985" s="2">
        <f>YEAR(B2985)</f>
        <v>2025</v>
      </c>
      <c r="O2985" t="str">
        <f>INDEX(Agences!$C:$C,MATCH(F2985,Agences!$A:$A,0))</f>
        <v>Sud-Ouest</v>
      </c>
      <c r="P2985" t="str">
        <f>INDEX(Produits!$C:$C,MATCH(H2985,Produits!$A:$A,0))</f>
        <v>Maintenance</v>
      </c>
      <c r="Q2985" s="3">
        <f>I2985*INDEX(Produits!$E:$E,MATCH(H2985,Produits!$A:$A,0))</f>
        <v>82.8</v>
      </c>
      <c r="R2985" s="3">
        <f>L2985-Q2985</f>
        <v>97.2</v>
      </c>
      <c r="S2985" s="2">
        <f>NETWORKDAYS(B2985,C2985)-1</f>
        <v>1</v>
      </c>
      <c r="T2985" s="1">
        <f>WORKDAY(B2985,5)</f>
        <v>45825</v>
      </c>
      <c r="U2985" t="b">
        <f>C2985&gt;T2985</f>
        <v>0</v>
      </c>
    </row>
    <row r="2986" spans="1:21" x14ac:dyDescent="0.25">
      <c r="A2986" t="s">
        <v>1880</v>
      </c>
      <c r="B2986" s="1">
        <v>45818</v>
      </c>
      <c r="C2986" s="1">
        <v>45821</v>
      </c>
      <c r="D2986" t="s">
        <v>1881</v>
      </c>
      <c r="E2986" t="s">
        <v>191</v>
      </c>
      <c r="F2986" t="s">
        <v>62</v>
      </c>
      <c r="G2986" t="s">
        <v>106</v>
      </c>
      <c r="H2986" t="s">
        <v>42</v>
      </c>
      <c r="I2986" s="2">
        <v>1</v>
      </c>
      <c r="J2986" s="3">
        <v>55</v>
      </c>
      <c r="K2986" s="4">
        <v>0</v>
      </c>
      <c r="L2986" s="3">
        <v>55</v>
      </c>
      <c r="M2986" t="b">
        <v>1</v>
      </c>
      <c r="N2986" s="2">
        <f>YEAR(B2986)</f>
        <v>2025</v>
      </c>
      <c r="O2986" t="str">
        <f>INDEX(Agences!$C:$C,MATCH(F2986,Agences!$A:$A,0))</f>
        <v>Méditerranée</v>
      </c>
      <c r="P2986" t="str">
        <f>INDEX(Produits!$C:$C,MATCH(H2986,Produits!$A:$A,0))</f>
        <v>Maintenance</v>
      </c>
      <c r="Q2986" s="3">
        <f>I2986*INDEX(Produits!$E:$E,MATCH(H2986,Produits!$A:$A,0))</f>
        <v>24.75</v>
      </c>
      <c r="R2986" s="3">
        <f>L2986-Q2986</f>
        <v>30.25</v>
      </c>
      <c r="S2986" s="2">
        <f>NETWORKDAYS(B2986,C2986)-1</f>
        <v>3</v>
      </c>
      <c r="T2986" s="1">
        <f>WORKDAY(B2986,5)</f>
        <v>45825</v>
      </c>
      <c r="U2986" t="b">
        <f>C2986&gt;T2986</f>
        <v>0</v>
      </c>
    </row>
    <row r="2987" spans="1:21" x14ac:dyDescent="0.25">
      <c r="A2987" t="s">
        <v>1882</v>
      </c>
      <c r="B2987" s="1">
        <v>45817</v>
      </c>
      <c r="C2987" s="1">
        <v>45820</v>
      </c>
      <c r="D2987" t="s">
        <v>521</v>
      </c>
      <c r="E2987" t="s">
        <v>75</v>
      </c>
      <c r="F2987" t="s">
        <v>76</v>
      </c>
      <c r="G2987" t="s">
        <v>77</v>
      </c>
      <c r="H2987" t="s">
        <v>35</v>
      </c>
      <c r="I2987" s="2">
        <v>1</v>
      </c>
      <c r="J2987" s="3">
        <v>79</v>
      </c>
      <c r="K2987" s="4">
        <v>0</v>
      </c>
      <c r="L2987" s="3">
        <v>79</v>
      </c>
      <c r="M2987" t="b">
        <v>1</v>
      </c>
      <c r="N2987" s="2">
        <f>YEAR(B2987)</f>
        <v>2025</v>
      </c>
      <c r="O2987" t="str">
        <f>INDEX(Agences!$C:$C,MATCH(F2987,Agences!$A:$A,0))</f>
        <v>Île-de-France</v>
      </c>
      <c r="P2987" t="str">
        <f>INDEX(Produits!$C:$C,MATCH(H2987,Produits!$A:$A,0))</f>
        <v>Mobilier</v>
      </c>
      <c r="Q2987" s="3">
        <f>I2987*INDEX(Produits!$E:$E,MATCH(H2987,Produits!$A:$A,0))</f>
        <v>46.61</v>
      </c>
      <c r="R2987" s="3">
        <f>L2987-Q2987</f>
        <v>32.39</v>
      </c>
      <c r="S2987" s="2">
        <f>NETWORKDAYS(B2987,C2987)-1</f>
        <v>3</v>
      </c>
      <c r="T2987" s="1">
        <f>WORKDAY(B2987,5)</f>
        <v>45824</v>
      </c>
      <c r="U2987" t="b">
        <f>C2987&gt;T2987</f>
        <v>0</v>
      </c>
    </row>
    <row r="2988" spans="1:21" x14ac:dyDescent="0.25">
      <c r="A2988" t="s">
        <v>1882</v>
      </c>
      <c r="B2988" s="1">
        <v>45817</v>
      </c>
      <c r="C2988" s="1">
        <v>45820</v>
      </c>
      <c r="D2988" t="s">
        <v>521</v>
      </c>
      <c r="E2988" t="s">
        <v>75</v>
      </c>
      <c r="F2988" t="s">
        <v>76</v>
      </c>
      <c r="G2988" t="s">
        <v>77</v>
      </c>
      <c r="H2988" t="s">
        <v>57</v>
      </c>
      <c r="I2988" s="2">
        <v>1</v>
      </c>
      <c r="J2988" s="3">
        <v>149</v>
      </c>
      <c r="K2988" s="4">
        <v>0.08</v>
      </c>
      <c r="L2988" s="3">
        <v>137.08</v>
      </c>
      <c r="M2988" t="b">
        <v>1</v>
      </c>
      <c r="N2988" s="2">
        <f>YEAR(B2988)</f>
        <v>2025</v>
      </c>
      <c r="O2988" t="str">
        <f>INDEX(Agences!$C:$C,MATCH(F2988,Agences!$A:$A,0))</f>
        <v>Île-de-France</v>
      </c>
      <c r="P2988" t="str">
        <f>INDEX(Produits!$C:$C,MATCH(H2988,Produits!$A:$A,0))</f>
        <v>Informatique</v>
      </c>
      <c r="Q2988" s="3">
        <f>I2988*INDEX(Produits!$E:$E,MATCH(H2988,Produits!$A:$A,0))</f>
        <v>114.73</v>
      </c>
      <c r="R2988" s="3">
        <f>L2988-Q2988</f>
        <v>22.35000000000001</v>
      </c>
      <c r="S2988" s="2">
        <f>NETWORKDAYS(B2988,C2988)-1</f>
        <v>3</v>
      </c>
      <c r="T2988" s="1">
        <f>WORKDAY(B2988,5)</f>
        <v>45824</v>
      </c>
      <c r="U2988" t="b">
        <f>C2988&gt;T2988</f>
        <v>0</v>
      </c>
    </row>
    <row r="2989" spans="1:21" x14ac:dyDescent="0.25">
      <c r="A2989" t="s">
        <v>1882</v>
      </c>
      <c r="B2989" s="1">
        <v>45817</v>
      </c>
      <c r="C2989" s="1">
        <v>45820</v>
      </c>
      <c r="D2989" t="s">
        <v>521</v>
      </c>
      <c r="E2989" t="s">
        <v>75</v>
      </c>
      <c r="F2989" t="s">
        <v>76</v>
      </c>
      <c r="G2989" t="s">
        <v>77</v>
      </c>
      <c r="H2989" t="s">
        <v>64</v>
      </c>
      <c r="I2989" s="2">
        <v>5</v>
      </c>
      <c r="J2989" s="3">
        <v>16.8</v>
      </c>
      <c r="K2989" s="4">
        <v>0.05</v>
      </c>
      <c r="L2989" s="3">
        <v>79.8</v>
      </c>
      <c r="M2989" t="b">
        <v>1</v>
      </c>
      <c r="N2989" s="2">
        <f>YEAR(B2989)</f>
        <v>2025</v>
      </c>
      <c r="O2989" t="str">
        <f>INDEX(Agences!$C:$C,MATCH(F2989,Agences!$A:$A,0))</f>
        <v>Île-de-France</v>
      </c>
      <c r="P2989" t="str">
        <f>INDEX(Produits!$C:$C,MATCH(H2989,Produits!$A:$A,0))</f>
        <v>Fournitures</v>
      </c>
      <c r="Q2989" s="3">
        <f>I2989*INDEX(Produits!$E:$E,MATCH(H2989,Produits!$A:$A,0))</f>
        <v>43.7</v>
      </c>
      <c r="R2989" s="3">
        <f>L2989-Q2989</f>
        <v>36.099999999999994</v>
      </c>
      <c r="S2989" s="2">
        <f>NETWORKDAYS(B2989,C2989)-1</f>
        <v>3</v>
      </c>
      <c r="T2989" s="1">
        <f>WORKDAY(B2989,5)</f>
        <v>45824</v>
      </c>
      <c r="U2989" t="b">
        <f>C2989&gt;T2989</f>
        <v>0</v>
      </c>
    </row>
    <row r="2990" spans="1:21" x14ac:dyDescent="0.25">
      <c r="A2990" t="s">
        <v>1883</v>
      </c>
      <c r="B2990" s="1">
        <v>45814</v>
      </c>
      <c r="C2990" s="1">
        <v>45817</v>
      </c>
      <c r="D2990" t="s">
        <v>412</v>
      </c>
      <c r="E2990" t="s">
        <v>23</v>
      </c>
      <c r="F2990" t="s">
        <v>24</v>
      </c>
      <c r="G2990" t="s">
        <v>25</v>
      </c>
      <c r="H2990" t="s">
        <v>50</v>
      </c>
      <c r="I2990" s="2">
        <v>3</v>
      </c>
      <c r="J2990" s="3">
        <v>69</v>
      </c>
      <c r="K2990" s="4">
        <v>0.08</v>
      </c>
      <c r="L2990" s="3">
        <v>190.44</v>
      </c>
      <c r="M2990" t="b">
        <v>1</v>
      </c>
      <c r="N2990" s="2">
        <f>YEAR(B2990)</f>
        <v>2025</v>
      </c>
      <c r="O2990" t="str">
        <f>INDEX(Agences!$C:$C,MATCH(F2990,Agences!$A:$A,0))</f>
        <v>Nord</v>
      </c>
      <c r="P2990" t="str">
        <f>INDEX(Produits!$C:$C,MATCH(H2990,Produits!$A:$A,0))</f>
        <v>Informatique</v>
      </c>
      <c r="Q2990" s="3">
        <f>I2990*INDEX(Produits!$E:$E,MATCH(H2990,Produits!$A:$A,0))</f>
        <v>163.53</v>
      </c>
      <c r="R2990" s="3">
        <f>L2990-Q2990</f>
        <v>26.909999999999997</v>
      </c>
      <c r="S2990" s="2">
        <f>NETWORKDAYS(B2990,C2990)-1</f>
        <v>1</v>
      </c>
      <c r="T2990" s="1">
        <f>WORKDAY(B2990,5)</f>
        <v>45821</v>
      </c>
      <c r="U2990" t="b">
        <f>C2990&gt;T2990</f>
        <v>0</v>
      </c>
    </row>
    <row r="2991" spans="1:21" x14ac:dyDescent="0.25">
      <c r="A2991" t="s">
        <v>1884</v>
      </c>
      <c r="B2991" s="1">
        <v>45814</v>
      </c>
      <c r="C2991" s="1">
        <v>45817</v>
      </c>
      <c r="D2991" t="s">
        <v>1635</v>
      </c>
      <c r="E2991" t="s">
        <v>172</v>
      </c>
      <c r="F2991" t="s">
        <v>99</v>
      </c>
      <c r="G2991" t="s">
        <v>210</v>
      </c>
      <c r="H2991" t="s">
        <v>57</v>
      </c>
      <c r="I2991" s="2">
        <v>1</v>
      </c>
      <c r="J2991" s="3">
        <v>149</v>
      </c>
      <c r="K2991" s="4">
        <v>0</v>
      </c>
      <c r="L2991" s="3">
        <v>149</v>
      </c>
      <c r="M2991" t="b">
        <v>1</v>
      </c>
      <c r="N2991" s="2">
        <f>YEAR(B2991)</f>
        <v>2025</v>
      </c>
      <c r="O2991" t="str">
        <f>INDEX(Agences!$C:$C,MATCH(F2991,Agences!$A:$A,0))</f>
        <v>Nord</v>
      </c>
      <c r="P2991" t="str">
        <f>INDEX(Produits!$C:$C,MATCH(H2991,Produits!$A:$A,0))</f>
        <v>Informatique</v>
      </c>
      <c r="Q2991" s="3">
        <f>I2991*INDEX(Produits!$E:$E,MATCH(H2991,Produits!$A:$A,0))</f>
        <v>114.73</v>
      </c>
      <c r="R2991" s="3">
        <f>L2991-Q2991</f>
        <v>34.269999999999996</v>
      </c>
      <c r="S2991" s="2">
        <f>NETWORKDAYS(B2991,C2991)-1</f>
        <v>1</v>
      </c>
      <c r="T2991" s="1">
        <f>WORKDAY(B2991,5)</f>
        <v>45821</v>
      </c>
      <c r="U2991" t="b">
        <f>C2991&gt;T2991</f>
        <v>0</v>
      </c>
    </row>
    <row r="2992" spans="1:21" x14ac:dyDescent="0.25">
      <c r="A2992" t="s">
        <v>1884</v>
      </c>
      <c r="B2992" s="1">
        <v>45814</v>
      </c>
      <c r="C2992" s="1">
        <v>45817</v>
      </c>
      <c r="D2992" t="s">
        <v>1635</v>
      </c>
      <c r="E2992" t="s">
        <v>172</v>
      </c>
      <c r="F2992" t="s">
        <v>99</v>
      </c>
      <c r="G2992" t="s">
        <v>210</v>
      </c>
      <c r="H2992" t="s">
        <v>103</v>
      </c>
      <c r="I2992" s="2">
        <v>3</v>
      </c>
      <c r="J2992" s="3">
        <v>245</v>
      </c>
      <c r="K2992" s="4">
        <v>0</v>
      </c>
      <c r="L2992" s="3">
        <v>735</v>
      </c>
      <c r="M2992" t="b">
        <v>1</v>
      </c>
      <c r="N2992" s="2">
        <f>YEAR(B2992)</f>
        <v>2025</v>
      </c>
      <c r="O2992" t="str">
        <f>INDEX(Agences!$C:$C,MATCH(F2992,Agences!$A:$A,0))</f>
        <v>Nord</v>
      </c>
      <c r="P2992" t="str">
        <f>INDEX(Produits!$C:$C,MATCH(H2992,Produits!$A:$A,0))</f>
        <v>Mobilier</v>
      </c>
      <c r="Q2992" s="3">
        <f>I2992*INDEX(Produits!$E:$E,MATCH(H2992,Produits!$A:$A,0))</f>
        <v>492.45000000000005</v>
      </c>
      <c r="R2992" s="3">
        <f>L2992-Q2992</f>
        <v>242.54999999999995</v>
      </c>
      <c r="S2992" s="2">
        <f>NETWORKDAYS(B2992,C2992)-1</f>
        <v>1</v>
      </c>
      <c r="T2992" s="1">
        <f>WORKDAY(B2992,5)</f>
        <v>45821</v>
      </c>
      <c r="U2992" t="b">
        <f>C2992&gt;T2992</f>
        <v>0</v>
      </c>
    </row>
    <row r="2993" spans="1:21" x14ac:dyDescent="0.25">
      <c r="A2993" t="s">
        <v>1884</v>
      </c>
      <c r="B2993" s="1">
        <v>45814</v>
      </c>
      <c r="C2993" s="1">
        <v>45817</v>
      </c>
      <c r="D2993" t="s">
        <v>1635</v>
      </c>
      <c r="E2993" t="s">
        <v>172</v>
      </c>
      <c r="F2993" t="s">
        <v>99</v>
      </c>
      <c r="G2993" t="s">
        <v>210</v>
      </c>
      <c r="H2993" t="s">
        <v>79</v>
      </c>
      <c r="I2993" s="2">
        <v>5</v>
      </c>
      <c r="J2993" s="3">
        <v>14.9</v>
      </c>
      <c r="K2993" s="4">
        <v>0.1</v>
      </c>
      <c r="L2993" s="3">
        <v>67.05</v>
      </c>
      <c r="M2993" t="b">
        <v>1</v>
      </c>
      <c r="N2993" s="2">
        <f>YEAR(B2993)</f>
        <v>2025</v>
      </c>
      <c r="O2993" t="str">
        <f>INDEX(Agences!$C:$C,MATCH(F2993,Agences!$A:$A,0))</f>
        <v>Nord</v>
      </c>
      <c r="P2993" t="str">
        <f>INDEX(Produits!$C:$C,MATCH(H2993,Produits!$A:$A,0))</f>
        <v>Fournitures</v>
      </c>
      <c r="Q2993" s="3">
        <f>I2993*INDEX(Produits!$E:$E,MATCH(H2993,Produits!$A:$A,0))</f>
        <v>40.25</v>
      </c>
      <c r="R2993" s="3">
        <f>L2993-Q2993</f>
        <v>26.799999999999997</v>
      </c>
      <c r="S2993" s="2">
        <f>NETWORKDAYS(B2993,C2993)-1</f>
        <v>1</v>
      </c>
      <c r="T2993" s="1">
        <f>WORKDAY(B2993,5)</f>
        <v>45821</v>
      </c>
      <c r="U2993" t="b">
        <f>C2993&gt;T2993</f>
        <v>0</v>
      </c>
    </row>
    <row r="2994" spans="1:21" x14ac:dyDescent="0.25">
      <c r="A2994" t="s">
        <v>1884</v>
      </c>
      <c r="B2994" s="1">
        <v>45814</v>
      </c>
      <c r="C2994" s="1">
        <v>45817</v>
      </c>
      <c r="D2994" t="s">
        <v>1635</v>
      </c>
      <c r="E2994" t="s">
        <v>172</v>
      </c>
      <c r="F2994" t="s">
        <v>99</v>
      </c>
      <c r="G2994" t="s">
        <v>210</v>
      </c>
      <c r="H2994" t="s">
        <v>112</v>
      </c>
      <c r="I2994" s="2">
        <v>3</v>
      </c>
      <c r="J2994" s="3">
        <v>129</v>
      </c>
      <c r="K2994" s="4">
        <v>0.02</v>
      </c>
      <c r="L2994" s="3">
        <v>379.26</v>
      </c>
      <c r="M2994" t="b">
        <v>1</v>
      </c>
      <c r="N2994" s="2">
        <f>YEAR(B2994)</f>
        <v>2025</v>
      </c>
      <c r="O2994" t="str">
        <f>INDEX(Agences!$C:$C,MATCH(F2994,Agences!$A:$A,0))</f>
        <v>Nord</v>
      </c>
      <c r="P2994" t="str">
        <f>INDEX(Produits!$C:$C,MATCH(H2994,Produits!$A:$A,0))</f>
        <v>Mobilier</v>
      </c>
      <c r="Q2994" s="3">
        <f>I2994*INDEX(Produits!$E:$E,MATCH(H2994,Produits!$A:$A,0))</f>
        <v>259.29</v>
      </c>
      <c r="R2994" s="3">
        <f>L2994-Q2994</f>
        <v>119.96999999999997</v>
      </c>
      <c r="S2994" s="2">
        <f>NETWORKDAYS(B2994,C2994)-1</f>
        <v>1</v>
      </c>
      <c r="T2994" s="1">
        <f>WORKDAY(B2994,5)</f>
        <v>45821</v>
      </c>
      <c r="U2994" t="b">
        <f>C2994&gt;T2994</f>
        <v>0</v>
      </c>
    </row>
    <row r="2995" spans="1:21" x14ac:dyDescent="0.25">
      <c r="A2995" t="s">
        <v>1885</v>
      </c>
      <c r="B2995" s="1">
        <v>45814</v>
      </c>
      <c r="C2995" s="1">
        <v>45818</v>
      </c>
      <c r="D2995" t="s">
        <v>1886</v>
      </c>
      <c r="E2995" t="s">
        <v>130</v>
      </c>
      <c r="F2995" t="s">
        <v>39</v>
      </c>
      <c r="G2995" t="s">
        <v>40</v>
      </c>
      <c r="H2995" t="s">
        <v>50</v>
      </c>
      <c r="I2995" s="2">
        <v>1</v>
      </c>
      <c r="J2995" s="3">
        <v>69</v>
      </c>
      <c r="K2995" s="4">
        <v>0.02</v>
      </c>
      <c r="L2995" s="3">
        <v>67.62</v>
      </c>
      <c r="M2995" t="b">
        <v>1</v>
      </c>
      <c r="N2995" s="2">
        <f>YEAR(B2995)</f>
        <v>2025</v>
      </c>
      <c r="O2995" t="str">
        <f>INDEX(Agences!$C:$C,MATCH(F2995,Agences!$A:$A,0))</f>
        <v>Sud-Ouest</v>
      </c>
      <c r="P2995" t="str">
        <f>INDEX(Produits!$C:$C,MATCH(H2995,Produits!$A:$A,0))</f>
        <v>Informatique</v>
      </c>
      <c r="Q2995" s="3">
        <f>I2995*INDEX(Produits!$E:$E,MATCH(H2995,Produits!$A:$A,0))</f>
        <v>54.51</v>
      </c>
      <c r="R2995" s="3">
        <f>L2995-Q2995</f>
        <v>13.110000000000007</v>
      </c>
      <c r="S2995" s="2">
        <f>NETWORKDAYS(B2995,C2995)-1</f>
        <v>2</v>
      </c>
      <c r="T2995" s="1">
        <f>WORKDAY(B2995,5)</f>
        <v>45821</v>
      </c>
      <c r="U2995" t="b">
        <f>C2995&gt;T2995</f>
        <v>0</v>
      </c>
    </row>
    <row r="2996" spans="1:21" x14ac:dyDescent="0.25">
      <c r="A2996" t="s">
        <v>1885</v>
      </c>
      <c r="B2996" s="1">
        <v>45814</v>
      </c>
      <c r="C2996" s="1">
        <v>45818</v>
      </c>
      <c r="D2996" t="s">
        <v>1886</v>
      </c>
      <c r="E2996" t="s">
        <v>130</v>
      </c>
      <c r="F2996" t="s">
        <v>39</v>
      </c>
      <c r="G2996" t="s">
        <v>40</v>
      </c>
      <c r="H2996" t="s">
        <v>51</v>
      </c>
      <c r="I2996" s="2">
        <v>2</v>
      </c>
      <c r="J2996" s="3">
        <v>180</v>
      </c>
      <c r="K2996" s="4">
        <v>0.05</v>
      </c>
      <c r="L2996" s="3">
        <v>342</v>
      </c>
      <c r="M2996" t="b">
        <v>1</v>
      </c>
      <c r="N2996" s="2">
        <f>YEAR(B2996)</f>
        <v>2025</v>
      </c>
      <c r="O2996" t="str">
        <f>INDEX(Agences!$C:$C,MATCH(F2996,Agences!$A:$A,0))</f>
        <v>Sud-Ouest</v>
      </c>
      <c r="P2996" t="str">
        <f>INDEX(Produits!$C:$C,MATCH(H2996,Produits!$A:$A,0))</f>
        <v>Maintenance</v>
      </c>
      <c r="Q2996" s="3">
        <f>I2996*INDEX(Produits!$E:$E,MATCH(H2996,Produits!$A:$A,0))</f>
        <v>165.6</v>
      </c>
      <c r="R2996" s="3">
        <f>L2996-Q2996</f>
        <v>176.4</v>
      </c>
      <c r="S2996" s="2">
        <f>NETWORKDAYS(B2996,C2996)-1</f>
        <v>2</v>
      </c>
      <c r="T2996" s="1">
        <f>WORKDAY(B2996,5)</f>
        <v>45821</v>
      </c>
      <c r="U2996" t="b">
        <f>C2996&gt;T2996</f>
        <v>0</v>
      </c>
    </row>
    <row r="2997" spans="1:21" x14ac:dyDescent="0.25">
      <c r="A2997" t="s">
        <v>1887</v>
      </c>
      <c r="B2997" s="1">
        <v>45814</v>
      </c>
      <c r="C2997" s="1">
        <v>45818</v>
      </c>
      <c r="D2997" t="s">
        <v>347</v>
      </c>
      <c r="E2997" t="s">
        <v>242</v>
      </c>
      <c r="F2997" t="s">
        <v>94</v>
      </c>
      <c r="G2997" t="s">
        <v>182</v>
      </c>
      <c r="H2997" t="s">
        <v>237</v>
      </c>
      <c r="I2997" s="2">
        <v>1</v>
      </c>
      <c r="J2997" s="3">
        <v>890</v>
      </c>
      <c r="K2997" s="4">
        <v>0</v>
      </c>
      <c r="L2997" s="3">
        <v>890</v>
      </c>
      <c r="M2997" t="b">
        <v>1</v>
      </c>
      <c r="N2997" s="2">
        <f>YEAR(B2997)</f>
        <v>2025</v>
      </c>
      <c r="O2997" t="str">
        <f>INDEX(Agences!$C:$C,MATCH(F2997,Agences!$A:$A,0))</f>
        <v>Méditerranée</v>
      </c>
      <c r="P2997" t="str">
        <f>INDEX(Produits!$C:$C,MATCH(H2997,Produits!$A:$A,0))</f>
        <v>Mobilier</v>
      </c>
      <c r="Q2997" s="3">
        <f>I2997*INDEX(Produits!$E:$E,MATCH(H2997,Produits!$A:$A,0))</f>
        <v>596.3</v>
      </c>
      <c r="R2997" s="3">
        <f>L2997-Q2997</f>
        <v>293.70000000000005</v>
      </c>
      <c r="S2997" s="2">
        <f>NETWORKDAYS(B2997,C2997)-1</f>
        <v>2</v>
      </c>
      <c r="T2997" s="1">
        <f>WORKDAY(B2997,5)</f>
        <v>45821</v>
      </c>
      <c r="U2997" t="b">
        <f>C2997&gt;T2997</f>
        <v>0</v>
      </c>
    </row>
    <row r="2998" spans="1:21" x14ac:dyDescent="0.25">
      <c r="A2998" t="s">
        <v>1888</v>
      </c>
      <c r="B2998" s="1">
        <v>45814</v>
      </c>
      <c r="C2998" s="1">
        <v>45818</v>
      </c>
      <c r="D2998" t="s">
        <v>369</v>
      </c>
      <c r="E2998" t="s">
        <v>157</v>
      </c>
      <c r="F2998" t="s">
        <v>46</v>
      </c>
      <c r="G2998" t="s">
        <v>47</v>
      </c>
      <c r="H2998" t="s">
        <v>83</v>
      </c>
      <c r="I2998" s="2">
        <v>6</v>
      </c>
      <c r="J2998" s="3">
        <v>49</v>
      </c>
      <c r="K2998" s="4">
        <v>0.02</v>
      </c>
      <c r="L2998" s="3">
        <v>288.12</v>
      </c>
      <c r="M2998" t="b">
        <v>1</v>
      </c>
      <c r="N2998" s="2">
        <f>YEAR(B2998)</f>
        <v>2025</v>
      </c>
      <c r="O2998" t="str">
        <f>INDEX(Agences!$C:$C,MATCH(F2998,Agences!$A:$A,0))</f>
        <v>Est</v>
      </c>
      <c r="P2998" t="str">
        <f>INDEX(Produits!$C:$C,MATCH(H2998,Produits!$A:$A,0))</f>
        <v>Mobilier</v>
      </c>
      <c r="Q2998" s="3">
        <f>I2998*INDEX(Produits!$E:$E,MATCH(H2998,Produits!$A:$A,0))</f>
        <v>170.52</v>
      </c>
      <c r="R2998" s="3">
        <f>L2998-Q2998</f>
        <v>117.6</v>
      </c>
      <c r="S2998" s="2">
        <f>NETWORKDAYS(B2998,C2998)-1</f>
        <v>2</v>
      </c>
      <c r="T2998" s="1">
        <f>WORKDAY(B2998,5)</f>
        <v>45821</v>
      </c>
      <c r="U2998" t="b">
        <f>C2998&gt;T2998</f>
        <v>0</v>
      </c>
    </row>
    <row r="2999" spans="1:21" x14ac:dyDescent="0.25">
      <c r="A2999" t="s">
        <v>1888</v>
      </c>
      <c r="B2999" s="1">
        <v>45814</v>
      </c>
      <c r="C2999" s="1">
        <v>45818</v>
      </c>
      <c r="D2999" t="s">
        <v>369</v>
      </c>
      <c r="E2999" t="s">
        <v>157</v>
      </c>
      <c r="F2999" t="s">
        <v>46</v>
      </c>
      <c r="G2999" t="s">
        <v>47</v>
      </c>
      <c r="H2999" t="s">
        <v>57</v>
      </c>
      <c r="I2999" s="2">
        <v>5</v>
      </c>
      <c r="J2999" s="3">
        <v>149</v>
      </c>
      <c r="K2999" s="4">
        <v>0.05</v>
      </c>
      <c r="L2999" s="3">
        <v>707.75</v>
      </c>
      <c r="M2999" t="b">
        <v>1</v>
      </c>
      <c r="N2999" s="2">
        <f>YEAR(B2999)</f>
        <v>2025</v>
      </c>
      <c r="O2999" t="str">
        <f>INDEX(Agences!$C:$C,MATCH(F2999,Agences!$A:$A,0))</f>
        <v>Est</v>
      </c>
      <c r="P2999" t="str">
        <f>INDEX(Produits!$C:$C,MATCH(H2999,Produits!$A:$A,0))</f>
        <v>Informatique</v>
      </c>
      <c r="Q2999" s="3">
        <f>I2999*INDEX(Produits!$E:$E,MATCH(H2999,Produits!$A:$A,0))</f>
        <v>573.65</v>
      </c>
      <c r="R2999" s="3">
        <f>L2999-Q2999</f>
        <v>134.10000000000002</v>
      </c>
      <c r="S2999" s="2">
        <f>NETWORKDAYS(B2999,C2999)-1</f>
        <v>2</v>
      </c>
      <c r="T2999" s="1">
        <f>WORKDAY(B2999,5)</f>
        <v>45821</v>
      </c>
      <c r="U2999" t="b">
        <f>C2999&gt;T2999</f>
        <v>0</v>
      </c>
    </row>
    <row r="3000" spans="1:21" x14ac:dyDescent="0.25">
      <c r="A3000" t="s">
        <v>1888</v>
      </c>
      <c r="B3000" s="1">
        <v>45814</v>
      </c>
      <c r="C3000" s="1">
        <v>45818</v>
      </c>
      <c r="D3000" t="s">
        <v>369</v>
      </c>
      <c r="E3000" t="s">
        <v>157</v>
      </c>
      <c r="F3000" t="s">
        <v>46</v>
      </c>
      <c r="G3000" t="s">
        <v>47</v>
      </c>
      <c r="H3000" t="s">
        <v>51</v>
      </c>
      <c r="I3000" s="2">
        <v>1</v>
      </c>
      <c r="J3000" s="3">
        <v>180</v>
      </c>
      <c r="K3000" s="4">
        <v>0</v>
      </c>
      <c r="L3000" s="3">
        <v>180</v>
      </c>
      <c r="M3000" t="b">
        <v>1</v>
      </c>
      <c r="N3000" s="2">
        <f>YEAR(B3000)</f>
        <v>2025</v>
      </c>
      <c r="O3000" t="str">
        <f>INDEX(Agences!$C:$C,MATCH(F3000,Agences!$A:$A,0))</f>
        <v>Est</v>
      </c>
      <c r="P3000" t="str">
        <f>INDEX(Produits!$C:$C,MATCH(H3000,Produits!$A:$A,0))</f>
        <v>Maintenance</v>
      </c>
      <c r="Q3000" s="3">
        <f>I3000*INDEX(Produits!$E:$E,MATCH(H3000,Produits!$A:$A,0))</f>
        <v>82.8</v>
      </c>
      <c r="R3000" s="3">
        <f>L3000-Q3000</f>
        <v>97.2</v>
      </c>
      <c r="S3000" s="2">
        <f>NETWORKDAYS(B3000,C3000)-1</f>
        <v>2</v>
      </c>
      <c r="T3000" s="1">
        <f>WORKDAY(B3000,5)</f>
        <v>45821</v>
      </c>
      <c r="U3000" t="b">
        <f>C3000&gt;T3000</f>
        <v>0</v>
      </c>
    </row>
    <row r="3001" spans="1:21" x14ac:dyDescent="0.25">
      <c r="A3001" t="s">
        <v>1888</v>
      </c>
      <c r="B3001" s="1">
        <v>45814</v>
      </c>
      <c r="C3001" s="1">
        <v>45818</v>
      </c>
      <c r="D3001" t="s">
        <v>369</v>
      </c>
      <c r="E3001" t="s">
        <v>157</v>
      </c>
      <c r="F3001" t="s">
        <v>46</v>
      </c>
      <c r="G3001" t="s">
        <v>47</v>
      </c>
      <c r="H3001" t="s">
        <v>319</v>
      </c>
      <c r="I3001" s="2">
        <v>3</v>
      </c>
      <c r="J3001" s="3">
        <v>289</v>
      </c>
      <c r="K3001" s="4">
        <v>0</v>
      </c>
      <c r="L3001" s="3">
        <v>867</v>
      </c>
      <c r="M3001" t="b">
        <v>1</v>
      </c>
      <c r="N3001" s="2">
        <f>YEAR(B3001)</f>
        <v>2025</v>
      </c>
      <c r="O3001" t="str">
        <f>INDEX(Agences!$C:$C,MATCH(F3001,Agences!$A:$A,0))</f>
        <v>Est</v>
      </c>
      <c r="P3001" t="str">
        <f>INDEX(Produits!$C:$C,MATCH(H3001,Produits!$A:$A,0))</f>
        <v>Informatique</v>
      </c>
      <c r="Q3001" s="3">
        <f>I3001*INDEX(Produits!$E:$E,MATCH(H3001,Produits!$A:$A,0))</f>
        <v>641.58</v>
      </c>
      <c r="R3001" s="3">
        <f>L3001-Q3001</f>
        <v>225.41999999999996</v>
      </c>
      <c r="S3001" s="2">
        <f>NETWORKDAYS(B3001,C3001)-1</f>
        <v>2</v>
      </c>
      <c r="T3001" s="1">
        <f>WORKDAY(B3001,5)</f>
        <v>45821</v>
      </c>
      <c r="U3001" t="b">
        <f>C3001&gt;T3001</f>
        <v>0</v>
      </c>
    </row>
    <row r="3002" spans="1:21" x14ac:dyDescent="0.25">
      <c r="A3002" t="s">
        <v>1889</v>
      </c>
      <c r="B3002" s="1">
        <v>45814</v>
      </c>
      <c r="C3002" s="1">
        <v>45819</v>
      </c>
      <c r="D3002" t="s">
        <v>1602</v>
      </c>
      <c r="E3002" t="s">
        <v>45</v>
      </c>
      <c r="F3002" t="s">
        <v>46</v>
      </c>
      <c r="G3002" t="s">
        <v>158</v>
      </c>
      <c r="H3002" t="s">
        <v>83</v>
      </c>
      <c r="I3002" s="2">
        <v>1</v>
      </c>
      <c r="J3002" s="3">
        <v>49</v>
      </c>
      <c r="K3002" s="4">
        <v>0</v>
      </c>
      <c r="L3002" s="3">
        <v>49</v>
      </c>
      <c r="M3002" t="b">
        <v>1</v>
      </c>
      <c r="N3002" s="2">
        <f>YEAR(B3002)</f>
        <v>2025</v>
      </c>
      <c r="O3002" t="str">
        <f>INDEX(Agences!$C:$C,MATCH(F3002,Agences!$A:$A,0))</f>
        <v>Est</v>
      </c>
      <c r="P3002" t="str">
        <f>INDEX(Produits!$C:$C,MATCH(H3002,Produits!$A:$A,0))</f>
        <v>Mobilier</v>
      </c>
      <c r="Q3002" s="3">
        <f>I3002*INDEX(Produits!$E:$E,MATCH(H3002,Produits!$A:$A,0))</f>
        <v>28.42</v>
      </c>
      <c r="R3002" s="3">
        <f>L3002-Q3002</f>
        <v>20.58</v>
      </c>
      <c r="S3002" s="2">
        <f>NETWORKDAYS(B3002,C3002)-1</f>
        <v>3</v>
      </c>
      <c r="T3002" s="1">
        <f>WORKDAY(B3002,5)</f>
        <v>45821</v>
      </c>
      <c r="U3002" t="b">
        <f>C3002&gt;T3002</f>
        <v>0</v>
      </c>
    </row>
    <row r="3003" spans="1:21" x14ac:dyDescent="0.25">
      <c r="A3003" t="s">
        <v>1890</v>
      </c>
      <c r="B3003" s="1">
        <v>45814</v>
      </c>
      <c r="C3003" s="1">
        <v>45817</v>
      </c>
      <c r="D3003" t="s">
        <v>296</v>
      </c>
      <c r="E3003" t="s">
        <v>229</v>
      </c>
      <c r="F3003" t="s">
        <v>55</v>
      </c>
      <c r="G3003" t="s">
        <v>56</v>
      </c>
      <c r="H3003" t="s">
        <v>51</v>
      </c>
      <c r="I3003" s="2">
        <v>3</v>
      </c>
      <c r="J3003" s="3">
        <v>180</v>
      </c>
      <c r="K3003" s="4">
        <v>0</v>
      </c>
      <c r="L3003" s="3">
        <v>540</v>
      </c>
      <c r="M3003" t="b">
        <v>1</v>
      </c>
      <c r="N3003" s="2">
        <f>YEAR(B3003)</f>
        <v>2025</v>
      </c>
      <c r="O3003" t="str">
        <f>INDEX(Agences!$C:$C,MATCH(F3003,Agences!$A:$A,0))</f>
        <v>Est</v>
      </c>
      <c r="P3003" t="str">
        <f>INDEX(Produits!$C:$C,MATCH(H3003,Produits!$A:$A,0))</f>
        <v>Maintenance</v>
      </c>
      <c r="Q3003" s="3">
        <f>I3003*INDEX(Produits!$E:$E,MATCH(H3003,Produits!$A:$A,0))</f>
        <v>248.39999999999998</v>
      </c>
      <c r="R3003" s="3">
        <f>L3003-Q3003</f>
        <v>291.6</v>
      </c>
      <c r="S3003" s="2">
        <f>NETWORKDAYS(B3003,C3003)-1</f>
        <v>1</v>
      </c>
      <c r="T3003" s="1">
        <f>WORKDAY(B3003,5)</f>
        <v>45821</v>
      </c>
      <c r="U3003" t="b">
        <f>C3003&gt;T3003</f>
        <v>0</v>
      </c>
    </row>
    <row r="3004" spans="1:21" x14ac:dyDescent="0.25">
      <c r="A3004" t="s">
        <v>1890</v>
      </c>
      <c r="B3004" s="1">
        <v>45814</v>
      </c>
      <c r="C3004" s="1">
        <v>45817</v>
      </c>
      <c r="D3004" t="s">
        <v>296</v>
      </c>
      <c r="E3004" t="s">
        <v>229</v>
      </c>
      <c r="F3004" t="s">
        <v>55</v>
      </c>
      <c r="G3004" t="s">
        <v>56</v>
      </c>
      <c r="H3004" t="s">
        <v>83</v>
      </c>
      <c r="I3004" s="2">
        <v>3</v>
      </c>
      <c r="J3004" s="3">
        <v>49</v>
      </c>
      <c r="K3004" s="4">
        <v>0.05</v>
      </c>
      <c r="L3004" s="3">
        <v>139.65</v>
      </c>
      <c r="M3004" t="b">
        <v>1</v>
      </c>
      <c r="N3004" s="2">
        <f>YEAR(B3004)</f>
        <v>2025</v>
      </c>
      <c r="O3004" t="str">
        <f>INDEX(Agences!$C:$C,MATCH(F3004,Agences!$A:$A,0))</f>
        <v>Est</v>
      </c>
      <c r="P3004" t="str">
        <f>INDEX(Produits!$C:$C,MATCH(H3004,Produits!$A:$A,0))</f>
        <v>Mobilier</v>
      </c>
      <c r="Q3004" s="3">
        <f>I3004*INDEX(Produits!$E:$E,MATCH(H3004,Produits!$A:$A,0))</f>
        <v>85.26</v>
      </c>
      <c r="R3004" s="3">
        <f>L3004-Q3004</f>
        <v>54.39</v>
      </c>
      <c r="S3004" s="2">
        <f>NETWORKDAYS(B3004,C3004)-1</f>
        <v>1</v>
      </c>
      <c r="T3004" s="1">
        <f>WORKDAY(B3004,5)</f>
        <v>45821</v>
      </c>
      <c r="U3004" t="b">
        <f>C3004&gt;T3004</f>
        <v>0</v>
      </c>
    </row>
    <row r="3005" spans="1:21" x14ac:dyDescent="0.25">
      <c r="A3005" t="s">
        <v>1890</v>
      </c>
      <c r="B3005" s="1">
        <v>45814</v>
      </c>
      <c r="C3005" s="1">
        <v>45817</v>
      </c>
      <c r="D3005" t="s">
        <v>296</v>
      </c>
      <c r="E3005" t="s">
        <v>229</v>
      </c>
      <c r="F3005" t="s">
        <v>55</v>
      </c>
      <c r="G3005" t="s">
        <v>56</v>
      </c>
      <c r="H3005" t="s">
        <v>27</v>
      </c>
      <c r="I3005" s="2">
        <v>1</v>
      </c>
      <c r="J3005" s="3">
        <v>310</v>
      </c>
      <c r="K3005" s="4">
        <v>0</v>
      </c>
      <c r="L3005" s="3">
        <v>310</v>
      </c>
      <c r="M3005" t="b">
        <v>1</v>
      </c>
      <c r="N3005" s="2">
        <f>YEAR(B3005)</f>
        <v>2025</v>
      </c>
      <c r="O3005" t="str">
        <f>INDEX(Agences!$C:$C,MATCH(F3005,Agences!$A:$A,0))</f>
        <v>Est</v>
      </c>
      <c r="P3005" t="str">
        <f>INDEX(Produits!$C:$C,MATCH(H3005,Produits!$A:$A,0))</f>
        <v>Mobilier</v>
      </c>
      <c r="Q3005" s="3">
        <f>I3005*INDEX(Produits!$E:$E,MATCH(H3005,Produits!$A:$A,0))</f>
        <v>186</v>
      </c>
      <c r="R3005" s="3">
        <f>L3005-Q3005</f>
        <v>124</v>
      </c>
      <c r="S3005" s="2">
        <f>NETWORKDAYS(B3005,C3005)-1</f>
        <v>1</v>
      </c>
      <c r="T3005" s="1">
        <f>WORKDAY(B3005,5)</f>
        <v>45821</v>
      </c>
      <c r="U3005" t="b">
        <f>C3005&gt;T3005</f>
        <v>0</v>
      </c>
    </row>
    <row r="3006" spans="1:21" x14ac:dyDescent="0.25">
      <c r="A3006" t="s">
        <v>1891</v>
      </c>
      <c r="B3006" s="1">
        <v>45814</v>
      </c>
      <c r="C3006" s="1">
        <v>45818</v>
      </c>
      <c r="D3006" t="s">
        <v>673</v>
      </c>
      <c r="E3006" t="s">
        <v>229</v>
      </c>
      <c r="F3006" t="s">
        <v>55</v>
      </c>
      <c r="G3006" t="s">
        <v>56</v>
      </c>
      <c r="H3006" t="s">
        <v>57</v>
      </c>
      <c r="I3006" s="2">
        <v>1</v>
      </c>
      <c r="J3006" s="3">
        <v>149</v>
      </c>
      <c r="K3006" s="4">
        <v>0</v>
      </c>
      <c r="L3006" s="3">
        <v>149</v>
      </c>
      <c r="M3006" t="b">
        <v>1</v>
      </c>
      <c r="N3006" s="2">
        <f>YEAR(B3006)</f>
        <v>2025</v>
      </c>
      <c r="O3006" t="str">
        <f>INDEX(Agences!$C:$C,MATCH(F3006,Agences!$A:$A,0))</f>
        <v>Est</v>
      </c>
      <c r="P3006" t="str">
        <f>INDEX(Produits!$C:$C,MATCH(H3006,Produits!$A:$A,0))</f>
        <v>Informatique</v>
      </c>
      <c r="Q3006" s="3">
        <f>I3006*INDEX(Produits!$E:$E,MATCH(H3006,Produits!$A:$A,0))</f>
        <v>114.73</v>
      </c>
      <c r="R3006" s="3">
        <f>L3006-Q3006</f>
        <v>34.269999999999996</v>
      </c>
      <c r="S3006" s="2">
        <f>NETWORKDAYS(B3006,C3006)-1</f>
        <v>2</v>
      </c>
      <c r="T3006" s="1">
        <f>WORKDAY(B3006,5)</f>
        <v>45821</v>
      </c>
      <c r="U3006" t="b">
        <f>C3006&gt;T3006</f>
        <v>0</v>
      </c>
    </row>
    <row r="3007" spans="1:21" x14ac:dyDescent="0.25">
      <c r="A3007" t="s">
        <v>1891</v>
      </c>
      <c r="B3007" s="1">
        <v>45814</v>
      </c>
      <c r="C3007" s="1">
        <v>45818</v>
      </c>
      <c r="D3007" t="s">
        <v>673</v>
      </c>
      <c r="E3007" t="s">
        <v>229</v>
      </c>
      <c r="F3007" t="s">
        <v>55</v>
      </c>
      <c r="G3007" t="s">
        <v>56</v>
      </c>
      <c r="H3007" t="s">
        <v>107</v>
      </c>
      <c r="I3007" s="2">
        <v>1</v>
      </c>
      <c r="J3007" s="3">
        <v>99</v>
      </c>
      <c r="K3007" s="4">
        <v>0</v>
      </c>
      <c r="L3007" s="3">
        <v>99</v>
      </c>
      <c r="M3007" t="b">
        <v>1</v>
      </c>
      <c r="N3007" s="2">
        <f>YEAR(B3007)</f>
        <v>2025</v>
      </c>
      <c r="O3007" t="str">
        <f>INDEX(Agences!$C:$C,MATCH(F3007,Agences!$A:$A,0))</f>
        <v>Est</v>
      </c>
      <c r="P3007" t="str">
        <f>INDEX(Produits!$C:$C,MATCH(H3007,Produits!$A:$A,0))</f>
        <v>Informatique</v>
      </c>
      <c r="Q3007" s="3">
        <f>I3007*INDEX(Produits!$E:$E,MATCH(H3007,Produits!$A:$A,0))</f>
        <v>75.24</v>
      </c>
      <c r="R3007" s="3">
        <f>L3007-Q3007</f>
        <v>23.760000000000005</v>
      </c>
      <c r="S3007" s="2">
        <f>NETWORKDAYS(B3007,C3007)-1</f>
        <v>2</v>
      </c>
      <c r="T3007" s="1">
        <f>WORKDAY(B3007,5)</f>
        <v>45821</v>
      </c>
      <c r="U3007" t="b">
        <f>C3007&gt;T3007</f>
        <v>0</v>
      </c>
    </row>
    <row r="3008" spans="1:21" x14ac:dyDescent="0.25">
      <c r="A3008" t="s">
        <v>1892</v>
      </c>
      <c r="B3008" s="1">
        <v>45813</v>
      </c>
      <c r="C3008" s="1">
        <v>45814</v>
      </c>
      <c r="D3008" t="s">
        <v>1186</v>
      </c>
      <c r="E3008" t="s">
        <v>126</v>
      </c>
      <c r="F3008" t="s">
        <v>99</v>
      </c>
      <c r="G3008" t="s">
        <v>100</v>
      </c>
      <c r="H3008" t="s">
        <v>49</v>
      </c>
      <c r="I3008" s="2">
        <v>1</v>
      </c>
      <c r="J3008" s="3">
        <v>120</v>
      </c>
      <c r="K3008" s="4">
        <v>0.1</v>
      </c>
      <c r="L3008" s="3">
        <v>108</v>
      </c>
      <c r="M3008" t="b">
        <v>1</v>
      </c>
      <c r="N3008" s="2">
        <f>YEAR(B3008)</f>
        <v>2025</v>
      </c>
      <c r="O3008" t="str">
        <f>INDEX(Agences!$C:$C,MATCH(F3008,Agences!$A:$A,0))</f>
        <v>Nord</v>
      </c>
      <c r="P3008" t="str">
        <f>INDEX(Produits!$C:$C,MATCH(H3008,Produits!$A:$A,0))</f>
        <v>Maintenance</v>
      </c>
      <c r="Q3008" s="3">
        <f>I3008*INDEX(Produits!$E:$E,MATCH(H3008,Produits!$A:$A,0))</f>
        <v>55.2</v>
      </c>
      <c r="R3008" s="3">
        <f>L3008-Q3008</f>
        <v>52.8</v>
      </c>
      <c r="S3008" s="2">
        <f>NETWORKDAYS(B3008,C3008)-1</f>
        <v>1</v>
      </c>
      <c r="T3008" s="1">
        <f>WORKDAY(B3008,5)</f>
        <v>45820</v>
      </c>
      <c r="U3008" t="b">
        <f>C3008&gt;T3008</f>
        <v>0</v>
      </c>
    </row>
    <row r="3009" spans="1:21" x14ac:dyDescent="0.25">
      <c r="A3009" t="s">
        <v>1892</v>
      </c>
      <c r="B3009" s="1">
        <v>45813</v>
      </c>
      <c r="C3009" s="1">
        <v>45814</v>
      </c>
      <c r="D3009" t="s">
        <v>1186</v>
      </c>
      <c r="E3009" t="s">
        <v>126</v>
      </c>
      <c r="F3009" t="s">
        <v>99</v>
      </c>
      <c r="G3009" t="s">
        <v>100</v>
      </c>
      <c r="H3009" t="s">
        <v>78</v>
      </c>
      <c r="I3009" s="2">
        <v>1</v>
      </c>
      <c r="J3009" s="3">
        <v>1390</v>
      </c>
      <c r="K3009" s="4">
        <v>0.02</v>
      </c>
      <c r="L3009" s="3">
        <v>1362.2</v>
      </c>
      <c r="M3009" t="b">
        <v>1</v>
      </c>
      <c r="N3009" s="2">
        <f>YEAR(B3009)</f>
        <v>2025</v>
      </c>
      <c r="O3009" t="str">
        <f>INDEX(Agences!$C:$C,MATCH(F3009,Agences!$A:$A,0))</f>
        <v>Nord</v>
      </c>
      <c r="P3009" t="str">
        <f>INDEX(Produits!$C:$C,MATCH(H3009,Produits!$A:$A,0))</f>
        <v>Informatique</v>
      </c>
      <c r="Q3009" s="3">
        <f>I3009*INDEX(Produits!$E:$E,MATCH(H3009,Produits!$A:$A,0))</f>
        <v>1125.9</v>
      </c>
      <c r="R3009" s="3">
        <f>L3009-Q3009</f>
        <v>236.29999999999995</v>
      </c>
      <c r="S3009" s="2">
        <f>NETWORKDAYS(B3009,C3009)-1</f>
        <v>1</v>
      </c>
      <c r="T3009" s="1">
        <f>WORKDAY(B3009,5)</f>
        <v>45820</v>
      </c>
      <c r="U3009" t="b">
        <f>C3009&gt;T3009</f>
        <v>0</v>
      </c>
    </row>
    <row r="3010" spans="1:21" x14ac:dyDescent="0.25">
      <c r="A3010" t="s">
        <v>1893</v>
      </c>
      <c r="B3010" s="1">
        <v>45812</v>
      </c>
      <c r="C3010" s="1">
        <v>45819</v>
      </c>
      <c r="D3010" t="s">
        <v>304</v>
      </c>
      <c r="E3010" t="s">
        <v>119</v>
      </c>
      <c r="F3010" t="s">
        <v>24</v>
      </c>
      <c r="G3010" t="s">
        <v>199</v>
      </c>
      <c r="H3010" t="s">
        <v>34</v>
      </c>
      <c r="I3010" s="2">
        <v>1</v>
      </c>
      <c r="J3010" s="3">
        <v>340</v>
      </c>
      <c r="K3010" s="4">
        <v>0.08</v>
      </c>
      <c r="L3010" s="3">
        <v>312.8</v>
      </c>
      <c r="M3010" t="b">
        <v>1</v>
      </c>
      <c r="N3010" s="2">
        <f>YEAR(B3010)</f>
        <v>2025</v>
      </c>
      <c r="O3010" t="str">
        <f>INDEX(Agences!$C:$C,MATCH(F3010,Agences!$A:$A,0))</f>
        <v>Nord</v>
      </c>
      <c r="P3010" t="str">
        <f>INDEX(Produits!$C:$C,MATCH(H3010,Produits!$A:$A,0))</f>
        <v>Informatique</v>
      </c>
      <c r="Q3010" s="3">
        <f>I3010*INDEX(Produits!$E:$E,MATCH(H3010,Produits!$A:$A,0))</f>
        <v>275.4</v>
      </c>
      <c r="R3010" s="3">
        <f>L3010-Q3010</f>
        <v>37.400000000000034</v>
      </c>
      <c r="S3010" s="2">
        <f>NETWORKDAYS(B3010,C3010)-1</f>
        <v>5</v>
      </c>
      <c r="T3010" s="1">
        <f>WORKDAY(B3010,5)</f>
        <v>45819</v>
      </c>
      <c r="U3010" t="b">
        <f>C3010&gt;T3010</f>
        <v>0</v>
      </c>
    </row>
    <row r="3011" spans="1:21" x14ac:dyDescent="0.25">
      <c r="A3011" t="s">
        <v>1893</v>
      </c>
      <c r="B3011" s="1">
        <v>45812</v>
      </c>
      <c r="C3011" s="1">
        <v>45819</v>
      </c>
      <c r="D3011" t="s">
        <v>304</v>
      </c>
      <c r="E3011" t="s">
        <v>119</v>
      </c>
      <c r="F3011" t="s">
        <v>24</v>
      </c>
      <c r="G3011" t="s">
        <v>199</v>
      </c>
      <c r="H3011" t="s">
        <v>26</v>
      </c>
      <c r="I3011" s="2">
        <v>1</v>
      </c>
      <c r="J3011" s="3">
        <v>290</v>
      </c>
      <c r="K3011" s="4">
        <v>0</v>
      </c>
      <c r="L3011" s="3">
        <v>290</v>
      </c>
      <c r="M3011" t="b">
        <v>1</v>
      </c>
      <c r="N3011" s="2">
        <f>YEAR(B3011)</f>
        <v>2025</v>
      </c>
      <c r="O3011" t="str">
        <f>INDEX(Agences!$C:$C,MATCH(F3011,Agences!$A:$A,0))</f>
        <v>Nord</v>
      </c>
      <c r="P3011" t="str">
        <f>INDEX(Produits!$C:$C,MATCH(H3011,Produits!$A:$A,0))</f>
        <v>Maintenance</v>
      </c>
      <c r="Q3011" s="3">
        <f>I3011*INDEX(Produits!$E:$E,MATCH(H3011,Produits!$A:$A,0))</f>
        <v>139.2</v>
      </c>
      <c r="R3011" s="3">
        <f>L3011-Q3011</f>
        <v>150.8</v>
      </c>
      <c r="S3011" s="2">
        <f>NETWORKDAYS(B3011,C3011)-1</f>
        <v>5</v>
      </c>
      <c r="T3011" s="1">
        <f>WORKDAY(B3011,5)</f>
        <v>45819</v>
      </c>
      <c r="U3011" t="b">
        <f>C3011&gt;T3011</f>
        <v>0</v>
      </c>
    </row>
    <row r="3012" spans="1:21" x14ac:dyDescent="0.25">
      <c r="A3012" t="s">
        <v>1894</v>
      </c>
      <c r="B3012" s="1">
        <v>45812</v>
      </c>
      <c r="C3012" s="1">
        <v>45813</v>
      </c>
      <c r="D3012" t="s">
        <v>361</v>
      </c>
      <c r="E3012" t="s">
        <v>165</v>
      </c>
      <c r="F3012" t="s">
        <v>166</v>
      </c>
      <c r="G3012" t="s">
        <v>248</v>
      </c>
      <c r="H3012" t="s">
        <v>26</v>
      </c>
      <c r="I3012" s="2">
        <v>1</v>
      </c>
      <c r="J3012" s="3">
        <v>290</v>
      </c>
      <c r="K3012" s="4">
        <v>0.08</v>
      </c>
      <c r="L3012" s="3">
        <v>266.8</v>
      </c>
      <c r="M3012" t="b">
        <v>1</v>
      </c>
      <c r="N3012" s="2">
        <f>YEAR(B3012)</f>
        <v>2025</v>
      </c>
      <c r="O3012" t="str">
        <f>INDEX(Agences!$C:$C,MATCH(F3012,Agences!$A:$A,0))</f>
        <v>Ouest</v>
      </c>
      <c r="P3012" t="str">
        <f>INDEX(Produits!$C:$C,MATCH(H3012,Produits!$A:$A,0))</f>
        <v>Maintenance</v>
      </c>
      <c r="Q3012" s="3">
        <f>I3012*INDEX(Produits!$E:$E,MATCH(H3012,Produits!$A:$A,0))</f>
        <v>139.2</v>
      </c>
      <c r="R3012" s="3">
        <f>L3012-Q3012</f>
        <v>127.60000000000002</v>
      </c>
      <c r="S3012" s="2">
        <f>NETWORKDAYS(B3012,C3012)-1</f>
        <v>1</v>
      </c>
      <c r="T3012" s="1">
        <f>WORKDAY(B3012,5)</f>
        <v>45819</v>
      </c>
      <c r="U3012" t="b">
        <f>C3012&gt;T3012</f>
        <v>0</v>
      </c>
    </row>
    <row r="3013" spans="1:21" x14ac:dyDescent="0.25">
      <c r="A3013" t="s">
        <v>1894</v>
      </c>
      <c r="B3013" s="1">
        <v>45812</v>
      </c>
      <c r="C3013" s="1">
        <v>45813</v>
      </c>
      <c r="D3013" t="s">
        <v>361</v>
      </c>
      <c r="E3013" t="s">
        <v>165</v>
      </c>
      <c r="F3013" t="s">
        <v>166</v>
      </c>
      <c r="G3013" t="s">
        <v>248</v>
      </c>
      <c r="H3013" t="s">
        <v>79</v>
      </c>
      <c r="I3013" s="2">
        <v>5</v>
      </c>
      <c r="J3013" s="3">
        <v>14.9</v>
      </c>
      <c r="K3013" s="4">
        <v>0.05</v>
      </c>
      <c r="L3013" s="3">
        <v>70.78</v>
      </c>
      <c r="M3013" t="b">
        <v>1</v>
      </c>
      <c r="N3013" s="2">
        <f>YEAR(B3013)</f>
        <v>2025</v>
      </c>
      <c r="O3013" t="str">
        <f>INDEX(Agences!$C:$C,MATCH(F3013,Agences!$A:$A,0))</f>
        <v>Ouest</v>
      </c>
      <c r="P3013" t="str">
        <f>INDEX(Produits!$C:$C,MATCH(H3013,Produits!$A:$A,0))</f>
        <v>Fournitures</v>
      </c>
      <c r="Q3013" s="3">
        <f>I3013*INDEX(Produits!$E:$E,MATCH(H3013,Produits!$A:$A,0))</f>
        <v>40.25</v>
      </c>
      <c r="R3013" s="3">
        <f>L3013-Q3013</f>
        <v>30.53</v>
      </c>
      <c r="S3013" s="2">
        <f>NETWORKDAYS(B3013,C3013)-1</f>
        <v>1</v>
      </c>
      <c r="T3013" s="1">
        <f>WORKDAY(B3013,5)</f>
        <v>45819</v>
      </c>
      <c r="U3013" t="b">
        <f>C3013&gt;T3013</f>
        <v>0</v>
      </c>
    </row>
    <row r="3014" spans="1:21" x14ac:dyDescent="0.25">
      <c r="A3014" t="s">
        <v>1894</v>
      </c>
      <c r="B3014" s="1">
        <v>45812</v>
      </c>
      <c r="C3014" s="1">
        <v>45813</v>
      </c>
      <c r="D3014" t="s">
        <v>361</v>
      </c>
      <c r="E3014" t="s">
        <v>165</v>
      </c>
      <c r="F3014" t="s">
        <v>166</v>
      </c>
      <c r="G3014" t="s">
        <v>248</v>
      </c>
      <c r="H3014" t="s">
        <v>83</v>
      </c>
      <c r="I3014" s="2">
        <v>2</v>
      </c>
      <c r="J3014" s="3">
        <v>49</v>
      </c>
      <c r="K3014" s="4">
        <v>0</v>
      </c>
      <c r="L3014" s="3">
        <v>98</v>
      </c>
      <c r="M3014" t="b">
        <v>1</v>
      </c>
      <c r="N3014" s="2">
        <f>YEAR(B3014)</f>
        <v>2025</v>
      </c>
      <c r="O3014" t="str">
        <f>INDEX(Agences!$C:$C,MATCH(F3014,Agences!$A:$A,0))</f>
        <v>Ouest</v>
      </c>
      <c r="P3014" t="str">
        <f>INDEX(Produits!$C:$C,MATCH(H3014,Produits!$A:$A,0))</f>
        <v>Mobilier</v>
      </c>
      <c r="Q3014" s="3">
        <f>I3014*INDEX(Produits!$E:$E,MATCH(H3014,Produits!$A:$A,0))</f>
        <v>56.84</v>
      </c>
      <c r="R3014" s="3">
        <f>L3014-Q3014</f>
        <v>41.16</v>
      </c>
      <c r="S3014" s="2">
        <f>NETWORKDAYS(B3014,C3014)-1</f>
        <v>1</v>
      </c>
      <c r="T3014" s="1">
        <f>WORKDAY(B3014,5)</f>
        <v>45819</v>
      </c>
      <c r="U3014" t="b">
        <f>C3014&gt;T3014</f>
        <v>0</v>
      </c>
    </row>
    <row r="3015" spans="1:21" x14ac:dyDescent="0.25">
      <c r="A3015" t="s">
        <v>1895</v>
      </c>
      <c r="B3015" s="1">
        <v>45811</v>
      </c>
      <c r="C3015" s="1">
        <v>45813</v>
      </c>
      <c r="D3015" t="s">
        <v>1142</v>
      </c>
      <c r="E3015" t="s">
        <v>175</v>
      </c>
      <c r="F3015" t="s">
        <v>76</v>
      </c>
      <c r="G3015" t="s">
        <v>176</v>
      </c>
      <c r="H3015" t="s">
        <v>72</v>
      </c>
      <c r="I3015" s="2">
        <v>1</v>
      </c>
      <c r="J3015" s="3">
        <v>179</v>
      </c>
      <c r="K3015" s="4">
        <v>0.1</v>
      </c>
      <c r="L3015" s="3">
        <v>161.1</v>
      </c>
      <c r="M3015" t="b">
        <v>1</v>
      </c>
      <c r="N3015" s="2">
        <f>YEAR(B3015)</f>
        <v>2025</v>
      </c>
      <c r="O3015" t="str">
        <f>INDEX(Agences!$C:$C,MATCH(F3015,Agences!$A:$A,0))</f>
        <v>Île-de-France</v>
      </c>
      <c r="P3015" t="str">
        <f>INDEX(Produits!$C:$C,MATCH(H3015,Produits!$A:$A,0))</f>
        <v>Informatique</v>
      </c>
      <c r="Q3015" s="3">
        <f>I3015*INDEX(Produits!$E:$E,MATCH(H3015,Produits!$A:$A,0))</f>
        <v>146.78</v>
      </c>
      <c r="R3015" s="3">
        <f>L3015-Q3015</f>
        <v>14.319999999999993</v>
      </c>
      <c r="S3015" s="2">
        <f>NETWORKDAYS(B3015,C3015)-1</f>
        <v>2</v>
      </c>
      <c r="T3015" s="1">
        <f>WORKDAY(B3015,5)</f>
        <v>45818</v>
      </c>
      <c r="U3015" t="b">
        <f>C3015&gt;T3015</f>
        <v>0</v>
      </c>
    </row>
    <row r="3016" spans="1:21" x14ac:dyDescent="0.25">
      <c r="A3016" t="s">
        <v>1895</v>
      </c>
      <c r="B3016" s="1">
        <v>45811</v>
      </c>
      <c r="C3016" s="1">
        <v>45813</v>
      </c>
      <c r="D3016" t="s">
        <v>1142</v>
      </c>
      <c r="E3016" t="s">
        <v>175</v>
      </c>
      <c r="F3016" t="s">
        <v>76</v>
      </c>
      <c r="G3016" t="s">
        <v>176</v>
      </c>
      <c r="H3016" t="s">
        <v>49</v>
      </c>
      <c r="I3016" s="2">
        <v>2</v>
      </c>
      <c r="J3016" s="3">
        <v>120</v>
      </c>
      <c r="K3016" s="4">
        <v>0.02</v>
      </c>
      <c r="L3016" s="3">
        <v>235.2</v>
      </c>
      <c r="M3016" t="b">
        <v>1</v>
      </c>
      <c r="N3016" s="2">
        <f>YEAR(B3016)</f>
        <v>2025</v>
      </c>
      <c r="O3016" t="str">
        <f>INDEX(Agences!$C:$C,MATCH(F3016,Agences!$A:$A,0))</f>
        <v>Île-de-France</v>
      </c>
      <c r="P3016" t="str">
        <f>INDEX(Produits!$C:$C,MATCH(H3016,Produits!$A:$A,0))</f>
        <v>Maintenance</v>
      </c>
      <c r="Q3016" s="3">
        <f>I3016*INDEX(Produits!$E:$E,MATCH(H3016,Produits!$A:$A,0))</f>
        <v>110.4</v>
      </c>
      <c r="R3016" s="3">
        <f>L3016-Q3016</f>
        <v>124.79999999999998</v>
      </c>
      <c r="S3016" s="2">
        <f>NETWORKDAYS(B3016,C3016)-1</f>
        <v>2</v>
      </c>
      <c r="T3016" s="1">
        <f>WORKDAY(B3016,5)</f>
        <v>45818</v>
      </c>
      <c r="U3016" t="b">
        <f>C3016&gt;T3016</f>
        <v>0</v>
      </c>
    </row>
    <row r="3017" spans="1:21" x14ac:dyDescent="0.25">
      <c r="A3017" t="s">
        <v>1895</v>
      </c>
      <c r="B3017" s="1">
        <v>45811</v>
      </c>
      <c r="C3017" s="1">
        <v>45813</v>
      </c>
      <c r="D3017" t="s">
        <v>1142</v>
      </c>
      <c r="E3017" t="s">
        <v>175</v>
      </c>
      <c r="F3017" t="s">
        <v>76</v>
      </c>
      <c r="G3017" t="s">
        <v>176</v>
      </c>
      <c r="H3017" t="s">
        <v>112</v>
      </c>
      <c r="I3017" s="2">
        <v>8</v>
      </c>
      <c r="J3017" s="3">
        <v>129</v>
      </c>
      <c r="K3017" s="4">
        <v>0</v>
      </c>
      <c r="L3017" s="3">
        <v>1032</v>
      </c>
      <c r="M3017" t="b">
        <v>1</v>
      </c>
      <c r="N3017" s="2">
        <f>YEAR(B3017)</f>
        <v>2025</v>
      </c>
      <c r="O3017" t="str">
        <f>INDEX(Agences!$C:$C,MATCH(F3017,Agences!$A:$A,0))</f>
        <v>Île-de-France</v>
      </c>
      <c r="P3017" t="str">
        <f>INDEX(Produits!$C:$C,MATCH(H3017,Produits!$A:$A,0))</f>
        <v>Mobilier</v>
      </c>
      <c r="Q3017" s="3">
        <f>I3017*INDEX(Produits!$E:$E,MATCH(H3017,Produits!$A:$A,0))</f>
        <v>691.44</v>
      </c>
      <c r="R3017" s="3">
        <f>L3017-Q3017</f>
        <v>340.55999999999995</v>
      </c>
      <c r="S3017" s="2">
        <f>NETWORKDAYS(B3017,C3017)-1</f>
        <v>2</v>
      </c>
      <c r="T3017" s="1">
        <f>WORKDAY(B3017,5)</f>
        <v>45818</v>
      </c>
      <c r="U3017" t="b">
        <f>C3017&gt;T3017</f>
        <v>0</v>
      </c>
    </row>
    <row r="3018" spans="1:21" x14ac:dyDescent="0.25">
      <c r="A3018" t="s">
        <v>1896</v>
      </c>
      <c r="B3018" s="1">
        <v>45811</v>
      </c>
      <c r="C3018" s="1">
        <v>45817</v>
      </c>
      <c r="D3018" t="s">
        <v>269</v>
      </c>
      <c r="E3018" t="s">
        <v>270</v>
      </c>
      <c r="F3018" t="s">
        <v>76</v>
      </c>
      <c r="G3018" t="s">
        <v>232</v>
      </c>
      <c r="H3018" t="s">
        <v>103</v>
      </c>
      <c r="I3018" s="2">
        <v>1</v>
      </c>
      <c r="J3018" s="3">
        <v>245</v>
      </c>
      <c r="K3018" s="4">
        <v>0.02</v>
      </c>
      <c r="L3018" s="3">
        <v>240.1</v>
      </c>
      <c r="M3018" t="b">
        <v>1</v>
      </c>
      <c r="N3018" s="2">
        <f>YEAR(B3018)</f>
        <v>2025</v>
      </c>
      <c r="O3018" t="str">
        <f>INDEX(Agences!$C:$C,MATCH(F3018,Agences!$A:$A,0))</f>
        <v>Île-de-France</v>
      </c>
      <c r="P3018" t="str">
        <f>INDEX(Produits!$C:$C,MATCH(H3018,Produits!$A:$A,0))</f>
        <v>Mobilier</v>
      </c>
      <c r="Q3018" s="3">
        <f>I3018*INDEX(Produits!$E:$E,MATCH(H3018,Produits!$A:$A,0))</f>
        <v>164.15</v>
      </c>
      <c r="R3018" s="3">
        <f>L3018-Q3018</f>
        <v>75.94999999999999</v>
      </c>
      <c r="S3018" s="2">
        <f>NETWORKDAYS(B3018,C3018)-1</f>
        <v>4</v>
      </c>
      <c r="T3018" s="1">
        <f>WORKDAY(B3018,5)</f>
        <v>45818</v>
      </c>
      <c r="U3018" t="b">
        <f>C3018&gt;T3018</f>
        <v>0</v>
      </c>
    </row>
    <row r="3019" spans="1:21" x14ac:dyDescent="0.25">
      <c r="A3019" t="s">
        <v>1897</v>
      </c>
      <c r="B3019" s="1">
        <v>45811</v>
      </c>
      <c r="C3019" s="1">
        <v>45814</v>
      </c>
      <c r="D3019" t="s">
        <v>515</v>
      </c>
      <c r="E3019" t="s">
        <v>165</v>
      </c>
      <c r="F3019" t="s">
        <v>166</v>
      </c>
      <c r="G3019" t="s">
        <v>179</v>
      </c>
      <c r="H3019" t="s">
        <v>319</v>
      </c>
      <c r="I3019" s="2">
        <v>2</v>
      </c>
      <c r="J3019" s="3">
        <v>289</v>
      </c>
      <c r="K3019" s="4">
        <v>0.05</v>
      </c>
      <c r="L3019" s="3">
        <v>549.1</v>
      </c>
      <c r="M3019" t="b">
        <v>1</v>
      </c>
      <c r="N3019" s="2">
        <f>YEAR(B3019)</f>
        <v>2025</v>
      </c>
      <c r="O3019" t="str">
        <f>INDEX(Agences!$C:$C,MATCH(F3019,Agences!$A:$A,0))</f>
        <v>Ouest</v>
      </c>
      <c r="P3019" t="str">
        <f>INDEX(Produits!$C:$C,MATCH(H3019,Produits!$A:$A,0))</f>
        <v>Informatique</v>
      </c>
      <c r="Q3019" s="3">
        <f>I3019*INDEX(Produits!$E:$E,MATCH(H3019,Produits!$A:$A,0))</f>
        <v>427.72</v>
      </c>
      <c r="R3019" s="3">
        <f>L3019-Q3019</f>
        <v>121.38</v>
      </c>
      <c r="S3019" s="2">
        <f>NETWORKDAYS(B3019,C3019)-1</f>
        <v>3</v>
      </c>
      <c r="T3019" s="1">
        <f>WORKDAY(B3019,5)</f>
        <v>45818</v>
      </c>
      <c r="U3019" t="b">
        <f>C3019&gt;T3019</f>
        <v>0</v>
      </c>
    </row>
    <row r="3020" spans="1:21" x14ac:dyDescent="0.25">
      <c r="A3020" t="s">
        <v>1897</v>
      </c>
      <c r="B3020" s="1">
        <v>45811</v>
      </c>
      <c r="C3020" s="1">
        <v>45814</v>
      </c>
      <c r="D3020" t="s">
        <v>515</v>
      </c>
      <c r="E3020" t="s">
        <v>165</v>
      </c>
      <c r="F3020" t="s">
        <v>166</v>
      </c>
      <c r="G3020" t="s">
        <v>179</v>
      </c>
      <c r="H3020" t="s">
        <v>79</v>
      </c>
      <c r="I3020" s="2">
        <v>5</v>
      </c>
      <c r="J3020" s="3">
        <v>14.9</v>
      </c>
      <c r="K3020" s="4">
        <v>0.08</v>
      </c>
      <c r="L3020" s="3">
        <v>68.54</v>
      </c>
      <c r="M3020" t="b">
        <v>1</v>
      </c>
      <c r="N3020" s="2">
        <f>YEAR(B3020)</f>
        <v>2025</v>
      </c>
      <c r="O3020" t="str">
        <f>INDEX(Agences!$C:$C,MATCH(F3020,Agences!$A:$A,0))</f>
        <v>Ouest</v>
      </c>
      <c r="P3020" t="str">
        <f>INDEX(Produits!$C:$C,MATCH(H3020,Produits!$A:$A,0))</f>
        <v>Fournitures</v>
      </c>
      <c r="Q3020" s="3">
        <f>I3020*INDEX(Produits!$E:$E,MATCH(H3020,Produits!$A:$A,0))</f>
        <v>40.25</v>
      </c>
      <c r="R3020" s="3">
        <f>L3020-Q3020</f>
        <v>28.290000000000006</v>
      </c>
      <c r="S3020" s="2">
        <f>NETWORKDAYS(B3020,C3020)-1</f>
        <v>3</v>
      </c>
      <c r="T3020" s="1">
        <f>WORKDAY(B3020,5)</f>
        <v>45818</v>
      </c>
      <c r="U3020" t="b">
        <f>C3020&gt;T3020</f>
        <v>0</v>
      </c>
    </row>
    <row r="3021" spans="1:21" x14ac:dyDescent="0.25">
      <c r="A3021" t="s">
        <v>1897</v>
      </c>
      <c r="B3021" s="1">
        <v>45811</v>
      </c>
      <c r="C3021" s="1">
        <v>45814</v>
      </c>
      <c r="D3021" t="s">
        <v>515</v>
      </c>
      <c r="E3021" t="s">
        <v>165</v>
      </c>
      <c r="F3021" t="s">
        <v>166</v>
      </c>
      <c r="G3021" t="s">
        <v>179</v>
      </c>
      <c r="H3021" t="s">
        <v>233</v>
      </c>
      <c r="I3021" s="2">
        <v>10</v>
      </c>
      <c r="J3021" s="3">
        <v>27.5</v>
      </c>
      <c r="K3021" s="4">
        <v>0.02</v>
      </c>
      <c r="L3021" s="3">
        <v>269.5</v>
      </c>
      <c r="M3021" t="b">
        <v>1</v>
      </c>
      <c r="N3021" s="2">
        <f>YEAR(B3021)</f>
        <v>2025</v>
      </c>
      <c r="O3021" t="str">
        <f>INDEX(Agences!$C:$C,MATCH(F3021,Agences!$A:$A,0))</f>
        <v>Ouest</v>
      </c>
      <c r="P3021" t="str">
        <f>INDEX(Produits!$C:$C,MATCH(H3021,Produits!$A:$A,0))</f>
        <v>Fournitures</v>
      </c>
      <c r="Q3021" s="3">
        <f>I3021*INDEX(Produits!$E:$E,MATCH(H3021,Produits!$A:$A,0))</f>
        <v>154</v>
      </c>
      <c r="R3021" s="3">
        <f>L3021-Q3021</f>
        <v>115.5</v>
      </c>
      <c r="S3021" s="2">
        <f>NETWORKDAYS(B3021,C3021)-1</f>
        <v>3</v>
      </c>
      <c r="T3021" s="1">
        <f>WORKDAY(B3021,5)</f>
        <v>45818</v>
      </c>
      <c r="U3021" t="b">
        <f>C3021&gt;T3021</f>
        <v>0</v>
      </c>
    </row>
    <row r="3022" spans="1:21" x14ac:dyDescent="0.25">
      <c r="A3022" t="s">
        <v>1898</v>
      </c>
      <c r="B3022" s="1">
        <v>45811</v>
      </c>
      <c r="C3022" s="1">
        <v>45813</v>
      </c>
      <c r="D3022" t="s">
        <v>258</v>
      </c>
      <c r="E3022" t="s">
        <v>61</v>
      </c>
      <c r="F3022" t="s">
        <v>62</v>
      </c>
      <c r="G3022" t="s">
        <v>63</v>
      </c>
      <c r="H3022" t="s">
        <v>64</v>
      </c>
      <c r="I3022" s="2">
        <v>10</v>
      </c>
      <c r="J3022" s="3">
        <v>16.8</v>
      </c>
      <c r="K3022" s="4">
        <v>0</v>
      </c>
      <c r="L3022" s="3">
        <v>168</v>
      </c>
      <c r="M3022" t="b">
        <v>1</v>
      </c>
      <c r="N3022" s="2">
        <f>YEAR(B3022)</f>
        <v>2025</v>
      </c>
      <c r="O3022" t="str">
        <f>INDEX(Agences!$C:$C,MATCH(F3022,Agences!$A:$A,0))</f>
        <v>Méditerranée</v>
      </c>
      <c r="P3022" t="str">
        <f>INDEX(Produits!$C:$C,MATCH(H3022,Produits!$A:$A,0))</f>
        <v>Fournitures</v>
      </c>
      <c r="Q3022" s="3">
        <f>I3022*INDEX(Produits!$E:$E,MATCH(H3022,Produits!$A:$A,0))</f>
        <v>87.4</v>
      </c>
      <c r="R3022" s="3">
        <f>L3022-Q3022</f>
        <v>80.6</v>
      </c>
      <c r="S3022" s="2">
        <f>NETWORKDAYS(B3022,C3022)-1</f>
        <v>2</v>
      </c>
      <c r="T3022" s="1">
        <f>WORKDAY(B3022,5)</f>
        <v>45818</v>
      </c>
      <c r="U3022" t="b">
        <f>C3022&gt;T3022</f>
        <v>0</v>
      </c>
    </row>
    <row r="3023" spans="1:21" x14ac:dyDescent="0.25">
      <c r="A3023" t="s">
        <v>1898</v>
      </c>
      <c r="B3023" s="1">
        <v>45811</v>
      </c>
      <c r="C3023" s="1">
        <v>45813</v>
      </c>
      <c r="D3023" t="s">
        <v>258</v>
      </c>
      <c r="E3023" t="s">
        <v>61</v>
      </c>
      <c r="F3023" t="s">
        <v>62</v>
      </c>
      <c r="G3023" t="s">
        <v>63</v>
      </c>
      <c r="H3023" t="s">
        <v>205</v>
      </c>
      <c r="I3023" s="2">
        <v>6</v>
      </c>
      <c r="J3023" s="3">
        <v>359</v>
      </c>
      <c r="K3023" s="4">
        <v>0</v>
      </c>
      <c r="L3023" s="3">
        <v>2154</v>
      </c>
      <c r="M3023" t="b">
        <v>1</v>
      </c>
      <c r="N3023" s="2">
        <f>YEAR(B3023)</f>
        <v>2025</v>
      </c>
      <c r="O3023" t="str">
        <f>INDEX(Agences!$C:$C,MATCH(F3023,Agences!$A:$A,0))</f>
        <v>Méditerranée</v>
      </c>
      <c r="P3023" t="str">
        <f>INDEX(Produits!$C:$C,MATCH(H3023,Produits!$A:$A,0))</f>
        <v>Mobilier</v>
      </c>
      <c r="Q3023" s="3">
        <f>I3023*INDEX(Produits!$E:$E,MATCH(H3023,Produits!$A:$A,0))</f>
        <v>1227.78</v>
      </c>
      <c r="R3023" s="3">
        <f>L3023-Q3023</f>
        <v>926.22</v>
      </c>
      <c r="S3023" s="2">
        <f>NETWORKDAYS(B3023,C3023)-1</f>
        <v>2</v>
      </c>
      <c r="T3023" s="1">
        <f>WORKDAY(B3023,5)</f>
        <v>45818</v>
      </c>
      <c r="U3023" t="b">
        <f>C3023&gt;T3023</f>
        <v>0</v>
      </c>
    </row>
    <row r="3024" spans="1:21" x14ac:dyDescent="0.25">
      <c r="A3024" t="s">
        <v>1899</v>
      </c>
      <c r="B3024" s="1">
        <v>45811</v>
      </c>
      <c r="C3024" s="1">
        <v>45817</v>
      </c>
      <c r="D3024" t="s">
        <v>701</v>
      </c>
      <c r="E3024" t="s">
        <v>229</v>
      </c>
      <c r="F3024" t="s">
        <v>55</v>
      </c>
      <c r="G3024" t="s">
        <v>71</v>
      </c>
      <c r="H3024" t="s">
        <v>107</v>
      </c>
      <c r="I3024" s="2">
        <v>1</v>
      </c>
      <c r="J3024" s="3">
        <v>99</v>
      </c>
      <c r="K3024" s="4">
        <v>0.08</v>
      </c>
      <c r="L3024" s="3">
        <v>91.08</v>
      </c>
      <c r="M3024" t="b">
        <v>1</v>
      </c>
      <c r="N3024" s="2">
        <f>YEAR(B3024)</f>
        <v>2025</v>
      </c>
      <c r="O3024" t="str">
        <f>INDEX(Agences!$C:$C,MATCH(F3024,Agences!$A:$A,0))</f>
        <v>Est</v>
      </c>
      <c r="P3024" t="str">
        <f>INDEX(Produits!$C:$C,MATCH(H3024,Produits!$A:$A,0))</f>
        <v>Informatique</v>
      </c>
      <c r="Q3024" s="3">
        <f>I3024*INDEX(Produits!$E:$E,MATCH(H3024,Produits!$A:$A,0))</f>
        <v>75.24</v>
      </c>
      <c r="R3024" s="3">
        <f>L3024-Q3024</f>
        <v>15.840000000000003</v>
      </c>
      <c r="S3024" s="2">
        <f>NETWORKDAYS(B3024,C3024)-1</f>
        <v>4</v>
      </c>
      <c r="T3024" s="1">
        <f>WORKDAY(B3024,5)</f>
        <v>45818</v>
      </c>
      <c r="U3024" t="b">
        <f>C3024&gt;T3024</f>
        <v>0</v>
      </c>
    </row>
    <row r="3025" spans="1:21" x14ac:dyDescent="0.25">
      <c r="A3025" t="s">
        <v>1899</v>
      </c>
      <c r="B3025" s="1">
        <v>45811</v>
      </c>
      <c r="C3025" s="1">
        <v>45817</v>
      </c>
      <c r="D3025" t="s">
        <v>701</v>
      </c>
      <c r="E3025" t="s">
        <v>229</v>
      </c>
      <c r="F3025" t="s">
        <v>55</v>
      </c>
      <c r="G3025" t="s">
        <v>71</v>
      </c>
      <c r="H3025" t="s">
        <v>72</v>
      </c>
      <c r="I3025" s="2">
        <v>1</v>
      </c>
      <c r="J3025" s="3">
        <v>179</v>
      </c>
      <c r="K3025" s="4">
        <v>0.1</v>
      </c>
      <c r="L3025" s="3">
        <v>161.1</v>
      </c>
      <c r="M3025" t="b">
        <v>1</v>
      </c>
      <c r="N3025" s="2">
        <f>YEAR(B3025)</f>
        <v>2025</v>
      </c>
      <c r="O3025" t="str">
        <f>INDEX(Agences!$C:$C,MATCH(F3025,Agences!$A:$A,0))</f>
        <v>Est</v>
      </c>
      <c r="P3025" t="str">
        <f>INDEX(Produits!$C:$C,MATCH(H3025,Produits!$A:$A,0))</f>
        <v>Informatique</v>
      </c>
      <c r="Q3025" s="3">
        <f>I3025*INDEX(Produits!$E:$E,MATCH(H3025,Produits!$A:$A,0))</f>
        <v>146.78</v>
      </c>
      <c r="R3025" s="3">
        <f>L3025-Q3025</f>
        <v>14.319999999999993</v>
      </c>
      <c r="S3025" s="2">
        <f>NETWORKDAYS(B3025,C3025)-1</f>
        <v>4</v>
      </c>
      <c r="T3025" s="1">
        <f>WORKDAY(B3025,5)</f>
        <v>45818</v>
      </c>
      <c r="U3025" t="b">
        <f>C3025&gt;T3025</f>
        <v>0</v>
      </c>
    </row>
    <row r="3026" spans="1:21" x14ac:dyDescent="0.25">
      <c r="A3026" t="s">
        <v>1899</v>
      </c>
      <c r="B3026" s="1">
        <v>45811</v>
      </c>
      <c r="C3026" s="1">
        <v>45817</v>
      </c>
      <c r="D3026" t="s">
        <v>701</v>
      </c>
      <c r="E3026" t="s">
        <v>229</v>
      </c>
      <c r="F3026" t="s">
        <v>55</v>
      </c>
      <c r="G3026" t="s">
        <v>71</v>
      </c>
      <c r="H3026" t="s">
        <v>50</v>
      </c>
      <c r="I3026" s="2">
        <v>1</v>
      </c>
      <c r="J3026" s="3">
        <v>69</v>
      </c>
      <c r="K3026" s="4">
        <v>0</v>
      </c>
      <c r="L3026" s="3">
        <v>69</v>
      </c>
      <c r="M3026" t="b">
        <v>1</v>
      </c>
      <c r="N3026" s="2">
        <f>YEAR(B3026)</f>
        <v>2025</v>
      </c>
      <c r="O3026" t="str">
        <f>INDEX(Agences!$C:$C,MATCH(F3026,Agences!$A:$A,0))</f>
        <v>Est</v>
      </c>
      <c r="P3026" t="str">
        <f>INDEX(Produits!$C:$C,MATCH(H3026,Produits!$A:$A,0))</f>
        <v>Informatique</v>
      </c>
      <c r="Q3026" s="3">
        <f>I3026*INDEX(Produits!$E:$E,MATCH(H3026,Produits!$A:$A,0))</f>
        <v>54.51</v>
      </c>
      <c r="R3026" s="3">
        <f>L3026-Q3026</f>
        <v>14.490000000000002</v>
      </c>
      <c r="S3026" s="2">
        <f>NETWORKDAYS(B3026,C3026)-1</f>
        <v>4</v>
      </c>
      <c r="T3026" s="1">
        <f>WORKDAY(B3026,5)</f>
        <v>45818</v>
      </c>
      <c r="U3026" t="b">
        <f>C3026&gt;T3026</f>
        <v>0</v>
      </c>
    </row>
    <row r="3027" spans="1:21" x14ac:dyDescent="0.25">
      <c r="A3027" t="s">
        <v>1899</v>
      </c>
      <c r="B3027" s="1">
        <v>45811</v>
      </c>
      <c r="C3027" s="1">
        <v>45817</v>
      </c>
      <c r="D3027" t="s">
        <v>701</v>
      </c>
      <c r="E3027" t="s">
        <v>229</v>
      </c>
      <c r="F3027" t="s">
        <v>55</v>
      </c>
      <c r="G3027" t="s">
        <v>71</v>
      </c>
      <c r="H3027" t="s">
        <v>108</v>
      </c>
      <c r="I3027" s="2">
        <v>20</v>
      </c>
      <c r="J3027" s="3">
        <v>24.5</v>
      </c>
      <c r="K3027" s="4">
        <v>0.08</v>
      </c>
      <c r="L3027" s="3">
        <v>450.8</v>
      </c>
      <c r="M3027" t="b">
        <v>1</v>
      </c>
      <c r="N3027" s="2">
        <f>YEAR(B3027)</f>
        <v>2025</v>
      </c>
      <c r="O3027" t="str">
        <f>INDEX(Agences!$C:$C,MATCH(F3027,Agences!$A:$A,0))</f>
        <v>Est</v>
      </c>
      <c r="P3027" t="str">
        <f>INDEX(Produits!$C:$C,MATCH(H3027,Produits!$A:$A,0))</f>
        <v>Fournitures</v>
      </c>
      <c r="Q3027" s="3">
        <f>I3027*INDEX(Produits!$E:$E,MATCH(H3027,Produits!$A:$A,0))</f>
        <v>294</v>
      </c>
      <c r="R3027" s="3">
        <f>L3027-Q3027</f>
        <v>156.8</v>
      </c>
      <c r="S3027" s="2">
        <f>NETWORKDAYS(B3027,C3027)-1</f>
        <v>4</v>
      </c>
      <c r="T3027" s="1">
        <f>WORKDAY(B3027,5)</f>
        <v>45818</v>
      </c>
      <c r="U3027" t="b">
        <f>C3027&gt;T3027</f>
        <v>0</v>
      </c>
    </row>
    <row r="3028" spans="1:21" x14ac:dyDescent="0.25">
      <c r="A3028" t="s">
        <v>1900</v>
      </c>
      <c r="B3028" s="1">
        <v>45810</v>
      </c>
      <c r="C3028" s="1">
        <v>45811</v>
      </c>
      <c r="D3028" t="s">
        <v>867</v>
      </c>
      <c r="E3028" t="s">
        <v>202</v>
      </c>
      <c r="F3028" t="s">
        <v>138</v>
      </c>
      <c r="G3028" t="s">
        <v>220</v>
      </c>
      <c r="H3028" t="s">
        <v>51</v>
      </c>
      <c r="I3028" s="2">
        <v>1</v>
      </c>
      <c r="J3028" s="3">
        <v>180</v>
      </c>
      <c r="K3028" s="4">
        <v>0.02</v>
      </c>
      <c r="L3028" s="3">
        <v>176.4</v>
      </c>
      <c r="M3028" t="b">
        <v>1</v>
      </c>
      <c r="N3028" s="2">
        <f>YEAR(B3028)</f>
        <v>2025</v>
      </c>
      <c r="O3028" t="str">
        <f>INDEX(Agences!$C:$C,MATCH(F3028,Agences!$A:$A,0))</f>
        <v>Île-de-France</v>
      </c>
      <c r="P3028" t="str">
        <f>INDEX(Produits!$C:$C,MATCH(H3028,Produits!$A:$A,0))</f>
        <v>Maintenance</v>
      </c>
      <c r="Q3028" s="3">
        <f>I3028*INDEX(Produits!$E:$E,MATCH(H3028,Produits!$A:$A,0))</f>
        <v>82.8</v>
      </c>
      <c r="R3028" s="3">
        <f>L3028-Q3028</f>
        <v>93.60000000000001</v>
      </c>
      <c r="S3028" s="2">
        <f>NETWORKDAYS(B3028,C3028)-1</f>
        <v>1</v>
      </c>
      <c r="T3028" s="1">
        <f>WORKDAY(B3028,5)</f>
        <v>45817</v>
      </c>
      <c r="U3028" t="b">
        <f>C3028&gt;T3028</f>
        <v>0</v>
      </c>
    </row>
    <row r="3029" spans="1:21" x14ac:dyDescent="0.25">
      <c r="A3029" t="s">
        <v>1901</v>
      </c>
      <c r="B3029" s="1">
        <v>45810</v>
      </c>
      <c r="C3029" s="1">
        <v>45812</v>
      </c>
      <c r="D3029" t="s">
        <v>908</v>
      </c>
      <c r="E3029" t="s">
        <v>30</v>
      </c>
      <c r="F3029" t="s">
        <v>31</v>
      </c>
      <c r="G3029" t="s">
        <v>375</v>
      </c>
      <c r="H3029" t="s">
        <v>42</v>
      </c>
      <c r="I3029" s="2">
        <v>1</v>
      </c>
      <c r="J3029" s="3">
        <v>55</v>
      </c>
      <c r="K3029" s="4">
        <v>0.08</v>
      </c>
      <c r="L3029" s="3">
        <v>50.6</v>
      </c>
      <c r="M3029" t="b">
        <v>1</v>
      </c>
      <c r="N3029" s="2">
        <f>YEAR(B3029)</f>
        <v>2025</v>
      </c>
      <c r="O3029" t="str">
        <f>INDEX(Agences!$C:$C,MATCH(F3029,Agences!$A:$A,0))</f>
        <v>Ouest</v>
      </c>
      <c r="P3029" t="str">
        <f>INDEX(Produits!$C:$C,MATCH(H3029,Produits!$A:$A,0))</f>
        <v>Maintenance</v>
      </c>
      <c r="Q3029" s="3">
        <f>I3029*INDEX(Produits!$E:$E,MATCH(H3029,Produits!$A:$A,0))</f>
        <v>24.75</v>
      </c>
      <c r="R3029" s="3">
        <f>L3029-Q3029</f>
        <v>25.85</v>
      </c>
      <c r="S3029" s="2">
        <f>NETWORKDAYS(B3029,C3029)-1</f>
        <v>2</v>
      </c>
      <c r="T3029" s="1">
        <f>WORKDAY(B3029,5)</f>
        <v>45817</v>
      </c>
      <c r="U3029" t="b">
        <f>C3029&gt;T3029</f>
        <v>0</v>
      </c>
    </row>
    <row r="3030" spans="1:21" x14ac:dyDescent="0.25">
      <c r="A3030" t="s">
        <v>1901</v>
      </c>
      <c r="B3030" s="1">
        <v>45810</v>
      </c>
      <c r="C3030" s="1">
        <v>45812</v>
      </c>
      <c r="D3030" t="s">
        <v>908</v>
      </c>
      <c r="E3030" t="s">
        <v>30</v>
      </c>
      <c r="F3030" t="s">
        <v>31</v>
      </c>
      <c r="G3030" t="s">
        <v>375</v>
      </c>
      <c r="H3030" t="s">
        <v>319</v>
      </c>
      <c r="I3030" s="2">
        <v>1</v>
      </c>
      <c r="J3030" s="3">
        <v>289</v>
      </c>
      <c r="K3030" s="4">
        <v>0</v>
      </c>
      <c r="L3030" s="3">
        <v>289</v>
      </c>
      <c r="M3030" t="b">
        <v>1</v>
      </c>
      <c r="N3030" s="2">
        <f>YEAR(B3030)</f>
        <v>2025</v>
      </c>
      <c r="O3030" t="str">
        <f>INDEX(Agences!$C:$C,MATCH(F3030,Agences!$A:$A,0))</f>
        <v>Ouest</v>
      </c>
      <c r="P3030" t="str">
        <f>INDEX(Produits!$C:$C,MATCH(H3030,Produits!$A:$A,0))</f>
        <v>Informatique</v>
      </c>
      <c r="Q3030" s="3">
        <f>I3030*INDEX(Produits!$E:$E,MATCH(H3030,Produits!$A:$A,0))</f>
        <v>213.86</v>
      </c>
      <c r="R3030" s="3">
        <f>L3030-Q3030</f>
        <v>75.13999999999999</v>
      </c>
      <c r="S3030" s="2">
        <f>NETWORKDAYS(B3030,C3030)-1</f>
        <v>2</v>
      </c>
      <c r="T3030" s="1">
        <f>WORKDAY(B3030,5)</f>
        <v>45817</v>
      </c>
      <c r="U3030" t="b">
        <f>C3030&gt;T3030</f>
        <v>0</v>
      </c>
    </row>
    <row r="3031" spans="1:21" x14ac:dyDescent="0.25">
      <c r="A3031" t="s">
        <v>1901</v>
      </c>
      <c r="B3031" s="1">
        <v>45810</v>
      </c>
      <c r="C3031" s="1">
        <v>45812</v>
      </c>
      <c r="D3031" t="s">
        <v>908</v>
      </c>
      <c r="E3031" t="s">
        <v>30</v>
      </c>
      <c r="F3031" t="s">
        <v>31</v>
      </c>
      <c r="G3031" t="s">
        <v>375</v>
      </c>
      <c r="H3031" t="s">
        <v>50</v>
      </c>
      <c r="I3031" s="2">
        <v>4</v>
      </c>
      <c r="J3031" s="3">
        <v>69</v>
      </c>
      <c r="K3031" s="4">
        <v>0.05</v>
      </c>
      <c r="L3031" s="3">
        <v>262.2</v>
      </c>
      <c r="M3031" t="b">
        <v>1</v>
      </c>
      <c r="N3031" s="2">
        <f>YEAR(B3031)</f>
        <v>2025</v>
      </c>
      <c r="O3031" t="str">
        <f>INDEX(Agences!$C:$C,MATCH(F3031,Agences!$A:$A,0))</f>
        <v>Ouest</v>
      </c>
      <c r="P3031" t="str">
        <f>INDEX(Produits!$C:$C,MATCH(H3031,Produits!$A:$A,0))</f>
        <v>Informatique</v>
      </c>
      <c r="Q3031" s="3">
        <f>I3031*INDEX(Produits!$E:$E,MATCH(H3031,Produits!$A:$A,0))</f>
        <v>218.04</v>
      </c>
      <c r="R3031" s="3">
        <f>L3031-Q3031</f>
        <v>44.16</v>
      </c>
      <c r="S3031" s="2">
        <f>NETWORKDAYS(B3031,C3031)-1</f>
        <v>2</v>
      </c>
      <c r="T3031" s="1">
        <f>WORKDAY(B3031,5)</f>
        <v>45817</v>
      </c>
      <c r="U3031" t="b">
        <f>C3031&gt;T3031</f>
        <v>0</v>
      </c>
    </row>
    <row r="3032" spans="1:21" x14ac:dyDescent="0.25">
      <c r="A3032" t="s">
        <v>1901</v>
      </c>
      <c r="B3032" s="1">
        <v>45810</v>
      </c>
      <c r="C3032" s="1">
        <v>45812</v>
      </c>
      <c r="D3032" t="s">
        <v>908</v>
      </c>
      <c r="E3032" t="s">
        <v>30</v>
      </c>
      <c r="F3032" t="s">
        <v>31</v>
      </c>
      <c r="G3032" t="s">
        <v>375</v>
      </c>
      <c r="H3032" t="s">
        <v>90</v>
      </c>
      <c r="I3032" s="2">
        <v>5</v>
      </c>
      <c r="J3032" s="3">
        <v>22.9</v>
      </c>
      <c r="K3032" s="4">
        <v>0.05</v>
      </c>
      <c r="L3032" s="3">
        <v>108.78</v>
      </c>
      <c r="M3032" t="b">
        <v>1</v>
      </c>
      <c r="N3032" s="2">
        <f>YEAR(B3032)</f>
        <v>2025</v>
      </c>
      <c r="O3032" t="str">
        <f>INDEX(Agences!$C:$C,MATCH(F3032,Agences!$A:$A,0))</f>
        <v>Ouest</v>
      </c>
      <c r="P3032" t="str">
        <f>INDEX(Produits!$C:$C,MATCH(H3032,Produits!$A:$A,0))</f>
        <v>Fournitures</v>
      </c>
      <c r="Q3032" s="3">
        <f>I3032*INDEX(Produits!$E:$E,MATCH(H3032,Produits!$A:$A,0))</f>
        <v>64.1</v>
      </c>
      <c r="R3032" s="3">
        <f>L3032-Q3032</f>
        <v>44.68000000000001</v>
      </c>
      <c r="S3032" s="2">
        <f>NETWORKDAYS(B3032,C3032)-1</f>
        <v>2</v>
      </c>
      <c r="T3032" s="1">
        <f>WORKDAY(B3032,5)</f>
        <v>45817</v>
      </c>
      <c r="U3032" t="b">
        <f>C3032&gt;T3032</f>
        <v>0</v>
      </c>
    </row>
    <row r="3033" spans="1:21" x14ac:dyDescent="0.25">
      <c r="A3033" t="s">
        <v>1902</v>
      </c>
      <c r="B3033" s="1">
        <v>45810</v>
      </c>
      <c r="C3033" s="1">
        <v>45811</v>
      </c>
      <c r="D3033" t="s">
        <v>1170</v>
      </c>
      <c r="E3033" t="s">
        <v>149</v>
      </c>
      <c r="F3033" t="s">
        <v>88</v>
      </c>
      <c r="G3033" t="s">
        <v>142</v>
      </c>
      <c r="H3033" t="s">
        <v>42</v>
      </c>
      <c r="I3033" s="2">
        <v>2</v>
      </c>
      <c r="J3033" s="3">
        <v>55</v>
      </c>
      <c r="K3033" s="4">
        <v>0.02</v>
      </c>
      <c r="L3033" s="3">
        <v>107.8</v>
      </c>
      <c r="M3033" t="b">
        <v>1</v>
      </c>
      <c r="N3033" s="2">
        <f>YEAR(B3033)</f>
        <v>2025</v>
      </c>
      <c r="O3033" t="str">
        <f>INDEX(Agences!$C:$C,MATCH(F3033,Agences!$A:$A,0))</f>
        <v>Sud-Ouest</v>
      </c>
      <c r="P3033" t="str">
        <f>INDEX(Produits!$C:$C,MATCH(H3033,Produits!$A:$A,0))</f>
        <v>Maintenance</v>
      </c>
      <c r="Q3033" s="3">
        <f>I3033*INDEX(Produits!$E:$E,MATCH(H3033,Produits!$A:$A,0))</f>
        <v>49.5</v>
      </c>
      <c r="R3033" s="3">
        <f>L3033-Q3033</f>
        <v>58.3</v>
      </c>
      <c r="S3033" s="2">
        <f>NETWORKDAYS(B3033,C3033)-1</f>
        <v>1</v>
      </c>
      <c r="T3033" s="1">
        <f>WORKDAY(B3033,5)</f>
        <v>45817</v>
      </c>
      <c r="U3033" t="b">
        <f>C3033&gt;T3033</f>
        <v>0</v>
      </c>
    </row>
    <row r="3034" spans="1:21" x14ac:dyDescent="0.25">
      <c r="A3034" t="s">
        <v>1902</v>
      </c>
      <c r="B3034" s="1">
        <v>45810</v>
      </c>
      <c r="C3034" s="1">
        <v>45811</v>
      </c>
      <c r="D3034" t="s">
        <v>1170</v>
      </c>
      <c r="E3034" t="s">
        <v>149</v>
      </c>
      <c r="F3034" t="s">
        <v>88</v>
      </c>
      <c r="G3034" t="s">
        <v>142</v>
      </c>
      <c r="H3034" t="s">
        <v>90</v>
      </c>
      <c r="I3034" s="2">
        <v>15</v>
      </c>
      <c r="J3034" s="3">
        <v>22.9</v>
      </c>
      <c r="K3034" s="4">
        <v>0</v>
      </c>
      <c r="L3034" s="3">
        <v>343.5</v>
      </c>
      <c r="M3034" t="b">
        <v>1</v>
      </c>
      <c r="N3034" s="2">
        <f>YEAR(B3034)</f>
        <v>2025</v>
      </c>
      <c r="O3034" t="str">
        <f>INDEX(Agences!$C:$C,MATCH(F3034,Agences!$A:$A,0))</f>
        <v>Sud-Ouest</v>
      </c>
      <c r="P3034" t="str">
        <f>INDEX(Produits!$C:$C,MATCH(H3034,Produits!$A:$A,0))</f>
        <v>Fournitures</v>
      </c>
      <c r="Q3034" s="3">
        <f>I3034*INDEX(Produits!$E:$E,MATCH(H3034,Produits!$A:$A,0))</f>
        <v>192.3</v>
      </c>
      <c r="R3034" s="3">
        <f>L3034-Q3034</f>
        <v>151.2</v>
      </c>
      <c r="S3034" s="2">
        <f>NETWORKDAYS(B3034,C3034)-1</f>
        <v>1</v>
      </c>
      <c r="T3034" s="1">
        <f>WORKDAY(B3034,5)</f>
        <v>45817</v>
      </c>
      <c r="U3034" t="b">
        <f>C3034&gt;T3034</f>
        <v>0</v>
      </c>
    </row>
    <row r="3035" spans="1:21" x14ac:dyDescent="0.25">
      <c r="A3035" t="s">
        <v>1903</v>
      </c>
      <c r="B3035" s="1">
        <v>45810</v>
      </c>
      <c r="C3035" s="1">
        <v>45813</v>
      </c>
      <c r="D3035" t="s">
        <v>1345</v>
      </c>
      <c r="E3035" t="s">
        <v>149</v>
      </c>
      <c r="F3035" t="s">
        <v>88</v>
      </c>
      <c r="G3035" t="s">
        <v>142</v>
      </c>
      <c r="H3035" t="s">
        <v>42</v>
      </c>
      <c r="I3035" s="2">
        <v>3</v>
      </c>
      <c r="J3035" s="3">
        <v>55</v>
      </c>
      <c r="K3035" s="4">
        <v>0.02</v>
      </c>
      <c r="L3035" s="3">
        <v>161.7</v>
      </c>
      <c r="M3035" t="b">
        <v>1</v>
      </c>
      <c r="N3035" s="2">
        <f>YEAR(B3035)</f>
        <v>2025</v>
      </c>
      <c r="O3035" t="str">
        <f>INDEX(Agences!$C:$C,MATCH(F3035,Agences!$A:$A,0))</f>
        <v>Sud-Ouest</v>
      </c>
      <c r="P3035" t="str">
        <f>INDEX(Produits!$C:$C,MATCH(H3035,Produits!$A:$A,0))</f>
        <v>Maintenance</v>
      </c>
      <c r="Q3035" s="3">
        <f>I3035*INDEX(Produits!$E:$E,MATCH(H3035,Produits!$A:$A,0))</f>
        <v>74.25</v>
      </c>
      <c r="R3035" s="3">
        <f>L3035-Q3035</f>
        <v>87.44999999999999</v>
      </c>
      <c r="S3035" s="2">
        <f>NETWORKDAYS(B3035,C3035)-1</f>
        <v>3</v>
      </c>
      <c r="T3035" s="1">
        <f>WORKDAY(B3035,5)</f>
        <v>45817</v>
      </c>
      <c r="U3035" t="b">
        <f>C3035&gt;T3035</f>
        <v>0</v>
      </c>
    </row>
    <row r="3036" spans="1:21" x14ac:dyDescent="0.25">
      <c r="A3036" t="s">
        <v>1904</v>
      </c>
      <c r="B3036" s="1">
        <v>45810</v>
      </c>
      <c r="C3036" s="1">
        <v>45813</v>
      </c>
      <c r="D3036" t="s">
        <v>1602</v>
      </c>
      <c r="E3036" t="s">
        <v>45</v>
      </c>
      <c r="F3036" t="s">
        <v>46</v>
      </c>
      <c r="G3036" t="s">
        <v>111</v>
      </c>
      <c r="H3036" t="s">
        <v>127</v>
      </c>
      <c r="I3036" s="2">
        <v>1</v>
      </c>
      <c r="J3036" s="3">
        <v>649</v>
      </c>
      <c r="K3036" s="4">
        <v>0.05</v>
      </c>
      <c r="L3036" s="3">
        <v>616.55</v>
      </c>
      <c r="M3036" t="b">
        <v>1</v>
      </c>
      <c r="N3036" s="2">
        <f>YEAR(B3036)</f>
        <v>2025</v>
      </c>
      <c r="O3036" t="str">
        <f>INDEX(Agences!$C:$C,MATCH(F3036,Agences!$A:$A,0))</f>
        <v>Est</v>
      </c>
      <c r="P3036" t="str">
        <f>INDEX(Produits!$C:$C,MATCH(H3036,Produits!$A:$A,0))</f>
        <v>Informatique</v>
      </c>
      <c r="Q3036" s="3">
        <f>I3036*INDEX(Produits!$E:$E,MATCH(H3036,Produits!$A:$A,0))</f>
        <v>480.26</v>
      </c>
      <c r="R3036" s="3">
        <f>L3036-Q3036</f>
        <v>136.28999999999996</v>
      </c>
      <c r="S3036" s="2">
        <f>NETWORKDAYS(B3036,C3036)-1</f>
        <v>3</v>
      </c>
      <c r="T3036" s="1">
        <f>WORKDAY(B3036,5)</f>
        <v>45817</v>
      </c>
      <c r="U3036" t="b">
        <f>C3036&gt;T3036</f>
        <v>0</v>
      </c>
    </row>
    <row r="3037" spans="1:21" x14ac:dyDescent="0.25">
      <c r="A3037" t="s">
        <v>1904</v>
      </c>
      <c r="B3037" s="1">
        <v>45810</v>
      </c>
      <c r="C3037" s="1">
        <v>45813</v>
      </c>
      <c r="D3037" t="s">
        <v>1602</v>
      </c>
      <c r="E3037" t="s">
        <v>45</v>
      </c>
      <c r="F3037" t="s">
        <v>46</v>
      </c>
      <c r="G3037" t="s">
        <v>111</v>
      </c>
      <c r="H3037" t="s">
        <v>49</v>
      </c>
      <c r="I3037" s="2">
        <v>1</v>
      </c>
      <c r="J3037" s="3">
        <v>120</v>
      </c>
      <c r="K3037" s="4">
        <v>0.08</v>
      </c>
      <c r="L3037" s="3">
        <v>110.4</v>
      </c>
      <c r="M3037" t="b">
        <v>1</v>
      </c>
      <c r="N3037" s="2">
        <f>YEAR(B3037)</f>
        <v>2025</v>
      </c>
      <c r="O3037" t="str">
        <f>INDEX(Agences!$C:$C,MATCH(F3037,Agences!$A:$A,0))</f>
        <v>Est</v>
      </c>
      <c r="P3037" t="str">
        <f>INDEX(Produits!$C:$C,MATCH(H3037,Produits!$A:$A,0))</f>
        <v>Maintenance</v>
      </c>
      <c r="Q3037" s="3">
        <f>I3037*INDEX(Produits!$E:$E,MATCH(H3037,Produits!$A:$A,0))</f>
        <v>55.2</v>
      </c>
      <c r="R3037" s="3">
        <f>L3037-Q3037</f>
        <v>55.2</v>
      </c>
      <c r="S3037" s="2">
        <f>NETWORKDAYS(B3037,C3037)-1</f>
        <v>3</v>
      </c>
      <c r="T3037" s="1">
        <f>WORKDAY(B3037,5)</f>
        <v>45817</v>
      </c>
      <c r="U3037" t="b">
        <f>C3037&gt;T3037</f>
        <v>0</v>
      </c>
    </row>
    <row r="3038" spans="1:21" x14ac:dyDescent="0.25">
      <c r="A3038" t="s">
        <v>1904</v>
      </c>
      <c r="B3038" s="1">
        <v>45810</v>
      </c>
      <c r="C3038" s="1">
        <v>45813</v>
      </c>
      <c r="D3038" t="s">
        <v>1602</v>
      </c>
      <c r="E3038" t="s">
        <v>45</v>
      </c>
      <c r="F3038" t="s">
        <v>46</v>
      </c>
      <c r="G3038" t="s">
        <v>111</v>
      </c>
      <c r="H3038" t="s">
        <v>42</v>
      </c>
      <c r="I3038" s="2">
        <v>1</v>
      </c>
      <c r="J3038" s="3">
        <v>55</v>
      </c>
      <c r="K3038" s="4">
        <v>0.05</v>
      </c>
      <c r="L3038" s="3">
        <v>52.25</v>
      </c>
      <c r="M3038" t="b">
        <v>1</v>
      </c>
      <c r="N3038" s="2">
        <f>YEAR(B3038)</f>
        <v>2025</v>
      </c>
      <c r="O3038" t="str">
        <f>INDEX(Agences!$C:$C,MATCH(F3038,Agences!$A:$A,0))</f>
        <v>Est</v>
      </c>
      <c r="P3038" t="str">
        <f>INDEX(Produits!$C:$C,MATCH(H3038,Produits!$A:$A,0))</f>
        <v>Maintenance</v>
      </c>
      <c r="Q3038" s="3">
        <f>I3038*INDEX(Produits!$E:$E,MATCH(H3038,Produits!$A:$A,0))</f>
        <v>24.75</v>
      </c>
      <c r="R3038" s="3">
        <f>L3038-Q3038</f>
        <v>27.5</v>
      </c>
      <c r="S3038" s="2">
        <f>NETWORKDAYS(B3038,C3038)-1</f>
        <v>3</v>
      </c>
      <c r="T3038" s="1">
        <f>WORKDAY(B3038,5)</f>
        <v>45817</v>
      </c>
      <c r="U3038" t="b">
        <f>C3038&gt;T3038</f>
        <v>0</v>
      </c>
    </row>
    <row r="3039" spans="1:21" x14ac:dyDescent="0.25">
      <c r="A3039" t="s">
        <v>1904</v>
      </c>
      <c r="B3039" s="1">
        <v>45810</v>
      </c>
      <c r="C3039" s="1">
        <v>45813</v>
      </c>
      <c r="D3039" t="s">
        <v>1602</v>
      </c>
      <c r="E3039" t="s">
        <v>45</v>
      </c>
      <c r="F3039" t="s">
        <v>46</v>
      </c>
      <c r="G3039" t="s">
        <v>111</v>
      </c>
      <c r="H3039" t="s">
        <v>48</v>
      </c>
      <c r="I3039" s="2">
        <v>5</v>
      </c>
      <c r="J3039" s="3">
        <v>165</v>
      </c>
      <c r="K3039" s="4">
        <v>0.05</v>
      </c>
      <c r="L3039" s="3">
        <v>783.75</v>
      </c>
      <c r="M3039" t="b">
        <v>1</v>
      </c>
      <c r="N3039" s="2">
        <f>YEAR(B3039)</f>
        <v>2025</v>
      </c>
      <c r="O3039" t="str">
        <f>INDEX(Agences!$C:$C,MATCH(F3039,Agences!$A:$A,0))</f>
        <v>Est</v>
      </c>
      <c r="P3039" t="str">
        <f>INDEX(Produits!$C:$C,MATCH(H3039,Produits!$A:$A,0))</f>
        <v>Mobilier</v>
      </c>
      <c r="Q3039" s="3">
        <f>I3039*INDEX(Produits!$E:$E,MATCH(H3039,Produits!$A:$A,0))</f>
        <v>536.25</v>
      </c>
      <c r="R3039" s="3">
        <f>L3039-Q3039</f>
        <v>247.5</v>
      </c>
      <c r="S3039" s="2">
        <f>NETWORKDAYS(B3039,C3039)-1</f>
        <v>3</v>
      </c>
      <c r="T3039" s="1">
        <f>WORKDAY(B3039,5)</f>
        <v>45817</v>
      </c>
      <c r="U3039" t="b">
        <f>C3039&gt;T3039</f>
        <v>0</v>
      </c>
    </row>
    <row r="3040" spans="1:21" x14ac:dyDescent="0.25">
      <c r="A3040" t="s">
        <v>1905</v>
      </c>
      <c r="B3040" s="1">
        <v>45807</v>
      </c>
      <c r="C3040" s="1">
        <v>45811</v>
      </c>
      <c r="D3040" t="s">
        <v>1712</v>
      </c>
      <c r="E3040" t="s">
        <v>30</v>
      </c>
      <c r="F3040" t="s">
        <v>31</v>
      </c>
      <c r="G3040" t="s">
        <v>32</v>
      </c>
      <c r="H3040" t="s">
        <v>42</v>
      </c>
      <c r="I3040" s="2">
        <v>1</v>
      </c>
      <c r="J3040" s="3">
        <v>55</v>
      </c>
      <c r="K3040" s="4">
        <v>0</v>
      </c>
      <c r="L3040" s="3">
        <v>55</v>
      </c>
      <c r="M3040" t="b">
        <v>1</v>
      </c>
      <c r="N3040" s="2">
        <f>YEAR(B3040)</f>
        <v>2025</v>
      </c>
      <c r="O3040" t="str">
        <f>INDEX(Agences!$C:$C,MATCH(F3040,Agences!$A:$A,0))</f>
        <v>Ouest</v>
      </c>
      <c r="P3040" t="str">
        <f>INDEX(Produits!$C:$C,MATCH(H3040,Produits!$A:$A,0))</f>
        <v>Maintenance</v>
      </c>
      <c r="Q3040" s="3">
        <f>I3040*INDEX(Produits!$E:$E,MATCH(H3040,Produits!$A:$A,0))</f>
        <v>24.75</v>
      </c>
      <c r="R3040" s="3">
        <f>L3040-Q3040</f>
        <v>30.25</v>
      </c>
      <c r="S3040" s="2">
        <f>NETWORKDAYS(B3040,C3040)-1</f>
        <v>2</v>
      </c>
      <c r="T3040" s="1">
        <f>WORKDAY(B3040,5)</f>
        <v>45814</v>
      </c>
      <c r="U3040" t="b">
        <f>C3040&gt;T3040</f>
        <v>0</v>
      </c>
    </row>
    <row r="3041" spans="1:21" x14ac:dyDescent="0.25">
      <c r="A3041" t="s">
        <v>1905</v>
      </c>
      <c r="B3041" s="1">
        <v>45807</v>
      </c>
      <c r="C3041" s="1">
        <v>45811</v>
      </c>
      <c r="D3041" t="s">
        <v>1712</v>
      </c>
      <c r="E3041" t="s">
        <v>30</v>
      </c>
      <c r="F3041" t="s">
        <v>31</v>
      </c>
      <c r="G3041" t="s">
        <v>32</v>
      </c>
      <c r="H3041" t="s">
        <v>33</v>
      </c>
      <c r="I3041" s="2">
        <v>1</v>
      </c>
      <c r="J3041" s="3">
        <v>219</v>
      </c>
      <c r="K3041" s="4">
        <v>0</v>
      </c>
      <c r="L3041" s="3">
        <v>219</v>
      </c>
      <c r="M3041" t="b">
        <v>1</v>
      </c>
      <c r="N3041" s="2">
        <f>YEAR(B3041)</f>
        <v>2025</v>
      </c>
      <c r="O3041" t="str">
        <f>INDEX(Agences!$C:$C,MATCH(F3041,Agences!$A:$A,0))</f>
        <v>Ouest</v>
      </c>
      <c r="P3041" t="str">
        <f>INDEX(Produits!$C:$C,MATCH(H3041,Produits!$A:$A,0))</f>
        <v>Informatique</v>
      </c>
      <c r="Q3041" s="3">
        <f>I3041*INDEX(Produits!$E:$E,MATCH(H3041,Produits!$A:$A,0))</f>
        <v>179.58</v>
      </c>
      <c r="R3041" s="3">
        <f>L3041-Q3041</f>
        <v>39.41999999999999</v>
      </c>
      <c r="S3041" s="2">
        <f>NETWORKDAYS(B3041,C3041)-1</f>
        <v>2</v>
      </c>
      <c r="T3041" s="1">
        <f>WORKDAY(B3041,5)</f>
        <v>45814</v>
      </c>
      <c r="U3041" t="b">
        <f>C3041&gt;T3041</f>
        <v>0</v>
      </c>
    </row>
    <row r="3042" spans="1:21" x14ac:dyDescent="0.25">
      <c r="A3042" t="s">
        <v>1905</v>
      </c>
      <c r="B3042" s="1">
        <v>45807</v>
      </c>
      <c r="C3042" s="1">
        <v>45811</v>
      </c>
      <c r="D3042" t="s">
        <v>1712</v>
      </c>
      <c r="E3042" t="s">
        <v>30</v>
      </c>
      <c r="F3042" t="s">
        <v>31</v>
      </c>
      <c r="G3042" t="s">
        <v>32</v>
      </c>
      <c r="H3042" t="s">
        <v>34</v>
      </c>
      <c r="I3042" s="2">
        <v>2</v>
      </c>
      <c r="J3042" s="3">
        <v>340</v>
      </c>
      <c r="K3042" s="4">
        <v>0</v>
      </c>
      <c r="L3042" s="3">
        <v>680</v>
      </c>
      <c r="M3042" t="b">
        <v>1</v>
      </c>
      <c r="N3042" s="2">
        <f>YEAR(B3042)</f>
        <v>2025</v>
      </c>
      <c r="O3042" t="str">
        <f>INDEX(Agences!$C:$C,MATCH(F3042,Agences!$A:$A,0))</f>
        <v>Ouest</v>
      </c>
      <c r="P3042" t="str">
        <f>INDEX(Produits!$C:$C,MATCH(H3042,Produits!$A:$A,0))</f>
        <v>Informatique</v>
      </c>
      <c r="Q3042" s="3">
        <f>I3042*INDEX(Produits!$E:$E,MATCH(H3042,Produits!$A:$A,0))</f>
        <v>550.8</v>
      </c>
      <c r="R3042" s="3">
        <f>L3042-Q3042</f>
        <v>129.20000000000005</v>
      </c>
      <c r="S3042" s="2">
        <f>NETWORKDAYS(B3042,C3042)-1</f>
        <v>2</v>
      </c>
      <c r="T3042" s="1">
        <f>WORKDAY(B3042,5)</f>
        <v>45814</v>
      </c>
      <c r="U3042" t="b">
        <f>C3042&gt;T3042</f>
        <v>0</v>
      </c>
    </row>
    <row r="3043" spans="1:21" x14ac:dyDescent="0.25">
      <c r="A3043" t="s">
        <v>1905</v>
      </c>
      <c r="B3043" s="1">
        <v>45807</v>
      </c>
      <c r="C3043" s="1">
        <v>45811</v>
      </c>
      <c r="D3043" t="s">
        <v>1712</v>
      </c>
      <c r="E3043" t="s">
        <v>30</v>
      </c>
      <c r="F3043" t="s">
        <v>31</v>
      </c>
      <c r="G3043" t="s">
        <v>32</v>
      </c>
      <c r="H3043" t="s">
        <v>84</v>
      </c>
      <c r="I3043" s="2">
        <v>1</v>
      </c>
      <c r="J3043" s="3">
        <v>420</v>
      </c>
      <c r="K3043" s="4">
        <v>0.1</v>
      </c>
      <c r="L3043" s="3">
        <v>378</v>
      </c>
      <c r="M3043" t="b">
        <v>1</v>
      </c>
      <c r="N3043" s="2">
        <f>YEAR(B3043)</f>
        <v>2025</v>
      </c>
      <c r="O3043" t="str">
        <f>INDEX(Agences!$C:$C,MATCH(F3043,Agences!$A:$A,0))</f>
        <v>Ouest</v>
      </c>
      <c r="P3043" t="str">
        <f>INDEX(Produits!$C:$C,MATCH(H3043,Produits!$A:$A,0))</f>
        <v>Mobilier</v>
      </c>
      <c r="Q3043" s="3">
        <f>I3043*INDEX(Produits!$E:$E,MATCH(H3043,Produits!$A:$A,0))</f>
        <v>243.6</v>
      </c>
      <c r="R3043" s="3">
        <f>L3043-Q3043</f>
        <v>134.4</v>
      </c>
      <c r="S3043" s="2">
        <f>NETWORKDAYS(B3043,C3043)-1</f>
        <v>2</v>
      </c>
      <c r="T3043" s="1">
        <f>WORKDAY(B3043,5)</f>
        <v>45814</v>
      </c>
      <c r="U3043" t="b">
        <f>C3043&gt;T3043</f>
        <v>0</v>
      </c>
    </row>
    <row r="3044" spans="1:21" x14ac:dyDescent="0.25">
      <c r="A3044" t="s">
        <v>1905</v>
      </c>
      <c r="B3044" s="1">
        <v>45807</v>
      </c>
      <c r="C3044" s="1">
        <v>45811</v>
      </c>
      <c r="D3044" t="s">
        <v>1712</v>
      </c>
      <c r="E3044" t="s">
        <v>30</v>
      </c>
      <c r="F3044" t="s">
        <v>31</v>
      </c>
      <c r="G3044" t="s">
        <v>32</v>
      </c>
      <c r="H3044" t="s">
        <v>83</v>
      </c>
      <c r="I3044" s="2">
        <v>1</v>
      </c>
      <c r="J3044" s="3">
        <v>49</v>
      </c>
      <c r="K3044" s="4">
        <v>0</v>
      </c>
      <c r="L3044" s="3">
        <v>49</v>
      </c>
      <c r="M3044" t="b">
        <v>1</v>
      </c>
      <c r="N3044" s="2">
        <f>YEAR(B3044)</f>
        <v>2025</v>
      </c>
      <c r="O3044" t="str">
        <f>INDEX(Agences!$C:$C,MATCH(F3044,Agences!$A:$A,0))</f>
        <v>Ouest</v>
      </c>
      <c r="P3044" t="str">
        <f>INDEX(Produits!$C:$C,MATCH(H3044,Produits!$A:$A,0))</f>
        <v>Mobilier</v>
      </c>
      <c r="Q3044" s="3">
        <f>I3044*INDEX(Produits!$E:$E,MATCH(H3044,Produits!$A:$A,0))</f>
        <v>28.42</v>
      </c>
      <c r="R3044" s="3">
        <f>L3044-Q3044</f>
        <v>20.58</v>
      </c>
      <c r="S3044" s="2">
        <f>NETWORKDAYS(B3044,C3044)-1</f>
        <v>2</v>
      </c>
      <c r="T3044" s="1">
        <f>WORKDAY(B3044,5)</f>
        <v>45814</v>
      </c>
      <c r="U3044" t="b">
        <f>C3044&gt;T3044</f>
        <v>0</v>
      </c>
    </row>
    <row r="3045" spans="1:21" x14ac:dyDescent="0.25">
      <c r="A3045" t="s">
        <v>1906</v>
      </c>
      <c r="B3045" s="1">
        <v>45807</v>
      </c>
      <c r="C3045" s="1">
        <v>45811</v>
      </c>
      <c r="D3045" t="s">
        <v>1543</v>
      </c>
      <c r="E3045" t="s">
        <v>225</v>
      </c>
      <c r="F3045" t="s">
        <v>88</v>
      </c>
      <c r="G3045" t="s">
        <v>142</v>
      </c>
      <c r="H3045" t="s">
        <v>49</v>
      </c>
      <c r="I3045" s="2">
        <v>1</v>
      </c>
      <c r="J3045" s="3">
        <v>120</v>
      </c>
      <c r="K3045" s="4">
        <v>0</v>
      </c>
      <c r="L3045" s="3">
        <v>120</v>
      </c>
      <c r="M3045" t="b">
        <v>1</v>
      </c>
      <c r="N3045" s="2">
        <f>YEAR(B3045)</f>
        <v>2025</v>
      </c>
      <c r="O3045" t="str">
        <f>INDEX(Agences!$C:$C,MATCH(F3045,Agences!$A:$A,0))</f>
        <v>Sud-Ouest</v>
      </c>
      <c r="P3045" t="str">
        <f>INDEX(Produits!$C:$C,MATCH(H3045,Produits!$A:$A,0))</f>
        <v>Maintenance</v>
      </c>
      <c r="Q3045" s="3">
        <f>I3045*INDEX(Produits!$E:$E,MATCH(H3045,Produits!$A:$A,0))</f>
        <v>55.2</v>
      </c>
      <c r="R3045" s="3">
        <f>L3045-Q3045</f>
        <v>64.8</v>
      </c>
      <c r="S3045" s="2">
        <f>NETWORKDAYS(B3045,C3045)-1</f>
        <v>2</v>
      </c>
      <c r="T3045" s="1">
        <f>WORKDAY(B3045,5)</f>
        <v>45814</v>
      </c>
      <c r="U3045" t="b">
        <f>C3045&gt;T3045</f>
        <v>0</v>
      </c>
    </row>
    <row r="3046" spans="1:21" x14ac:dyDescent="0.25">
      <c r="A3046" t="s">
        <v>1907</v>
      </c>
      <c r="B3046" s="1">
        <v>45807</v>
      </c>
      <c r="C3046" s="1">
        <v>45811</v>
      </c>
      <c r="D3046" t="s">
        <v>272</v>
      </c>
      <c r="E3046" t="s">
        <v>225</v>
      </c>
      <c r="F3046" t="s">
        <v>88</v>
      </c>
      <c r="G3046" t="s">
        <v>89</v>
      </c>
      <c r="H3046" t="s">
        <v>49</v>
      </c>
      <c r="I3046" s="2">
        <v>1</v>
      </c>
      <c r="J3046" s="3">
        <v>120</v>
      </c>
      <c r="K3046" s="4">
        <v>0.05</v>
      </c>
      <c r="L3046" s="3">
        <v>114</v>
      </c>
      <c r="M3046" t="b">
        <v>1</v>
      </c>
      <c r="N3046" s="2">
        <f>YEAR(B3046)</f>
        <v>2025</v>
      </c>
      <c r="O3046" t="str">
        <f>INDEX(Agences!$C:$C,MATCH(F3046,Agences!$A:$A,0))</f>
        <v>Sud-Ouest</v>
      </c>
      <c r="P3046" t="str">
        <f>INDEX(Produits!$C:$C,MATCH(H3046,Produits!$A:$A,0))</f>
        <v>Maintenance</v>
      </c>
      <c r="Q3046" s="3">
        <f>I3046*INDEX(Produits!$E:$E,MATCH(H3046,Produits!$A:$A,0))</f>
        <v>55.2</v>
      </c>
      <c r="R3046" s="3">
        <f>L3046-Q3046</f>
        <v>58.8</v>
      </c>
      <c r="S3046" s="2">
        <f>NETWORKDAYS(B3046,C3046)-1</f>
        <v>2</v>
      </c>
      <c r="T3046" s="1">
        <f>WORKDAY(B3046,5)</f>
        <v>45814</v>
      </c>
      <c r="U3046" t="b">
        <f>C3046&gt;T3046</f>
        <v>0</v>
      </c>
    </row>
    <row r="3047" spans="1:21" x14ac:dyDescent="0.25">
      <c r="A3047" t="s">
        <v>1908</v>
      </c>
      <c r="B3047" s="1">
        <v>45807</v>
      </c>
      <c r="C3047" s="1">
        <v>45810</v>
      </c>
      <c r="D3047" t="s">
        <v>1909</v>
      </c>
      <c r="E3047" t="s">
        <v>434</v>
      </c>
      <c r="F3047" t="s">
        <v>55</v>
      </c>
      <c r="G3047" t="s">
        <v>195</v>
      </c>
      <c r="H3047" t="s">
        <v>50</v>
      </c>
      <c r="I3047" s="2">
        <v>2</v>
      </c>
      <c r="J3047" s="3">
        <v>69</v>
      </c>
      <c r="K3047" s="4">
        <v>0</v>
      </c>
      <c r="L3047" s="3">
        <v>138</v>
      </c>
      <c r="M3047" t="b">
        <v>1</v>
      </c>
      <c r="N3047" s="2">
        <f>YEAR(B3047)</f>
        <v>2025</v>
      </c>
      <c r="O3047" t="str">
        <f>INDEX(Agences!$C:$C,MATCH(F3047,Agences!$A:$A,0))</f>
        <v>Est</v>
      </c>
      <c r="P3047" t="str">
        <f>INDEX(Produits!$C:$C,MATCH(H3047,Produits!$A:$A,0))</f>
        <v>Informatique</v>
      </c>
      <c r="Q3047" s="3">
        <f>I3047*INDEX(Produits!$E:$E,MATCH(H3047,Produits!$A:$A,0))</f>
        <v>109.02</v>
      </c>
      <c r="R3047" s="3">
        <f>L3047-Q3047</f>
        <v>28.980000000000004</v>
      </c>
      <c r="S3047" s="2">
        <f>NETWORKDAYS(B3047,C3047)-1</f>
        <v>1</v>
      </c>
      <c r="T3047" s="1">
        <f>WORKDAY(B3047,5)</f>
        <v>45814</v>
      </c>
      <c r="U3047" t="b">
        <f>C3047&gt;T3047</f>
        <v>0</v>
      </c>
    </row>
    <row r="3048" spans="1:21" x14ac:dyDescent="0.25">
      <c r="A3048" t="s">
        <v>1908</v>
      </c>
      <c r="B3048" s="1">
        <v>45807</v>
      </c>
      <c r="C3048" s="1">
        <v>45810</v>
      </c>
      <c r="D3048" t="s">
        <v>1909</v>
      </c>
      <c r="E3048" t="s">
        <v>434</v>
      </c>
      <c r="F3048" t="s">
        <v>55</v>
      </c>
      <c r="G3048" t="s">
        <v>195</v>
      </c>
      <c r="H3048" t="s">
        <v>319</v>
      </c>
      <c r="I3048" s="2">
        <v>2</v>
      </c>
      <c r="J3048" s="3">
        <v>289</v>
      </c>
      <c r="K3048" s="4">
        <v>0</v>
      </c>
      <c r="L3048" s="3">
        <v>578</v>
      </c>
      <c r="M3048" t="b">
        <v>1</v>
      </c>
      <c r="N3048" s="2">
        <f>YEAR(B3048)</f>
        <v>2025</v>
      </c>
      <c r="O3048" t="str">
        <f>INDEX(Agences!$C:$C,MATCH(F3048,Agences!$A:$A,0))</f>
        <v>Est</v>
      </c>
      <c r="P3048" t="str">
        <f>INDEX(Produits!$C:$C,MATCH(H3048,Produits!$A:$A,0))</f>
        <v>Informatique</v>
      </c>
      <c r="Q3048" s="3">
        <f>I3048*INDEX(Produits!$E:$E,MATCH(H3048,Produits!$A:$A,0))</f>
        <v>427.72</v>
      </c>
      <c r="R3048" s="3">
        <f>L3048-Q3048</f>
        <v>150.27999999999997</v>
      </c>
      <c r="S3048" s="2">
        <f>NETWORKDAYS(B3048,C3048)-1</f>
        <v>1</v>
      </c>
      <c r="T3048" s="1">
        <f>WORKDAY(B3048,5)</f>
        <v>45814</v>
      </c>
      <c r="U3048" t="b">
        <f>C3048&gt;T3048</f>
        <v>0</v>
      </c>
    </row>
    <row r="3049" spans="1:21" x14ac:dyDescent="0.25">
      <c r="A3049" t="s">
        <v>1908</v>
      </c>
      <c r="B3049" s="1">
        <v>45807</v>
      </c>
      <c r="C3049" s="1">
        <v>45810</v>
      </c>
      <c r="D3049" t="s">
        <v>1909</v>
      </c>
      <c r="E3049" t="s">
        <v>434</v>
      </c>
      <c r="F3049" t="s">
        <v>55</v>
      </c>
      <c r="G3049" t="s">
        <v>195</v>
      </c>
      <c r="H3049" t="s">
        <v>33</v>
      </c>
      <c r="I3049" s="2">
        <v>1</v>
      </c>
      <c r="J3049" s="3">
        <v>219</v>
      </c>
      <c r="K3049" s="4">
        <v>0.02</v>
      </c>
      <c r="L3049" s="3">
        <v>214.62</v>
      </c>
      <c r="M3049" t="b">
        <v>1</v>
      </c>
      <c r="N3049" s="2">
        <f>YEAR(B3049)</f>
        <v>2025</v>
      </c>
      <c r="O3049" t="str">
        <f>INDEX(Agences!$C:$C,MATCH(F3049,Agences!$A:$A,0))</f>
        <v>Est</v>
      </c>
      <c r="P3049" t="str">
        <f>INDEX(Produits!$C:$C,MATCH(H3049,Produits!$A:$A,0))</f>
        <v>Informatique</v>
      </c>
      <c r="Q3049" s="3">
        <f>I3049*INDEX(Produits!$E:$E,MATCH(H3049,Produits!$A:$A,0))</f>
        <v>179.58</v>
      </c>
      <c r="R3049" s="3">
        <f>L3049-Q3049</f>
        <v>35.03999999999999</v>
      </c>
      <c r="S3049" s="2">
        <f>NETWORKDAYS(B3049,C3049)-1</f>
        <v>1</v>
      </c>
      <c r="T3049" s="1">
        <f>WORKDAY(B3049,5)</f>
        <v>45814</v>
      </c>
      <c r="U3049" t="b">
        <f>C3049&gt;T3049</f>
        <v>0</v>
      </c>
    </row>
    <row r="3050" spans="1:21" x14ac:dyDescent="0.25">
      <c r="A3050" t="s">
        <v>1910</v>
      </c>
      <c r="B3050" s="1">
        <v>45806</v>
      </c>
      <c r="C3050" s="1">
        <v>45807</v>
      </c>
      <c r="D3050" t="s">
        <v>1417</v>
      </c>
      <c r="E3050" t="s">
        <v>165</v>
      </c>
      <c r="F3050" t="s">
        <v>166</v>
      </c>
      <c r="G3050" t="s">
        <v>248</v>
      </c>
      <c r="H3050" t="s">
        <v>103</v>
      </c>
      <c r="I3050" s="2">
        <v>2</v>
      </c>
      <c r="J3050" s="3">
        <v>245</v>
      </c>
      <c r="K3050" s="4">
        <v>0.08</v>
      </c>
      <c r="L3050" s="3">
        <v>450.8</v>
      </c>
      <c r="M3050" t="b">
        <v>1</v>
      </c>
      <c r="N3050" s="2">
        <f>YEAR(B3050)</f>
        <v>2025</v>
      </c>
      <c r="O3050" t="str">
        <f>INDEX(Agences!$C:$C,MATCH(F3050,Agences!$A:$A,0))</f>
        <v>Ouest</v>
      </c>
      <c r="P3050" t="str">
        <f>INDEX(Produits!$C:$C,MATCH(H3050,Produits!$A:$A,0))</f>
        <v>Mobilier</v>
      </c>
      <c r="Q3050" s="3">
        <f>I3050*INDEX(Produits!$E:$E,MATCH(H3050,Produits!$A:$A,0))</f>
        <v>328.3</v>
      </c>
      <c r="R3050" s="3">
        <f>L3050-Q3050</f>
        <v>122.5</v>
      </c>
      <c r="S3050" s="2">
        <f>NETWORKDAYS(B3050,C3050)-1</f>
        <v>1</v>
      </c>
      <c r="T3050" s="1">
        <f>WORKDAY(B3050,5)</f>
        <v>45813</v>
      </c>
      <c r="U3050" t="b">
        <f>C3050&gt;T3050</f>
        <v>0</v>
      </c>
    </row>
    <row r="3051" spans="1:21" x14ac:dyDescent="0.25">
      <c r="A3051" t="s">
        <v>1910</v>
      </c>
      <c r="B3051" s="1">
        <v>45806</v>
      </c>
      <c r="C3051" s="1">
        <v>45807</v>
      </c>
      <c r="D3051" t="s">
        <v>1417</v>
      </c>
      <c r="E3051" t="s">
        <v>165</v>
      </c>
      <c r="F3051" t="s">
        <v>166</v>
      </c>
      <c r="G3051" t="s">
        <v>248</v>
      </c>
      <c r="H3051" t="s">
        <v>83</v>
      </c>
      <c r="I3051" s="2">
        <v>7</v>
      </c>
      <c r="J3051" s="3">
        <v>49</v>
      </c>
      <c r="K3051" s="4">
        <v>0.02</v>
      </c>
      <c r="L3051" s="3">
        <v>336.14</v>
      </c>
      <c r="M3051" t="b">
        <v>1</v>
      </c>
      <c r="N3051" s="2">
        <f>YEAR(B3051)</f>
        <v>2025</v>
      </c>
      <c r="O3051" t="str">
        <f>INDEX(Agences!$C:$C,MATCH(F3051,Agences!$A:$A,0))</f>
        <v>Ouest</v>
      </c>
      <c r="P3051" t="str">
        <f>INDEX(Produits!$C:$C,MATCH(H3051,Produits!$A:$A,0))</f>
        <v>Mobilier</v>
      </c>
      <c r="Q3051" s="3">
        <f>I3051*INDEX(Produits!$E:$E,MATCH(H3051,Produits!$A:$A,0))</f>
        <v>198.94</v>
      </c>
      <c r="R3051" s="3">
        <f>L3051-Q3051</f>
        <v>137.2</v>
      </c>
      <c r="S3051" s="2">
        <f>NETWORKDAYS(B3051,C3051)-1</f>
        <v>1</v>
      </c>
      <c r="T3051" s="1">
        <f>WORKDAY(B3051,5)</f>
        <v>45813</v>
      </c>
      <c r="U3051" t="b">
        <f>C3051&gt;T3051</f>
        <v>0</v>
      </c>
    </row>
    <row r="3052" spans="1:21" x14ac:dyDescent="0.25">
      <c r="A3052" t="s">
        <v>1910</v>
      </c>
      <c r="B3052" s="1">
        <v>45806</v>
      </c>
      <c r="C3052" s="1">
        <v>45807</v>
      </c>
      <c r="D3052" t="s">
        <v>1417</v>
      </c>
      <c r="E3052" t="s">
        <v>165</v>
      </c>
      <c r="F3052" t="s">
        <v>166</v>
      </c>
      <c r="G3052" t="s">
        <v>248</v>
      </c>
      <c r="H3052" t="s">
        <v>233</v>
      </c>
      <c r="I3052" s="2">
        <v>10</v>
      </c>
      <c r="J3052" s="3">
        <v>27.5</v>
      </c>
      <c r="K3052" s="4">
        <v>0</v>
      </c>
      <c r="L3052" s="3">
        <v>275</v>
      </c>
      <c r="M3052" t="b">
        <v>1</v>
      </c>
      <c r="N3052" s="2">
        <f>YEAR(B3052)</f>
        <v>2025</v>
      </c>
      <c r="O3052" t="str">
        <f>INDEX(Agences!$C:$C,MATCH(F3052,Agences!$A:$A,0))</f>
        <v>Ouest</v>
      </c>
      <c r="P3052" t="str">
        <f>INDEX(Produits!$C:$C,MATCH(H3052,Produits!$A:$A,0))</f>
        <v>Fournitures</v>
      </c>
      <c r="Q3052" s="3">
        <f>I3052*INDEX(Produits!$E:$E,MATCH(H3052,Produits!$A:$A,0))</f>
        <v>154</v>
      </c>
      <c r="R3052" s="3">
        <f>L3052-Q3052</f>
        <v>121</v>
      </c>
      <c r="S3052" s="2">
        <f>NETWORKDAYS(B3052,C3052)-1</f>
        <v>1</v>
      </c>
      <c r="T3052" s="1">
        <f>WORKDAY(B3052,5)</f>
        <v>45813</v>
      </c>
      <c r="U3052" t="b">
        <f>C3052&gt;T3052</f>
        <v>0</v>
      </c>
    </row>
    <row r="3053" spans="1:21" x14ac:dyDescent="0.25">
      <c r="A3053" t="s">
        <v>1910</v>
      </c>
      <c r="B3053" s="1">
        <v>45806</v>
      </c>
      <c r="C3053" s="1">
        <v>45807</v>
      </c>
      <c r="D3053" t="s">
        <v>1417</v>
      </c>
      <c r="E3053" t="s">
        <v>165</v>
      </c>
      <c r="F3053" t="s">
        <v>166</v>
      </c>
      <c r="G3053" t="s">
        <v>248</v>
      </c>
      <c r="H3053" t="s">
        <v>319</v>
      </c>
      <c r="I3053" s="2">
        <v>5</v>
      </c>
      <c r="J3053" s="3">
        <v>289</v>
      </c>
      <c r="K3053" s="4">
        <v>0.05</v>
      </c>
      <c r="L3053" s="3">
        <v>1372.75</v>
      </c>
      <c r="M3053" t="b">
        <v>1</v>
      </c>
      <c r="N3053" s="2">
        <f>YEAR(B3053)</f>
        <v>2025</v>
      </c>
      <c r="O3053" t="str">
        <f>INDEX(Agences!$C:$C,MATCH(F3053,Agences!$A:$A,0))</f>
        <v>Ouest</v>
      </c>
      <c r="P3053" t="str">
        <f>INDEX(Produits!$C:$C,MATCH(H3053,Produits!$A:$A,0))</f>
        <v>Informatique</v>
      </c>
      <c r="Q3053" s="3">
        <f>I3053*INDEX(Produits!$E:$E,MATCH(H3053,Produits!$A:$A,0))</f>
        <v>1069.3000000000002</v>
      </c>
      <c r="R3053" s="3">
        <f>L3053-Q3053</f>
        <v>303.4499999999998</v>
      </c>
      <c r="S3053" s="2">
        <f>NETWORKDAYS(B3053,C3053)-1</f>
        <v>1</v>
      </c>
      <c r="T3053" s="1">
        <f>WORKDAY(B3053,5)</f>
        <v>45813</v>
      </c>
      <c r="U3053" t="b">
        <f>C3053&gt;T3053</f>
        <v>0</v>
      </c>
    </row>
    <row r="3054" spans="1:21" x14ac:dyDescent="0.25">
      <c r="A3054" t="s">
        <v>1911</v>
      </c>
      <c r="B3054" s="1">
        <v>45806</v>
      </c>
      <c r="C3054" s="1">
        <v>45813</v>
      </c>
      <c r="D3054" t="s">
        <v>1912</v>
      </c>
      <c r="E3054" t="s">
        <v>87</v>
      </c>
      <c r="F3054" t="s">
        <v>88</v>
      </c>
      <c r="G3054" t="s">
        <v>226</v>
      </c>
      <c r="H3054" t="s">
        <v>90</v>
      </c>
      <c r="I3054" s="2">
        <v>10</v>
      </c>
      <c r="J3054" s="3">
        <v>22.9</v>
      </c>
      <c r="K3054" s="4">
        <v>0</v>
      </c>
      <c r="L3054" s="3">
        <v>229</v>
      </c>
      <c r="M3054" t="b">
        <v>1</v>
      </c>
      <c r="N3054" s="2">
        <f>YEAR(B3054)</f>
        <v>2025</v>
      </c>
      <c r="O3054" t="str">
        <f>INDEX(Agences!$C:$C,MATCH(F3054,Agences!$A:$A,0))</f>
        <v>Sud-Ouest</v>
      </c>
      <c r="P3054" t="str">
        <f>INDEX(Produits!$C:$C,MATCH(H3054,Produits!$A:$A,0))</f>
        <v>Fournitures</v>
      </c>
      <c r="Q3054" s="3">
        <f>I3054*INDEX(Produits!$E:$E,MATCH(H3054,Produits!$A:$A,0))</f>
        <v>128.2</v>
      </c>
      <c r="R3054" s="3">
        <f>L3054-Q3054</f>
        <v>100.80000000000001</v>
      </c>
      <c r="S3054" s="2">
        <f>NETWORKDAYS(B3054,C3054)-1</f>
        <v>5</v>
      </c>
      <c r="T3054" s="1">
        <f>WORKDAY(B3054,5)</f>
        <v>45813</v>
      </c>
      <c r="U3054" t="b">
        <f>C3054&gt;T3054</f>
        <v>0</v>
      </c>
    </row>
    <row r="3055" spans="1:21" x14ac:dyDescent="0.25">
      <c r="A3055" t="s">
        <v>1911</v>
      </c>
      <c r="B3055" s="1">
        <v>45806</v>
      </c>
      <c r="C3055" s="1">
        <v>45813</v>
      </c>
      <c r="D3055" t="s">
        <v>1912</v>
      </c>
      <c r="E3055" t="s">
        <v>87</v>
      </c>
      <c r="F3055" t="s">
        <v>88</v>
      </c>
      <c r="G3055" t="s">
        <v>226</v>
      </c>
      <c r="H3055" t="s">
        <v>42</v>
      </c>
      <c r="I3055" s="2">
        <v>1</v>
      </c>
      <c r="J3055" s="3">
        <v>55</v>
      </c>
      <c r="K3055" s="4">
        <v>0</v>
      </c>
      <c r="L3055" s="3">
        <v>55</v>
      </c>
      <c r="M3055" t="b">
        <v>1</v>
      </c>
      <c r="N3055" s="2">
        <f>YEAR(B3055)</f>
        <v>2025</v>
      </c>
      <c r="O3055" t="str">
        <f>INDEX(Agences!$C:$C,MATCH(F3055,Agences!$A:$A,0))</f>
        <v>Sud-Ouest</v>
      </c>
      <c r="P3055" t="str">
        <f>INDEX(Produits!$C:$C,MATCH(H3055,Produits!$A:$A,0))</f>
        <v>Maintenance</v>
      </c>
      <c r="Q3055" s="3">
        <f>I3055*INDEX(Produits!$E:$E,MATCH(H3055,Produits!$A:$A,0))</f>
        <v>24.75</v>
      </c>
      <c r="R3055" s="3">
        <f>L3055-Q3055</f>
        <v>30.25</v>
      </c>
      <c r="S3055" s="2">
        <f>NETWORKDAYS(B3055,C3055)-1</f>
        <v>5</v>
      </c>
      <c r="T3055" s="1">
        <f>WORKDAY(B3055,5)</f>
        <v>45813</v>
      </c>
      <c r="U3055" t="b">
        <f>C3055&gt;T3055</f>
        <v>0</v>
      </c>
    </row>
    <row r="3056" spans="1:21" x14ac:dyDescent="0.25">
      <c r="A3056" t="s">
        <v>1913</v>
      </c>
      <c r="B3056" s="1">
        <v>45806</v>
      </c>
      <c r="C3056" s="1">
        <v>45812</v>
      </c>
      <c r="D3056" t="s">
        <v>224</v>
      </c>
      <c r="E3056" t="s">
        <v>225</v>
      </c>
      <c r="F3056" t="s">
        <v>88</v>
      </c>
      <c r="G3056" t="s">
        <v>89</v>
      </c>
      <c r="H3056" t="s">
        <v>103</v>
      </c>
      <c r="I3056" s="2">
        <v>2</v>
      </c>
      <c r="J3056" s="3">
        <v>245</v>
      </c>
      <c r="K3056" s="4">
        <v>0.02</v>
      </c>
      <c r="L3056" s="3">
        <v>480.2</v>
      </c>
      <c r="M3056" t="b">
        <v>1</v>
      </c>
      <c r="N3056" s="2">
        <f>YEAR(B3056)</f>
        <v>2025</v>
      </c>
      <c r="O3056" t="str">
        <f>INDEX(Agences!$C:$C,MATCH(F3056,Agences!$A:$A,0))</f>
        <v>Sud-Ouest</v>
      </c>
      <c r="P3056" t="str">
        <f>INDEX(Produits!$C:$C,MATCH(H3056,Produits!$A:$A,0))</f>
        <v>Mobilier</v>
      </c>
      <c r="Q3056" s="3">
        <f>I3056*INDEX(Produits!$E:$E,MATCH(H3056,Produits!$A:$A,0))</f>
        <v>328.3</v>
      </c>
      <c r="R3056" s="3">
        <f>L3056-Q3056</f>
        <v>151.89999999999998</v>
      </c>
      <c r="S3056" s="2">
        <f>NETWORKDAYS(B3056,C3056)-1</f>
        <v>4</v>
      </c>
      <c r="T3056" s="1">
        <f>WORKDAY(B3056,5)</f>
        <v>45813</v>
      </c>
      <c r="U3056" t="b">
        <f>C3056&gt;T3056</f>
        <v>0</v>
      </c>
    </row>
    <row r="3057" spans="1:21" x14ac:dyDescent="0.25">
      <c r="A3057" t="s">
        <v>1913</v>
      </c>
      <c r="B3057" s="1">
        <v>45806</v>
      </c>
      <c r="C3057" s="1">
        <v>45812</v>
      </c>
      <c r="D3057" t="s">
        <v>224</v>
      </c>
      <c r="E3057" t="s">
        <v>225</v>
      </c>
      <c r="F3057" t="s">
        <v>88</v>
      </c>
      <c r="G3057" t="s">
        <v>89</v>
      </c>
      <c r="H3057" t="s">
        <v>49</v>
      </c>
      <c r="I3057" s="2">
        <v>2</v>
      </c>
      <c r="J3057" s="3">
        <v>120</v>
      </c>
      <c r="K3057" s="4">
        <v>0</v>
      </c>
      <c r="L3057" s="3">
        <v>240</v>
      </c>
      <c r="M3057" t="b">
        <v>1</v>
      </c>
      <c r="N3057" s="2">
        <f>YEAR(B3057)</f>
        <v>2025</v>
      </c>
      <c r="O3057" t="str">
        <f>INDEX(Agences!$C:$C,MATCH(F3057,Agences!$A:$A,0))</f>
        <v>Sud-Ouest</v>
      </c>
      <c r="P3057" t="str">
        <f>INDEX(Produits!$C:$C,MATCH(H3057,Produits!$A:$A,0))</f>
        <v>Maintenance</v>
      </c>
      <c r="Q3057" s="3">
        <f>I3057*INDEX(Produits!$E:$E,MATCH(H3057,Produits!$A:$A,0))</f>
        <v>110.4</v>
      </c>
      <c r="R3057" s="3">
        <f>L3057-Q3057</f>
        <v>129.6</v>
      </c>
      <c r="S3057" s="2">
        <f>NETWORKDAYS(B3057,C3057)-1</f>
        <v>4</v>
      </c>
      <c r="T3057" s="1">
        <f>WORKDAY(B3057,5)</f>
        <v>45813</v>
      </c>
      <c r="U3057" t="b">
        <f>C3057&gt;T3057</f>
        <v>0</v>
      </c>
    </row>
    <row r="3058" spans="1:21" x14ac:dyDescent="0.25">
      <c r="A3058" t="s">
        <v>1913</v>
      </c>
      <c r="B3058" s="1">
        <v>45806</v>
      </c>
      <c r="C3058" s="1">
        <v>45812</v>
      </c>
      <c r="D3058" t="s">
        <v>224</v>
      </c>
      <c r="E3058" t="s">
        <v>225</v>
      </c>
      <c r="F3058" t="s">
        <v>88</v>
      </c>
      <c r="G3058" t="s">
        <v>89</v>
      </c>
      <c r="H3058" t="s">
        <v>83</v>
      </c>
      <c r="I3058" s="2">
        <v>1</v>
      </c>
      <c r="J3058" s="3">
        <v>49</v>
      </c>
      <c r="K3058" s="4">
        <v>0.05</v>
      </c>
      <c r="L3058" s="3">
        <v>46.55</v>
      </c>
      <c r="M3058" t="b">
        <v>1</v>
      </c>
      <c r="N3058" s="2">
        <f>YEAR(B3058)</f>
        <v>2025</v>
      </c>
      <c r="O3058" t="str">
        <f>INDEX(Agences!$C:$C,MATCH(F3058,Agences!$A:$A,0))</f>
        <v>Sud-Ouest</v>
      </c>
      <c r="P3058" t="str">
        <f>INDEX(Produits!$C:$C,MATCH(H3058,Produits!$A:$A,0))</f>
        <v>Mobilier</v>
      </c>
      <c r="Q3058" s="3">
        <f>I3058*INDEX(Produits!$E:$E,MATCH(H3058,Produits!$A:$A,0))</f>
        <v>28.42</v>
      </c>
      <c r="R3058" s="3">
        <f>L3058-Q3058</f>
        <v>18.129999999999995</v>
      </c>
      <c r="S3058" s="2">
        <f>NETWORKDAYS(B3058,C3058)-1</f>
        <v>4</v>
      </c>
      <c r="T3058" s="1">
        <f>WORKDAY(B3058,5)</f>
        <v>45813</v>
      </c>
      <c r="U3058" t="b">
        <f>C3058&gt;T3058</f>
        <v>0</v>
      </c>
    </row>
    <row r="3059" spans="1:21" x14ac:dyDescent="0.25">
      <c r="A3059" t="s">
        <v>1913</v>
      </c>
      <c r="B3059" s="1">
        <v>45806</v>
      </c>
      <c r="C3059" s="1">
        <v>45812</v>
      </c>
      <c r="D3059" t="s">
        <v>224</v>
      </c>
      <c r="E3059" t="s">
        <v>225</v>
      </c>
      <c r="F3059" t="s">
        <v>88</v>
      </c>
      <c r="G3059" t="s">
        <v>89</v>
      </c>
      <c r="H3059" t="s">
        <v>107</v>
      </c>
      <c r="I3059" s="2">
        <v>4</v>
      </c>
      <c r="J3059" s="3">
        <v>99</v>
      </c>
      <c r="K3059" s="4">
        <v>0.02</v>
      </c>
      <c r="L3059" s="3">
        <v>388.08</v>
      </c>
      <c r="M3059" t="b">
        <v>1</v>
      </c>
      <c r="N3059" s="2">
        <f>YEAR(B3059)</f>
        <v>2025</v>
      </c>
      <c r="O3059" t="str">
        <f>INDEX(Agences!$C:$C,MATCH(F3059,Agences!$A:$A,0))</f>
        <v>Sud-Ouest</v>
      </c>
      <c r="P3059" t="str">
        <f>INDEX(Produits!$C:$C,MATCH(H3059,Produits!$A:$A,0))</f>
        <v>Informatique</v>
      </c>
      <c r="Q3059" s="3">
        <f>I3059*INDEX(Produits!$E:$E,MATCH(H3059,Produits!$A:$A,0))</f>
        <v>300.96</v>
      </c>
      <c r="R3059" s="3">
        <f>L3059-Q3059</f>
        <v>87.12</v>
      </c>
      <c r="S3059" s="2">
        <f>NETWORKDAYS(B3059,C3059)-1</f>
        <v>4</v>
      </c>
      <c r="T3059" s="1">
        <f>WORKDAY(B3059,5)</f>
        <v>45813</v>
      </c>
      <c r="U3059" t="b">
        <f>C3059&gt;T3059</f>
        <v>0</v>
      </c>
    </row>
    <row r="3060" spans="1:21" x14ac:dyDescent="0.25">
      <c r="A3060" t="s">
        <v>1913</v>
      </c>
      <c r="B3060" s="1">
        <v>45806</v>
      </c>
      <c r="C3060" s="1">
        <v>45812</v>
      </c>
      <c r="D3060" t="s">
        <v>224</v>
      </c>
      <c r="E3060" t="s">
        <v>225</v>
      </c>
      <c r="F3060" t="s">
        <v>88</v>
      </c>
      <c r="G3060" t="s">
        <v>89</v>
      </c>
      <c r="H3060" t="s">
        <v>150</v>
      </c>
      <c r="I3060" s="2">
        <v>1</v>
      </c>
      <c r="J3060" s="3">
        <v>790</v>
      </c>
      <c r="K3060" s="4">
        <v>0</v>
      </c>
      <c r="L3060" s="3">
        <v>790</v>
      </c>
      <c r="M3060" t="b">
        <v>1</v>
      </c>
      <c r="N3060" s="2">
        <f>YEAR(B3060)</f>
        <v>2025</v>
      </c>
      <c r="O3060" t="str">
        <f>INDEX(Agences!$C:$C,MATCH(F3060,Agences!$A:$A,0))</f>
        <v>Sud-Ouest</v>
      </c>
      <c r="P3060" t="str">
        <f>INDEX(Produits!$C:$C,MATCH(H3060,Produits!$A:$A,0))</f>
        <v>Informatique</v>
      </c>
      <c r="Q3060" s="3">
        <f>I3060*INDEX(Produits!$E:$E,MATCH(H3060,Produits!$A:$A,0))</f>
        <v>584.6</v>
      </c>
      <c r="R3060" s="3">
        <f>L3060-Q3060</f>
        <v>205.39999999999998</v>
      </c>
      <c r="S3060" s="2">
        <f>NETWORKDAYS(B3060,C3060)-1</f>
        <v>4</v>
      </c>
      <c r="T3060" s="1">
        <f>WORKDAY(B3060,5)</f>
        <v>45813</v>
      </c>
      <c r="U3060" t="b">
        <f>C3060&gt;T3060</f>
        <v>0</v>
      </c>
    </row>
    <row r="3061" spans="1:21" x14ac:dyDescent="0.25">
      <c r="A3061" t="s">
        <v>1914</v>
      </c>
      <c r="B3061" s="1">
        <v>45805</v>
      </c>
      <c r="C3061" s="1">
        <v>45806</v>
      </c>
      <c r="D3061" t="s">
        <v>1146</v>
      </c>
      <c r="E3061" t="s">
        <v>137</v>
      </c>
      <c r="F3061" t="s">
        <v>138</v>
      </c>
      <c r="G3061" t="s">
        <v>139</v>
      </c>
      <c r="H3061" t="s">
        <v>205</v>
      </c>
      <c r="I3061" s="2">
        <v>6</v>
      </c>
      <c r="J3061" s="3">
        <v>359</v>
      </c>
      <c r="K3061" s="4">
        <v>0</v>
      </c>
      <c r="L3061" s="3">
        <v>2154</v>
      </c>
      <c r="M3061" t="b">
        <v>1</v>
      </c>
      <c r="N3061" s="2">
        <f>YEAR(B3061)</f>
        <v>2025</v>
      </c>
      <c r="O3061" t="str">
        <f>INDEX(Agences!$C:$C,MATCH(F3061,Agences!$A:$A,0))</f>
        <v>Île-de-France</v>
      </c>
      <c r="P3061" t="str">
        <f>INDEX(Produits!$C:$C,MATCH(H3061,Produits!$A:$A,0))</f>
        <v>Mobilier</v>
      </c>
      <c r="Q3061" s="3">
        <f>I3061*INDEX(Produits!$E:$E,MATCH(H3061,Produits!$A:$A,0))</f>
        <v>1227.78</v>
      </c>
      <c r="R3061" s="3">
        <f>L3061-Q3061</f>
        <v>926.22</v>
      </c>
      <c r="S3061" s="2">
        <f>NETWORKDAYS(B3061,C3061)-1</f>
        <v>1</v>
      </c>
      <c r="T3061" s="1">
        <f>WORKDAY(B3061,5)</f>
        <v>45812</v>
      </c>
      <c r="U3061" t="b">
        <f>C3061&gt;T3061</f>
        <v>0</v>
      </c>
    </row>
    <row r="3062" spans="1:21" x14ac:dyDescent="0.25">
      <c r="A3062" t="s">
        <v>1914</v>
      </c>
      <c r="B3062" s="1">
        <v>45805</v>
      </c>
      <c r="C3062" s="1">
        <v>45806</v>
      </c>
      <c r="D3062" t="s">
        <v>1146</v>
      </c>
      <c r="E3062" t="s">
        <v>137</v>
      </c>
      <c r="F3062" t="s">
        <v>138</v>
      </c>
      <c r="G3062" t="s">
        <v>139</v>
      </c>
      <c r="H3062" t="s">
        <v>108</v>
      </c>
      <c r="I3062" s="2">
        <v>10</v>
      </c>
      <c r="J3062" s="3">
        <v>24.5</v>
      </c>
      <c r="K3062" s="4">
        <v>0.08</v>
      </c>
      <c r="L3062" s="3">
        <v>225.4</v>
      </c>
      <c r="M3062" t="b">
        <v>1</v>
      </c>
      <c r="N3062" s="2">
        <f>YEAR(B3062)</f>
        <v>2025</v>
      </c>
      <c r="O3062" t="str">
        <f>INDEX(Agences!$C:$C,MATCH(F3062,Agences!$A:$A,0))</f>
        <v>Île-de-France</v>
      </c>
      <c r="P3062" t="str">
        <f>INDEX(Produits!$C:$C,MATCH(H3062,Produits!$A:$A,0))</f>
        <v>Fournitures</v>
      </c>
      <c r="Q3062" s="3">
        <f>I3062*INDEX(Produits!$E:$E,MATCH(H3062,Produits!$A:$A,0))</f>
        <v>147</v>
      </c>
      <c r="R3062" s="3">
        <f>L3062-Q3062</f>
        <v>78.4</v>
      </c>
      <c r="S3062" s="2">
        <f>NETWORKDAYS(B3062,C3062)-1</f>
        <v>1</v>
      </c>
      <c r="T3062" s="1">
        <f>WORKDAY(B3062,5)</f>
        <v>45812</v>
      </c>
      <c r="U3062" t="b">
        <f>C3062&gt;T3062</f>
        <v>0</v>
      </c>
    </row>
    <row r="3063" spans="1:21" x14ac:dyDescent="0.25">
      <c r="A3063" t="s">
        <v>1914</v>
      </c>
      <c r="B3063" s="1">
        <v>45805</v>
      </c>
      <c r="C3063" s="1">
        <v>45806</v>
      </c>
      <c r="D3063" t="s">
        <v>1146</v>
      </c>
      <c r="E3063" t="s">
        <v>137</v>
      </c>
      <c r="F3063" t="s">
        <v>138</v>
      </c>
      <c r="G3063" t="s">
        <v>139</v>
      </c>
      <c r="H3063" t="s">
        <v>34</v>
      </c>
      <c r="I3063" s="2">
        <v>2</v>
      </c>
      <c r="J3063" s="3">
        <v>340</v>
      </c>
      <c r="K3063" s="4">
        <v>0</v>
      </c>
      <c r="L3063" s="3">
        <v>680</v>
      </c>
      <c r="M3063" t="b">
        <v>1</v>
      </c>
      <c r="N3063" s="2">
        <f>YEAR(B3063)</f>
        <v>2025</v>
      </c>
      <c r="O3063" t="str">
        <f>INDEX(Agences!$C:$C,MATCH(F3063,Agences!$A:$A,0))</f>
        <v>Île-de-France</v>
      </c>
      <c r="P3063" t="str">
        <f>INDEX(Produits!$C:$C,MATCH(H3063,Produits!$A:$A,0))</f>
        <v>Informatique</v>
      </c>
      <c r="Q3063" s="3">
        <f>I3063*INDEX(Produits!$E:$E,MATCH(H3063,Produits!$A:$A,0))</f>
        <v>550.8</v>
      </c>
      <c r="R3063" s="3">
        <f>L3063-Q3063</f>
        <v>129.20000000000005</v>
      </c>
      <c r="S3063" s="2">
        <f>NETWORKDAYS(B3063,C3063)-1</f>
        <v>1</v>
      </c>
      <c r="T3063" s="1">
        <f>WORKDAY(B3063,5)</f>
        <v>45812</v>
      </c>
      <c r="U3063" t="b">
        <f>C3063&gt;T3063</f>
        <v>0</v>
      </c>
    </row>
    <row r="3064" spans="1:21" x14ac:dyDescent="0.25">
      <c r="A3064" t="s">
        <v>1915</v>
      </c>
      <c r="B3064" s="1">
        <v>45805</v>
      </c>
      <c r="C3064" s="1">
        <v>45811</v>
      </c>
      <c r="D3064" t="s">
        <v>808</v>
      </c>
      <c r="E3064" t="s">
        <v>175</v>
      </c>
      <c r="F3064" t="s">
        <v>76</v>
      </c>
      <c r="G3064" t="s">
        <v>176</v>
      </c>
      <c r="H3064" t="s">
        <v>50</v>
      </c>
      <c r="I3064" s="2">
        <v>1</v>
      </c>
      <c r="J3064" s="3">
        <v>69</v>
      </c>
      <c r="K3064" s="4">
        <v>0</v>
      </c>
      <c r="L3064" s="3">
        <v>69</v>
      </c>
      <c r="M3064" t="b">
        <v>1</v>
      </c>
      <c r="N3064" s="2">
        <f>YEAR(B3064)</f>
        <v>2025</v>
      </c>
      <c r="O3064" t="str">
        <f>INDEX(Agences!$C:$C,MATCH(F3064,Agences!$A:$A,0))</f>
        <v>Île-de-France</v>
      </c>
      <c r="P3064" t="str">
        <f>INDEX(Produits!$C:$C,MATCH(H3064,Produits!$A:$A,0))</f>
        <v>Informatique</v>
      </c>
      <c r="Q3064" s="3">
        <f>I3064*INDEX(Produits!$E:$E,MATCH(H3064,Produits!$A:$A,0))</f>
        <v>54.51</v>
      </c>
      <c r="R3064" s="3">
        <f>L3064-Q3064</f>
        <v>14.490000000000002</v>
      </c>
      <c r="S3064" s="2">
        <f>NETWORKDAYS(B3064,C3064)-1</f>
        <v>4</v>
      </c>
      <c r="T3064" s="1">
        <f>WORKDAY(B3064,5)</f>
        <v>45812</v>
      </c>
      <c r="U3064" t="b">
        <f>C3064&gt;T3064</f>
        <v>0</v>
      </c>
    </row>
    <row r="3065" spans="1:21" x14ac:dyDescent="0.25">
      <c r="A3065" t="s">
        <v>1915</v>
      </c>
      <c r="B3065" s="1">
        <v>45805</v>
      </c>
      <c r="C3065" s="1">
        <v>45811</v>
      </c>
      <c r="D3065" t="s">
        <v>808</v>
      </c>
      <c r="E3065" t="s">
        <v>175</v>
      </c>
      <c r="F3065" t="s">
        <v>76</v>
      </c>
      <c r="G3065" t="s">
        <v>176</v>
      </c>
      <c r="H3065" t="s">
        <v>319</v>
      </c>
      <c r="I3065" s="2">
        <v>1</v>
      </c>
      <c r="J3065" s="3">
        <v>289</v>
      </c>
      <c r="K3065" s="4">
        <v>0.05</v>
      </c>
      <c r="L3065" s="3">
        <v>274.55</v>
      </c>
      <c r="M3065" t="b">
        <v>1</v>
      </c>
      <c r="N3065" s="2">
        <f>YEAR(B3065)</f>
        <v>2025</v>
      </c>
      <c r="O3065" t="str">
        <f>INDEX(Agences!$C:$C,MATCH(F3065,Agences!$A:$A,0))</f>
        <v>Île-de-France</v>
      </c>
      <c r="P3065" t="str">
        <f>INDEX(Produits!$C:$C,MATCH(H3065,Produits!$A:$A,0))</f>
        <v>Informatique</v>
      </c>
      <c r="Q3065" s="3">
        <f>I3065*INDEX(Produits!$E:$E,MATCH(H3065,Produits!$A:$A,0))</f>
        <v>213.86</v>
      </c>
      <c r="R3065" s="3">
        <f>L3065-Q3065</f>
        <v>60.69</v>
      </c>
      <c r="S3065" s="2">
        <f>NETWORKDAYS(B3065,C3065)-1</f>
        <v>4</v>
      </c>
      <c r="T3065" s="1">
        <f>WORKDAY(B3065,5)</f>
        <v>45812</v>
      </c>
      <c r="U3065" t="b">
        <f>C3065&gt;T3065</f>
        <v>0</v>
      </c>
    </row>
    <row r="3066" spans="1:21" x14ac:dyDescent="0.25">
      <c r="A3066" t="s">
        <v>1915</v>
      </c>
      <c r="B3066" s="1">
        <v>45805</v>
      </c>
      <c r="C3066" s="1">
        <v>45811</v>
      </c>
      <c r="D3066" t="s">
        <v>808</v>
      </c>
      <c r="E3066" t="s">
        <v>175</v>
      </c>
      <c r="F3066" t="s">
        <v>76</v>
      </c>
      <c r="G3066" t="s">
        <v>176</v>
      </c>
      <c r="H3066" t="s">
        <v>196</v>
      </c>
      <c r="I3066" s="2">
        <v>10</v>
      </c>
      <c r="J3066" s="3">
        <v>18.5</v>
      </c>
      <c r="K3066" s="4">
        <v>0</v>
      </c>
      <c r="L3066" s="3">
        <v>185</v>
      </c>
      <c r="M3066" t="b">
        <v>1</v>
      </c>
      <c r="N3066" s="2">
        <f>YEAR(B3066)</f>
        <v>2025</v>
      </c>
      <c r="O3066" t="str">
        <f>INDEX(Agences!$C:$C,MATCH(F3066,Agences!$A:$A,0))</f>
        <v>Île-de-France</v>
      </c>
      <c r="P3066" t="str">
        <f>INDEX(Produits!$C:$C,MATCH(H3066,Produits!$A:$A,0))</f>
        <v>Fournitures</v>
      </c>
      <c r="Q3066" s="3">
        <f>I3066*INDEX(Produits!$E:$E,MATCH(H3066,Produits!$A:$A,0))</f>
        <v>94.39999999999999</v>
      </c>
      <c r="R3066" s="3">
        <f>L3066-Q3066</f>
        <v>90.60000000000001</v>
      </c>
      <c r="S3066" s="2">
        <f>NETWORKDAYS(B3066,C3066)-1</f>
        <v>4</v>
      </c>
      <c r="T3066" s="1">
        <f>WORKDAY(B3066,5)</f>
        <v>45812</v>
      </c>
      <c r="U3066" t="b">
        <f>C3066&gt;T3066</f>
        <v>0</v>
      </c>
    </row>
    <row r="3067" spans="1:21" x14ac:dyDescent="0.25">
      <c r="A3067" t="s">
        <v>1916</v>
      </c>
      <c r="B3067" s="1">
        <v>45805</v>
      </c>
      <c r="C3067" s="1">
        <v>45806</v>
      </c>
      <c r="D3067" t="s">
        <v>662</v>
      </c>
      <c r="E3067" t="s">
        <v>75</v>
      </c>
      <c r="F3067" t="s">
        <v>76</v>
      </c>
      <c r="G3067" t="s">
        <v>232</v>
      </c>
      <c r="H3067" t="s">
        <v>57</v>
      </c>
      <c r="I3067" s="2">
        <v>1</v>
      </c>
      <c r="J3067" s="3">
        <v>149</v>
      </c>
      <c r="K3067" s="4">
        <v>0</v>
      </c>
      <c r="L3067" s="3">
        <v>149</v>
      </c>
      <c r="M3067" t="b">
        <v>1</v>
      </c>
      <c r="N3067" s="2">
        <f>YEAR(B3067)</f>
        <v>2025</v>
      </c>
      <c r="O3067" t="str">
        <f>INDEX(Agences!$C:$C,MATCH(F3067,Agences!$A:$A,0))</f>
        <v>Île-de-France</v>
      </c>
      <c r="P3067" t="str">
        <f>INDEX(Produits!$C:$C,MATCH(H3067,Produits!$A:$A,0))</f>
        <v>Informatique</v>
      </c>
      <c r="Q3067" s="3">
        <f>I3067*INDEX(Produits!$E:$E,MATCH(H3067,Produits!$A:$A,0))</f>
        <v>114.73</v>
      </c>
      <c r="R3067" s="3">
        <f>L3067-Q3067</f>
        <v>34.269999999999996</v>
      </c>
      <c r="S3067" s="2">
        <f>NETWORKDAYS(B3067,C3067)-1</f>
        <v>1</v>
      </c>
      <c r="T3067" s="1">
        <f>WORKDAY(B3067,5)</f>
        <v>45812</v>
      </c>
      <c r="U3067" t="b">
        <f>C3067&gt;T3067</f>
        <v>0</v>
      </c>
    </row>
    <row r="3068" spans="1:21" x14ac:dyDescent="0.25">
      <c r="A3068" t="s">
        <v>1917</v>
      </c>
      <c r="B3068" s="1">
        <v>45805</v>
      </c>
      <c r="C3068" s="1">
        <v>45810</v>
      </c>
      <c r="D3068" t="s">
        <v>714</v>
      </c>
      <c r="E3068" t="s">
        <v>175</v>
      </c>
      <c r="F3068" t="s">
        <v>76</v>
      </c>
      <c r="G3068" t="s">
        <v>176</v>
      </c>
      <c r="H3068" t="s">
        <v>83</v>
      </c>
      <c r="I3068" s="2">
        <v>1</v>
      </c>
      <c r="J3068" s="3">
        <v>49</v>
      </c>
      <c r="K3068" s="4">
        <v>0.02</v>
      </c>
      <c r="L3068" s="3">
        <v>48.02</v>
      </c>
      <c r="M3068" t="b">
        <v>1</v>
      </c>
      <c r="N3068" s="2">
        <f>YEAR(B3068)</f>
        <v>2025</v>
      </c>
      <c r="O3068" t="str">
        <f>INDEX(Agences!$C:$C,MATCH(F3068,Agences!$A:$A,0))</f>
        <v>Île-de-France</v>
      </c>
      <c r="P3068" t="str">
        <f>INDEX(Produits!$C:$C,MATCH(H3068,Produits!$A:$A,0))</f>
        <v>Mobilier</v>
      </c>
      <c r="Q3068" s="3">
        <f>I3068*INDEX(Produits!$E:$E,MATCH(H3068,Produits!$A:$A,0))</f>
        <v>28.42</v>
      </c>
      <c r="R3068" s="3">
        <f>L3068-Q3068</f>
        <v>19.6</v>
      </c>
      <c r="S3068" s="2">
        <f>NETWORKDAYS(B3068,C3068)-1</f>
        <v>3</v>
      </c>
      <c r="T3068" s="1">
        <f>WORKDAY(B3068,5)</f>
        <v>45812</v>
      </c>
      <c r="U3068" t="b">
        <f>C3068&gt;T3068</f>
        <v>0</v>
      </c>
    </row>
    <row r="3069" spans="1:21" x14ac:dyDescent="0.25">
      <c r="A3069" t="s">
        <v>1918</v>
      </c>
      <c r="B3069" s="1">
        <v>45805</v>
      </c>
      <c r="C3069" s="1">
        <v>45807</v>
      </c>
      <c r="D3069" t="s">
        <v>1919</v>
      </c>
      <c r="E3069" t="s">
        <v>45</v>
      </c>
      <c r="F3069" t="s">
        <v>46</v>
      </c>
      <c r="G3069" t="s">
        <v>111</v>
      </c>
      <c r="H3069" t="s">
        <v>42</v>
      </c>
      <c r="I3069" s="2">
        <v>1</v>
      </c>
      <c r="J3069" s="3">
        <v>55</v>
      </c>
      <c r="K3069" s="4">
        <v>0</v>
      </c>
      <c r="L3069" s="3">
        <v>55</v>
      </c>
      <c r="M3069" t="b">
        <v>1</v>
      </c>
      <c r="N3069" s="2">
        <f>YEAR(B3069)</f>
        <v>2025</v>
      </c>
      <c r="O3069" t="str">
        <f>INDEX(Agences!$C:$C,MATCH(F3069,Agences!$A:$A,0))</f>
        <v>Est</v>
      </c>
      <c r="P3069" t="str">
        <f>INDEX(Produits!$C:$C,MATCH(H3069,Produits!$A:$A,0))</f>
        <v>Maintenance</v>
      </c>
      <c r="Q3069" s="3">
        <f>I3069*INDEX(Produits!$E:$E,MATCH(H3069,Produits!$A:$A,0))</f>
        <v>24.75</v>
      </c>
      <c r="R3069" s="3">
        <f>L3069-Q3069</f>
        <v>30.25</v>
      </c>
      <c r="S3069" s="2">
        <f>NETWORKDAYS(B3069,C3069)-1</f>
        <v>2</v>
      </c>
      <c r="T3069" s="1">
        <f>WORKDAY(B3069,5)</f>
        <v>45812</v>
      </c>
      <c r="U3069" t="b">
        <f>C3069&gt;T3069</f>
        <v>0</v>
      </c>
    </row>
    <row r="3070" spans="1:21" x14ac:dyDescent="0.25">
      <c r="A3070" t="s">
        <v>1918</v>
      </c>
      <c r="B3070" s="1">
        <v>45805</v>
      </c>
      <c r="C3070" s="1">
        <v>45807</v>
      </c>
      <c r="D3070" t="s">
        <v>1919</v>
      </c>
      <c r="E3070" t="s">
        <v>45</v>
      </c>
      <c r="F3070" t="s">
        <v>46</v>
      </c>
      <c r="G3070" t="s">
        <v>111</v>
      </c>
      <c r="H3070" t="s">
        <v>319</v>
      </c>
      <c r="I3070" s="2">
        <v>4</v>
      </c>
      <c r="J3070" s="3">
        <v>289</v>
      </c>
      <c r="K3070" s="4">
        <v>0.02</v>
      </c>
      <c r="L3070" s="3">
        <v>1132.88</v>
      </c>
      <c r="M3070" t="b">
        <v>1</v>
      </c>
      <c r="N3070" s="2">
        <f>YEAR(B3070)</f>
        <v>2025</v>
      </c>
      <c r="O3070" t="str">
        <f>INDEX(Agences!$C:$C,MATCH(F3070,Agences!$A:$A,0))</f>
        <v>Est</v>
      </c>
      <c r="P3070" t="str">
        <f>INDEX(Produits!$C:$C,MATCH(H3070,Produits!$A:$A,0))</f>
        <v>Informatique</v>
      </c>
      <c r="Q3070" s="3">
        <f>I3070*INDEX(Produits!$E:$E,MATCH(H3070,Produits!$A:$A,0))</f>
        <v>855.44</v>
      </c>
      <c r="R3070" s="3">
        <f>L3070-Q3070</f>
        <v>277.44000000000005</v>
      </c>
      <c r="S3070" s="2">
        <f>NETWORKDAYS(B3070,C3070)-1</f>
        <v>2</v>
      </c>
      <c r="T3070" s="1">
        <f>WORKDAY(B3070,5)</f>
        <v>45812</v>
      </c>
      <c r="U3070" t="b">
        <f>C3070&gt;T3070</f>
        <v>0</v>
      </c>
    </row>
    <row r="3071" spans="1:21" x14ac:dyDescent="0.25">
      <c r="A3071" t="s">
        <v>1918</v>
      </c>
      <c r="B3071" s="1">
        <v>45805</v>
      </c>
      <c r="C3071" s="1">
        <v>45807</v>
      </c>
      <c r="D3071" t="s">
        <v>1919</v>
      </c>
      <c r="E3071" t="s">
        <v>45</v>
      </c>
      <c r="F3071" t="s">
        <v>46</v>
      </c>
      <c r="G3071" t="s">
        <v>111</v>
      </c>
      <c r="H3071" t="s">
        <v>162</v>
      </c>
      <c r="I3071" s="2">
        <v>4</v>
      </c>
      <c r="J3071" s="3">
        <v>289</v>
      </c>
      <c r="K3071" s="4">
        <v>0.05</v>
      </c>
      <c r="L3071" s="3">
        <v>1098.2</v>
      </c>
      <c r="M3071" t="b">
        <v>1</v>
      </c>
      <c r="N3071" s="2">
        <f>YEAR(B3071)</f>
        <v>2025</v>
      </c>
      <c r="O3071" t="str">
        <f>INDEX(Agences!$C:$C,MATCH(F3071,Agences!$A:$A,0))</f>
        <v>Est</v>
      </c>
      <c r="P3071" t="str">
        <f>INDEX(Produits!$C:$C,MATCH(H3071,Produits!$A:$A,0))</f>
        <v>Mobilier</v>
      </c>
      <c r="Q3071" s="3">
        <f>I3071*INDEX(Produits!$E:$E,MATCH(H3071,Produits!$A:$A,0))</f>
        <v>774.52</v>
      </c>
      <c r="R3071" s="3">
        <f>L3071-Q3071</f>
        <v>323.68000000000006</v>
      </c>
      <c r="S3071" s="2">
        <f>NETWORKDAYS(B3071,C3071)-1</f>
        <v>2</v>
      </c>
      <c r="T3071" s="1">
        <f>WORKDAY(B3071,5)</f>
        <v>45812</v>
      </c>
      <c r="U3071" t="b">
        <f>C3071&gt;T3071</f>
        <v>0</v>
      </c>
    </row>
    <row r="3072" spans="1:21" x14ac:dyDescent="0.25">
      <c r="A3072" t="s">
        <v>1918</v>
      </c>
      <c r="B3072" s="1">
        <v>45805</v>
      </c>
      <c r="C3072" s="1">
        <v>45807</v>
      </c>
      <c r="D3072" t="s">
        <v>1919</v>
      </c>
      <c r="E3072" t="s">
        <v>45</v>
      </c>
      <c r="F3072" t="s">
        <v>46</v>
      </c>
      <c r="G3072" t="s">
        <v>111</v>
      </c>
      <c r="H3072" t="s">
        <v>72</v>
      </c>
      <c r="I3072" s="2">
        <v>1</v>
      </c>
      <c r="J3072" s="3">
        <v>179</v>
      </c>
      <c r="K3072" s="4">
        <v>0</v>
      </c>
      <c r="L3072" s="3">
        <v>179</v>
      </c>
      <c r="M3072" t="b">
        <v>1</v>
      </c>
      <c r="N3072" s="2">
        <f>YEAR(B3072)</f>
        <v>2025</v>
      </c>
      <c r="O3072" t="str">
        <f>INDEX(Agences!$C:$C,MATCH(F3072,Agences!$A:$A,0))</f>
        <v>Est</v>
      </c>
      <c r="P3072" t="str">
        <f>INDEX(Produits!$C:$C,MATCH(H3072,Produits!$A:$A,0))</f>
        <v>Informatique</v>
      </c>
      <c r="Q3072" s="3">
        <f>I3072*INDEX(Produits!$E:$E,MATCH(H3072,Produits!$A:$A,0))</f>
        <v>146.78</v>
      </c>
      <c r="R3072" s="3">
        <f>L3072-Q3072</f>
        <v>32.22</v>
      </c>
      <c r="S3072" s="2">
        <f>NETWORKDAYS(B3072,C3072)-1</f>
        <v>2</v>
      </c>
      <c r="T3072" s="1">
        <f>WORKDAY(B3072,5)</f>
        <v>45812</v>
      </c>
      <c r="U3072" t="b">
        <f>C3072&gt;T3072</f>
        <v>0</v>
      </c>
    </row>
    <row r="3073" spans="1:21" x14ac:dyDescent="0.25">
      <c r="A3073" t="s">
        <v>1920</v>
      </c>
      <c r="B3073" s="1">
        <v>45804</v>
      </c>
      <c r="C3073" s="1">
        <v>45806</v>
      </c>
      <c r="D3073" t="s">
        <v>815</v>
      </c>
      <c r="E3073" t="s">
        <v>119</v>
      </c>
      <c r="F3073" t="s">
        <v>24</v>
      </c>
      <c r="G3073" t="s">
        <v>116</v>
      </c>
      <c r="H3073" t="s">
        <v>64</v>
      </c>
      <c r="I3073" s="2">
        <v>10</v>
      </c>
      <c r="J3073" s="3">
        <v>16.8</v>
      </c>
      <c r="K3073" s="4">
        <v>0.05</v>
      </c>
      <c r="L3073" s="3">
        <v>159.6</v>
      </c>
      <c r="M3073" t="b">
        <v>1</v>
      </c>
      <c r="N3073" s="2">
        <f>YEAR(B3073)</f>
        <v>2025</v>
      </c>
      <c r="O3073" t="str">
        <f>INDEX(Agences!$C:$C,MATCH(F3073,Agences!$A:$A,0))</f>
        <v>Nord</v>
      </c>
      <c r="P3073" t="str">
        <f>INDEX(Produits!$C:$C,MATCH(H3073,Produits!$A:$A,0))</f>
        <v>Fournitures</v>
      </c>
      <c r="Q3073" s="3">
        <f>I3073*INDEX(Produits!$E:$E,MATCH(H3073,Produits!$A:$A,0))</f>
        <v>87.4</v>
      </c>
      <c r="R3073" s="3">
        <f>L3073-Q3073</f>
        <v>72.19999999999999</v>
      </c>
      <c r="S3073" s="2">
        <f>NETWORKDAYS(B3073,C3073)-1</f>
        <v>2</v>
      </c>
      <c r="T3073" s="1">
        <f>WORKDAY(B3073,5)</f>
        <v>45811</v>
      </c>
      <c r="U3073" t="b">
        <f>C3073&gt;T3073</f>
        <v>0</v>
      </c>
    </row>
    <row r="3074" spans="1:21" x14ac:dyDescent="0.25">
      <c r="A3074" t="s">
        <v>1920</v>
      </c>
      <c r="B3074" s="1">
        <v>45804</v>
      </c>
      <c r="C3074" s="1">
        <v>45806</v>
      </c>
      <c r="D3074" t="s">
        <v>815</v>
      </c>
      <c r="E3074" t="s">
        <v>119</v>
      </c>
      <c r="F3074" t="s">
        <v>24</v>
      </c>
      <c r="G3074" t="s">
        <v>116</v>
      </c>
      <c r="H3074" t="s">
        <v>33</v>
      </c>
      <c r="I3074" s="2">
        <v>1</v>
      </c>
      <c r="J3074" s="3">
        <v>219</v>
      </c>
      <c r="K3074" s="4">
        <v>0.1</v>
      </c>
      <c r="L3074" s="3">
        <v>197.1</v>
      </c>
      <c r="M3074" t="b">
        <v>1</v>
      </c>
      <c r="N3074" s="2">
        <f>YEAR(B3074)</f>
        <v>2025</v>
      </c>
      <c r="O3074" t="str">
        <f>INDEX(Agences!$C:$C,MATCH(F3074,Agences!$A:$A,0))</f>
        <v>Nord</v>
      </c>
      <c r="P3074" t="str">
        <f>INDEX(Produits!$C:$C,MATCH(H3074,Produits!$A:$A,0))</f>
        <v>Informatique</v>
      </c>
      <c r="Q3074" s="3">
        <f>I3074*INDEX(Produits!$E:$E,MATCH(H3074,Produits!$A:$A,0))</f>
        <v>179.58</v>
      </c>
      <c r="R3074" s="3">
        <f>L3074-Q3074</f>
        <v>17.519999999999982</v>
      </c>
      <c r="S3074" s="2">
        <f>NETWORKDAYS(B3074,C3074)-1</f>
        <v>2</v>
      </c>
      <c r="T3074" s="1">
        <f>WORKDAY(B3074,5)</f>
        <v>45811</v>
      </c>
      <c r="U3074" t="b">
        <f>C3074&gt;T3074</f>
        <v>0</v>
      </c>
    </row>
    <row r="3075" spans="1:21" x14ac:dyDescent="0.25">
      <c r="A3075" t="s">
        <v>1920</v>
      </c>
      <c r="B3075" s="1">
        <v>45804</v>
      </c>
      <c r="C3075" s="1">
        <v>45806</v>
      </c>
      <c r="D3075" t="s">
        <v>815</v>
      </c>
      <c r="E3075" t="s">
        <v>119</v>
      </c>
      <c r="F3075" t="s">
        <v>24</v>
      </c>
      <c r="G3075" t="s">
        <v>116</v>
      </c>
      <c r="H3075" t="s">
        <v>79</v>
      </c>
      <c r="I3075" s="2">
        <v>5</v>
      </c>
      <c r="J3075" s="3">
        <v>14.9</v>
      </c>
      <c r="K3075" s="4">
        <v>0.02</v>
      </c>
      <c r="L3075" s="3">
        <v>73.01</v>
      </c>
      <c r="M3075" t="b">
        <v>1</v>
      </c>
      <c r="N3075" s="2">
        <f>YEAR(B3075)</f>
        <v>2025</v>
      </c>
      <c r="O3075" t="str">
        <f>INDEX(Agences!$C:$C,MATCH(F3075,Agences!$A:$A,0))</f>
        <v>Nord</v>
      </c>
      <c r="P3075" t="str">
        <f>INDEX(Produits!$C:$C,MATCH(H3075,Produits!$A:$A,0))</f>
        <v>Fournitures</v>
      </c>
      <c r="Q3075" s="3">
        <f>I3075*INDEX(Produits!$E:$E,MATCH(H3075,Produits!$A:$A,0))</f>
        <v>40.25</v>
      </c>
      <c r="R3075" s="3">
        <f>L3075-Q3075</f>
        <v>32.760000000000005</v>
      </c>
      <c r="S3075" s="2">
        <f>NETWORKDAYS(B3075,C3075)-1</f>
        <v>2</v>
      </c>
      <c r="T3075" s="1">
        <f>WORKDAY(B3075,5)</f>
        <v>45811</v>
      </c>
      <c r="U3075" t="b">
        <f>C3075&gt;T3075</f>
        <v>0</v>
      </c>
    </row>
    <row r="3076" spans="1:21" x14ac:dyDescent="0.25">
      <c r="A3076" t="s">
        <v>1921</v>
      </c>
      <c r="B3076" s="1">
        <v>45804</v>
      </c>
      <c r="C3076" s="1">
        <v>45806</v>
      </c>
      <c r="D3076" t="s">
        <v>1922</v>
      </c>
      <c r="E3076" t="s">
        <v>209</v>
      </c>
      <c r="F3076" t="s">
        <v>99</v>
      </c>
      <c r="G3076" t="s">
        <v>100</v>
      </c>
      <c r="H3076" t="s">
        <v>33</v>
      </c>
      <c r="I3076" s="2">
        <v>2</v>
      </c>
      <c r="J3076" s="3">
        <v>219</v>
      </c>
      <c r="K3076" s="4">
        <v>0</v>
      </c>
      <c r="L3076" s="3">
        <v>438</v>
      </c>
      <c r="M3076" t="b">
        <v>1</v>
      </c>
      <c r="N3076" s="2">
        <f>YEAR(B3076)</f>
        <v>2025</v>
      </c>
      <c r="O3076" t="str">
        <f>INDEX(Agences!$C:$C,MATCH(F3076,Agences!$A:$A,0))</f>
        <v>Nord</v>
      </c>
      <c r="P3076" t="str">
        <f>INDEX(Produits!$C:$C,MATCH(H3076,Produits!$A:$A,0))</f>
        <v>Informatique</v>
      </c>
      <c r="Q3076" s="3">
        <f>I3076*INDEX(Produits!$E:$E,MATCH(H3076,Produits!$A:$A,0))</f>
        <v>359.16</v>
      </c>
      <c r="R3076" s="3">
        <f>L3076-Q3076</f>
        <v>78.83999999999997</v>
      </c>
      <c r="S3076" s="2">
        <f>NETWORKDAYS(B3076,C3076)-1</f>
        <v>2</v>
      </c>
      <c r="T3076" s="1">
        <f>WORKDAY(B3076,5)</f>
        <v>45811</v>
      </c>
      <c r="U3076" t="b">
        <f>C3076&gt;T3076</f>
        <v>0</v>
      </c>
    </row>
    <row r="3077" spans="1:21" x14ac:dyDescent="0.25">
      <c r="A3077" t="s">
        <v>1921</v>
      </c>
      <c r="B3077" s="1">
        <v>45804</v>
      </c>
      <c r="C3077" s="1">
        <v>45806</v>
      </c>
      <c r="D3077" t="s">
        <v>1922</v>
      </c>
      <c r="E3077" t="s">
        <v>209</v>
      </c>
      <c r="F3077" t="s">
        <v>99</v>
      </c>
      <c r="G3077" t="s">
        <v>100</v>
      </c>
      <c r="H3077" t="s">
        <v>205</v>
      </c>
      <c r="I3077" s="2">
        <v>2</v>
      </c>
      <c r="J3077" s="3">
        <v>359</v>
      </c>
      <c r="K3077" s="4">
        <v>0</v>
      </c>
      <c r="L3077" s="3">
        <v>718</v>
      </c>
      <c r="M3077" t="b">
        <v>1</v>
      </c>
      <c r="N3077" s="2">
        <f>YEAR(B3077)</f>
        <v>2025</v>
      </c>
      <c r="O3077" t="str">
        <f>INDEX(Agences!$C:$C,MATCH(F3077,Agences!$A:$A,0))</f>
        <v>Nord</v>
      </c>
      <c r="P3077" t="str">
        <f>INDEX(Produits!$C:$C,MATCH(H3077,Produits!$A:$A,0))</f>
        <v>Mobilier</v>
      </c>
      <c r="Q3077" s="3">
        <f>I3077*INDEX(Produits!$E:$E,MATCH(H3077,Produits!$A:$A,0))</f>
        <v>409.26</v>
      </c>
      <c r="R3077" s="3">
        <f>L3077-Q3077</f>
        <v>308.74</v>
      </c>
      <c r="S3077" s="2">
        <f>NETWORKDAYS(B3077,C3077)-1</f>
        <v>2</v>
      </c>
      <c r="T3077" s="1">
        <f>WORKDAY(B3077,5)</f>
        <v>45811</v>
      </c>
      <c r="U3077" t="b">
        <f>C3077&gt;T3077</f>
        <v>0</v>
      </c>
    </row>
    <row r="3078" spans="1:21" x14ac:dyDescent="0.25">
      <c r="A3078" t="s">
        <v>1921</v>
      </c>
      <c r="B3078" s="1">
        <v>45804</v>
      </c>
      <c r="C3078" s="1">
        <v>45806</v>
      </c>
      <c r="D3078" t="s">
        <v>1922</v>
      </c>
      <c r="E3078" t="s">
        <v>209</v>
      </c>
      <c r="F3078" t="s">
        <v>99</v>
      </c>
      <c r="G3078" t="s">
        <v>100</v>
      </c>
      <c r="H3078" t="s">
        <v>83</v>
      </c>
      <c r="I3078" s="2">
        <v>1</v>
      </c>
      <c r="J3078" s="3">
        <v>49</v>
      </c>
      <c r="K3078" s="4">
        <v>0.05</v>
      </c>
      <c r="L3078" s="3">
        <v>46.55</v>
      </c>
      <c r="M3078" t="b">
        <v>1</v>
      </c>
      <c r="N3078" s="2">
        <f>YEAR(B3078)</f>
        <v>2025</v>
      </c>
      <c r="O3078" t="str">
        <f>INDEX(Agences!$C:$C,MATCH(F3078,Agences!$A:$A,0))</f>
        <v>Nord</v>
      </c>
      <c r="P3078" t="str">
        <f>INDEX(Produits!$C:$C,MATCH(H3078,Produits!$A:$A,0))</f>
        <v>Mobilier</v>
      </c>
      <c r="Q3078" s="3">
        <f>I3078*INDEX(Produits!$E:$E,MATCH(H3078,Produits!$A:$A,0))</f>
        <v>28.42</v>
      </c>
      <c r="R3078" s="3">
        <f>L3078-Q3078</f>
        <v>18.129999999999995</v>
      </c>
      <c r="S3078" s="2">
        <f>NETWORKDAYS(B3078,C3078)-1</f>
        <v>2</v>
      </c>
      <c r="T3078" s="1">
        <f>WORKDAY(B3078,5)</f>
        <v>45811</v>
      </c>
      <c r="U3078" t="b">
        <f>C3078&gt;T3078</f>
        <v>0</v>
      </c>
    </row>
    <row r="3079" spans="1:21" x14ac:dyDescent="0.25">
      <c r="A3079" t="s">
        <v>1921</v>
      </c>
      <c r="B3079" s="1">
        <v>45804</v>
      </c>
      <c r="C3079" s="1">
        <v>45806</v>
      </c>
      <c r="D3079" t="s">
        <v>1922</v>
      </c>
      <c r="E3079" t="s">
        <v>209</v>
      </c>
      <c r="F3079" t="s">
        <v>99</v>
      </c>
      <c r="G3079" t="s">
        <v>100</v>
      </c>
      <c r="H3079" t="s">
        <v>35</v>
      </c>
      <c r="I3079" s="2">
        <v>1</v>
      </c>
      <c r="J3079" s="3">
        <v>79</v>
      </c>
      <c r="K3079" s="4">
        <v>0.05</v>
      </c>
      <c r="L3079" s="3">
        <v>75.05</v>
      </c>
      <c r="M3079" t="b">
        <v>1</v>
      </c>
      <c r="N3079" s="2">
        <f>YEAR(B3079)</f>
        <v>2025</v>
      </c>
      <c r="O3079" t="str">
        <f>INDEX(Agences!$C:$C,MATCH(F3079,Agences!$A:$A,0))</f>
        <v>Nord</v>
      </c>
      <c r="P3079" t="str">
        <f>INDEX(Produits!$C:$C,MATCH(H3079,Produits!$A:$A,0))</f>
        <v>Mobilier</v>
      </c>
      <c r="Q3079" s="3">
        <f>I3079*INDEX(Produits!$E:$E,MATCH(H3079,Produits!$A:$A,0))</f>
        <v>46.61</v>
      </c>
      <c r="R3079" s="3">
        <f>L3079-Q3079</f>
        <v>28.439999999999998</v>
      </c>
      <c r="S3079" s="2">
        <f>NETWORKDAYS(B3079,C3079)-1</f>
        <v>2</v>
      </c>
      <c r="T3079" s="1">
        <f>WORKDAY(B3079,5)</f>
        <v>45811</v>
      </c>
      <c r="U3079" t="b">
        <f>C3079&gt;T3079</f>
        <v>0</v>
      </c>
    </row>
    <row r="3080" spans="1:21" x14ac:dyDescent="0.25">
      <c r="A3080" t="s">
        <v>1923</v>
      </c>
      <c r="B3080" s="1">
        <v>45804</v>
      </c>
      <c r="C3080" s="1">
        <v>45805</v>
      </c>
      <c r="D3080" t="s">
        <v>355</v>
      </c>
      <c r="E3080" t="s">
        <v>256</v>
      </c>
      <c r="F3080" t="s">
        <v>88</v>
      </c>
      <c r="G3080" t="s">
        <v>226</v>
      </c>
      <c r="H3080" t="s">
        <v>27</v>
      </c>
      <c r="I3080" s="2">
        <v>4</v>
      </c>
      <c r="J3080" s="3">
        <v>310</v>
      </c>
      <c r="K3080" s="4">
        <v>0.05</v>
      </c>
      <c r="L3080" s="3">
        <v>1178</v>
      </c>
      <c r="M3080" t="b">
        <v>1</v>
      </c>
      <c r="N3080" s="2">
        <f>YEAR(B3080)</f>
        <v>2025</v>
      </c>
      <c r="O3080" t="str">
        <f>INDEX(Agences!$C:$C,MATCH(F3080,Agences!$A:$A,0))</f>
        <v>Sud-Ouest</v>
      </c>
      <c r="P3080" t="str">
        <f>INDEX(Produits!$C:$C,MATCH(H3080,Produits!$A:$A,0))</f>
        <v>Mobilier</v>
      </c>
      <c r="Q3080" s="3">
        <f>I3080*INDEX(Produits!$E:$E,MATCH(H3080,Produits!$A:$A,0))</f>
        <v>744</v>
      </c>
      <c r="R3080" s="3">
        <f>L3080-Q3080</f>
        <v>434</v>
      </c>
      <c r="S3080" s="2">
        <f>NETWORKDAYS(B3080,C3080)-1</f>
        <v>1</v>
      </c>
      <c r="T3080" s="1">
        <f>WORKDAY(B3080,5)</f>
        <v>45811</v>
      </c>
      <c r="U3080" t="b">
        <f>C3080&gt;T3080</f>
        <v>0</v>
      </c>
    </row>
    <row r="3081" spans="1:21" x14ac:dyDescent="0.25">
      <c r="A3081" t="s">
        <v>1924</v>
      </c>
      <c r="B3081" s="1">
        <v>45803</v>
      </c>
      <c r="C3081" s="1">
        <v>45806</v>
      </c>
      <c r="D3081" t="s">
        <v>458</v>
      </c>
      <c r="E3081" t="s">
        <v>419</v>
      </c>
      <c r="F3081" t="s">
        <v>62</v>
      </c>
      <c r="G3081" t="s">
        <v>68</v>
      </c>
      <c r="H3081" t="s">
        <v>90</v>
      </c>
      <c r="I3081" s="2">
        <v>5</v>
      </c>
      <c r="J3081" s="3">
        <v>22.9</v>
      </c>
      <c r="K3081" s="4">
        <v>0</v>
      </c>
      <c r="L3081" s="3">
        <v>114.5</v>
      </c>
      <c r="M3081" t="b">
        <v>1</v>
      </c>
      <c r="N3081" s="2">
        <f>YEAR(B3081)</f>
        <v>2025</v>
      </c>
      <c r="O3081" t="str">
        <f>INDEX(Agences!$C:$C,MATCH(F3081,Agences!$A:$A,0))</f>
        <v>Méditerranée</v>
      </c>
      <c r="P3081" t="str">
        <f>INDEX(Produits!$C:$C,MATCH(H3081,Produits!$A:$A,0))</f>
        <v>Fournitures</v>
      </c>
      <c r="Q3081" s="3">
        <f>I3081*INDEX(Produits!$E:$E,MATCH(H3081,Produits!$A:$A,0))</f>
        <v>64.1</v>
      </c>
      <c r="R3081" s="3">
        <f>L3081-Q3081</f>
        <v>50.400000000000006</v>
      </c>
      <c r="S3081" s="2">
        <f>NETWORKDAYS(B3081,C3081)-1</f>
        <v>3</v>
      </c>
      <c r="T3081" s="1">
        <f>WORKDAY(B3081,5)</f>
        <v>45810</v>
      </c>
      <c r="U3081" t="b">
        <f>C3081&gt;T3081</f>
        <v>0</v>
      </c>
    </row>
    <row r="3082" spans="1:21" x14ac:dyDescent="0.25">
      <c r="A3082" t="s">
        <v>1924</v>
      </c>
      <c r="B3082" s="1">
        <v>45803</v>
      </c>
      <c r="C3082" s="1">
        <v>45806</v>
      </c>
      <c r="D3082" t="s">
        <v>458</v>
      </c>
      <c r="E3082" t="s">
        <v>419</v>
      </c>
      <c r="F3082" t="s">
        <v>62</v>
      </c>
      <c r="G3082" t="s">
        <v>68</v>
      </c>
      <c r="H3082" t="s">
        <v>50</v>
      </c>
      <c r="I3082" s="2">
        <v>3</v>
      </c>
      <c r="J3082" s="3">
        <v>69</v>
      </c>
      <c r="K3082" s="4">
        <v>0</v>
      </c>
      <c r="L3082" s="3">
        <v>207</v>
      </c>
      <c r="M3082" t="b">
        <v>1</v>
      </c>
      <c r="N3082" s="2">
        <f>YEAR(B3082)</f>
        <v>2025</v>
      </c>
      <c r="O3082" t="str">
        <f>INDEX(Agences!$C:$C,MATCH(F3082,Agences!$A:$A,0))</f>
        <v>Méditerranée</v>
      </c>
      <c r="P3082" t="str">
        <f>INDEX(Produits!$C:$C,MATCH(H3082,Produits!$A:$A,0))</f>
        <v>Informatique</v>
      </c>
      <c r="Q3082" s="3">
        <f>I3082*INDEX(Produits!$E:$E,MATCH(H3082,Produits!$A:$A,0))</f>
        <v>163.53</v>
      </c>
      <c r="R3082" s="3">
        <f>L3082-Q3082</f>
        <v>43.47</v>
      </c>
      <c r="S3082" s="2">
        <f>NETWORKDAYS(B3082,C3082)-1</f>
        <v>3</v>
      </c>
      <c r="T3082" s="1">
        <f>WORKDAY(B3082,5)</f>
        <v>45810</v>
      </c>
      <c r="U3082" t="b">
        <f>C3082&gt;T3082</f>
        <v>0</v>
      </c>
    </row>
    <row r="3083" spans="1:21" x14ac:dyDescent="0.25">
      <c r="A3083" t="s">
        <v>1925</v>
      </c>
      <c r="B3083" s="1">
        <v>45800</v>
      </c>
      <c r="C3083" s="1">
        <v>45805</v>
      </c>
      <c r="D3083" t="s">
        <v>365</v>
      </c>
      <c r="E3083" t="s">
        <v>119</v>
      </c>
      <c r="F3083" t="s">
        <v>24</v>
      </c>
      <c r="G3083" t="s">
        <v>25</v>
      </c>
      <c r="H3083" t="s">
        <v>51</v>
      </c>
      <c r="I3083" s="2">
        <v>1</v>
      </c>
      <c r="J3083" s="3">
        <v>180</v>
      </c>
      <c r="K3083" s="4">
        <v>0.02</v>
      </c>
      <c r="L3083" s="3">
        <v>176.4</v>
      </c>
      <c r="M3083" t="b">
        <v>1</v>
      </c>
      <c r="N3083" s="2">
        <f>YEAR(B3083)</f>
        <v>2025</v>
      </c>
      <c r="O3083" t="str">
        <f>INDEX(Agences!$C:$C,MATCH(F3083,Agences!$A:$A,0))</f>
        <v>Nord</v>
      </c>
      <c r="P3083" t="str">
        <f>INDEX(Produits!$C:$C,MATCH(H3083,Produits!$A:$A,0))</f>
        <v>Maintenance</v>
      </c>
      <c r="Q3083" s="3">
        <f>I3083*INDEX(Produits!$E:$E,MATCH(H3083,Produits!$A:$A,0))</f>
        <v>82.8</v>
      </c>
      <c r="R3083" s="3">
        <f>L3083-Q3083</f>
        <v>93.60000000000001</v>
      </c>
      <c r="S3083" s="2">
        <f>NETWORKDAYS(B3083,C3083)-1</f>
        <v>3</v>
      </c>
      <c r="T3083" s="1">
        <f>WORKDAY(B3083,5)</f>
        <v>45807</v>
      </c>
      <c r="U3083" t="b">
        <f>C3083&gt;T3083</f>
        <v>0</v>
      </c>
    </row>
    <row r="3084" spans="1:21" x14ac:dyDescent="0.25">
      <c r="A3084" t="s">
        <v>1925</v>
      </c>
      <c r="B3084" s="1">
        <v>45800</v>
      </c>
      <c r="C3084" s="1">
        <v>45805</v>
      </c>
      <c r="D3084" t="s">
        <v>365</v>
      </c>
      <c r="E3084" t="s">
        <v>119</v>
      </c>
      <c r="F3084" t="s">
        <v>24</v>
      </c>
      <c r="G3084" t="s">
        <v>25</v>
      </c>
      <c r="H3084" t="s">
        <v>72</v>
      </c>
      <c r="I3084" s="2">
        <v>1</v>
      </c>
      <c r="J3084" s="3">
        <v>179</v>
      </c>
      <c r="K3084" s="4">
        <v>0</v>
      </c>
      <c r="L3084" s="3">
        <v>179</v>
      </c>
      <c r="M3084" t="b">
        <v>1</v>
      </c>
      <c r="N3084" s="2">
        <f>YEAR(B3084)</f>
        <v>2025</v>
      </c>
      <c r="O3084" t="str">
        <f>INDEX(Agences!$C:$C,MATCH(F3084,Agences!$A:$A,0))</f>
        <v>Nord</v>
      </c>
      <c r="P3084" t="str">
        <f>INDEX(Produits!$C:$C,MATCH(H3084,Produits!$A:$A,0))</f>
        <v>Informatique</v>
      </c>
      <c r="Q3084" s="3">
        <f>I3084*INDEX(Produits!$E:$E,MATCH(H3084,Produits!$A:$A,0))</f>
        <v>146.78</v>
      </c>
      <c r="R3084" s="3">
        <f>L3084-Q3084</f>
        <v>32.22</v>
      </c>
      <c r="S3084" s="2">
        <f>NETWORKDAYS(B3084,C3084)-1</f>
        <v>3</v>
      </c>
      <c r="T3084" s="1">
        <f>WORKDAY(B3084,5)</f>
        <v>45807</v>
      </c>
      <c r="U3084" t="b">
        <f>C3084&gt;T3084</f>
        <v>0</v>
      </c>
    </row>
    <row r="3085" spans="1:21" x14ac:dyDescent="0.25">
      <c r="A3085" t="s">
        <v>1925</v>
      </c>
      <c r="B3085" s="1">
        <v>45800</v>
      </c>
      <c r="C3085" s="1">
        <v>45805</v>
      </c>
      <c r="D3085" t="s">
        <v>365</v>
      </c>
      <c r="E3085" t="s">
        <v>119</v>
      </c>
      <c r="F3085" t="s">
        <v>24</v>
      </c>
      <c r="G3085" t="s">
        <v>25</v>
      </c>
      <c r="H3085" t="s">
        <v>90</v>
      </c>
      <c r="I3085" s="2">
        <v>5</v>
      </c>
      <c r="J3085" s="3">
        <v>22.9</v>
      </c>
      <c r="K3085" s="4">
        <v>0</v>
      </c>
      <c r="L3085" s="3">
        <v>114.5</v>
      </c>
      <c r="M3085" t="b">
        <v>1</v>
      </c>
      <c r="N3085" s="2">
        <f>YEAR(B3085)</f>
        <v>2025</v>
      </c>
      <c r="O3085" t="str">
        <f>INDEX(Agences!$C:$C,MATCH(F3085,Agences!$A:$A,0))</f>
        <v>Nord</v>
      </c>
      <c r="P3085" t="str">
        <f>INDEX(Produits!$C:$C,MATCH(H3085,Produits!$A:$A,0))</f>
        <v>Fournitures</v>
      </c>
      <c r="Q3085" s="3">
        <f>I3085*INDEX(Produits!$E:$E,MATCH(H3085,Produits!$A:$A,0))</f>
        <v>64.1</v>
      </c>
      <c r="R3085" s="3">
        <f>L3085-Q3085</f>
        <v>50.400000000000006</v>
      </c>
      <c r="S3085" s="2">
        <f>NETWORKDAYS(B3085,C3085)-1</f>
        <v>3</v>
      </c>
      <c r="T3085" s="1">
        <f>WORKDAY(B3085,5)</f>
        <v>45807</v>
      </c>
      <c r="U3085" t="b">
        <f>C3085&gt;T3085</f>
        <v>0</v>
      </c>
    </row>
    <row r="3086" spans="1:21" x14ac:dyDescent="0.25">
      <c r="A3086" t="s">
        <v>1926</v>
      </c>
      <c r="B3086" s="1">
        <v>45800</v>
      </c>
      <c r="C3086" s="1">
        <v>45806</v>
      </c>
      <c r="D3086" t="s">
        <v>480</v>
      </c>
      <c r="E3086" t="s">
        <v>399</v>
      </c>
      <c r="F3086" t="s">
        <v>166</v>
      </c>
      <c r="G3086" t="s">
        <v>179</v>
      </c>
      <c r="H3086" t="s">
        <v>51</v>
      </c>
      <c r="I3086" s="2">
        <v>2</v>
      </c>
      <c r="J3086" s="3">
        <v>180</v>
      </c>
      <c r="K3086" s="4">
        <v>0</v>
      </c>
      <c r="L3086" s="3">
        <v>360</v>
      </c>
      <c r="M3086" t="b">
        <v>1</v>
      </c>
      <c r="N3086" s="2">
        <f>YEAR(B3086)</f>
        <v>2025</v>
      </c>
      <c r="O3086" t="str">
        <f>INDEX(Agences!$C:$C,MATCH(F3086,Agences!$A:$A,0))</f>
        <v>Ouest</v>
      </c>
      <c r="P3086" t="str">
        <f>INDEX(Produits!$C:$C,MATCH(H3086,Produits!$A:$A,0))</f>
        <v>Maintenance</v>
      </c>
      <c r="Q3086" s="3">
        <f>I3086*INDEX(Produits!$E:$E,MATCH(H3086,Produits!$A:$A,0))</f>
        <v>165.6</v>
      </c>
      <c r="R3086" s="3">
        <f>L3086-Q3086</f>
        <v>194.4</v>
      </c>
      <c r="S3086" s="2">
        <f>NETWORKDAYS(B3086,C3086)-1</f>
        <v>4</v>
      </c>
      <c r="T3086" s="1">
        <f>WORKDAY(B3086,5)</f>
        <v>45807</v>
      </c>
      <c r="U3086" t="b">
        <f>C3086&gt;T3086</f>
        <v>0</v>
      </c>
    </row>
    <row r="3087" spans="1:21" x14ac:dyDescent="0.25">
      <c r="A3087" t="s">
        <v>1926</v>
      </c>
      <c r="B3087" s="1">
        <v>45800</v>
      </c>
      <c r="C3087" s="1">
        <v>45806</v>
      </c>
      <c r="D3087" t="s">
        <v>480</v>
      </c>
      <c r="E3087" t="s">
        <v>399</v>
      </c>
      <c r="F3087" t="s">
        <v>166</v>
      </c>
      <c r="G3087" t="s">
        <v>179</v>
      </c>
      <c r="H3087" t="s">
        <v>33</v>
      </c>
      <c r="I3087" s="2">
        <v>2</v>
      </c>
      <c r="J3087" s="3">
        <v>219</v>
      </c>
      <c r="K3087" s="4">
        <v>0.08</v>
      </c>
      <c r="L3087" s="3">
        <v>402.96</v>
      </c>
      <c r="M3087" t="b">
        <v>1</v>
      </c>
      <c r="N3087" s="2">
        <f>YEAR(B3087)</f>
        <v>2025</v>
      </c>
      <c r="O3087" t="str">
        <f>INDEX(Agences!$C:$C,MATCH(F3087,Agences!$A:$A,0))</f>
        <v>Ouest</v>
      </c>
      <c r="P3087" t="str">
        <f>INDEX(Produits!$C:$C,MATCH(H3087,Produits!$A:$A,0))</f>
        <v>Informatique</v>
      </c>
      <c r="Q3087" s="3">
        <f>I3087*INDEX(Produits!$E:$E,MATCH(H3087,Produits!$A:$A,0))</f>
        <v>359.16</v>
      </c>
      <c r="R3087" s="3">
        <f>L3087-Q3087</f>
        <v>43.799999999999955</v>
      </c>
      <c r="S3087" s="2">
        <f>NETWORKDAYS(B3087,C3087)-1</f>
        <v>4</v>
      </c>
      <c r="T3087" s="1">
        <f>WORKDAY(B3087,5)</f>
        <v>45807</v>
      </c>
      <c r="U3087" t="b">
        <f>C3087&gt;T3087</f>
        <v>0</v>
      </c>
    </row>
    <row r="3088" spans="1:21" x14ac:dyDescent="0.25">
      <c r="A3088" t="s">
        <v>1926</v>
      </c>
      <c r="B3088" s="1">
        <v>45800</v>
      </c>
      <c r="C3088" s="1">
        <v>45806</v>
      </c>
      <c r="D3088" t="s">
        <v>480</v>
      </c>
      <c r="E3088" t="s">
        <v>399</v>
      </c>
      <c r="F3088" t="s">
        <v>166</v>
      </c>
      <c r="G3088" t="s">
        <v>179</v>
      </c>
      <c r="H3088" t="s">
        <v>606</v>
      </c>
      <c r="I3088" s="2">
        <v>1</v>
      </c>
      <c r="J3088" s="3">
        <v>1150</v>
      </c>
      <c r="K3088" s="4">
        <v>0</v>
      </c>
      <c r="L3088" s="3">
        <v>1150</v>
      </c>
      <c r="M3088" t="b">
        <v>1</v>
      </c>
      <c r="N3088" s="2">
        <f>YEAR(B3088)</f>
        <v>2025</v>
      </c>
      <c r="O3088" t="str">
        <f>INDEX(Agences!$C:$C,MATCH(F3088,Agences!$A:$A,0))</f>
        <v>Ouest</v>
      </c>
      <c r="P3088" t="str">
        <f>INDEX(Produits!$C:$C,MATCH(H3088,Produits!$A:$A,0))</f>
        <v>Mobilier</v>
      </c>
      <c r="Q3088" s="3">
        <f>I3088*INDEX(Produits!$E:$E,MATCH(H3088,Produits!$A:$A,0))</f>
        <v>713</v>
      </c>
      <c r="R3088" s="3">
        <f>L3088-Q3088</f>
        <v>437</v>
      </c>
      <c r="S3088" s="2">
        <f>NETWORKDAYS(B3088,C3088)-1</f>
        <v>4</v>
      </c>
      <c r="T3088" s="1">
        <f>WORKDAY(B3088,5)</f>
        <v>45807</v>
      </c>
      <c r="U3088" t="b">
        <f>C3088&gt;T3088</f>
        <v>0</v>
      </c>
    </row>
    <row r="3089" spans="1:21" x14ac:dyDescent="0.25">
      <c r="A3089" t="s">
        <v>1927</v>
      </c>
      <c r="B3089" s="1">
        <v>45799</v>
      </c>
      <c r="C3089" s="1">
        <v>45804</v>
      </c>
      <c r="D3089" t="s">
        <v>738</v>
      </c>
      <c r="E3089" t="s">
        <v>122</v>
      </c>
      <c r="F3089" t="s">
        <v>24</v>
      </c>
      <c r="G3089" t="s">
        <v>25</v>
      </c>
      <c r="H3089" t="s">
        <v>51</v>
      </c>
      <c r="I3089" s="2">
        <v>1</v>
      </c>
      <c r="J3089" s="3">
        <v>180</v>
      </c>
      <c r="K3089" s="4">
        <v>0.02</v>
      </c>
      <c r="L3089" s="3">
        <v>176.4</v>
      </c>
      <c r="M3089" t="b">
        <v>1</v>
      </c>
      <c r="N3089" s="2">
        <f>YEAR(B3089)</f>
        <v>2025</v>
      </c>
      <c r="O3089" t="str">
        <f>INDEX(Agences!$C:$C,MATCH(F3089,Agences!$A:$A,0))</f>
        <v>Nord</v>
      </c>
      <c r="P3089" t="str">
        <f>INDEX(Produits!$C:$C,MATCH(H3089,Produits!$A:$A,0))</f>
        <v>Maintenance</v>
      </c>
      <c r="Q3089" s="3">
        <f>I3089*INDEX(Produits!$E:$E,MATCH(H3089,Produits!$A:$A,0))</f>
        <v>82.8</v>
      </c>
      <c r="R3089" s="3">
        <f>L3089-Q3089</f>
        <v>93.60000000000001</v>
      </c>
      <c r="S3089" s="2">
        <f>NETWORKDAYS(B3089,C3089)-1</f>
        <v>3</v>
      </c>
      <c r="T3089" s="1">
        <f>WORKDAY(B3089,5)</f>
        <v>45806</v>
      </c>
      <c r="U3089" t="b">
        <f>C3089&gt;T3089</f>
        <v>0</v>
      </c>
    </row>
    <row r="3090" spans="1:21" x14ac:dyDescent="0.25">
      <c r="A3090" t="s">
        <v>1927</v>
      </c>
      <c r="B3090" s="1">
        <v>45799</v>
      </c>
      <c r="C3090" s="1">
        <v>45804</v>
      </c>
      <c r="D3090" t="s">
        <v>738</v>
      </c>
      <c r="E3090" t="s">
        <v>122</v>
      </c>
      <c r="F3090" t="s">
        <v>24</v>
      </c>
      <c r="G3090" t="s">
        <v>25</v>
      </c>
      <c r="H3090" t="s">
        <v>127</v>
      </c>
      <c r="I3090" s="2">
        <v>1</v>
      </c>
      <c r="J3090" s="3">
        <v>649</v>
      </c>
      <c r="K3090" s="4">
        <v>0.05</v>
      </c>
      <c r="L3090" s="3">
        <v>616.55</v>
      </c>
      <c r="M3090" t="b">
        <v>1</v>
      </c>
      <c r="N3090" s="2">
        <f>YEAR(B3090)</f>
        <v>2025</v>
      </c>
      <c r="O3090" t="str">
        <f>INDEX(Agences!$C:$C,MATCH(F3090,Agences!$A:$A,0))</f>
        <v>Nord</v>
      </c>
      <c r="P3090" t="str">
        <f>INDEX(Produits!$C:$C,MATCH(H3090,Produits!$A:$A,0))</f>
        <v>Informatique</v>
      </c>
      <c r="Q3090" s="3">
        <f>I3090*INDEX(Produits!$E:$E,MATCH(H3090,Produits!$A:$A,0))</f>
        <v>480.26</v>
      </c>
      <c r="R3090" s="3">
        <f>L3090-Q3090</f>
        <v>136.28999999999996</v>
      </c>
      <c r="S3090" s="2">
        <f>NETWORKDAYS(B3090,C3090)-1</f>
        <v>3</v>
      </c>
      <c r="T3090" s="1">
        <f>WORKDAY(B3090,5)</f>
        <v>45806</v>
      </c>
      <c r="U3090" t="b">
        <f>C3090&gt;T3090</f>
        <v>0</v>
      </c>
    </row>
    <row r="3091" spans="1:21" x14ac:dyDescent="0.25">
      <c r="A3091" t="s">
        <v>1927</v>
      </c>
      <c r="B3091" s="1">
        <v>45799</v>
      </c>
      <c r="C3091" s="1">
        <v>45804</v>
      </c>
      <c r="D3091" t="s">
        <v>738</v>
      </c>
      <c r="E3091" t="s">
        <v>122</v>
      </c>
      <c r="F3091" t="s">
        <v>24</v>
      </c>
      <c r="G3091" t="s">
        <v>25</v>
      </c>
      <c r="H3091" t="s">
        <v>205</v>
      </c>
      <c r="I3091" s="2">
        <v>4</v>
      </c>
      <c r="J3091" s="3">
        <v>359</v>
      </c>
      <c r="K3091" s="4">
        <v>0.05</v>
      </c>
      <c r="L3091" s="3">
        <v>1364.2</v>
      </c>
      <c r="M3091" t="b">
        <v>1</v>
      </c>
      <c r="N3091" s="2">
        <f>YEAR(B3091)</f>
        <v>2025</v>
      </c>
      <c r="O3091" t="str">
        <f>INDEX(Agences!$C:$C,MATCH(F3091,Agences!$A:$A,0))</f>
        <v>Nord</v>
      </c>
      <c r="P3091" t="str">
        <f>INDEX(Produits!$C:$C,MATCH(H3091,Produits!$A:$A,0))</f>
        <v>Mobilier</v>
      </c>
      <c r="Q3091" s="3">
        <f>I3091*INDEX(Produits!$E:$E,MATCH(H3091,Produits!$A:$A,0))</f>
        <v>818.52</v>
      </c>
      <c r="R3091" s="3">
        <f>L3091-Q3091</f>
        <v>545.6800000000001</v>
      </c>
      <c r="S3091" s="2">
        <f>NETWORKDAYS(B3091,C3091)-1</f>
        <v>3</v>
      </c>
      <c r="T3091" s="1">
        <f>WORKDAY(B3091,5)</f>
        <v>45806</v>
      </c>
      <c r="U3091" t="b">
        <f>C3091&gt;T3091</f>
        <v>0</v>
      </c>
    </row>
    <row r="3092" spans="1:21" x14ac:dyDescent="0.25">
      <c r="A3092" t="s">
        <v>1927</v>
      </c>
      <c r="B3092" s="1">
        <v>45799</v>
      </c>
      <c r="C3092" s="1">
        <v>45804</v>
      </c>
      <c r="D3092" t="s">
        <v>738</v>
      </c>
      <c r="E3092" t="s">
        <v>122</v>
      </c>
      <c r="F3092" t="s">
        <v>24</v>
      </c>
      <c r="G3092" t="s">
        <v>25</v>
      </c>
      <c r="H3092" t="s">
        <v>42</v>
      </c>
      <c r="I3092" s="2">
        <v>3</v>
      </c>
      <c r="J3092" s="3">
        <v>55</v>
      </c>
      <c r="K3092" s="4">
        <v>0.02</v>
      </c>
      <c r="L3092" s="3">
        <v>161.7</v>
      </c>
      <c r="M3092" t="b">
        <v>1</v>
      </c>
      <c r="N3092" s="2">
        <f>YEAR(B3092)</f>
        <v>2025</v>
      </c>
      <c r="O3092" t="str">
        <f>INDEX(Agences!$C:$C,MATCH(F3092,Agences!$A:$A,0))</f>
        <v>Nord</v>
      </c>
      <c r="P3092" t="str">
        <f>INDEX(Produits!$C:$C,MATCH(H3092,Produits!$A:$A,0))</f>
        <v>Maintenance</v>
      </c>
      <c r="Q3092" s="3">
        <f>I3092*INDEX(Produits!$E:$E,MATCH(H3092,Produits!$A:$A,0))</f>
        <v>74.25</v>
      </c>
      <c r="R3092" s="3">
        <f>L3092-Q3092</f>
        <v>87.44999999999999</v>
      </c>
      <c r="S3092" s="2">
        <f>NETWORKDAYS(B3092,C3092)-1</f>
        <v>3</v>
      </c>
      <c r="T3092" s="1">
        <f>WORKDAY(B3092,5)</f>
        <v>45806</v>
      </c>
      <c r="U3092" t="b">
        <f>C3092&gt;T3092</f>
        <v>0</v>
      </c>
    </row>
    <row r="3093" spans="1:21" x14ac:dyDescent="0.25">
      <c r="A3093" t="s">
        <v>1927</v>
      </c>
      <c r="B3093" s="1">
        <v>45799</v>
      </c>
      <c r="C3093" s="1">
        <v>45804</v>
      </c>
      <c r="D3093" t="s">
        <v>738</v>
      </c>
      <c r="E3093" t="s">
        <v>122</v>
      </c>
      <c r="F3093" t="s">
        <v>24</v>
      </c>
      <c r="G3093" t="s">
        <v>25</v>
      </c>
      <c r="H3093" t="s">
        <v>64</v>
      </c>
      <c r="I3093" s="2">
        <v>10</v>
      </c>
      <c r="J3093" s="3">
        <v>16.8</v>
      </c>
      <c r="K3093" s="4">
        <v>0.02</v>
      </c>
      <c r="L3093" s="3">
        <v>164.64</v>
      </c>
      <c r="M3093" t="b">
        <v>1</v>
      </c>
      <c r="N3093" s="2">
        <f>YEAR(B3093)</f>
        <v>2025</v>
      </c>
      <c r="O3093" t="str">
        <f>INDEX(Agences!$C:$C,MATCH(F3093,Agences!$A:$A,0))</f>
        <v>Nord</v>
      </c>
      <c r="P3093" t="str">
        <f>INDEX(Produits!$C:$C,MATCH(H3093,Produits!$A:$A,0))</f>
        <v>Fournitures</v>
      </c>
      <c r="Q3093" s="3">
        <f>I3093*INDEX(Produits!$E:$E,MATCH(H3093,Produits!$A:$A,0))</f>
        <v>87.4</v>
      </c>
      <c r="R3093" s="3">
        <f>L3093-Q3093</f>
        <v>77.23999999999998</v>
      </c>
      <c r="S3093" s="2">
        <f>NETWORKDAYS(B3093,C3093)-1</f>
        <v>3</v>
      </c>
      <c r="T3093" s="1">
        <f>WORKDAY(B3093,5)</f>
        <v>45806</v>
      </c>
      <c r="U3093" t="b">
        <f>C3093&gt;T3093</f>
        <v>0</v>
      </c>
    </row>
    <row r="3094" spans="1:21" x14ac:dyDescent="0.25">
      <c r="A3094" t="s">
        <v>1928</v>
      </c>
      <c r="B3094" s="1">
        <v>45799</v>
      </c>
      <c r="C3094" s="1">
        <v>45803</v>
      </c>
      <c r="D3094" t="s">
        <v>899</v>
      </c>
      <c r="E3094" t="s">
        <v>122</v>
      </c>
      <c r="F3094" t="s">
        <v>24</v>
      </c>
      <c r="G3094" t="s">
        <v>25</v>
      </c>
      <c r="H3094" t="s">
        <v>42</v>
      </c>
      <c r="I3094" s="2">
        <v>1</v>
      </c>
      <c r="J3094" s="3">
        <v>55</v>
      </c>
      <c r="K3094" s="4">
        <v>0.05</v>
      </c>
      <c r="L3094" s="3">
        <v>52.25</v>
      </c>
      <c r="M3094" t="b">
        <v>1</v>
      </c>
      <c r="N3094" s="2">
        <f>YEAR(B3094)</f>
        <v>2025</v>
      </c>
      <c r="O3094" t="str">
        <f>INDEX(Agences!$C:$C,MATCH(F3094,Agences!$A:$A,0))</f>
        <v>Nord</v>
      </c>
      <c r="P3094" t="str">
        <f>INDEX(Produits!$C:$C,MATCH(H3094,Produits!$A:$A,0))</f>
        <v>Maintenance</v>
      </c>
      <c r="Q3094" s="3">
        <f>I3094*INDEX(Produits!$E:$E,MATCH(H3094,Produits!$A:$A,0))</f>
        <v>24.75</v>
      </c>
      <c r="R3094" s="3">
        <f>L3094-Q3094</f>
        <v>27.5</v>
      </c>
      <c r="S3094" s="2">
        <f>NETWORKDAYS(B3094,C3094)-1</f>
        <v>2</v>
      </c>
      <c r="T3094" s="1">
        <f>WORKDAY(B3094,5)</f>
        <v>45806</v>
      </c>
      <c r="U3094" t="b">
        <f>C3094&gt;T3094</f>
        <v>0</v>
      </c>
    </row>
    <row r="3095" spans="1:21" x14ac:dyDescent="0.25">
      <c r="A3095" t="s">
        <v>1928</v>
      </c>
      <c r="B3095" s="1">
        <v>45799</v>
      </c>
      <c r="C3095" s="1">
        <v>45803</v>
      </c>
      <c r="D3095" t="s">
        <v>899</v>
      </c>
      <c r="E3095" t="s">
        <v>122</v>
      </c>
      <c r="F3095" t="s">
        <v>24</v>
      </c>
      <c r="G3095" t="s">
        <v>25</v>
      </c>
      <c r="H3095" t="s">
        <v>83</v>
      </c>
      <c r="I3095" s="2">
        <v>7</v>
      </c>
      <c r="J3095" s="3">
        <v>49</v>
      </c>
      <c r="K3095" s="4">
        <v>0.02</v>
      </c>
      <c r="L3095" s="3">
        <v>336.14</v>
      </c>
      <c r="M3095" t="b">
        <v>1</v>
      </c>
      <c r="N3095" s="2">
        <f>YEAR(B3095)</f>
        <v>2025</v>
      </c>
      <c r="O3095" t="str">
        <f>INDEX(Agences!$C:$C,MATCH(F3095,Agences!$A:$A,0))</f>
        <v>Nord</v>
      </c>
      <c r="P3095" t="str">
        <f>INDEX(Produits!$C:$C,MATCH(H3095,Produits!$A:$A,0))</f>
        <v>Mobilier</v>
      </c>
      <c r="Q3095" s="3">
        <f>I3095*INDEX(Produits!$E:$E,MATCH(H3095,Produits!$A:$A,0))</f>
        <v>198.94</v>
      </c>
      <c r="R3095" s="3">
        <f>L3095-Q3095</f>
        <v>137.2</v>
      </c>
      <c r="S3095" s="2">
        <f>NETWORKDAYS(B3095,C3095)-1</f>
        <v>2</v>
      </c>
      <c r="T3095" s="1">
        <f>WORKDAY(B3095,5)</f>
        <v>45806</v>
      </c>
      <c r="U3095" t="b">
        <f>C3095&gt;T3095</f>
        <v>0</v>
      </c>
    </row>
    <row r="3096" spans="1:21" x14ac:dyDescent="0.25">
      <c r="A3096" t="s">
        <v>1928</v>
      </c>
      <c r="B3096" s="1">
        <v>45799</v>
      </c>
      <c r="C3096" s="1">
        <v>45803</v>
      </c>
      <c r="D3096" t="s">
        <v>899</v>
      </c>
      <c r="E3096" t="s">
        <v>122</v>
      </c>
      <c r="F3096" t="s">
        <v>24</v>
      </c>
      <c r="G3096" t="s">
        <v>25</v>
      </c>
      <c r="H3096" t="s">
        <v>57</v>
      </c>
      <c r="I3096" s="2">
        <v>1</v>
      </c>
      <c r="J3096" s="3">
        <v>149</v>
      </c>
      <c r="K3096" s="4">
        <v>0.05</v>
      </c>
      <c r="L3096" s="3">
        <v>141.55</v>
      </c>
      <c r="M3096" t="b">
        <v>1</v>
      </c>
      <c r="N3096" s="2">
        <f>YEAR(B3096)</f>
        <v>2025</v>
      </c>
      <c r="O3096" t="str">
        <f>INDEX(Agences!$C:$C,MATCH(F3096,Agences!$A:$A,0))</f>
        <v>Nord</v>
      </c>
      <c r="P3096" t="str">
        <f>INDEX(Produits!$C:$C,MATCH(H3096,Produits!$A:$A,0))</f>
        <v>Informatique</v>
      </c>
      <c r="Q3096" s="3">
        <f>I3096*INDEX(Produits!$E:$E,MATCH(H3096,Produits!$A:$A,0))</f>
        <v>114.73</v>
      </c>
      <c r="R3096" s="3">
        <f>L3096-Q3096</f>
        <v>26.820000000000007</v>
      </c>
      <c r="S3096" s="2">
        <f>NETWORKDAYS(B3096,C3096)-1</f>
        <v>2</v>
      </c>
      <c r="T3096" s="1">
        <f>WORKDAY(B3096,5)</f>
        <v>45806</v>
      </c>
      <c r="U3096" t="b">
        <f>C3096&gt;T3096</f>
        <v>0</v>
      </c>
    </row>
    <row r="3097" spans="1:21" x14ac:dyDescent="0.25">
      <c r="A3097" t="s">
        <v>1929</v>
      </c>
      <c r="B3097" s="1">
        <v>45799</v>
      </c>
      <c r="C3097" s="1">
        <v>45800</v>
      </c>
      <c r="D3097" t="s">
        <v>359</v>
      </c>
      <c r="E3097" t="s">
        <v>137</v>
      </c>
      <c r="F3097" t="s">
        <v>138</v>
      </c>
      <c r="G3097" t="s">
        <v>220</v>
      </c>
      <c r="H3097" t="s">
        <v>161</v>
      </c>
      <c r="I3097" s="2">
        <v>10</v>
      </c>
      <c r="J3097" s="3">
        <v>32</v>
      </c>
      <c r="K3097" s="4">
        <v>0</v>
      </c>
      <c r="L3097" s="3">
        <v>320</v>
      </c>
      <c r="M3097" t="b">
        <v>1</v>
      </c>
      <c r="N3097" s="2">
        <f>YEAR(B3097)</f>
        <v>2025</v>
      </c>
      <c r="O3097" t="str">
        <f>INDEX(Agences!$C:$C,MATCH(F3097,Agences!$A:$A,0))</f>
        <v>Île-de-France</v>
      </c>
      <c r="P3097" t="str">
        <f>INDEX(Produits!$C:$C,MATCH(H3097,Produits!$A:$A,0))</f>
        <v>Fournitures</v>
      </c>
      <c r="Q3097" s="3">
        <f>I3097*INDEX(Produits!$E:$E,MATCH(H3097,Produits!$A:$A,0))</f>
        <v>176</v>
      </c>
      <c r="R3097" s="3">
        <f>L3097-Q3097</f>
        <v>144</v>
      </c>
      <c r="S3097" s="2">
        <f>NETWORKDAYS(B3097,C3097)-1</f>
        <v>1</v>
      </c>
      <c r="T3097" s="1">
        <f>WORKDAY(B3097,5)</f>
        <v>45806</v>
      </c>
      <c r="U3097" t="b">
        <f>C3097&gt;T3097</f>
        <v>0</v>
      </c>
    </row>
    <row r="3098" spans="1:21" x14ac:dyDescent="0.25">
      <c r="A3098" t="s">
        <v>1930</v>
      </c>
      <c r="B3098" s="1">
        <v>45799</v>
      </c>
      <c r="C3098" s="1">
        <v>45803</v>
      </c>
      <c r="D3098" t="s">
        <v>745</v>
      </c>
      <c r="E3098" t="s">
        <v>270</v>
      </c>
      <c r="F3098" t="s">
        <v>76</v>
      </c>
      <c r="G3098" t="s">
        <v>176</v>
      </c>
      <c r="H3098" t="s">
        <v>107</v>
      </c>
      <c r="I3098" s="2">
        <v>5</v>
      </c>
      <c r="J3098" s="3">
        <v>99</v>
      </c>
      <c r="K3098" s="4">
        <v>0</v>
      </c>
      <c r="L3098" s="3">
        <v>495</v>
      </c>
      <c r="M3098" t="b">
        <v>1</v>
      </c>
      <c r="N3098" s="2">
        <f>YEAR(B3098)</f>
        <v>2025</v>
      </c>
      <c r="O3098" t="str">
        <f>INDEX(Agences!$C:$C,MATCH(F3098,Agences!$A:$A,0))</f>
        <v>Île-de-France</v>
      </c>
      <c r="P3098" t="str">
        <f>INDEX(Produits!$C:$C,MATCH(H3098,Produits!$A:$A,0))</f>
        <v>Informatique</v>
      </c>
      <c r="Q3098" s="3">
        <f>I3098*INDEX(Produits!$E:$E,MATCH(H3098,Produits!$A:$A,0))</f>
        <v>376.2</v>
      </c>
      <c r="R3098" s="3">
        <f>L3098-Q3098</f>
        <v>118.80000000000001</v>
      </c>
      <c r="S3098" s="2">
        <f>NETWORKDAYS(B3098,C3098)-1</f>
        <v>2</v>
      </c>
      <c r="T3098" s="1">
        <f>WORKDAY(B3098,5)</f>
        <v>45806</v>
      </c>
      <c r="U3098" t="b">
        <f>C3098&gt;T3098</f>
        <v>0</v>
      </c>
    </row>
    <row r="3099" spans="1:21" x14ac:dyDescent="0.25">
      <c r="A3099" t="s">
        <v>1930</v>
      </c>
      <c r="B3099" s="1">
        <v>45799</v>
      </c>
      <c r="C3099" s="1">
        <v>45803</v>
      </c>
      <c r="D3099" t="s">
        <v>745</v>
      </c>
      <c r="E3099" t="s">
        <v>270</v>
      </c>
      <c r="F3099" t="s">
        <v>76</v>
      </c>
      <c r="G3099" t="s">
        <v>176</v>
      </c>
      <c r="H3099" t="s">
        <v>50</v>
      </c>
      <c r="I3099" s="2">
        <v>1</v>
      </c>
      <c r="J3099" s="3">
        <v>69</v>
      </c>
      <c r="K3099" s="4">
        <v>0.1</v>
      </c>
      <c r="L3099" s="3">
        <v>62.1</v>
      </c>
      <c r="M3099" t="b">
        <v>1</v>
      </c>
      <c r="N3099" s="2">
        <f>YEAR(B3099)</f>
        <v>2025</v>
      </c>
      <c r="O3099" t="str">
        <f>INDEX(Agences!$C:$C,MATCH(F3099,Agences!$A:$A,0))</f>
        <v>Île-de-France</v>
      </c>
      <c r="P3099" t="str">
        <f>INDEX(Produits!$C:$C,MATCH(H3099,Produits!$A:$A,0))</f>
        <v>Informatique</v>
      </c>
      <c r="Q3099" s="3">
        <f>I3099*INDEX(Produits!$E:$E,MATCH(H3099,Produits!$A:$A,0))</f>
        <v>54.51</v>
      </c>
      <c r="R3099" s="3">
        <f>L3099-Q3099</f>
        <v>7.590000000000003</v>
      </c>
      <c r="S3099" s="2">
        <f>NETWORKDAYS(B3099,C3099)-1</f>
        <v>2</v>
      </c>
      <c r="T3099" s="1">
        <f>WORKDAY(B3099,5)</f>
        <v>45806</v>
      </c>
      <c r="U3099" t="b">
        <f>C3099&gt;T3099</f>
        <v>0</v>
      </c>
    </row>
    <row r="3100" spans="1:21" x14ac:dyDescent="0.25">
      <c r="A3100" t="s">
        <v>1931</v>
      </c>
      <c r="B3100" s="1">
        <v>45799</v>
      </c>
      <c r="C3100" s="1">
        <v>45800</v>
      </c>
      <c r="D3100" t="s">
        <v>825</v>
      </c>
      <c r="E3100" t="s">
        <v>242</v>
      </c>
      <c r="F3100" t="s">
        <v>94</v>
      </c>
      <c r="G3100" t="s">
        <v>95</v>
      </c>
      <c r="H3100" t="s">
        <v>35</v>
      </c>
      <c r="I3100" s="2">
        <v>4</v>
      </c>
      <c r="J3100" s="3">
        <v>79</v>
      </c>
      <c r="K3100" s="4">
        <v>0</v>
      </c>
      <c r="L3100" s="3">
        <v>316</v>
      </c>
      <c r="M3100" t="b">
        <v>1</v>
      </c>
      <c r="N3100" s="2">
        <f>YEAR(B3100)</f>
        <v>2025</v>
      </c>
      <c r="O3100" t="str">
        <f>INDEX(Agences!$C:$C,MATCH(F3100,Agences!$A:$A,0))</f>
        <v>Méditerranée</v>
      </c>
      <c r="P3100" t="str">
        <f>INDEX(Produits!$C:$C,MATCH(H3100,Produits!$A:$A,0))</f>
        <v>Mobilier</v>
      </c>
      <c r="Q3100" s="3">
        <f>I3100*INDEX(Produits!$E:$E,MATCH(H3100,Produits!$A:$A,0))</f>
        <v>186.44</v>
      </c>
      <c r="R3100" s="3">
        <f>L3100-Q3100</f>
        <v>129.56</v>
      </c>
      <c r="S3100" s="2">
        <f>NETWORKDAYS(B3100,C3100)-1</f>
        <v>1</v>
      </c>
      <c r="T3100" s="1">
        <f>WORKDAY(B3100,5)</f>
        <v>45806</v>
      </c>
      <c r="U3100" t="b">
        <f>C3100&gt;T3100</f>
        <v>0</v>
      </c>
    </row>
    <row r="3101" spans="1:21" x14ac:dyDescent="0.25">
      <c r="A3101" t="s">
        <v>1931</v>
      </c>
      <c r="B3101" s="1">
        <v>45799</v>
      </c>
      <c r="C3101" s="1">
        <v>45800</v>
      </c>
      <c r="D3101" t="s">
        <v>825</v>
      </c>
      <c r="E3101" t="s">
        <v>242</v>
      </c>
      <c r="F3101" t="s">
        <v>94</v>
      </c>
      <c r="G3101" t="s">
        <v>95</v>
      </c>
      <c r="H3101" t="s">
        <v>233</v>
      </c>
      <c r="I3101" s="2">
        <v>5</v>
      </c>
      <c r="J3101" s="3">
        <v>27.5</v>
      </c>
      <c r="K3101" s="4">
        <v>0</v>
      </c>
      <c r="L3101" s="3">
        <v>137.5</v>
      </c>
      <c r="M3101" t="b">
        <v>1</v>
      </c>
      <c r="N3101" s="2">
        <f>YEAR(B3101)</f>
        <v>2025</v>
      </c>
      <c r="O3101" t="str">
        <f>INDEX(Agences!$C:$C,MATCH(F3101,Agences!$A:$A,0))</f>
        <v>Méditerranée</v>
      </c>
      <c r="P3101" t="str">
        <f>INDEX(Produits!$C:$C,MATCH(H3101,Produits!$A:$A,0))</f>
        <v>Fournitures</v>
      </c>
      <c r="Q3101" s="3">
        <f>I3101*INDEX(Produits!$E:$E,MATCH(H3101,Produits!$A:$A,0))</f>
        <v>77</v>
      </c>
      <c r="R3101" s="3">
        <f>L3101-Q3101</f>
        <v>60.5</v>
      </c>
      <c r="S3101" s="2">
        <f>NETWORKDAYS(B3101,C3101)-1</f>
        <v>1</v>
      </c>
      <c r="T3101" s="1">
        <f>WORKDAY(B3101,5)</f>
        <v>45806</v>
      </c>
      <c r="U3101" t="b">
        <f>C3101&gt;T3101</f>
        <v>0</v>
      </c>
    </row>
    <row r="3102" spans="1:21" x14ac:dyDescent="0.25">
      <c r="A3102" t="s">
        <v>1932</v>
      </c>
      <c r="B3102" s="1">
        <v>45799</v>
      </c>
      <c r="C3102" s="1">
        <v>45804</v>
      </c>
      <c r="D3102" t="s">
        <v>44</v>
      </c>
      <c r="E3102" t="s">
        <v>45</v>
      </c>
      <c r="F3102" t="s">
        <v>46</v>
      </c>
      <c r="G3102" t="s">
        <v>158</v>
      </c>
      <c r="H3102" t="s">
        <v>606</v>
      </c>
      <c r="I3102" s="2">
        <v>1</v>
      </c>
      <c r="J3102" s="3">
        <v>1150</v>
      </c>
      <c r="K3102" s="4">
        <v>0.05</v>
      </c>
      <c r="L3102" s="3">
        <v>1092.5</v>
      </c>
      <c r="M3102" t="b">
        <v>1</v>
      </c>
      <c r="N3102" s="2">
        <f>YEAR(B3102)</f>
        <v>2025</v>
      </c>
      <c r="O3102" t="str">
        <f>INDEX(Agences!$C:$C,MATCH(F3102,Agences!$A:$A,0))</f>
        <v>Est</v>
      </c>
      <c r="P3102" t="str">
        <f>INDEX(Produits!$C:$C,MATCH(H3102,Produits!$A:$A,0))</f>
        <v>Mobilier</v>
      </c>
      <c r="Q3102" s="3">
        <f>I3102*INDEX(Produits!$E:$E,MATCH(H3102,Produits!$A:$A,0))</f>
        <v>713</v>
      </c>
      <c r="R3102" s="3">
        <f>L3102-Q3102</f>
        <v>379.5</v>
      </c>
      <c r="S3102" s="2">
        <f>NETWORKDAYS(B3102,C3102)-1</f>
        <v>3</v>
      </c>
      <c r="T3102" s="1">
        <f>WORKDAY(B3102,5)</f>
        <v>45806</v>
      </c>
      <c r="U3102" t="b">
        <f>C3102&gt;T3102</f>
        <v>0</v>
      </c>
    </row>
    <row r="3103" spans="1:21" x14ac:dyDescent="0.25">
      <c r="A3103" t="s">
        <v>1932</v>
      </c>
      <c r="B3103" s="1">
        <v>45799</v>
      </c>
      <c r="C3103" s="1">
        <v>45804</v>
      </c>
      <c r="D3103" t="s">
        <v>44</v>
      </c>
      <c r="E3103" t="s">
        <v>45</v>
      </c>
      <c r="F3103" t="s">
        <v>46</v>
      </c>
      <c r="G3103" t="s">
        <v>158</v>
      </c>
      <c r="H3103" t="s">
        <v>42</v>
      </c>
      <c r="I3103" s="2">
        <v>1</v>
      </c>
      <c r="J3103" s="3">
        <v>55</v>
      </c>
      <c r="K3103" s="4">
        <v>0.05</v>
      </c>
      <c r="L3103" s="3">
        <v>52.25</v>
      </c>
      <c r="M3103" t="b">
        <v>1</v>
      </c>
      <c r="N3103" s="2">
        <f>YEAR(B3103)</f>
        <v>2025</v>
      </c>
      <c r="O3103" t="str">
        <f>INDEX(Agences!$C:$C,MATCH(F3103,Agences!$A:$A,0))</f>
        <v>Est</v>
      </c>
      <c r="P3103" t="str">
        <f>INDEX(Produits!$C:$C,MATCH(H3103,Produits!$A:$A,0))</f>
        <v>Maintenance</v>
      </c>
      <c r="Q3103" s="3">
        <f>I3103*INDEX(Produits!$E:$E,MATCH(H3103,Produits!$A:$A,0))</f>
        <v>24.75</v>
      </c>
      <c r="R3103" s="3">
        <f>L3103-Q3103</f>
        <v>27.5</v>
      </c>
      <c r="S3103" s="2">
        <f>NETWORKDAYS(B3103,C3103)-1</f>
        <v>3</v>
      </c>
      <c r="T3103" s="1">
        <f>WORKDAY(B3103,5)</f>
        <v>45806</v>
      </c>
      <c r="U3103" t="b">
        <f>C3103&gt;T3103</f>
        <v>0</v>
      </c>
    </row>
    <row r="3104" spans="1:21" x14ac:dyDescent="0.25">
      <c r="A3104" t="s">
        <v>1932</v>
      </c>
      <c r="B3104" s="1">
        <v>45799</v>
      </c>
      <c r="C3104" s="1">
        <v>45804</v>
      </c>
      <c r="D3104" t="s">
        <v>44</v>
      </c>
      <c r="E3104" t="s">
        <v>45</v>
      </c>
      <c r="F3104" t="s">
        <v>46</v>
      </c>
      <c r="G3104" t="s">
        <v>158</v>
      </c>
      <c r="H3104" t="s">
        <v>50</v>
      </c>
      <c r="I3104" s="2">
        <v>3</v>
      </c>
      <c r="J3104" s="3">
        <v>69</v>
      </c>
      <c r="K3104" s="4">
        <v>0</v>
      </c>
      <c r="L3104" s="3">
        <v>207</v>
      </c>
      <c r="M3104" t="b">
        <v>1</v>
      </c>
      <c r="N3104" s="2">
        <f>YEAR(B3104)</f>
        <v>2025</v>
      </c>
      <c r="O3104" t="str">
        <f>INDEX(Agences!$C:$C,MATCH(F3104,Agences!$A:$A,0))</f>
        <v>Est</v>
      </c>
      <c r="P3104" t="str">
        <f>INDEX(Produits!$C:$C,MATCH(H3104,Produits!$A:$A,0))</f>
        <v>Informatique</v>
      </c>
      <c r="Q3104" s="3">
        <f>I3104*INDEX(Produits!$E:$E,MATCH(H3104,Produits!$A:$A,0))</f>
        <v>163.53</v>
      </c>
      <c r="R3104" s="3">
        <f>L3104-Q3104</f>
        <v>43.47</v>
      </c>
      <c r="S3104" s="2">
        <f>NETWORKDAYS(B3104,C3104)-1</f>
        <v>3</v>
      </c>
      <c r="T3104" s="1">
        <f>WORKDAY(B3104,5)</f>
        <v>45806</v>
      </c>
      <c r="U3104" t="b">
        <f>C3104&gt;T3104</f>
        <v>0</v>
      </c>
    </row>
    <row r="3105" spans="1:21" x14ac:dyDescent="0.25">
      <c r="A3105" t="s">
        <v>1932</v>
      </c>
      <c r="B3105" s="1">
        <v>45799</v>
      </c>
      <c r="C3105" s="1">
        <v>45804</v>
      </c>
      <c r="D3105" t="s">
        <v>44</v>
      </c>
      <c r="E3105" t="s">
        <v>45</v>
      </c>
      <c r="F3105" t="s">
        <v>46</v>
      </c>
      <c r="G3105" t="s">
        <v>158</v>
      </c>
      <c r="H3105" t="s">
        <v>107</v>
      </c>
      <c r="I3105" s="2">
        <v>3</v>
      </c>
      <c r="J3105" s="3">
        <v>99</v>
      </c>
      <c r="K3105" s="4">
        <v>0</v>
      </c>
      <c r="L3105" s="3">
        <v>297</v>
      </c>
      <c r="M3105" t="b">
        <v>1</v>
      </c>
      <c r="N3105" s="2">
        <f>YEAR(B3105)</f>
        <v>2025</v>
      </c>
      <c r="O3105" t="str">
        <f>INDEX(Agences!$C:$C,MATCH(F3105,Agences!$A:$A,0))</f>
        <v>Est</v>
      </c>
      <c r="P3105" t="str">
        <f>INDEX(Produits!$C:$C,MATCH(H3105,Produits!$A:$A,0))</f>
        <v>Informatique</v>
      </c>
      <c r="Q3105" s="3">
        <f>I3105*INDEX(Produits!$E:$E,MATCH(H3105,Produits!$A:$A,0))</f>
        <v>225.71999999999997</v>
      </c>
      <c r="R3105" s="3">
        <f>L3105-Q3105</f>
        <v>71.28000000000003</v>
      </c>
      <c r="S3105" s="2">
        <f>NETWORKDAYS(B3105,C3105)-1</f>
        <v>3</v>
      </c>
      <c r="T3105" s="1">
        <f>WORKDAY(B3105,5)</f>
        <v>45806</v>
      </c>
      <c r="U3105" t="b">
        <f>C3105&gt;T3105</f>
        <v>0</v>
      </c>
    </row>
    <row r="3106" spans="1:21" x14ac:dyDescent="0.25">
      <c r="A3106" t="s">
        <v>1932</v>
      </c>
      <c r="B3106" s="1">
        <v>45799</v>
      </c>
      <c r="C3106" s="1">
        <v>45804</v>
      </c>
      <c r="D3106" t="s">
        <v>44</v>
      </c>
      <c r="E3106" t="s">
        <v>45</v>
      </c>
      <c r="F3106" t="s">
        <v>46</v>
      </c>
      <c r="G3106" t="s">
        <v>158</v>
      </c>
      <c r="H3106" t="s">
        <v>64</v>
      </c>
      <c r="I3106" s="2">
        <v>10</v>
      </c>
      <c r="J3106" s="3">
        <v>16.8</v>
      </c>
      <c r="K3106" s="4">
        <v>0</v>
      </c>
      <c r="L3106" s="3">
        <v>168</v>
      </c>
      <c r="M3106" t="b">
        <v>1</v>
      </c>
      <c r="N3106" s="2">
        <f>YEAR(B3106)</f>
        <v>2025</v>
      </c>
      <c r="O3106" t="str">
        <f>INDEX(Agences!$C:$C,MATCH(F3106,Agences!$A:$A,0))</f>
        <v>Est</v>
      </c>
      <c r="P3106" t="str">
        <f>INDEX(Produits!$C:$C,MATCH(H3106,Produits!$A:$A,0))</f>
        <v>Fournitures</v>
      </c>
      <c r="Q3106" s="3">
        <f>I3106*INDEX(Produits!$E:$E,MATCH(H3106,Produits!$A:$A,0))</f>
        <v>87.4</v>
      </c>
      <c r="R3106" s="3">
        <f>L3106-Q3106</f>
        <v>80.6</v>
      </c>
      <c r="S3106" s="2">
        <f>NETWORKDAYS(B3106,C3106)-1</f>
        <v>3</v>
      </c>
      <c r="T3106" s="1">
        <f>WORKDAY(B3106,5)</f>
        <v>45806</v>
      </c>
      <c r="U3106" t="b">
        <f>C3106&gt;T3106</f>
        <v>0</v>
      </c>
    </row>
    <row r="3107" spans="1:21" x14ac:dyDescent="0.25">
      <c r="A3107" t="s">
        <v>1933</v>
      </c>
      <c r="B3107" s="1">
        <v>45798</v>
      </c>
      <c r="C3107" s="1">
        <v>45803</v>
      </c>
      <c r="D3107" t="s">
        <v>311</v>
      </c>
      <c r="E3107" t="s">
        <v>93</v>
      </c>
      <c r="F3107" t="s">
        <v>94</v>
      </c>
      <c r="G3107" t="s">
        <v>154</v>
      </c>
      <c r="H3107" t="s">
        <v>51</v>
      </c>
      <c r="I3107" s="2">
        <v>1</v>
      </c>
      <c r="J3107" s="3">
        <v>180</v>
      </c>
      <c r="K3107" s="4">
        <v>0.02</v>
      </c>
      <c r="L3107" s="3">
        <v>176.4</v>
      </c>
      <c r="M3107" t="b">
        <v>1</v>
      </c>
      <c r="N3107" s="2">
        <f>YEAR(B3107)</f>
        <v>2025</v>
      </c>
      <c r="O3107" t="str">
        <f>INDEX(Agences!$C:$C,MATCH(F3107,Agences!$A:$A,0))</f>
        <v>Méditerranée</v>
      </c>
      <c r="P3107" t="str">
        <f>INDEX(Produits!$C:$C,MATCH(H3107,Produits!$A:$A,0))</f>
        <v>Maintenance</v>
      </c>
      <c r="Q3107" s="3">
        <f>I3107*INDEX(Produits!$E:$E,MATCH(H3107,Produits!$A:$A,0))</f>
        <v>82.8</v>
      </c>
      <c r="R3107" s="3">
        <f>L3107-Q3107</f>
        <v>93.60000000000001</v>
      </c>
      <c r="S3107" s="2">
        <f>NETWORKDAYS(B3107,C3107)-1</f>
        <v>3</v>
      </c>
      <c r="T3107" s="1">
        <f>WORKDAY(B3107,5)</f>
        <v>45805</v>
      </c>
      <c r="U3107" t="b">
        <f>C3107&gt;T3107</f>
        <v>0</v>
      </c>
    </row>
    <row r="3108" spans="1:21" x14ac:dyDescent="0.25">
      <c r="A3108" t="s">
        <v>1933</v>
      </c>
      <c r="B3108" s="1">
        <v>45798</v>
      </c>
      <c r="C3108" s="1">
        <v>45803</v>
      </c>
      <c r="D3108" t="s">
        <v>311</v>
      </c>
      <c r="E3108" t="s">
        <v>93</v>
      </c>
      <c r="F3108" t="s">
        <v>94</v>
      </c>
      <c r="G3108" t="s">
        <v>154</v>
      </c>
      <c r="H3108" t="s">
        <v>33</v>
      </c>
      <c r="I3108" s="2">
        <v>1</v>
      </c>
      <c r="J3108" s="3">
        <v>219</v>
      </c>
      <c r="K3108" s="4">
        <v>0</v>
      </c>
      <c r="L3108" s="3">
        <v>219</v>
      </c>
      <c r="M3108" t="b">
        <v>1</v>
      </c>
      <c r="N3108" s="2">
        <f>YEAR(B3108)</f>
        <v>2025</v>
      </c>
      <c r="O3108" t="str">
        <f>INDEX(Agences!$C:$C,MATCH(F3108,Agences!$A:$A,0))</f>
        <v>Méditerranée</v>
      </c>
      <c r="P3108" t="str">
        <f>INDEX(Produits!$C:$C,MATCH(H3108,Produits!$A:$A,0))</f>
        <v>Informatique</v>
      </c>
      <c r="Q3108" s="3">
        <f>I3108*INDEX(Produits!$E:$E,MATCH(H3108,Produits!$A:$A,0))</f>
        <v>179.58</v>
      </c>
      <c r="R3108" s="3">
        <f>L3108-Q3108</f>
        <v>39.41999999999999</v>
      </c>
      <c r="S3108" s="2">
        <f>NETWORKDAYS(B3108,C3108)-1</f>
        <v>3</v>
      </c>
      <c r="T3108" s="1">
        <f>WORKDAY(B3108,5)</f>
        <v>45805</v>
      </c>
      <c r="U3108" t="b">
        <f>C3108&gt;T3108</f>
        <v>0</v>
      </c>
    </row>
    <row r="3109" spans="1:21" x14ac:dyDescent="0.25">
      <c r="A3109" t="s">
        <v>1934</v>
      </c>
      <c r="B3109" s="1">
        <v>45798</v>
      </c>
      <c r="C3109" s="1">
        <v>45799</v>
      </c>
      <c r="D3109" t="s">
        <v>152</v>
      </c>
      <c r="E3109" t="s">
        <v>153</v>
      </c>
      <c r="F3109" t="s">
        <v>94</v>
      </c>
      <c r="G3109" t="s">
        <v>154</v>
      </c>
      <c r="H3109" t="s">
        <v>26</v>
      </c>
      <c r="I3109" s="2">
        <v>1</v>
      </c>
      <c r="J3109" s="3">
        <v>290</v>
      </c>
      <c r="K3109" s="4">
        <v>0</v>
      </c>
      <c r="L3109" s="3">
        <v>290</v>
      </c>
      <c r="M3109" t="b">
        <v>1</v>
      </c>
      <c r="N3109" s="2">
        <f>YEAR(B3109)</f>
        <v>2025</v>
      </c>
      <c r="O3109" t="str">
        <f>INDEX(Agences!$C:$C,MATCH(F3109,Agences!$A:$A,0))</f>
        <v>Méditerranée</v>
      </c>
      <c r="P3109" t="str">
        <f>INDEX(Produits!$C:$C,MATCH(H3109,Produits!$A:$A,0))</f>
        <v>Maintenance</v>
      </c>
      <c r="Q3109" s="3">
        <f>I3109*INDEX(Produits!$E:$E,MATCH(H3109,Produits!$A:$A,0))</f>
        <v>139.2</v>
      </c>
      <c r="R3109" s="3">
        <f>L3109-Q3109</f>
        <v>150.8</v>
      </c>
      <c r="S3109" s="2">
        <f>NETWORKDAYS(B3109,C3109)-1</f>
        <v>1</v>
      </c>
      <c r="T3109" s="1">
        <f>WORKDAY(B3109,5)</f>
        <v>45805</v>
      </c>
      <c r="U3109" t="b">
        <f>C3109&gt;T3109</f>
        <v>0</v>
      </c>
    </row>
    <row r="3110" spans="1:21" x14ac:dyDescent="0.25">
      <c r="A3110" t="s">
        <v>1935</v>
      </c>
      <c r="B3110" s="1">
        <v>45797</v>
      </c>
      <c r="C3110" s="1">
        <v>45804</v>
      </c>
      <c r="D3110" t="s">
        <v>879</v>
      </c>
      <c r="E3110" t="s">
        <v>126</v>
      </c>
      <c r="F3110" t="s">
        <v>99</v>
      </c>
      <c r="G3110" t="s">
        <v>210</v>
      </c>
      <c r="H3110" t="s">
        <v>42</v>
      </c>
      <c r="I3110" s="2">
        <v>1</v>
      </c>
      <c r="J3110" s="3">
        <v>55</v>
      </c>
      <c r="K3110" s="4">
        <v>0</v>
      </c>
      <c r="L3110" s="3">
        <v>55</v>
      </c>
      <c r="M3110" t="b">
        <v>1</v>
      </c>
      <c r="N3110" s="2">
        <f>YEAR(B3110)</f>
        <v>2025</v>
      </c>
      <c r="O3110" t="str">
        <f>INDEX(Agences!$C:$C,MATCH(F3110,Agences!$A:$A,0))</f>
        <v>Nord</v>
      </c>
      <c r="P3110" t="str">
        <f>INDEX(Produits!$C:$C,MATCH(H3110,Produits!$A:$A,0))</f>
        <v>Maintenance</v>
      </c>
      <c r="Q3110" s="3">
        <f>I3110*INDEX(Produits!$E:$E,MATCH(H3110,Produits!$A:$A,0))</f>
        <v>24.75</v>
      </c>
      <c r="R3110" s="3">
        <f>L3110-Q3110</f>
        <v>30.25</v>
      </c>
      <c r="S3110" s="2">
        <f>NETWORKDAYS(B3110,C3110)-1</f>
        <v>5</v>
      </c>
      <c r="T3110" s="1">
        <f>WORKDAY(B3110,5)</f>
        <v>45804</v>
      </c>
      <c r="U3110" t="b">
        <f>C3110&gt;T3110</f>
        <v>0</v>
      </c>
    </row>
    <row r="3111" spans="1:21" x14ac:dyDescent="0.25">
      <c r="A3111" t="s">
        <v>1935</v>
      </c>
      <c r="B3111" s="1">
        <v>45797</v>
      </c>
      <c r="C3111" s="1">
        <v>45804</v>
      </c>
      <c r="D3111" t="s">
        <v>879</v>
      </c>
      <c r="E3111" t="s">
        <v>126</v>
      </c>
      <c r="F3111" t="s">
        <v>99</v>
      </c>
      <c r="G3111" t="s">
        <v>210</v>
      </c>
      <c r="H3111" t="s">
        <v>50</v>
      </c>
      <c r="I3111" s="2">
        <v>4</v>
      </c>
      <c r="J3111" s="3">
        <v>69</v>
      </c>
      <c r="K3111" s="4">
        <v>0</v>
      </c>
      <c r="L3111" s="3">
        <v>276</v>
      </c>
      <c r="M3111" t="b">
        <v>1</v>
      </c>
      <c r="N3111" s="2">
        <f>YEAR(B3111)</f>
        <v>2025</v>
      </c>
      <c r="O3111" t="str">
        <f>INDEX(Agences!$C:$C,MATCH(F3111,Agences!$A:$A,0))</f>
        <v>Nord</v>
      </c>
      <c r="P3111" t="str">
        <f>INDEX(Produits!$C:$C,MATCH(H3111,Produits!$A:$A,0))</f>
        <v>Informatique</v>
      </c>
      <c r="Q3111" s="3">
        <f>I3111*INDEX(Produits!$E:$E,MATCH(H3111,Produits!$A:$A,0))</f>
        <v>218.04</v>
      </c>
      <c r="R3111" s="3">
        <f>L3111-Q3111</f>
        <v>57.96000000000001</v>
      </c>
      <c r="S3111" s="2">
        <f>NETWORKDAYS(B3111,C3111)-1</f>
        <v>5</v>
      </c>
      <c r="T3111" s="1">
        <f>WORKDAY(B3111,5)</f>
        <v>45804</v>
      </c>
      <c r="U3111" t="b">
        <f>C3111&gt;T3111</f>
        <v>0</v>
      </c>
    </row>
    <row r="3112" spans="1:21" x14ac:dyDescent="0.25">
      <c r="A3112" t="s">
        <v>1936</v>
      </c>
      <c r="B3112" s="1">
        <v>45797</v>
      </c>
      <c r="C3112" s="1">
        <v>45804</v>
      </c>
      <c r="D3112" t="s">
        <v>1413</v>
      </c>
      <c r="E3112" t="s">
        <v>137</v>
      </c>
      <c r="F3112" t="s">
        <v>138</v>
      </c>
      <c r="G3112" t="s">
        <v>214</v>
      </c>
      <c r="H3112" t="s">
        <v>50</v>
      </c>
      <c r="I3112" s="2">
        <v>1</v>
      </c>
      <c r="J3112" s="3">
        <v>69</v>
      </c>
      <c r="K3112" s="4">
        <v>0.05</v>
      </c>
      <c r="L3112" s="3">
        <v>65.55</v>
      </c>
      <c r="M3112" t="b">
        <v>1</v>
      </c>
      <c r="N3112" s="2">
        <f>YEAR(B3112)</f>
        <v>2025</v>
      </c>
      <c r="O3112" t="str">
        <f>INDEX(Agences!$C:$C,MATCH(F3112,Agences!$A:$A,0))</f>
        <v>Île-de-France</v>
      </c>
      <c r="P3112" t="str">
        <f>INDEX(Produits!$C:$C,MATCH(H3112,Produits!$A:$A,0))</f>
        <v>Informatique</v>
      </c>
      <c r="Q3112" s="3">
        <f>I3112*INDEX(Produits!$E:$E,MATCH(H3112,Produits!$A:$A,0))</f>
        <v>54.51</v>
      </c>
      <c r="R3112" s="3">
        <f>L3112-Q3112</f>
        <v>11.04</v>
      </c>
      <c r="S3112" s="2">
        <f>NETWORKDAYS(B3112,C3112)-1</f>
        <v>5</v>
      </c>
      <c r="T3112" s="1">
        <f>WORKDAY(B3112,5)</f>
        <v>45804</v>
      </c>
      <c r="U3112" t="b">
        <f>C3112&gt;T3112</f>
        <v>0</v>
      </c>
    </row>
    <row r="3113" spans="1:21" x14ac:dyDescent="0.25">
      <c r="A3113" t="s">
        <v>1936</v>
      </c>
      <c r="B3113" s="1">
        <v>45797</v>
      </c>
      <c r="C3113" s="1">
        <v>45804</v>
      </c>
      <c r="D3113" t="s">
        <v>1413</v>
      </c>
      <c r="E3113" t="s">
        <v>137</v>
      </c>
      <c r="F3113" t="s">
        <v>138</v>
      </c>
      <c r="G3113" t="s">
        <v>214</v>
      </c>
      <c r="H3113" t="s">
        <v>51</v>
      </c>
      <c r="I3113" s="2">
        <v>2</v>
      </c>
      <c r="J3113" s="3">
        <v>180</v>
      </c>
      <c r="K3113" s="4">
        <v>0</v>
      </c>
      <c r="L3113" s="3">
        <v>360</v>
      </c>
      <c r="M3113" t="b">
        <v>1</v>
      </c>
      <c r="N3113" s="2">
        <f>YEAR(B3113)</f>
        <v>2025</v>
      </c>
      <c r="O3113" t="str">
        <f>INDEX(Agences!$C:$C,MATCH(F3113,Agences!$A:$A,0))</f>
        <v>Île-de-France</v>
      </c>
      <c r="P3113" t="str">
        <f>INDEX(Produits!$C:$C,MATCH(H3113,Produits!$A:$A,0))</f>
        <v>Maintenance</v>
      </c>
      <c r="Q3113" s="3">
        <f>I3113*INDEX(Produits!$E:$E,MATCH(H3113,Produits!$A:$A,0))</f>
        <v>165.6</v>
      </c>
      <c r="R3113" s="3">
        <f>L3113-Q3113</f>
        <v>194.4</v>
      </c>
      <c r="S3113" s="2">
        <f>NETWORKDAYS(B3113,C3113)-1</f>
        <v>5</v>
      </c>
      <c r="T3113" s="1">
        <f>WORKDAY(B3113,5)</f>
        <v>45804</v>
      </c>
      <c r="U3113" t="b">
        <f>C3113&gt;T3113</f>
        <v>0</v>
      </c>
    </row>
    <row r="3114" spans="1:21" x14ac:dyDescent="0.25">
      <c r="A3114" t="s">
        <v>1936</v>
      </c>
      <c r="B3114" s="1">
        <v>45797</v>
      </c>
      <c r="C3114" s="1">
        <v>45804</v>
      </c>
      <c r="D3114" t="s">
        <v>1413</v>
      </c>
      <c r="E3114" t="s">
        <v>137</v>
      </c>
      <c r="F3114" t="s">
        <v>138</v>
      </c>
      <c r="G3114" t="s">
        <v>214</v>
      </c>
      <c r="H3114" t="s">
        <v>49</v>
      </c>
      <c r="I3114" s="2">
        <v>1</v>
      </c>
      <c r="J3114" s="3">
        <v>120</v>
      </c>
      <c r="K3114" s="4">
        <v>0.05</v>
      </c>
      <c r="L3114" s="3">
        <v>114</v>
      </c>
      <c r="M3114" t="b">
        <v>1</v>
      </c>
      <c r="N3114" s="2">
        <f>YEAR(B3114)</f>
        <v>2025</v>
      </c>
      <c r="O3114" t="str">
        <f>INDEX(Agences!$C:$C,MATCH(F3114,Agences!$A:$A,0))</f>
        <v>Île-de-France</v>
      </c>
      <c r="P3114" t="str">
        <f>INDEX(Produits!$C:$C,MATCH(H3114,Produits!$A:$A,0))</f>
        <v>Maintenance</v>
      </c>
      <c r="Q3114" s="3">
        <f>I3114*INDEX(Produits!$E:$E,MATCH(H3114,Produits!$A:$A,0))</f>
        <v>55.2</v>
      </c>
      <c r="R3114" s="3">
        <f>L3114-Q3114</f>
        <v>58.8</v>
      </c>
      <c r="S3114" s="2">
        <f>NETWORKDAYS(B3114,C3114)-1</f>
        <v>5</v>
      </c>
      <c r="T3114" s="1">
        <f>WORKDAY(B3114,5)</f>
        <v>45804</v>
      </c>
      <c r="U3114" t="b">
        <f>C3114&gt;T3114</f>
        <v>0</v>
      </c>
    </row>
    <row r="3115" spans="1:21" x14ac:dyDescent="0.25">
      <c r="A3115" t="s">
        <v>1937</v>
      </c>
      <c r="B3115" s="1">
        <v>45797</v>
      </c>
      <c r="C3115" s="1">
        <v>45798</v>
      </c>
      <c r="D3115" t="s">
        <v>280</v>
      </c>
      <c r="E3115" t="s">
        <v>270</v>
      </c>
      <c r="F3115" t="s">
        <v>76</v>
      </c>
      <c r="G3115" t="s">
        <v>176</v>
      </c>
      <c r="H3115" t="s">
        <v>90</v>
      </c>
      <c r="I3115" s="2">
        <v>5</v>
      </c>
      <c r="J3115" s="3">
        <v>22.9</v>
      </c>
      <c r="K3115" s="4">
        <v>0</v>
      </c>
      <c r="L3115" s="3">
        <v>114.5</v>
      </c>
      <c r="M3115" t="b">
        <v>1</v>
      </c>
      <c r="N3115" s="2">
        <f>YEAR(B3115)</f>
        <v>2025</v>
      </c>
      <c r="O3115" t="str">
        <f>INDEX(Agences!$C:$C,MATCH(F3115,Agences!$A:$A,0))</f>
        <v>Île-de-France</v>
      </c>
      <c r="P3115" t="str">
        <f>INDEX(Produits!$C:$C,MATCH(H3115,Produits!$A:$A,0))</f>
        <v>Fournitures</v>
      </c>
      <c r="Q3115" s="3">
        <f>I3115*INDEX(Produits!$E:$E,MATCH(H3115,Produits!$A:$A,0))</f>
        <v>64.1</v>
      </c>
      <c r="R3115" s="3">
        <f>L3115-Q3115</f>
        <v>50.400000000000006</v>
      </c>
      <c r="S3115" s="2">
        <f>NETWORKDAYS(B3115,C3115)-1</f>
        <v>1</v>
      </c>
      <c r="T3115" s="1">
        <f>WORKDAY(B3115,5)</f>
        <v>45804</v>
      </c>
      <c r="U3115" t="b">
        <f>C3115&gt;T3115</f>
        <v>0</v>
      </c>
    </row>
    <row r="3116" spans="1:21" x14ac:dyDescent="0.25">
      <c r="A3116" t="s">
        <v>1937</v>
      </c>
      <c r="B3116" s="1">
        <v>45797</v>
      </c>
      <c r="C3116" s="1">
        <v>45798</v>
      </c>
      <c r="D3116" t="s">
        <v>280</v>
      </c>
      <c r="E3116" t="s">
        <v>270</v>
      </c>
      <c r="F3116" t="s">
        <v>76</v>
      </c>
      <c r="G3116" t="s">
        <v>176</v>
      </c>
      <c r="H3116" t="s">
        <v>42</v>
      </c>
      <c r="I3116" s="2">
        <v>1</v>
      </c>
      <c r="J3116" s="3">
        <v>55</v>
      </c>
      <c r="K3116" s="4">
        <v>0</v>
      </c>
      <c r="L3116" s="3">
        <v>55</v>
      </c>
      <c r="M3116" t="b">
        <v>1</v>
      </c>
      <c r="N3116" s="2">
        <f>YEAR(B3116)</f>
        <v>2025</v>
      </c>
      <c r="O3116" t="str">
        <f>INDEX(Agences!$C:$C,MATCH(F3116,Agences!$A:$A,0))</f>
        <v>Île-de-France</v>
      </c>
      <c r="P3116" t="str">
        <f>INDEX(Produits!$C:$C,MATCH(H3116,Produits!$A:$A,0))</f>
        <v>Maintenance</v>
      </c>
      <c r="Q3116" s="3">
        <f>I3116*INDEX(Produits!$E:$E,MATCH(H3116,Produits!$A:$A,0))</f>
        <v>24.75</v>
      </c>
      <c r="R3116" s="3">
        <f>L3116-Q3116</f>
        <v>30.25</v>
      </c>
      <c r="S3116" s="2">
        <f>NETWORKDAYS(B3116,C3116)-1</f>
        <v>1</v>
      </c>
      <c r="T3116" s="1">
        <f>WORKDAY(B3116,5)</f>
        <v>45804</v>
      </c>
      <c r="U3116" t="b">
        <f>C3116&gt;T3116</f>
        <v>0</v>
      </c>
    </row>
    <row r="3117" spans="1:21" x14ac:dyDescent="0.25">
      <c r="A3117" t="s">
        <v>1937</v>
      </c>
      <c r="B3117" s="1">
        <v>45797</v>
      </c>
      <c r="C3117" s="1">
        <v>45798</v>
      </c>
      <c r="D3117" t="s">
        <v>280</v>
      </c>
      <c r="E3117" t="s">
        <v>270</v>
      </c>
      <c r="F3117" t="s">
        <v>76</v>
      </c>
      <c r="G3117" t="s">
        <v>176</v>
      </c>
      <c r="H3117" t="s">
        <v>83</v>
      </c>
      <c r="I3117" s="2">
        <v>3</v>
      </c>
      <c r="J3117" s="3">
        <v>49</v>
      </c>
      <c r="K3117" s="4">
        <v>0</v>
      </c>
      <c r="L3117" s="3">
        <v>147</v>
      </c>
      <c r="M3117" t="b">
        <v>1</v>
      </c>
      <c r="N3117" s="2">
        <f>YEAR(B3117)</f>
        <v>2025</v>
      </c>
      <c r="O3117" t="str">
        <f>INDEX(Agences!$C:$C,MATCH(F3117,Agences!$A:$A,0))</f>
        <v>Île-de-France</v>
      </c>
      <c r="P3117" t="str">
        <f>INDEX(Produits!$C:$C,MATCH(H3117,Produits!$A:$A,0))</f>
        <v>Mobilier</v>
      </c>
      <c r="Q3117" s="3">
        <f>I3117*INDEX(Produits!$E:$E,MATCH(H3117,Produits!$A:$A,0))</f>
        <v>85.26</v>
      </c>
      <c r="R3117" s="3">
        <f>L3117-Q3117</f>
        <v>61.739999999999995</v>
      </c>
      <c r="S3117" s="2">
        <f>NETWORKDAYS(B3117,C3117)-1</f>
        <v>1</v>
      </c>
      <c r="T3117" s="1">
        <f>WORKDAY(B3117,5)</f>
        <v>45804</v>
      </c>
      <c r="U3117" t="b">
        <f>C3117&gt;T3117</f>
        <v>0</v>
      </c>
    </row>
    <row r="3118" spans="1:21" x14ac:dyDescent="0.25">
      <c r="A3118" t="s">
        <v>1938</v>
      </c>
      <c r="B3118" s="1">
        <v>45796</v>
      </c>
      <c r="C3118" s="1">
        <v>45798</v>
      </c>
      <c r="D3118" t="s">
        <v>1635</v>
      </c>
      <c r="E3118" t="s">
        <v>172</v>
      </c>
      <c r="F3118" t="s">
        <v>99</v>
      </c>
      <c r="G3118" t="s">
        <v>100</v>
      </c>
      <c r="H3118" t="s">
        <v>50</v>
      </c>
      <c r="I3118" s="2">
        <v>1</v>
      </c>
      <c r="J3118" s="3">
        <v>69</v>
      </c>
      <c r="K3118" s="4">
        <v>0.08</v>
      </c>
      <c r="L3118" s="3">
        <v>63.48</v>
      </c>
      <c r="M3118" t="b">
        <v>1</v>
      </c>
      <c r="N3118" s="2">
        <f>YEAR(B3118)</f>
        <v>2025</v>
      </c>
      <c r="O3118" t="str">
        <f>INDEX(Agences!$C:$C,MATCH(F3118,Agences!$A:$A,0))</f>
        <v>Nord</v>
      </c>
      <c r="P3118" t="str">
        <f>INDEX(Produits!$C:$C,MATCH(H3118,Produits!$A:$A,0))</f>
        <v>Informatique</v>
      </c>
      <c r="Q3118" s="3">
        <f>I3118*INDEX(Produits!$E:$E,MATCH(H3118,Produits!$A:$A,0))</f>
        <v>54.51</v>
      </c>
      <c r="R3118" s="3">
        <f>L3118-Q3118</f>
        <v>8.969999999999999</v>
      </c>
      <c r="S3118" s="2">
        <f>NETWORKDAYS(B3118,C3118)-1</f>
        <v>2</v>
      </c>
      <c r="T3118" s="1">
        <f>WORKDAY(B3118,5)</f>
        <v>45803</v>
      </c>
      <c r="U3118" t="b">
        <f>C3118&gt;T3118</f>
        <v>0</v>
      </c>
    </row>
    <row r="3119" spans="1:21" x14ac:dyDescent="0.25">
      <c r="A3119" t="s">
        <v>1938</v>
      </c>
      <c r="B3119" s="1">
        <v>45796</v>
      </c>
      <c r="C3119" s="1">
        <v>45798</v>
      </c>
      <c r="D3119" t="s">
        <v>1635</v>
      </c>
      <c r="E3119" t="s">
        <v>172</v>
      </c>
      <c r="F3119" t="s">
        <v>99</v>
      </c>
      <c r="G3119" t="s">
        <v>100</v>
      </c>
      <c r="H3119" t="s">
        <v>49</v>
      </c>
      <c r="I3119" s="2">
        <v>2</v>
      </c>
      <c r="J3119" s="3">
        <v>120</v>
      </c>
      <c r="K3119" s="4">
        <v>0.05</v>
      </c>
      <c r="L3119" s="3">
        <v>228</v>
      </c>
      <c r="M3119" t="b">
        <v>1</v>
      </c>
      <c r="N3119" s="2">
        <f>YEAR(B3119)</f>
        <v>2025</v>
      </c>
      <c r="O3119" t="str">
        <f>INDEX(Agences!$C:$C,MATCH(F3119,Agences!$A:$A,0))</f>
        <v>Nord</v>
      </c>
      <c r="P3119" t="str">
        <f>INDEX(Produits!$C:$C,MATCH(H3119,Produits!$A:$A,0))</f>
        <v>Maintenance</v>
      </c>
      <c r="Q3119" s="3">
        <f>I3119*INDEX(Produits!$E:$E,MATCH(H3119,Produits!$A:$A,0))</f>
        <v>110.4</v>
      </c>
      <c r="R3119" s="3">
        <f>L3119-Q3119</f>
        <v>117.6</v>
      </c>
      <c r="S3119" s="2">
        <f>NETWORKDAYS(B3119,C3119)-1</f>
        <v>2</v>
      </c>
      <c r="T3119" s="1">
        <f>WORKDAY(B3119,5)</f>
        <v>45803</v>
      </c>
      <c r="U3119" t="b">
        <f>C3119&gt;T3119</f>
        <v>0</v>
      </c>
    </row>
    <row r="3120" spans="1:21" x14ac:dyDescent="0.25">
      <c r="A3120" t="s">
        <v>1939</v>
      </c>
      <c r="B3120" s="1">
        <v>45796</v>
      </c>
      <c r="C3120" s="1">
        <v>45799</v>
      </c>
      <c r="D3120" t="s">
        <v>309</v>
      </c>
      <c r="E3120" t="s">
        <v>256</v>
      </c>
      <c r="F3120" t="s">
        <v>88</v>
      </c>
      <c r="G3120" t="s">
        <v>226</v>
      </c>
      <c r="H3120" t="s">
        <v>123</v>
      </c>
      <c r="I3120" s="2">
        <v>5</v>
      </c>
      <c r="J3120" s="3">
        <v>39.9</v>
      </c>
      <c r="K3120" s="4">
        <v>0.05</v>
      </c>
      <c r="L3120" s="3">
        <v>189.53</v>
      </c>
      <c r="M3120" t="b">
        <v>1</v>
      </c>
      <c r="N3120" s="2">
        <f>YEAR(B3120)</f>
        <v>2025</v>
      </c>
      <c r="O3120" t="str">
        <f>INDEX(Agences!$C:$C,MATCH(F3120,Agences!$A:$A,0))</f>
        <v>Sud-Ouest</v>
      </c>
      <c r="P3120" t="str">
        <f>INDEX(Produits!$C:$C,MATCH(H3120,Produits!$A:$A,0))</f>
        <v>Fournitures</v>
      </c>
      <c r="Q3120" s="3">
        <f>I3120*INDEX(Produits!$E:$E,MATCH(H3120,Produits!$A:$A,0))</f>
        <v>111.7</v>
      </c>
      <c r="R3120" s="3">
        <f>L3120-Q3120</f>
        <v>77.83</v>
      </c>
      <c r="S3120" s="2">
        <f>NETWORKDAYS(B3120,C3120)-1</f>
        <v>3</v>
      </c>
      <c r="T3120" s="1">
        <f>WORKDAY(B3120,5)</f>
        <v>45803</v>
      </c>
      <c r="U3120" t="b">
        <f>C3120&gt;T3120</f>
        <v>0</v>
      </c>
    </row>
    <row r="3121" spans="1:21" x14ac:dyDescent="0.25">
      <c r="A3121" t="s">
        <v>1939</v>
      </c>
      <c r="B3121" s="1">
        <v>45796</v>
      </c>
      <c r="C3121" s="1">
        <v>45799</v>
      </c>
      <c r="D3121" t="s">
        <v>309</v>
      </c>
      <c r="E3121" t="s">
        <v>256</v>
      </c>
      <c r="F3121" t="s">
        <v>88</v>
      </c>
      <c r="G3121" t="s">
        <v>226</v>
      </c>
      <c r="H3121" t="s">
        <v>48</v>
      </c>
      <c r="I3121" s="2">
        <v>1</v>
      </c>
      <c r="J3121" s="3">
        <v>165</v>
      </c>
      <c r="K3121" s="4">
        <v>0</v>
      </c>
      <c r="L3121" s="3">
        <v>165</v>
      </c>
      <c r="M3121" t="b">
        <v>1</v>
      </c>
      <c r="N3121" s="2">
        <f>YEAR(B3121)</f>
        <v>2025</v>
      </c>
      <c r="O3121" t="str">
        <f>INDEX(Agences!$C:$C,MATCH(F3121,Agences!$A:$A,0))</f>
        <v>Sud-Ouest</v>
      </c>
      <c r="P3121" t="str">
        <f>INDEX(Produits!$C:$C,MATCH(H3121,Produits!$A:$A,0))</f>
        <v>Mobilier</v>
      </c>
      <c r="Q3121" s="3">
        <f>I3121*INDEX(Produits!$E:$E,MATCH(H3121,Produits!$A:$A,0))</f>
        <v>107.25</v>
      </c>
      <c r="R3121" s="3">
        <f>L3121-Q3121</f>
        <v>57.75</v>
      </c>
      <c r="S3121" s="2">
        <f>NETWORKDAYS(B3121,C3121)-1</f>
        <v>3</v>
      </c>
      <c r="T3121" s="1">
        <f>WORKDAY(B3121,5)</f>
        <v>45803</v>
      </c>
      <c r="U3121" t="b">
        <f>C3121&gt;T3121</f>
        <v>0</v>
      </c>
    </row>
    <row r="3122" spans="1:21" x14ac:dyDescent="0.25">
      <c r="A3122" t="s">
        <v>1939</v>
      </c>
      <c r="B3122" s="1">
        <v>45796</v>
      </c>
      <c r="C3122" s="1">
        <v>45799</v>
      </c>
      <c r="D3122" t="s">
        <v>309</v>
      </c>
      <c r="E3122" t="s">
        <v>256</v>
      </c>
      <c r="F3122" t="s">
        <v>88</v>
      </c>
      <c r="G3122" t="s">
        <v>226</v>
      </c>
      <c r="H3122" t="s">
        <v>35</v>
      </c>
      <c r="I3122" s="2">
        <v>1</v>
      </c>
      <c r="J3122" s="3">
        <v>79</v>
      </c>
      <c r="K3122" s="4">
        <v>0</v>
      </c>
      <c r="L3122" s="3">
        <v>79</v>
      </c>
      <c r="M3122" t="b">
        <v>1</v>
      </c>
      <c r="N3122" s="2">
        <f>YEAR(B3122)</f>
        <v>2025</v>
      </c>
      <c r="O3122" t="str">
        <f>INDEX(Agences!$C:$C,MATCH(F3122,Agences!$A:$A,0))</f>
        <v>Sud-Ouest</v>
      </c>
      <c r="P3122" t="str">
        <f>INDEX(Produits!$C:$C,MATCH(H3122,Produits!$A:$A,0))</f>
        <v>Mobilier</v>
      </c>
      <c r="Q3122" s="3">
        <f>I3122*INDEX(Produits!$E:$E,MATCH(H3122,Produits!$A:$A,0))</f>
        <v>46.61</v>
      </c>
      <c r="R3122" s="3">
        <f>L3122-Q3122</f>
        <v>32.39</v>
      </c>
      <c r="S3122" s="2">
        <f>NETWORKDAYS(B3122,C3122)-1</f>
        <v>3</v>
      </c>
      <c r="T3122" s="1">
        <f>WORKDAY(B3122,5)</f>
        <v>45803</v>
      </c>
      <c r="U3122" t="b">
        <f>C3122&gt;T3122</f>
        <v>0</v>
      </c>
    </row>
    <row r="3123" spans="1:21" x14ac:dyDescent="0.25">
      <c r="A3123" t="s">
        <v>1940</v>
      </c>
      <c r="B3123" s="1">
        <v>45796</v>
      </c>
      <c r="C3123" s="1">
        <v>45799</v>
      </c>
      <c r="D3123" t="s">
        <v>169</v>
      </c>
      <c r="E3123" t="s">
        <v>67</v>
      </c>
      <c r="F3123" t="s">
        <v>62</v>
      </c>
      <c r="G3123" t="s">
        <v>68</v>
      </c>
      <c r="H3123" t="s">
        <v>34</v>
      </c>
      <c r="I3123" s="2">
        <v>1</v>
      </c>
      <c r="J3123" s="3">
        <v>340</v>
      </c>
      <c r="K3123" s="4">
        <v>0</v>
      </c>
      <c r="L3123" s="3">
        <v>340</v>
      </c>
      <c r="M3123" t="b">
        <v>1</v>
      </c>
      <c r="N3123" s="2">
        <f>YEAR(B3123)</f>
        <v>2025</v>
      </c>
      <c r="O3123" t="str">
        <f>INDEX(Agences!$C:$C,MATCH(F3123,Agences!$A:$A,0))</f>
        <v>Méditerranée</v>
      </c>
      <c r="P3123" t="str">
        <f>INDEX(Produits!$C:$C,MATCH(H3123,Produits!$A:$A,0))</f>
        <v>Informatique</v>
      </c>
      <c r="Q3123" s="3">
        <f>I3123*INDEX(Produits!$E:$E,MATCH(H3123,Produits!$A:$A,0))</f>
        <v>275.4</v>
      </c>
      <c r="R3123" s="3">
        <f>L3123-Q3123</f>
        <v>64.60000000000002</v>
      </c>
      <c r="S3123" s="2">
        <f>NETWORKDAYS(B3123,C3123)-1</f>
        <v>3</v>
      </c>
      <c r="T3123" s="1">
        <f>WORKDAY(B3123,5)</f>
        <v>45803</v>
      </c>
      <c r="U3123" t="b">
        <f>C3123&gt;T3123</f>
        <v>0</v>
      </c>
    </row>
    <row r="3124" spans="1:21" x14ac:dyDescent="0.25">
      <c r="A3124" t="s">
        <v>1941</v>
      </c>
      <c r="B3124" s="1">
        <v>45796</v>
      </c>
      <c r="C3124" s="1">
        <v>45797</v>
      </c>
      <c r="D3124" t="s">
        <v>461</v>
      </c>
      <c r="E3124" t="s">
        <v>61</v>
      </c>
      <c r="F3124" t="s">
        <v>62</v>
      </c>
      <c r="G3124" t="s">
        <v>63</v>
      </c>
      <c r="H3124" t="s">
        <v>79</v>
      </c>
      <c r="I3124" s="2">
        <v>5</v>
      </c>
      <c r="J3124" s="3">
        <v>14.9</v>
      </c>
      <c r="K3124" s="4">
        <v>0</v>
      </c>
      <c r="L3124" s="3">
        <v>74.5</v>
      </c>
      <c r="M3124" t="b">
        <v>1</v>
      </c>
      <c r="N3124" s="2">
        <f>YEAR(B3124)</f>
        <v>2025</v>
      </c>
      <c r="O3124" t="str">
        <f>INDEX(Agences!$C:$C,MATCH(F3124,Agences!$A:$A,0))</f>
        <v>Méditerranée</v>
      </c>
      <c r="P3124" t="str">
        <f>INDEX(Produits!$C:$C,MATCH(H3124,Produits!$A:$A,0))</f>
        <v>Fournitures</v>
      </c>
      <c r="Q3124" s="3">
        <f>I3124*INDEX(Produits!$E:$E,MATCH(H3124,Produits!$A:$A,0))</f>
        <v>40.25</v>
      </c>
      <c r="R3124" s="3">
        <f>L3124-Q3124</f>
        <v>34.25</v>
      </c>
      <c r="S3124" s="2">
        <f>NETWORKDAYS(B3124,C3124)-1</f>
        <v>1</v>
      </c>
      <c r="T3124" s="1">
        <f>WORKDAY(B3124,5)</f>
        <v>45803</v>
      </c>
      <c r="U3124" t="b">
        <f>C3124&gt;T3124</f>
        <v>0</v>
      </c>
    </row>
    <row r="3125" spans="1:21" x14ac:dyDescent="0.25">
      <c r="A3125" t="s">
        <v>1941</v>
      </c>
      <c r="B3125" s="1">
        <v>45796</v>
      </c>
      <c r="C3125" s="1">
        <v>45797</v>
      </c>
      <c r="D3125" t="s">
        <v>461</v>
      </c>
      <c r="E3125" t="s">
        <v>61</v>
      </c>
      <c r="F3125" t="s">
        <v>62</v>
      </c>
      <c r="G3125" t="s">
        <v>63</v>
      </c>
      <c r="H3125" t="s">
        <v>107</v>
      </c>
      <c r="I3125" s="2">
        <v>4</v>
      </c>
      <c r="J3125" s="3">
        <v>99</v>
      </c>
      <c r="K3125" s="4">
        <v>0</v>
      </c>
      <c r="L3125" s="3">
        <v>396</v>
      </c>
      <c r="M3125" t="b">
        <v>1</v>
      </c>
      <c r="N3125" s="2">
        <f>YEAR(B3125)</f>
        <v>2025</v>
      </c>
      <c r="O3125" t="str">
        <f>INDEX(Agences!$C:$C,MATCH(F3125,Agences!$A:$A,0))</f>
        <v>Méditerranée</v>
      </c>
      <c r="P3125" t="str">
        <f>INDEX(Produits!$C:$C,MATCH(H3125,Produits!$A:$A,0))</f>
        <v>Informatique</v>
      </c>
      <c r="Q3125" s="3">
        <f>I3125*INDEX(Produits!$E:$E,MATCH(H3125,Produits!$A:$A,0))</f>
        <v>300.96</v>
      </c>
      <c r="R3125" s="3">
        <f>L3125-Q3125</f>
        <v>95.04000000000002</v>
      </c>
      <c r="S3125" s="2">
        <f>NETWORKDAYS(B3125,C3125)-1</f>
        <v>1</v>
      </c>
      <c r="T3125" s="1">
        <f>WORKDAY(B3125,5)</f>
        <v>45803</v>
      </c>
      <c r="U3125" t="b">
        <f>C3125&gt;T3125</f>
        <v>0</v>
      </c>
    </row>
    <row r="3126" spans="1:21" x14ac:dyDescent="0.25">
      <c r="A3126" t="s">
        <v>1941</v>
      </c>
      <c r="B3126" s="1">
        <v>45796</v>
      </c>
      <c r="C3126" s="1">
        <v>45797</v>
      </c>
      <c r="D3126" t="s">
        <v>461</v>
      </c>
      <c r="E3126" t="s">
        <v>61</v>
      </c>
      <c r="F3126" t="s">
        <v>62</v>
      </c>
      <c r="G3126" t="s">
        <v>63</v>
      </c>
      <c r="H3126" t="s">
        <v>112</v>
      </c>
      <c r="I3126" s="2">
        <v>3</v>
      </c>
      <c r="J3126" s="3">
        <v>129</v>
      </c>
      <c r="K3126" s="4">
        <v>0.05</v>
      </c>
      <c r="L3126" s="3">
        <v>367.65</v>
      </c>
      <c r="M3126" t="b">
        <v>1</v>
      </c>
      <c r="N3126" s="2">
        <f>YEAR(B3126)</f>
        <v>2025</v>
      </c>
      <c r="O3126" t="str">
        <f>INDEX(Agences!$C:$C,MATCH(F3126,Agences!$A:$A,0))</f>
        <v>Méditerranée</v>
      </c>
      <c r="P3126" t="str">
        <f>INDEX(Produits!$C:$C,MATCH(H3126,Produits!$A:$A,0))</f>
        <v>Mobilier</v>
      </c>
      <c r="Q3126" s="3">
        <f>I3126*INDEX(Produits!$E:$E,MATCH(H3126,Produits!$A:$A,0))</f>
        <v>259.29</v>
      </c>
      <c r="R3126" s="3">
        <f>L3126-Q3126</f>
        <v>108.35999999999996</v>
      </c>
      <c r="S3126" s="2">
        <f>NETWORKDAYS(B3126,C3126)-1</f>
        <v>1</v>
      </c>
      <c r="T3126" s="1">
        <f>WORKDAY(B3126,5)</f>
        <v>45803</v>
      </c>
      <c r="U3126" t="b">
        <f>C3126&gt;T3126</f>
        <v>0</v>
      </c>
    </row>
    <row r="3127" spans="1:21" x14ac:dyDescent="0.25">
      <c r="A3127" t="s">
        <v>1941</v>
      </c>
      <c r="B3127" s="1">
        <v>45796</v>
      </c>
      <c r="C3127" s="1">
        <v>45797</v>
      </c>
      <c r="D3127" t="s">
        <v>461</v>
      </c>
      <c r="E3127" t="s">
        <v>61</v>
      </c>
      <c r="F3127" t="s">
        <v>62</v>
      </c>
      <c r="G3127" t="s">
        <v>63</v>
      </c>
      <c r="H3127" t="s">
        <v>42</v>
      </c>
      <c r="I3127" s="2">
        <v>1</v>
      </c>
      <c r="J3127" s="3">
        <v>55</v>
      </c>
      <c r="K3127" s="4">
        <v>0.02</v>
      </c>
      <c r="L3127" s="3">
        <v>53.9</v>
      </c>
      <c r="M3127" t="b">
        <v>1</v>
      </c>
      <c r="N3127" s="2">
        <f>YEAR(B3127)</f>
        <v>2025</v>
      </c>
      <c r="O3127" t="str">
        <f>INDEX(Agences!$C:$C,MATCH(F3127,Agences!$A:$A,0))</f>
        <v>Méditerranée</v>
      </c>
      <c r="P3127" t="str">
        <f>INDEX(Produits!$C:$C,MATCH(H3127,Produits!$A:$A,0))</f>
        <v>Maintenance</v>
      </c>
      <c r="Q3127" s="3">
        <f>I3127*INDEX(Produits!$E:$E,MATCH(H3127,Produits!$A:$A,0))</f>
        <v>24.75</v>
      </c>
      <c r="R3127" s="3">
        <f>L3127-Q3127</f>
        <v>29.15</v>
      </c>
      <c r="S3127" s="2">
        <f>NETWORKDAYS(B3127,C3127)-1</f>
        <v>1</v>
      </c>
      <c r="T3127" s="1">
        <f>WORKDAY(B3127,5)</f>
        <v>45803</v>
      </c>
      <c r="U3127" t="b">
        <f>C3127&gt;T3127</f>
        <v>0</v>
      </c>
    </row>
    <row r="3128" spans="1:21" x14ac:dyDescent="0.25">
      <c r="A3128" t="s">
        <v>1942</v>
      </c>
      <c r="B3128" s="1">
        <v>45793</v>
      </c>
      <c r="C3128" s="1">
        <v>45796</v>
      </c>
      <c r="D3128" t="s">
        <v>436</v>
      </c>
      <c r="E3128" t="s">
        <v>98</v>
      </c>
      <c r="F3128" t="s">
        <v>99</v>
      </c>
      <c r="G3128" t="s">
        <v>210</v>
      </c>
      <c r="H3128" t="s">
        <v>48</v>
      </c>
      <c r="I3128" s="2">
        <v>1</v>
      </c>
      <c r="J3128" s="3">
        <v>165</v>
      </c>
      <c r="K3128" s="4">
        <v>0</v>
      </c>
      <c r="L3128" s="3">
        <v>165</v>
      </c>
      <c r="M3128" t="b">
        <v>1</v>
      </c>
      <c r="N3128" s="2">
        <f>YEAR(B3128)</f>
        <v>2025</v>
      </c>
      <c r="O3128" t="str">
        <f>INDEX(Agences!$C:$C,MATCH(F3128,Agences!$A:$A,0))</f>
        <v>Nord</v>
      </c>
      <c r="P3128" t="str">
        <f>INDEX(Produits!$C:$C,MATCH(H3128,Produits!$A:$A,0))</f>
        <v>Mobilier</v>
      </c>
      <c r="Q3128" s="3">
        <f>I3128*INDEX(Produits!$E:$E,MATCH(H3128,Produits!$A:$A,0))</f>
        <v>107.25</v>
      </c>
      <c r="R3128" s="3">
        <f>L3128-Q3128</f>
        <v>57.75</v>
      </c>
      <c r="S3128" s="2">
        <f>NETWORKDAYS(B3128,C3128)-1</f>
        <v>1</v>
      </c>
      <c r="T3128" s="1">
        <f>WORKDAY(B3128,5)</f>
        <v>45800</v>
      </c>
      <c r="U3128" t="b">
        <f>C3128&gt;T3128</f>
        <v>0</v>
      </c>
    </row>
    <row r="3129" spans="1:21" x14ac:dyDescent="0.25">
      <c r="A3129" t="s">
        <v>1942</v>
      </c>
      <c r="B3129" s="1">
        <v>45793</v>
      </c>
      <c r="C3129" s="1">
        <v>45796</v>
      </c>
      <c r="D3129" t="s">
        <v>436</v>
      </c>
      <c r="E3129" t="s">
        <v>98</v>
      </c>
      <c r="F3129" t="s">
        <v>99</v>
      </c>
      <c r="G3129" t="s">
        <v>210</v>
      </c>
      <c r="H3129" t="s">
        <v>42</v>
      </c>
      <c r="I3129" s="2">
        <v>1</v>
      </c>
      <c r="J3129" s="3">
        <v>55</v>
      </c>
      <c r="K3129" s="4">
        <v>0</v>
      </c>
      <c r="L3129" s="3">
        <v>55</v>
      </c>
      <c r="M3129" t="b">
        <v>1</v>
      </c>
      <c r="N3129" s="2">
        <f>YEAR(B3129)</f>
        <v>2025</v>
      </c>
      <c r="O3129" t="str">
        <f>INDEX(Agences!$C:$C,MATCH(F3129,Agences!$A:$A,0))</f>
        <v>Nord</v>
      </c>
      <c r="P3129" t="str">
        <f>INDEX(Produits!$C:$C,MATCH(H3129,Produits!$A:$A,0))</f>
        <v>Maintenance</v>
      </c>
      <c r="Q3129" s="3">
        <f>I3129*INDEX(Produits!$E:$E,MATCH(H3129,Produits!$A:$A,0))</f>
        <v>24.75</v>
      </c>
      <c r="R3129" s="3">
        <f>L3129-Q3129</f>
        <v>30.25</v>
      </c>
      <c r="S3129" s="2">
        <f>NETWORKDAYS(B3129,C3129)-1</f>
        <v>1</v>
      </c>
      <c r="T3129" s="1">
        <f>WORKDAY(B3129,5)</f>
        <v>45800</v>
      </c>
      <c r="U3129" t="b">
        <f>C3129&gt;T3129</f>
        <v>0</v>
      </c>
    </row>
    <row r="3130" spans="1:21" x14ac:dyDescent="0.25">
      <c r="A3130" t="s">
        <v>1943</v>
      </c>
      <c r="B3130" s="1">
        <v>45793</v>
      </c>
      <c r="C3130" s="1">
        <v>45798</v>
      </c>
      <c r="D3130" t="s">
        <v>1036</v>
      </c>
      <c r="E3130" t="s">
        <v>333</v>
      </c>
      <c r="F3130" t="s">
        <v>138</v>
      </c>
      <c r="G3130" t="s">
        <v>220</v>
      </c>
      <c r="H3130" t="s">
        <v>35</v>
      </c>
      <c r="I3130" s="2">
        <v>1</v>
      </c>
      <c r="J3130" s="3">
        <v>79</v>
      </c>
      <c r="K3130" s="4">
        <v>0</v>
      </c>
      <c r="L3130" s="3">
        <v>79</v>
      </c>
      <c r="M3130" t="b">
        <v>1</v>
      </c>
      <c r="N3130" s="2">
        <f>YEAR(B3130)</f>
        <v>2025</v>
      </c>
      <c r="O3130" t="str">
        <f>INDEX(Agences!$C:$C,MATCH(F3130,Agences!$A:$A,0))</f>
        <v>Île-de-France</v>
      </c>
      <c r="P3130" t="str">
        <f>INDEX(Produits!$C:$C,MATCH(H3130,Produits!$A:$A,0))</f>
        <v>Mobilier</v>
      </c>
      <c r="Q3130" s="3">
        <f>I3130*INDEX(Produits!$E:$E,MATCH(H3130,Produits!$A:$A,0))</f>
        <v>46.61</v>
      </c>
      <c r="R3130" s="3">
        <f>L3130-Q3130</f>
        <v>32.39</v>
      </c>
      <c r="S3130" s="2">
        <f>NETWORKDAYS(B3130,C3130)-1</f>
        <v>3</v>
      </c>
      <c r="T3130" s="1">
        <f>WORKDAY(B3130,5)</f>
        <v>45800</v>
      </c>
      <c r="U3130" t="b">
        <f>C3130&gt;T3130</f>
        <v>0</v>
      </c>
    </row>
    <row r="3131" spans="1:21" x14ac:dyDescent="0.25">
      <c r="A3131" t="s">
        <v>1943</v>
      </c>
      <c r="B3131" s="1">
        <v>45793</v>
      </c>
      <c r="C3131" s="1">
        <v>45798</v>
      </c>
      <c r="D3131" t="s">
        <v>1036</v>
      </c>
      <c r="E3131" t="s">
        <v>333</v>
      </c>
      <c r="F3131" t="s">
        <v>138</v>
      </c>
      <c r="G3131" t="s">
        <v>220</v>
      </c>
      <c r="H3131" t="s">
        <v>162</v>
      </c>
      <c r="I3131" s="2">
        <v>1</v>
      </c>
      <c r="J3131" s="3">
        <v>289</v>
      </c>
      <c r="K3131" s="4">
        <v>0.02</v>
      </c>
      <c r="L3131" s="3">
        <v>283.22</v>
      </c>
      <c r="M3131" t="b">
        <v>1</v>
      </c>
      <c r="N3131" s="2">
        <f>YEAR(B3131)</f>
        <v>2025</v>
      </c>
      <c r="O3131" t="str">
        <f>INDEX(Agences!$C:$C,MATCH(F3131,Agences!$A:$A,0))</f>
        <v>Île-de-France</v>
      </c>
      <c r="P3131" t="str">
        <f>INDEX(Produits!$C:$C,MATCH(H3131,Produits!$A:$A,0))</f>
        <v>Mobilier</v>
      </c>
      <c r="Q3131" s="3">
        <f>I3131*INDEX(Produits!$E:$E,MATCH(H3131,Produits!$A:$A,0))</f>
        <v>193.63</v>
      </c>
      <c r="R3131" s="3">
        <f>L3131-Q3131</f>
        <v>89.59000000000003</v>
      </c>
      <c r="S3131" s="2">
        <f>NETWORKDAYS(B3131,C3131)-1</f>
        <v>3</v>
      </c>
      <c r="T3131" s="1">
        <f>WORKDAY(B3131,5)</f>
        <v>45800</v>
      </c>
      <c r="U3131" t="b">
        <f>C3131&gt;T3131</f>
        <v>0</v>
      </c>
    </row>
    <row r="3132" spans="1:21" x14ac:dyDescent="0.25">
      <c r="A3132" t="s">
        <v>1943</v>
      </c>
      <c r="B3132" s="1">
        <v>45793</v>
      </c>
      <c r="C3132" s="1">
        <v>45798</v>
      </c>
      <c r="D3132" t="s">
        <v>1036</v>
      </c>
      <c r="E3132" t="s">
        <v>333</v>
      </c>
      <c r="F3132" t="s">
        <v>138</v>
      </c>
      <c r="G3132" t="s">
        <v>220</v>
      </c>
      <c r="H3132" t="s">
        <v>33</v>
      </c>
      <c r="I3132" s="2">
        <v>2</v>
      </c>
      <c r="J3132" s="3">
        <v>219</v>
      </c>
      <c r="K3132" s="4">
        <v>0.02</v>
      </c>
      <c r="L3132" s="3">
        <v>429.24</v>
      </c>
      <c r="M3132" t="b">
        <v>1</v>
      </c>
      <c r="N3132" s="2">
        <f>YEAR(B3132)</f>
        <v>2025</v>
      </c>
      <c r="O3132" t="str">
        <f>INDEX(Agences!$C:$C,MATCH(F3132,Agences!$A:$A,0))</f>
        <v>Île-de-France</v>
      </c>
      <c r="P3132" t="str">
        <f>INDEX(Produits!$C:$C,MATCH(H3132,Produits!$A:$A,0))</f>
        <v>Informatique</v>
      </c>
      <c r="Q3132" s="3">
        <f>I3132*INDEX(Produits!$E:$E,MATCH(H3132,Produits!$A:$A,0))</f>
        <v>359.16</v>
      </c>
      <c r="R3132" s="3">
        <f>L3132-Q3132</f>
        <v>70.07999999999998</v>
      </c>
      <c r="S3132" s="2">
        <f>NETWORKDAYS(B3132,C3132)-1</f>
        <v>3</v>
      </c>
      <c r="T3132" s="1">
        <f>WORKDAY(B3132,5)</f>
        <v>45800</v>
      </c>
      <c r="U3132" t="b">
        <f>C3132&gt;T3132</f>
        <v>0</v>
      </c>
    </row>
    <row r="3133" spans="1:21" x14ac:dyDescent="0.25">
      <c r="A3133" t="s">
        <v>1943</v>
      </c>
      <c r="B3133" s="1">
        <v>45793</v>
      </c>
      <c r="C3133" s="1">
        <v>45798</v>
      </c>
      <c r="D3133" t="s">
        <v>1036</v>
      </c>
      <c r="E3133" t="s">
        <v>333</v>
      </c>
      <c r="F3133" t="s">
        <v>138</v>
      </c>
      <c r="G3133" t="s">
        <v>220</v>
      </c>
      <c r="H3133" t="s">
        <v>127</v>
      </c>
      <c r="I3133" s="2">
        <v>1</v>
      </c>
      <c r="J3133" s="3">
        <v>649</v>
      </c>
      <c r="K3133" s="4">
        <v>0</v>
      </c>
      <c r="L3133" s="3">
        <v>649</v>
      </c>
      <c r="M3133" t="b">
        <v>1</v>
      </c>
      <c r="N3133" s="2">
        <f>YEAR(B3133)</f>
        <v>2025</v>
      </c>
      <c r="O3133" t="str">
        <f>INDEX(Agences!$C:$C,MATCH(F3133,Agences!$A:$A,0))</f>
        <v>Île-de-France</v>
      </c>
      <c r="P3133" t="str">
        <f>INDEX(Produits!$C:$C,MATCH(H3133,Produits!$A:$A,0))</f>
        <v>Informatique</v>
      </c>
      <c r="Q3133" s="3">
        <f>I3133*INDEX(Produits!$E:$E,MATCH(H3133,Produits!$A:$A,0))</f>
        <v>480.26</v>
      </c>
      <c r="R3133" s="3">
        <f>L3133-Q3133</f>
        <v>168.74</v>
      </c>
      <c r="S3133" s="2">
        <f>NETWORKDAYS(B3133,C3133)-1</f>
        <v>3</v>
      </c>
      <c r="T3133" s="1">
        <f>WORKDAY(B3133,5)</f>
        <v>45800</v>
      </c>
      <c r="U3133" t="b">
        <f>C3133&gt;T3133</f>
        <v>0</v>
      </c>
    </row>
    <row r="3134" spans="1:21" x14ac:dyDescent="0.25">
      <c r="A3134" t="s">
        <v>1943</v>
      </c>
      <c r="B3134" s="1">
        <v>45793</v>
      </c>
      <c r="C3134" s="1">
        <v>45798</v>
      </c>
      <c r="D3134" t="s">
        <v>1036</v>
      </c>
      <c r="E3134" t="s">
        <v>333</v>
      </c>
      <c r="F3134" t="s">
        <v>138</v>
      </c>
      <c r="G3134" t="s">
        <v>220</v>
      </c>
      <c r="H3134" t="s">
        <v>107</v>
      </c>
      <c r="I3134" s="2">
        <v>1</v>
      </c>
      <c r="J3134" s="3">
        <v>99</v>
      </c>
      <c r="K3134" s="4">
        <v>0</v>
      </c>
      <c r="L3134" s="3">
        <v>99</v>
      </c>
      <c r="M3134" t="b">
        <v>1</v>
      </c>
      <c r="N3134" s="2">
        <f>YEAR(B3134)</f>
        <v>2025</v>
      </c>
      <c r="O3134" t="str">
        <f>INDEX(Agences!$C:$C,MATCH(F3134,Agences!$A:$A,0))</f>
        <v>Île-de-France</v>
      </c>
      <c r="P3134" t="str">
        <f>INDEX(Produits!$C:$C,MATCH(H3134,Produits!$A:$A,0))</f>
        <v>Informatique</v>
      </c>
      <c r="Q3134" s="3">
        <f>I3134*INDEX(Produits!$E:$E,MATCH(H3134,Produits!$A:$A,0))</f>
        <v>75.24</v>
      </c>
      <c r="R3134" s="3">
        <f>L3134-Q3134</f>
        <v>23.760000000000005</v>
      </c>
      <c r="S3134" s="2">
        <f>NETWORKDAYS(B3134,C3134)-1</f>
        <v>3</v>
      </c>
      <c r="T3134" s="1">
        <f>WORKDAY(B3134,5)</f>
        <v>45800</v>
      </c>
      <c r="U3134" t="b">
        <f>C3134&gt;T3134</f>
        <v>0</v>
      </c>
    </row>
    <row r="3135" spans="1:21" x14ac:dyDescent="0.25">
      <c r="A3135" t="s">
        <v>1944</v>
      </c>
      <c r="B3135" s="1">
        <v>45793</v>
      </c>
      <c r="C3135" s="1">
        <v>45797</v>
      </c>
      <c r="D3135" t="s">
        <v>326</v>
      </c>
      <c r="E3135" t="s">
        <v>61</v>
      </c>
      <c r="F3135" t="s">
        <v>62</v>
      </c>
      <c r="G3135" t="s">
        <v>106</v>
      </c>
      <c r="H3135" t="s">
        <v>79</v>
      </c>
      <c r="I3135" s="2">
        <v>5</v>
      </c>
      <c r="J3135" s="3">
        <v>14.9</v>
      </c>
      <c r="K3135" s="4">
        <v>0</v>
      </c>
      <c r="L3135" s="3">
        <v>74.5</v>
      </c>
      <c r="M3135" t="b">
        <v>1</v>
      </c>
      <c r="N3135" s="2">
        <f>YEAR(B3135)</f>
        <v>2025</v>
      </c>
      <c r="O3135" t="str">
        <f>INDEX(Agences!$C:$C,MATCH(F3135,Agences!$A:$A,0))</f>
        <v>Méditerranée</v>
      </c>
      <c r="P3135" t="str">
        <f>INDEX(Produits!$C:$C,MATCH(H3135,Produits!$A:$A,0))</f>
        <v>Fournitures</v>
      </c>
      <c r="Q3135" s="3">
        <f>I3135*INDEX(Produits!$E:$E,MATCH(H3135,Produits!$A:$A,0))</f>
        <v>40.25</v>
      </c>
      <c r="R3135" s="3">
        <f>L3135-Q3135</f>
        <v>34.25</v>
      </c>
      <c r="S3135" s="2">
        <f>NETWORKDAYS(B3135,C3135)-1</f>
        <v>2</v>
      </c>
      <c r="T3135" s="1">
        <f>WORKDAY(B3135,5)</f>
        <v>45800</v>
      </c>
      <c r="U3135" t="b">
        <f>C3135&gt;T3135</f>
        <v>0</v>
      </c>
    </row>
    <row r="3136" spans="1:21" x14ac:dyDescent="0.25">
      <c r="A3136" t="s">
        <v>1944</v>
      </c>
      <c r="B3136" s="1">
        <v>45793</v>
      </c>
      <c r="C3136" s="1">
        <v>45797</v>
      </c>
      <c r="D3136" t="s">
        <v>326</v>
      </c>
      <c r="E3136" t="s">
        <v>61</v>
      </c>
      <c r="F3136" t="s">
        <v>62</v>
      </c>
      <c r="G3136" t="s">
        <v>106</v>
      </c>
      <c r="H3136" t="s">
        <v>42</v>
      </c>
      <c r="I3136" s="2">
        <v>2</v>
      </c>
      <c r="J3136" s="3">
        <v>55</v>
      </c>
      <c r="K3136" s="4">
        <v>0.08</v>
      </c>
      <c r="L3136" s="3">
        <v>101.2</v>
      </c>
      <c r="M3136" t="b">
        <v>1</v>
      </c>
      <c r="N3136" s="2">
        <f>YEAR(B3136)</f>
        <v>2025</v>
      </c>
      <c r="O3136" t="str">
        <f>INDEX(Agences!$C:$C,MATCH(F3136,Agences!$A:$A,0))</f>
        <v>Méditerranée</v>
      </c>
      <c r="P3136" t="str">
        <f>INDEX(Produits!$C:$C,MATCH(H3136,Produits!$A:$A,0))</f>
        <v>Maintenance</v>
      </c>
      <c r="Q3136" s="3">
        <f>I3136*INDEX(Produits!$E:$E,MATCH(H3136,Produits!$A:$A,0))</f>
        <v>49.5</v>
      </c>
      <c r="R3136" s="3">
        <f>L3136-Q3136</f>
        <v>51.7</v>
      </c>
      <c r="S3136" s="2">
        <f>NETWORKDAYS(B3136,C3136)-1</f>
        <v>2</v>
      </c>
      <c r="T3136" s="1">
        <f>WORKDAY(B3136,5)</f>
        <v>45800</v>
      </c>
      <c r="U3136" t="b">
        <f>C3136&gt;T3136</f>
        <v>0</v>
      </c>
    </row>
    <row r="3137" spans="1:21" x14ac:dyDescent="0.25">
      <c r="A3137" t="s">
        <v>1944</v>
      </c>
      <c r="B3137" s="1">
        <v>45793</v>
      </c>
      <c r="C3137" s="1">
        <v>45797</v>
      </c>
      <c r="D3137" t="s">
        <v>326</v>
      </c>
      <c r="E3137" t="s">
        <v>61</v>
      </c>
      <c r="F3137" t="s">
        <v>62</v>
      </c>
      <c r="G3137" t="s">
        <v>106</v>
      </c>
      <c r="H3137" t="s">
        <v>27</v>
      </c>
      <c r="I3137" s="2">
        <v>1</v>
      </c>
      <c r="J3137" s="3">
        <v>310</v>
      </c>
      <c r="K3137" s="4">
        <v>0.08</v>
      </c>
      <c r="L3137" s="3">
        <v>285.2</v>
      </c>
      <c r="M3137" t="b">
        <v>1</v>
      </c>
      <c r="N3137" s="2">
        <f>YEAR(B3137)</f>
        <v>2025</v>
      </c>
      <c r="O3137" t="str">
        <f>INDEX(Agences!$C:$C,MATCH(F3137,Agences!$A:$A,0))</f>
        <v>Méditerranée</v>
      </c>
      <c r="P3137" t="str">
        <f>INDEX(Produits!$C:$C,MATCH(H3137,Produits!$A:$A,0))</f>
        <v>Mobilier</v>
      </c>
      <c r="Q3137" s="3">
        <f>I3137*INDEX(Produits!$E:$E,MATCH(H3137,Produits!$A:$A,0))</f>
        <v>186</v>
      </c>
      <c r="R3137" s="3">
        <f>L3137-Q3137</f>
        <v>99.19999999999999</v>
      </c>
      <c r="S3137" s="2">
        <f>NETWORKDAYS(B3137,C3137)-1</f>
        <v>2</v>
      </c>
      <c r="T3137" s="1">
        <f>WORKDAY(B3137,5)</f>
        <v>45800</v>
      </c>
      <c r="U3137" t="b">
        <f>C3137&gt;T3137</f>
        <v>0</v>
      </c>
    </row>
    <row r="3138" spans="1:21" x14ac:dyDescent="0.25">
      <c r="A3138" t="s">
        <v>1945</v>
      </c>
      <c r="B3138" s="1">
        <v>45792</v>
      </c>
      <c r="C3138" s="1">
        <v>45796</v>
      </c>
      <c r="D3138" t="s">
        <v>1946</v>
      </c>
      <c r="E3138" t="s">
        <v>38</v>
      </c>
      <c r="F3138" t="s">
        <v>39</v>
      </c>
      <c r="G3138" t="s">
        <v>322</v>
      </c>
      <c r="H3138" t="s">
        <v>42</v>
      </c>
      <c r="I3138" s="2">
        <v>4</v>
      </c>
      <c r="J3138" s="3">
        <v>55</v>
      </c>
      <c r="K3138" s="4">
        <v>0.05</v>
      </c>
      <c r="L3138" s="3">
        <v>209</v>
      </c>
      <c r="M3138" t="b">
        <v>1</v>
      </c>
      <c r="N3138" s="2">
        <f>YEAR(B3138)</f>
        <v>2025</v>
      </c>
      <c r="O3138" t="str">
        <f>INDEX(Agences!$C:$C,MATCH(F3138,Agences!$A:$A,0))</f>
        <v>Sud-Ouest</v>
      </c>
      <c r="P3138" t="str">
        <f>INDEX(Produits!$C:$C,MATCH(H3138,Produits!$A:$A,0))</f>
        <v>Maintenance</v>
      </c>
      <c r="Q3138" s="3">
        <f>I3138*INDEX(Produits!$E:$E,MATCH(H3138,Produits!$A:$A,0))</f>
        <v>99</v>
      </c>
      <c r="R3138" s="3">
        <f>L3138-Q3138</f>
        <v>110</v>
      </c>
      <c r="S3138" s="2">
        <f>NETWORKDAYS(B3138,C3138)-1</f>
        <v>2</v>
      </c>
      <c r="T3138" s="1">
        <f>WORKDAY(B3138,5)</f>
        <v>45799</v>
      </c>
      <c r="U3138" t="b">
        <f>C3138&gt;T3138</f>
        <v>0</v>
      </c>
    </row>
    <row r="3139" spans="1:21" x14ac:dyDescent="0.25">
      <c r="A3139" t="s">
        <v>1945</v>
      </c>
      <c r="B3139" s="1">
        <v>45792</v>
      </c>
      <c r="C3139" s="1">
        <v>45796</v>
      </c>
      <c r="D3139" t="s">
        <v>1946</v>
      </c>
      <c r="E3139" t="s">
        <v>38</v>
      </c>
      <c r="F3139" t="s">
        <v>39</v>
      </c>
      <c r="G3139" t="s">
        <v>322</v>
      </c>
      <c r="H3139" t="s">
        <v>57</v>
      </c>
      <c r="I3139" s="2">
        <v>1</v>
      </c>
      <c r="J3139" s="3">
        <v>149</v>
      </c>
      <c r="K3139" s="4">
        <v>0</v>
      </c>
      <c r="L3139" s="3">
        <v>149</v>
      </c>
      <c r="M3139" t="b">
        <v>1</v>
      </c>
      <c r="N3139" s="2">
        <f>YEAR(B3139)</f>
        <v>2025</v>
      </c>
      <c r="O3139" t="str">
        <f>INDEX(Agences!$C:$C,MATCH(F3139,Agences!$A:$A,0))</f>
        <v>Sud-Ouest</v>
      </c>
      <c r="P3139" t="str">
        <f>INDEX(Produits!$C:$C,MATCH(H3139,Produits!$A:$A,0))</f>
        <v>Informatique</v>
      </c>
      <c r="Q3139" s="3">
        <f>I3139*INDEX(Produits!$E:$E,MATCH(H3139,Produits!$A:$A,0))</f>
        <v>114.73</v>
      </c>
      <c r="R3139" s="3">
        <f>L3139-Q3139</f>
        <v>34.269999999999996</v>
      </c>
      <c r="S3139" s="2">
        <f>NETWORKDAYS(B3139,C3139)-1</f>
        <v>2</v>
      </c>
      <c r="T3139" s="1">
        <f>WORKDAY(B3139,5)</f>
        <v>45799</v>
      </c>
      <c r="U3139" t="b">
        <f>C3139&gt;T3139</f>
        <v>0</v>
      </c>
    </row>
    <row r="3140" spans="1:21" x14ac:dyDescent="0.25">
      <c r="A3140" t="s">
        <v>1945</v>
      </c>
      <c r="B3140" s="1">
        <v>45792</v>
      </c>
      <c r="C3140" s="1">
        <v>45796</v>
      </c>
      <c r="D3140" t="s">
        <v>1946</v>
      </c>
      <c r="E3140" t="s">
        <v>38</v>
      </c>
      <c r="F3140" t="s">
        <v>39</v>
      </c>
      <c r="G3140" t="s">
        <v>322</v>
      </c>
      <c r="H3140" t="s">
        <v>51</v>
      </c>
      <c r="I3140" s="2">
        <v>1</v>
      </c>
      <c r="J3140" s="3">
        <v>180</v>
      </c>
      <c r="K3140" s="4">
        <v>0</v>
      </c>
      <c r="L3140" s="3">
        <v>180</v>
      </c>
      <c r="M3140" t="b">
        <v>1</v>
      </c>
      <c r="N3140" s="2">
        <f>YEAR(B3140)</f>
        <v>2025</v>
      </c>
      <c r="O3140" t="str">
        <f>INDEX(Agences!$C:$C,MATCH(F3140,Agences!$A:$A,0))</f>
        <v>Sud-Ouest</v>
      </c>
      <c r="P3140" t="str">
        <f>INDEX(Produits!$C:$C,MATCH(H3140,Produits!$A:$A,0))</f>
        <v>Maintenance</v>
      </c>
      <c r="Q3140" s="3">
        <f>I3140*INDEX(Produits!$E:$E,MATCH(H3140,Produits!$A:$A,0))</f>
        <v>82.8</v>
      </c>
      <c r="R3140" s="3">
        <f>L3140-Q3140</f>
        <v>97.2</v>
      </c>
      <c r="S3140" s="2">
        <f>NETWORKDAYS(B3140,C3140)-1</f>
        <v>2</v>
      </c>
      <c r="T3140" s="1">
        <f>WORKDAY(B3140,5)</f>
        <v>45799</v>
      </c>
      <c r="U3140" t="b">
        <f>C3140&gt;T3140</f>
        <v>0</v>
      </c>
    </row>
    <row r="3141" spans="1:21" x14ac:dyDescent="0.25">
      <c r="A3141" t="s">
        <v>1945</v>
      </c>
      <c r="B3141" s="1">
        <v>45792</v>
      </c>
      <c r="C3141" s="1">
        <v>45796</v>
      </c>
      <c r="D3141" t="s">
        <v>1946</v>
      </c>
      <c r="E3141" t="s">
        <v>38</v>
      </c>
      <c r="F3141" t="s">
        <v>39</v>
      </c>
      <c r="G3141" t="s">
        <v>322</v>
      </c>
      <c r="H3141" t="s">
        <v>49</v>
      </c>
      <c r="I3141" s="2">
        <v>1</v>
      </c>
      <c r="J3141" s="3">
        <v>120</v>
      </c>
      <c r="K3141" s="4">
        <v>0.08</v>
      </c>
      <c r="L3141" s="3">
        <v>110.4</v>
      </c>
      <c r="M3141" t="b">
        <v>1</v>
      </c>
      <c r="N3141" s="2">
        <f>YEAR(B3141)</f>
        <v>2025</v>
      </c>
      <c r="O3141" t="str">
        <f>INDEX(Agences!$C:$C,MATCH(F3141,Agences!$A:$A,0))</f>
        <v>Sud-Ouest</v>
      </c>
      <c r="P3141" t="str">
        <f>INDEX(Produits!$C:$C,MATCH(H3141,Produits!$A:$A,0))</f>
        <v>Maintenance</v>
      </c>
      <c r="Q3141" s="3">
        <f>I3141*INDEX(Produits!$E:$E,MATCH(H3141,Produits!$A:$A,0))</f>
        <v>55.2</v>
      </c>
      <c r="R3141" s="3">
        <f>L3141-Q3141</f>
        <v>55.2</v>
      </c>
      <c r="S3141" s="2">
        <f>NETWORKDAYS(B3141,C3141)-1</f>
        <v>2</v>
      </c>
      <c r="T3141" s="1">
        <f>WORKDAY(B3141,5)</f>
        <v>45799</v>
      </c>
      <c r="U3141" t="b">
        <f>C3141&gt;T3141</f>
        <v>0</v>
      </c>
    </row>
    <row r="3142" spans="1:21" x14ac:dyDescent="0.25">
      <c r="A3142" t="s">
        <v>1947</v>
      </c>
      <c r="B3142" s="1">
        <v>45791</v>
      </c>
      <c r="C3142" s="1">
        <v>45796</v>
      </c>
      <c r="D3142" t="s">
        <v>114</v>
      </c>
      <c r="E3142" t="s">
        <v>115</v>
      </c>
      <c r="F3142" t="s">
        <v>24</v>
      </c>
      <c r="G3142" t="s">
        <v>25</v>
      </c>
      <c r="H3142" t="s">
        <v>48</v>
      </c>
      <c r="I3142" s="2">
        <v>2</v>
      </c>
      <c r="J3142" s="3">
        <v>165</v>
      </c>
      <c r="K3142" s="4">
        <v>0.05</v>
      </c>
      <c r="L3142" s="3">
        <v>313.5</v>
      </c>
      <c r="M3142" t="b">
        <v>1</v>
      </c>
      <c r="N3142" s="2">
        <f>YEAR(B3142)</f>
        <v>2025</v>
      </c>
      <c r="O3142" t="str">
        <f>INDEX(Agences!$C:$C,MATCH(F3142,Agences!$A:$A,0))</f>
        <v>Nord</v>
      </c>
      <c r="P3142" t="str">
        <f>INDEX(Produits!$C:$C,MATCH(H3142,Produits!$A:$A,0))</f>
        <v>Mobilier</v>
      </c>
      <c r="Q3142" s="3">
        <f>I3142*INDEX(Produits!$E:$E,MATCH(H3142,Produits!$A:$A,0))</f>
        <v>214.5</v>
      </c>
      <c r="R3142" s="3">
        <f>L3142-Q3142</f>
        <v>99</v>
      </c>
      <c r="S3142" s="2">
        <f>NETWORKDAYS(B3142,C3142)-1</f>
        <v>3</v>
      </c>
      <c r="T3142" s="1">
        <f>WORKDAY(B3142,5)</f>
        <v>45798</v>
      </c>
      <c r="U3142" t="b">
        <f>C3142&gt;T3142</f>
        <v>0</v>
      </c>
    </row>
    <row r="3143" spans="1:21" x14ac:dyDescent="0.25">
      <c r="A3143" t="s">
        <v>1948</v>
      </c>
      <c r="B3143" s="1">
        <v>45791</v>
      </c>
      <c r="C3143" s="1">
        <v>45796</v>
      </c>
      <c r="D3143" t="s">
        <v>844</v>
      </c>
      <c r="E3143" t="s">
        <v>236</v>
      </c>
      <c r="F3143" t="s">
        <v>39</v>
      </c>
      <c r="G3143" t="s">
        <v>322</v>
      </c>
      <c r="H3143" t="s">
        <v>42</v>
      </c>
      <c r="I3143" s="2">
        <v>1</v>
      </c>
      <c r="J3143" s="3">
        <v>55</v>
      </c>
      <c r="K3143" s="4">
        <v>0</v>
      </c>
      <c r="L3143" s="3">
        <v>55</v>
      </c>
      <c r="M3143" t="b">
        <v>1</v>
      </c>
      <c r="N3143" s="2">
        <f>YEAR(B3143)</f>
        <v>2025</v>
      </c>
      <c r="O3143" t="str">
        <f>INDEX(Agences!$C:$C,MATCH(F3143,Agences!$A:$A,0))</f>
        <v>Sud-Ouest</v>
      </c>
      <c r="P3143" t="str">
        <f>INDEX(Produits!$C:$C,MATCH(H3143,Produits!$A:$A,0))</f>
        <v>Maintenance</v>
      </c>
      <c r="Q3143" s="3">
        <f>I3143*INDEX(Produits!$E:$E,MATCH(H3143,Produits!$A:$A,0))</f>
        <v>24.75</v>
      </c>
      <c r="R3143" s="3">
        <f>L3143-Q3143</f>
        <v>30.25</v>
      </c>
      <c r="S3143" s="2">
        <f>NETWORKDAYS(B3143,C3143)-1</f>
        <v>3</v>
      </c>
      <c r="T3143" s="1">
        <f>WORKDAY(B3143,5)</f>
        <v>45798</v>
      </c>
      <c r="U3143" t="b">
        <f>C3143&gt;T3143</f>
        <v>0</v>
      </c>
    </row>
    <row r="3144" spans="1:21" x14ac:dyDescent="0.25">
      <c r="A3144" t="s">
        <v>1948</v>
      </c>
      <c r="B3144" s="1">
        <v>45791</v>
      </c>
      <c r="C3144" s="1">
        <v>45796</v>
      </c>
      <c r="D3144" t="s">
        <v>844</v>
      </c>
      <c r="E3144" t="s">
        <v>236</v>
      </c>
      <c r="F3144" t="s">
        <v>39</v>
      </c>
      <c r="G3144" t="s">
        <v>322</v>
      </c>
      <c r="H3144" t="s">
        <v>50</v>
      </c>
      <c r="I3144" s="2">
        <v>1</v>
      </c>
      <c r="J3144" s="3">
        <v>69</v>
      </c>
      <c r="K3144" s="4">
        <v>0.02</v>
      </c>
      <c r="L3144" s="3">
        <v>67.62</v>
      </c>
      <c r="M3144" t="b">
        <v>1</v>
      </c>
      <c r="N3144" s="2">
        <f>YEAR(B3144)</f>
        <v>2025</v>
      </c>
      <c r="O3144" t="str">
        <f>INDEX(Agences!$C:$C,MATCH(F3144,Agences!$A:$A,0))</f>
        <v>Sud-Ouest</v>
      </c>
      <c r="P3144" t="str">
        <f>INDEX(Produits!$C:$C,MATCH(H3144,Produits!$A:$A,0))</f>
        <v>Informatique</v>
      </c>
      <c r="Q3144" s="3">
        <f>I3144*INDEX(Produits!$E:$E,MATCH(H3144,Produits!$A:$A,0))</f>
        <v>54.51</v>
      </c>
      <c r="R3144" s="3">
        <f>L3144-Q3144</f>
        <v>13.110000000000007</v>
      </c>
      <c r="S3144" s="2">
        <f>NETWORKDAYS(B3144,C3144)-1</f>
        <v>3</v>
      </c>
      <c r="T3144" s="1">
        <f>WORKDAY(B3144,5)</f>
        <v>45798</v>
      </c>
      <c r="U3144" t="b">
        <f>C3144&gt;T3144</f>
        <v>0</v>
      </c>
    </row>
    <row r="3145" spans="1:21" x14ac:dyDescent="0.25">
      <c r="A3145" t="s">
        <v>1948</v>
      </c>
      <c r="B3145" s="1">
        <v>45791</v>
      </c>
      <c r="C3145" s="1">
        <v>45796</v>
      </c>
      <c r="D3145" t="s">
        <v>844</v>
      </c>
      <c r="E3145" t="s">
        <v>236</v>
      </c>
      <c r="F3145" t="s">
        <v>39</v>
      </c>
      <c r="G3145" t="s">
        <v>322</v>
      </c>
      <c r="H3145" t="s">
        <v>27</v>
      </c>
      <c r="I3145" s="2">
        <v>6</v>
      </c>
      <c r="J3145" s="3">
        <v>310</v>
      </c>
      <c r="K3145" s="4">
        <v>0.02</v>
      </c>
      <c r="L3145" s="3">
        <v>1822.8</v>
      </c>
      <c r="M3145" t="b">
        <v>1</v>
      </c>
      <c r="N3145" s="2">
        <f>YEAR(B3145)</f>
        <v>2025</v>
      </c>
      <c r="O3145" t="str">
        <f>INDEX(Agences!$C:$C,MATCH(F3145,Agences!$A:$A,0))</f>
        <v>Sud-Ouest</v>
      </c>
      <c r="P3145" t="str">
        <f>INDEX(Produits!$C:$C,MATCH(H3145,Produits!$A:$A,0))</f>
        <v>Mobilier</v>
      </c>
      <c r="Q3145" s="3">
        <f>I3145*INDEX(Produits!$E:$E,MATCH(H3145,Produits!$A:$A,0))</f>
        <v>1116</v>
      </c>
      <c r="R3145" s="3">
        <f>L3145-Q3145</f>
        <v>706.8</v>
      </c>
      <c r="S3145" s="2">
        <f>NETWORKDAYS(B3145,C3145)-1</f>
        <v>3</v>
      </c>
      <c r="T3145" s="1">
        <f>WORKDAY(B3145,5)</f>
        <v>45798</v>
      </c>
      <c r="U3145" t="b">
        <f>C3145&gt;T3145</f>
        <v>0</v>
      </c>
    </row>
    <row r="3146" spans="1:21" x14ac:dyDescent="0.25">
      <c r="A3146" t="s">
        <v>1948</v>
      </c>
      <c r="B3146" s="1">
        <v>45791</v>
      </c>
      <c r="C3146" s="1">
        <v>45796</v>
      </c>
      <c r="D3146" t="s">
        <v>844</v>
      </c>
      <c r="E3146" t="s">
        <v>236</v>
      </c>
      <c r="F3146" t="s">
        <v>39</v>
      </c>
      <c r="G3146" t="s">
        <v>322</v>
      </c>
      <c r="H3146" t="s">
        <v>112</v>
      </c>
      <c r="I3146" s="2">
        <v>1</v>
      </c>
      <c r="J3146" s="3">
        <v>129</v>
      </c>
      <c r="K3146" s="4">
        <v>0</v>
      </c>
      <c r="L3146" s="3">
        <v>129</v>
      </c>
      <c r="M3146" t="b">
        <v>1</v>
      </c>
      <c r="N3146" s="2">
        <f>YEAR(B3146)</f>
        <v>2025</v>
      </c>
      <c r="O3146" t="str">
        <f>INDEX(Agences!$C:$C,MATCH(F3146,Agences!$A:$A,0))</f>
        <v>Sud-Ouest</v>
      </c>
      <c r="P3146" t="str">
        <f>INDEX(Produits!$C:$C,MATCH(H3146,Produits!$A:$A,0))</f>
        <v>Mobilier</v>
      </c>
      <c r="Q3146" s="3">
        <f>I3146*INDEX(Produits!$E:$E,MATCH(H3146,Produits!$A:$A,0))</f>
        <v>86.43</v>
      </c>
      <c r="R3146" s="3">
        <f>L3146-Q3146</f>
        <v>42.56999999999999</v>
      </c>
      <c r="S3146" s="2">
        <f>NETWORKDAYS(B3146,C3146)-1</f>
        <v>3</v>
      </c>
      <c r="T3146" s="1">
        <f>WORKDAY(B3146,5)</f>
        <v>45798</v>
      </c>
      <c r="U3146" t="b">
        <f>C3146&gt;T3146</f>
        <v>0</v>
      </c>
    </row>
    <row r="3147" spans="1:21" x14ac:dyDescent="0.25">
      <c r="A3147" t="s">
        <v>1948</v>
      </c>
      <c r="B3147" s="1">
        <v>45791</v>
      </c>
      <c r="C3147" s="1">
        <v>45796</v>
      </c>
      <c r="D3147" t="s">
        <v>844</v>
      </c>
      <c r="E3147" t="s">
        <v>236</v>
      </c>
      <c r="F3147" t="s">
        <v>39</v>
      </c>
      <c r="G3147" t="s">
        <v>322</v>
      </c>
      <c r="H3147" t="s">
        <v>64</v>
      </c>
      <c r="I3147" s="2">
        <v>10</v>
      </c>
      <c r="J3147" s="3">
        <v>16.8</v>
      </c>
      <c r="K3147" s="4">
        <v>0.05</v>
      </c>
      <c r="L3147" s="3">
        <v>159.6</v>
      </c>
      <c r="M3147" t="b">
        <v>1</v>
      </c>
      <c r="N3147" s="2">
        <f>YEAR(B3147)</f>
        <v>2025</v>
      </c>
      <c r="O3147" t="str">
        <f>INDEX(Agences!$C:$C,MATCH(F3147,Agences!$A:$A,0))</f>
        <v>Sud-Ouest</v>
      </c>
      <c r="P3147" t="str">
        <f>INDEX(Produits!$C:$C,MATCH(H3147,Produits!$A:$A,0))</f>
        <v>Fournitures</v>
      </c>
      <c r="Q3147" s="3">
        <f>I3147*INDEX(Produits!$E:$E,MATCH(H3147,Produits!$A:$A,0))</f>
        <v>87.4</v>
      </c>
      <c r="R3147" s="3">
        <f>L3147-Q3147</f>
        <v>72.19999999999999</v>
      </c>
      <c r="S3147" s="2">
        <f>NETWORKDAYS(B3147,C3147)-1</f>
        <v>3</v>
      </c>
      <c r="T3147" s="1">
        <f>WORKDAY(B3147,5)</f>
        <v>45798</v>
      </c>
      <c r="U3147" t="b">
        <f>C3147&gt;T3147</f>
        <v>0</v>
      </c>
    </row>
    <row r="3148" spans="1:21" x14ac:dyDescent="0.25">
      <c r="A3148" t="s">
        <v>1949</v>
      </c>
      <c r="B3148" s="1">
        <v>45791</v>
      </c>
      <c r="C3148" s="1">
        <v>45796</v>
      </c>
      <c r="D3148" t="s">
        <v>643</v>
      </c>
      <c r="E3148" t="s">
        <v>242</v>
      </c>
      <c r="F3148" t="s">
        <v>94</v>
      </c>
      <c r="G3148" t="s">
        <v>95</v>
      </c>
      <c r="H3148" t="s">
        <v>41</v>
      </c>
      <c r="I3148" s="2">
        <v>1</v>
      </c>
      <c r="J3148" s="3">
        <v>790</v>
      </c>
      <c r="K3148" s="4">
        <v>0</v>
      </c>
      <c r="L3148" s="3">
        <v>790</v>
      </c>
      <c r="M3148" t="b">
        <v>1</v>
      </c>
      <c r="N3148" s="2">
        <f>YEAR(B3148)</f>
        <v>2025</v>
      </c>
      <c r="O3148" t="str">
        <f>INDEX(Agences!$C:$C,MATCH(F3148,Agences!$A:$A,0))</f>
        <v>Méditerranée</v>
      </c>
      <c r="P3148" t="str">
        <f>INDEX(Produits!$C:$C,MATCH(H3148,Produits!$A:$A,0))</f>
        <v>Informatique</v>
      </c>
      <c r="Q3148" s="3">
        <f>I3148*INDEX(Produits!$E:$E,MATCH(H3148,Produits!$A:$A,0))</f>
        <v>576.7</v>
      </c>
      <c r="R3148" s="3">
        <f>L3148-Q3148</f>
        <v>213.29999999999995</v>
      </c>
      <c r="S3148" s="2">
        <f>NETWORKDAYS(B3148,C3148)-1</f>
        <v>3</v>
      </c>
      <c r="T3148" s="1">
        <f>WORKDAY(B3148,5)</f>
        <v>45798</v>
      </c>
      <c r="U3148" t="b">
        <f>C3148&gt;T3148</f>
        <v>0</v>
      </c>
    </row>
    <row r="3149" spans="1:21" x14ac:dyDescent="0.25">
      <c r="A3149" t="s">
        <v>1950</v>
      </c>
      <c r="B3149" s="1">
        <v>45790</v>
      </c>
      <c r="C3149" s="1">
        <v>45793</v>
      </c>
      <c r="D3149" t="s">
        <v>1030</v>
      </c>
      <c r="E3149" t="s">
        <v>175</v>
      </c>
      <c r="F3149" t="s">
        <v>76</v>
      </c>
      <c r="G3149" t="s">
        <v>176</v>
      </c>
      <c r="H3149" t="s">
        <v>132</v>
      </c>
      <c r="I3149" s="2">
        <v>1</v>
      </c>
      <c r="J3149" s="3">
        <v>650</v>
      </c>
      <c r="K3149" s="4">
        <v>0.02</v>
      </c>
      <c r="L3149" s="3">
        <v>637</v>
      </c>
      <c r="M3149" t="b">
        <v>1</v>
      </c>
      <c r="N3149" s="2">
        <f>YEAR(B3149)</f>
        <v>2025</v>
      </c>
      <c r="O3149" t="str">
        <f>INDEX(Agences!$C:$C,MATCH(F3149,Agences!$A:$A,0))</f>
        <v>Île-de-France</v>
      </c>
      <c r="P3149" t="str">
        <f>INDEX(Produits!$C:$C,MATCH(H3149,Produits!$A:$A,0))</f>
        <v>Maintenance</v>
      </c>
      <c r="Q3149" s="3">
        <f>I3149*INDEX(Produits!$E:$E,MATCH(H3149,Produits!$A:$A,0))</f>
        <v>273</v>
      </c>
      <c r="R3149" s="3">
        <f>L3149-Q3149</f>
        <v>364</v>
      </c>
      <c r="S3149" s="2">
        <f>NETWORKDAYS(B3149,C3149)-1</f>
        <v>3</v>
      </c>
      <c r="T3149" s="1">
        <f>WORKDAY(B3149,5)</f>
        <v>45797</v>
      </c>
      <c r="U3149" t="b">
        <f>C3149&gt;T3149</f>
        <v>0</v>
      </c>
    </row>
    <row r="3150" spans="1:21" x14ac:dyDescent="0.25">
      <c r="A3150" t="s">
        <v>1950</v>
      </c>
      <c r="B3150" s="1">
        <v>45790</v>
      </c>
      <c r="C3150" s="1">
        <v>45793</v>
      </c>
      <c r="D3150" t="s">
        <v>1030</v>
      </c>
      <c r="E3150" t="s">
        <v>175</v>
      </c>
      <c r="F3150" t="s">
        <v>76</v>
      </c>
      <c r="G3150" t="s">
        <v>176</v>
      </c>
      <c r="H3150" t="s">
        <v>83</v>
      </c>
      <c r="I3150" s="2">
        <v>6</v>
      </c>
      <c r="J3150" s="3">
        <v>49</v>
      </c>
      <c r="K3150" s="4">
        <v>0.05</v>
      </c>
      <c r="L3150" s="3">
        <v>279.3</v>
      </c>
      <c r="M3150" t="b">
        <v>1</v>
      </c>
      <c r="N3150" s="2">
        <f>YEAR(B3150)</f>
        <v>2025</v>
      </c>
      <c r="O3150" t="str">
        <f>INDEX(Agences!$C:$C,MATCH(F3150,Agences!$A:$A,0))</f>
        <v>Île-de-France</v>
      </c>
      <c r="P3150" t="str">
        <f>INDEX(Produits!$C:$C,MATCH(H3150,Produits!$A:$A,0))</f>
        <v>Mobilier</v>
      </c>
      <c r="Q3150" s="3">
        <f>I3150*INDEX(Produits!$E:$E,MATCH(H3150,Produits!$A:$A,0))</f>
        <v>170.52</v>
      </c>
      <c r="R3150" s="3">
        <f>L3150-Q3150</f>
        <v>108.78</v>
      </c>
      <c r="S3150" s="2">
        <f>NETWORKDAYS(B3150,C3150)-1</f>
        <v>3</v>
      </c>
      <c r="T3150" s="1">
        <f>WORKDAY(B3150,5)</f>
        <v>45797</v>
      </c>
      <c r="U3150" t="b">
        <f>C3150&gt;T3150</f>
        <v>0</v>
      </c>
    </row>
    <row r="3151" spans="1:21" x14ac:dyDescent="0.25">
      <c r="A3151" t="s">
        <v>1951</v>
      </c>
      <c r="B3151" s="1">
        <v>45790</v>
      </c>
      <c r="C3151" s="1">
        <v>45793</v>
      </c>
      <c r="D3151" t="s">
        <v>854</v>
      </c>
      <c r="E3151" t="s">
        <v>236</v>
      </c>
      <c r="F3151" t="s">
        <v>39</v>
      </c>
      <c r="G3151" t="s">
        <v>40</v>
      </c>
      <c r="H3151" t="s">
        <v>50</v>
      </c>
      <c r="I3151" s="2">
        <v>1</v>
      </c>
      <c r="J3151" s="3">
        <v>69</v>
      </c>
      <c r="K3151" s="4">
        <v>0.08</v>
      </c>
      <c r="L3151" s="3">
        <v>63.48</v>
      </c>
      <c r="M3151" t="b">
        <v>1</v>
      </c>
      <c r="N3151" s="2">
        <f>YEAR(B3151)</f>
        <v>2025</v>
      </c>
      <c r="O3151" t="str">
        <f>INDEX(Agences!$C:$C,MATCH(F3151,Agences!$A:$A,0))</f>
        <v>Sud-Ouest</v>
      </c>
      <c r="P3151" t="str">
        <f>INDEX(Produits!$C:$C,MATCH(H3151,Produits!$A:$A,0))</f>
        <v>Informatique</v>
      </c>
      <c r="Q3151" s="3">
        <f>I3151*INDEX(Produits!$E:$E,MATCH(H3151,Produits!$A:$A,0))</f>
        <v>54.51</v>
      </c>
      <c r="R3151" s="3">
        <f>L3151-Q3151</f>
        <v>8.969999999999999</v>
      </c>
      <c r="S3151" s="2">
        <f>NETWORKDAYS(B3151,C3151)-1</f>
        <v>3</v>
      </c>
      <c r="T3151" s="1">
        <f>WORKDAY(B3151,5)</f>
        <v>45797</v>
      </c>
      <c r="U3151" t="b">
        <f>C3151&gt;T3151</f>
        <v>0</v>
      </c>
    </row>
    <row r="3152" spans="1:21" x14ac:dyDescent="0.25">
      <c r="A3152" t="s">
        <v>1951</v>
      </c>
      <c r="B3152" s="1">
        <v>45790</v>
      </c>
      <c r="C3152" s="1">
        <v>45793</v>
      </c>
      <c r="D3152" t="s">
        <v>854</v>
      </c>
      <c r="E3152" t="s">
        <v>236</v>
      </c>
      <c r="F3152" t="s">
        <v>39</v>
      </c>
      <c r="G3152" t="s">
        <v>40</v>
      </c>
      <c r="H3152" t="s">
        <v>319</v>
      </c>
      <c r="I3152" s="2">
        <v>3</v>
      </c>
      <c r="J3152" s="3">
        <v>289</v>
      </c>
      <c r="K3152" s="4">
        <v>0</v>
      </c>
      <c r="L3152" s="3">
        <v>867</v>
      </c>
      <c r="M3152" t="b">
        <v>1</v>
      </c>
      <c r="N3152" s="2">
        <f>YEAR(B3152)</f>
        <v>2025</v>
      </c>
      <c r="O3152" t="str">
        <f>INDEX(Agences!$C:$C,MATCH(F3152,Agences!$A:$A,0))</f>
        <v>Sud-Ouest</v>
      </c>
      <c r="P3152" t="str">
        <f>INDEX(Produits!$C:$C,MATCH(H3152,Produits!$A:$A,0))</f>
        <v>Informatique</v>
      </c>
      <c r="Q3152" s="3">
        <f>I3152*INDEX(Produits!$E:$E,MATCH(H3152,Produits!$A:$A,0))</f>
        <v>641.58</v>
      </c>
      <c r="R3152" s="3">
        <f>L3152-Q3152</f>
        <v>225.41999999999996</v>
      </c>
      <c r="S3152" s="2">
        <f>NETWORKDAYS(B3152,C3152)-1</f>
        <v>3</v>
      </c>
      <c r="T3152" s="1">
        <f>WORKDAY(B3152,5)</f>
        <v>45797</v>
      </c>
      <c r="U3152" t="b">
        <f>C3152&gt;T3152</f>
        <v>0</v>
      </c>
    </row>
    <row r="3153" spans="1:21" x14ac:dyDescent="0.25">
      <c r="A3153" t="s">
        <v>1951</v>
      </c>
      <c r="B3153" s="1">
        <v>45790</v>
      </c>
      <c r="C3153" s="1">
        <v>45793</v>
      </c>
      <c r="D3153" t="s">
        <v>854</v>
      </c>
      <c r="E3153" t="s">
        <v>236</v>
      </c>
      <c r="F3153" t="s">
        <v>39</v>
      </c>
      <c r="G3153" t="s">
        <v>40</v>
      </c>
      <c r="H3153" t="s">
        <v>90</v>
      </c>
      <c r="I3153" s="2">
        <v>5</v>
      </c>
      <c r="J3153" s="3">
        <v>22.9</v>
      </c>
      <c r="K3153" s="4">
        <v>0</v>
      </c>
      <c r="L3153" s="3">
        <v>114.5</v>
      </c>
      <c r="M3153" t="b">
        <v>1</v>
      </c>
      <c r="N3153" s="2">
        <f>YEAR(B3153)</f>
        <v>2025</v>
      </c>
      <c r="O3153" t="str">
        <f>INDEX(Agences!$C:$C,MATCH(F3153,Agences!$A:$A,0))</f>
        <v>Sud-Ouest</v>
      </c>
      <c r="P3153" t="str">
        <f>INDEX(Produits!$C:$C,MATCH(H3153,Produits!$A:$A,0))</f>
        <v>Fournitures</v>
      </c>
      <c r="Q3153" s="3">
        <f>I3153*INDEX(Produits!$E:$E,MATCH(H3153,Produits!$A:$A,0))</f>
        <v>64.1</v>
      </c>
      <c r="R3153" s="3">
        <f>L3153-Q3153</f>
        <v>50.400000000000006</v>
      </c>
      <c r="S3153" s="2">
        <f>NETWORKDAYS(B3153,C3153)-1</f>
        <v>3</v>
      </c>
      <c r="T3153" s="1">
        <f>WORKDAY(B3153,5)</f>
        <v>45797</v>
      </c>
      <c r="U3153" t="b">
        <f>C3153&gt;T3153</f>
        <v>0</v>
      </c>
    </row>
    <row r="3154" spans="1:21" x14ac:dyDescent="0.25">
      <c r="A3154" t="s">
        <v>1952</v>
      </c>
      <c r="B3154" s="1">
        <v>45790</v>
      </c>
      <c r="C3154" s="1">
        <v>45793</v>
      </c>
      <c r="D3154" t="s">
        <v>311</v>
      </c>
      <c r="E3154" t="s">
        <v>93</v>
      </c>
      <c r="F3154" t="s">
        <v>94</v>
      </c>
      <c r="G3154" t="s">
        <v>182</v>
      </c>
      <c r="H3154" t="s">
        <v>48</v>
      </c>
      <c r="I3154" s="2">
        <v>3</v>
      </c>
      <c r="J3154" s="3">
        <v>165</v>
      </c>
      <c r="K3154" s="4">
        <v>0</v>
      </c>
      <c r="L3154" s="3">
        <v>495</v>
      </c>
      <c r="M3154" t="b">
        <v>1</v>
      </c>
      <c r="N3154" s="2">
        <f>YEAR(B3154)</f>
        <v>2025</v>
      </c>
      <c r="O3154" t="str">
        <f>INDEX(Agences!$C:$C,MATCH(F3154,Agences!$A:$A,0))</f>
        <v>Méditerranée</v>
      </c>
      <c r="P3154" t="str">
        <f>INDEX(Produits!$C:$C,MATCH(H3154,Produits!$A:$A,0))</f>
        <v>Mobilier</v>
      </c>
      <c r="Q3154" s="3">
        <f>I3154*INDEX(Produits!$E:$E,MATCH(H3154,Produits!$A:$A,0))</f>
        <v>321.75</v>
      </c>
      <c r="R3154" s="3">
        <f>L3154-Q3154</f>
        <v>173.25</v>
      </c>
      <c r="S3154" s="2">
        <f>NETWORKDAYS(B3154,C3154)-1</f>
        <v>3</v>
      </c>
      <c r="T3154" s="1">
        <f>WORKDAY(B3154,5)</f>
        <v>45797</v>
      </c>
      <c r="U3154" t="b">
        <f>C3154&gt;T3154</f>
        <v>0</v>
      </c>
    </row>
    <row r="3155" spans="1:21" x14ac:dyDescent="0.25">
      <c r="A3155" t="s">
        <v>1952</v>
      </c>
      <c r="B3155" s="1">
        <v>45790</v>
      </c>
      <c r="C3155" s="1">
        <v>45793</v>
      </c>
      <c r="D3155" t="s">
        <v>311</v>
      </c>
      <c r="E3155" t="s">
        <v>93</v>
      </c>
      <c r="F3155" t="s">
        <v>94</v>
      </c>
      <c r="G3155" t="s">
        <v>182</v>
      </c>
      <c r="H3155" t="s">
        <v>57</v>
      </c>
      <c r="I3155" s="2">
        <v>1</v>
      </c>
      <c r="J3155" s="3">
        <v>149</v>
      </c>
      <c r="K3155" s="4">
        <v>0.08</v>
      </c>
      <c r="L3155" s="3">
        <v>137.08</v>
      </c>
      <c r="M3155" t="b">
        <v>1</v>
      </c>
      <c r="N3155" s="2">
        <f>YEAR(B3155)</f>
        <v>2025</v>
      </c>
      <c r="O3155" t="str">
        <f>INDEX(Agences!$C:$C,MATCH(F3155,Agences!$A:$A,0))</f>
        <v>Méditerranée</v>
      </c>
      <c r="P3155" t="str">
        <f>INDEX(Produits!$C:$C,MATCH(H3155,Produits!$A:$A,0))</f>
        <v>Informatique</v>
      </c>
      <c r="Q3155" s="3">
        <f>I3155*INDEX(Produits!$E:$E,MATCH(H3155,Produits!$A:$A,0))</f>
        <v>114.73</v>
      </c>
      <c r="R3155" s="3">
        <f>L3155-Q3155</f>
        <v>22.35000000000001</v>
      </c>
      <c r="S3155" s="2">
        <f>NETWORKDAYS(B3155,C3155)-1</f>
        <v>3</v>
      </c>
      <c r="T3155" s="1">
        <f>WORKDAY(B3155,5)</f>
        <v>45797</v>
      </c>
      <c r="U3155" t="b">
        <f>C3155&gt;T3155</f>
        <v>0</v>
      </c>
    </row>
    <row r="3156" spans="1:21" x14ac:dyDescent="0.25">
      <c r="A3156" t="s">
        <v>1953</v>
      </c>
      <c r="B3156" s="1">
        <v>45790</v>
      </c>
      <c r="C3156" s="1">
        <v>45792</v>
      </c>
      <c r="D3156" t="s">
        <v>538</v>
      </c>
      <c r="E3156" t="s">
        <v>157</v>
      </c>
      <c r="F3156" t="s">
        <v>46</v>
      </c>
      <c r="G3156" t="s">
        <v>111</v>
      </c>
      <c r="H3156" t="s">
        <v>42</v>
      </c>
      <c r="I3156" s="2">
        <v>1</v>
      </c>
      <c r="J3156" s="3">
        <v>55</v>
      </c>
      <c r="K3156" s="4">
        <v>0</v>
      </c>
      <c r="L3156" s="3">
        <v>55</v>
      </c>
      <c r="M3156" t="b">
        <v>1</v>
      </c>
      <c r="N3156" s="2">
        <f>YEAR(B3156)</f>
        <v>2025</v>
      </c>
      <c r="O3156" t="str">
        <f>INDEX(Agences!$C:$C,MATCH(F3156,Agences!$A:$A,0))</f>
        <v>Est</v>
      </c>
      <c r="P3156" t="str">
        <f>INDEX(Produits!$C:$C,MATCH(H3156,Produits!$A:$A,0))</f>
        <v>Maintenance</v>
      </c>
      <c r="Q3156" s="3">
        <f>I3156*INDEX(Produits!$E:$E,MATCH(H3156,Produits!$A:$A,0))</f>
        <v>24.75</v>
      </c>
      <c r="R3156" s="3">
        <f>L3156-Q3156</f>
        <v>30.25</v>
      </c>
      <c r="S3156" s="2">
        <f>NETWORKDAYS(B3156,C3156)-1</f>
        <v>2</v>
      </c>
      <c r="T3156" s="1">
        <f>WORKDAY(B3156,5)</f>
        <v>45797</v>
      </c>
      <c r="U3156" t="b">
        <f>C3156&gt;T3156</f>
        <v>0</v>
      </c>
    </row>
    <row r="3157" spans="1:21" x14ac:dyDescent="0.25">
      <c r="A3157" t="s">
        <v>1953</v>
      </c>
      <c r="B3157" s="1">
        <v>45790</v>
      </c>
      <c r="C3157" s="1">
        <v>45792</v>
      </c>
      <c r="D3157" t="s">
        <v>538</v>
      </c>
      <c r="E3157" t="s">
        <v>157</v>
      </c>
      <c r="F3157" t="s">
        <v>46</v>
      </c>
      <c r="G3157" t="s">
        <v>111</v>
      </c>
      <c r="H3157" t="s">
        <v>57</v>
      </c>
      <c r="I3157" s="2">
        <v>2</v>
      </c>
      <c r="J3157" s="3">
        <v>149</v>
      </c>
      <c r="K3157" s="4">
        <v>0</v>
      </c>
      <c r="L3157" s="3">
        <v>298</v>
      </c>
      <c r="M3157" t="b">
        <v>1</v>
      </c>
      <c r="N3157" s="2">
        <f>YEAR(B3157)</f>
        <v>2025</v>
      </c>
      <c r="O3157" t="str">
        <f>INDEX(Agences!$C:$C,MATCH(F3157,Agences!$A:$A,0))</f>
        <v>Est</v>
      </c>
      <c r="P3157" t="str">
        <f>INDEX(Produits!$C:$C,MATCH(H3157,Produits!$A:$A,0))</f>
        <v>Informatique</v>
      </c>
      <c r="Q3157" s="3">
        <f>I3157*INDEX(Produits!$E:$E,MATCH(H3157,Produits!$A:$A,0))</f>
        <v>229.46</v>
      </c>
      <c r="R3157" s="3">
        <f>L3157-Q3157</f>
        <v>68.53999999999999</v>
      </c>
      <c r="S3157" s="2">
        <f>NETWORKDAYS(B3157,C3157)-1</f>
        <v>2</v>
      </c>
      <c r="T3157" s="1">
        <f>WORKDAY(B3157,5)</f>
        <v>45797</v>
      </c>
      <c r="U3157" t="b">
        <f>C3157&gt;T3157</f>
        <v>0</v>
      </c>
    </row>
    <row r="3158" spans="1:21" x14ac:dyDescent="0.25">
      <c r="A3158" t="s">
        <v>1954</v>
      </c>
      <c r="B3158" s="1">
        <v>45790</v>
      </c>
      <c r="C3158" s="1">
        <v>45791</v>
      </c>
      <c r="D3158" t="s">
        <v>70</v>
      </c>
      <c r="E3158" t="s">
        <v>54</v>
      </c>
      <c r="F3158" t="s">
        <v>55</v>
      </c>
      <c r="G3158" t="s">
        <v>195</v>
      </c>
      <c r="H3158" t="s">
        <v>108</v>
      </c>
      <c r="I3158" s="2">
        <v>10</v>
      </c>
      <c r="J3158" s="3">
        <v>24.5</v>
      </c>
      <c r="K3158" s="4">
        <v>0</v>
      </c>
      <c r="L3158" s="3">
        <v>245</v>
      </c>
      <c r="M3158" t="b">
        <v>1</v>
      </c>
      <c r="N3158" s="2">
        <f>YEAR(B3158)</f>
        <v>2025</v>
      </c>
      <c r="O3158" t="str">
        <f>INDEX(Agences!$C:$C,MATCH(F3158,Agences!$A:$A,0))</f>
        <v>Est</v>
      </c>
      <c r="P3158" t="str">
        <f>INDEX(Produits!$C:$C,MATCH(H3158,Produits!$A:$A,0))</f>
        <v>Fournitures</v>
      </c>
      <c r="Q3158" s="3">
        <f>I3158*INDEX(Produits!$E:$E,MATCH(H3158,Produits!$A:$A,0))</f>
        <v>147</v>
      </c>
      <c r="R3158" s="3">
        <f>L3158-Q3158</f>
        <v>98</v>
      </c>
      <c r="S3158" s="2">
        <f>NETWORKDAYS(B3158,C3158)-1</f>
        <v>1</v>
      </c>
      <c r="T3158" s="1">
        <f>WORKDAY(B3158,5)</f>
        <v>45797</v>
      </c>
      <c r="U3158" t="b">
        <f>C3158&gt;T3158</f>
        <v>0</v>
      </c>
    </row>
    <row r="3159" spans="1:21" x14ac:dyDescent="0.25">
      <c r="A3159" t="s">
        <v>1955</v>
      </c>
      <c r="B3159" s="1">
        <v>45789</v>
      </c>
      <c r="C3159" s="1">
        <v>45793</v>
      </c>
      <c r="D3159" t="s">
        <v>570</v>
      </c>
      <c r="E3159" t="s">
        <v>126</v>
      </c>
      <c r="F3159" t="s">
        <v>99</v>
      </c>
      <c r="G3159" t="s">
        <v>210</v>
      </c>
      <c r="H3159" t="s">
        <v>50</v>
      </c>
      <c r="I3159" s="2">
        <v>3</v>
      </c>
      <c r="J3159" s="3">
        <v>69</v>
      </c>
      <c r="K3159" s="4">
        <v>0.02</v>
      </c>
      <c r="L3159" s="3">
        <v>202.86</v>
      </c>
      <c r="M3159" t="b">
        <v>1</v>
      </c>
      <c r="N3159" s="2">
        <f>YEAR(B3159)</f>
        <v>2025</v>
      </c>
      <c r="O3159" t="str">
        <f>INDEX(Agences!$C:$C,MATCH(F3159,Agences!$A:$A,0))</f>
        <v>Nord</v>
      </c>
      <c r="P3159" t="str">
        <f>INDEX(Produits!$C:$C,MATCH(H3159,Produits!$A:$A,0))</f>
        <v>Informatique</v>
      </c>
      <c r="Q3159" s="3">
        <f>I3159*INDEX(Produits!$E:$E,MATCH(H3159,Produits!$A:$A,0))</f>
        <v>163.53</v>
      </c>
      <c r="R3159" s="3">
        <f>L3159-Q3159</f>
        <v>39.33000000000001</v>
      </c>
      <c r="S3159" s="2">
        <f>NETWORKDAYS(B3159,C3159)-1</f>
        <v>4</v>
      </c>
      <c r="T3159" s="1">
        <f>WORKDAY(B3159,5)</f>
        <v>45796</v>
      </c>
      <c r="U3159" t="b">
        <f>C3159&gt;T3159</f>
        <v>0</v>
      </c>
    </row>
    <row r="3160" spans="1:21" x14ac:dyDescent="0.25">
      <c r="A3160" t="s">
        <v>1955</v>
      </c>
      <c r="B3160" s="1">
        <v>45789</v>
      </c>
      <c r="C3160" s="1">
        <v>45793</v>
      </c>
      <c r="D3160" t="s">
        <v>570</v>
      </c>
      <c r="E3160" t="s">
        <v>126</v>
      </c>
      <c r="F3160" t="s">
        <v>99</v>
      </c>
      <c r="G3160" t="s">
        <v>210</v>
      </c>
      <c r="H3160" t="s">
        <v>49</v>
      </c>
      <c r="I3160" s="2">
        <v>1</v>
      </c>
      <c r="J3160" s="3">
        <v>120</v>
      </c>
      <c r="K3160" s="4">
        <v>0</v>
      </c>
      <c r="L3160" s="3">
        <v>120</v>
      </c>
      <c r="M3160" t="b">
        <v>1</v>
      </c>
      <c r="N3160" s="2">
        <f>YEAR(B3160)</f>
        <v>2025</v>
      </c>
      <c r="O3160" t="str">
        <f>INDEX(Agences!$C:$C,MATCH(F3160,Agences!$A:$A,0))</f>
        <v>Nord</v>
      </c>
      <c r="P3160" t="str">
        <f>INDEX(Produits!$C:$C,MATCH(H3160,Produits!$A:$A,0))</f>
        <v>Maintenance</v>
      </c>
      <c r="Q3160" s="3">
        <f>I3160*INDEX(Produits!$E:$E,MATCH(H3160,Produits!$A:$A,0))</f>
        <v>55.2</v>
      </c>
      <c r="R3160" s="3">
        <f>L3160-Q3160</f>
        <v>64.8</v>
      </c>
      <c r="S3160" s="2">
        <f>NETWORKDAYS(B3160,C3160)-1</f>
        <v>4</v>
      </c>
      <c r="T3160" s="1">
        <f>WORKDAY(B3160,5)</f>
        <v>45796</v>
      </c>
      <c r="U3160" t="b">
        <f>C3160&gt;T3160</f>
        <v>0</v>
      </c>
    </row>
    <row r="3161" spans="1:21" x14ac:dyDescent="0.25">
      <c r="A3161" t="s">
        <v>1956</v>
      </c>
      <c r="B3161" s="1">
        <v>45789</v>
      </c>
      <c r="C3161" s="1">
        <v>45791</v>
      </c>
      <c r="D3161" t="s">
        <v>994</v>
      </c>
      <c r="E3161" t="s">
        <v>75</v>
      </c>
      <c r="F3161" t="s">
        <v>76</v>
      </c>
      <c r="G3161" t="s">
        <v>77</v>
      </c>
      <c r="H3161" t="s">
        <v>83</v>
      </c>
      <c r="I3161" s="2">
        <v>2</v>
      </c>
      <c r="J3161" s="3">
        <v>49</v>
      </c>
      <c r="K3161" s="4">
        <v>0.08</v>
      </c>
      <c r="L3161" s="3">
        <v>90.16</v>
      </c>
      <c r="M3161" t="b">
        <v>1</v>
      </c>
      <c r="N3161" s="2">
        <f>YEAR(B3161)</f>
        <v>2025</v>
      </c>
      <c r="O3161" t="str">
        <f>INDEX(Agences!$C:$C,MATCH(F3161,Agences!$A:$A,0))</f>
        <v>Île-de-France</v>
      </c>
      <c r="P3161" t="str">
        <f>INDEX(Produits!$C:$C,MATCH(H3161,Produits!$A:$A,0))</f>
        <v>Mobilier</v>
      </c>
      <c r="Q3161" s="3">
        <f>I3161*INDEX(Produits!$E:$E,MATCH(H3161,Produits!$A:$A,0))</f>
        <v>56.84</v>
      </c>
      <c r="R3161" s="3">
        <f>L3161-Q3161</f>
        <v>33.31999999999999</v>
      </c>
      <c r="S3161" s="2">
        <f>NETWORKDAYS(B3161,C3161)-1</f>
        <v>2</v>
      </c>
      <c r="T3161" s="1">
        <f>WORKDAY(B3161,5)</f>
        <v>45796</v>
      </c>
      <c r="U3161" t="b">
        <f>C3161&gt;T3161</f>
        <v>0</v>
      </c>
    </row>
    <row r="3162" spans="1:21" x14ac:dyDescent="0.25">
      <c r="A3162" t="s">
        <v>1956</v>
      </c>
      <c r="B3162" s="1">
        <v>45789</v>
      </c>
      <c r="C3162" s="1">
        <v>45791</v>
      </c>
      <c r="D3162" t="s">
        <v>994</v>
      </c>
      <c r="E3162" t="s">
        <v>75</v>
      </c>
      <c r="F3162" t="s">
        <v>76</v>
      </c>
      <c r="G3162" t="s">
        <v>77</v>
      </c>
      <c r="H3162" t="s">
        <v>217</v>
      </c>
      <c r="I3162" s="2">
        <v>1</v>
      </c>
      <c r="J3162" s="3">
        <v>1090</v>
      </c>
      <c r="K3162" s="4">
        <v>0</v>
      </c>
      <c r="L3162" s="3">
        <v>1090</v>
      </c>
      <c r="M3162" t="b">
        <v>1</v>
      </c>
      <c r="N3162" s="2">
        <f>YEAR(B3162)</f>
        <v>2025</v>
      </c>
      <c r="O3162" t="str">
        <f>INDEX(Agences!$C:$C,MATCH(F3162,Agences!$A:$A,0))</f>
        <v>Île-de-France</v>
      </c>
      <c r="P3162" t="str">
        <f>INDEX(Produits!$C:$C,MATCH(H3162,Produits!$A:$A,0))</f>
        <v>Informatique</v>
      </c>
      <c r="Q3162" s="3">
        <f>I3162*INDEX(Produits!$E:$E,MATCH(H3162,Produits!$A:$A,0))</f>
        <v>817.5</v>
      </c>
      <c r="R3162" s="3">
        <f>L3162-Q3162</f>
        <v>272.5</v>
      </c>
      <c r="S3162" s="2">
        <f>NETWORKDAYS(B3162,C3162)-1</f>
        <v>2</v>
      </c>
      <c r="T3162" s="1">
        <f>WORKDAY(B3162,5)</f>
        <v>45796</v>
      </c>
      <c r="U3162" t="b">
        <f>C3162&gt;T3162</f>
        <v>0</v>
      </c>
    </row>
    <row r="3163" spans="1:21" x14ac:dyDescent="0.25">
      <c r="A3163" t="s">
        <v>1956</v>
      </c>
      <c r="B3163" s="1">
        <v>45789</v>
      </c>
      <c r="C3163" s="1">
        <v>45791</v>
      </c>
      <c r="D3163" t="s">
        <v>994</v>
      </c>
      <c r="E3163" t="s">
        <v>75</v>
      </c>
      <c r="F3163" t="s">
        <v>76</v>
      </c>
      <c r="G3163" t="s">
        <v>77</v>
      </c>
      <c r="H3163" t="s">
        <v>57</v>
      </c>
      <c r="I3163" s="2">
        <v>1</v>
      </c>
      <c r="J3163" s="3">
        <v>149</v>
      </c>
      <c r="K3163" s="4">
        <v>0</v>
      </c>
      <c r="L3163" s="3">
        <v>149</v>
      </c>
      <c r="M3163" t="b">
        <v>1</v>
      </c>
      <c r="N3163" s="2">
        <f>YEAR(B3163)</f>
        <v>2025</v>
      </c>
      <c r="O3163" t="str">
        <f>INDEX(Agences!$C:$C,MATCH(F3163,Agences!$A:$A,0))</f>
        <v>Île-de-France</v>
      </c>
      <c r="P3163" t="str">
        <f>INDEX(Produits!$C:$C,MATCH(H3163,Produits!$A:$A,0))</f>
        <v>Informatique</v>
      </c>
      <c r="Q3163" s="3">
        <f>I3163*INDEX(Produits!$E:$E,MATCH(H3163,Produits!$A:$A,0))</f>
        <v>114.73</v>
      </c>
      <c r="R3163" s="3">
        <f>L3163-Q3163</f>
        <v>34.269999999999996</v>
      </c>
      <c r="S3163" s="2">
        <f>NETWORKDAYS(B3163,C3163)-1</f>
        <v>2</v>
      </c>
      <c r="T3163" s="1">
        <f>WORKDAY(B3163,5)</f>
        <v>45796</v>
      </c>
      <c r="U3163" t="b">
        <f>C3163&gt;T3163</f>
        <v>0</v>
      </c>
    </row>
    <row r="3164" spans="1:21" x14ac:dyDescent="0.25">
      <c r="A3164" t="s">
        <v>1957</v>
      </c>
      <c r="B3164" s="1">
        <v>45789</v>
      </c>
      <c r="C3164" s="1">
        <v>45792</v>
      </c>
      <c r="D3164" t="s">
        <v>1811</v>
      </c>
      <c r="E3164" t="s">
        <v>229</v>
      </c>
      <c r="F3164" t="s">
        <v>55</v>
      </c>
      <c r="G3164" t="s">
        <v>195</v>
      </c>
      <c r="H3164" t="s">
        <v>79</v>
      </c>
      <c r="I3164" s="2">
        <v>15</v>
      </c>
      <c r="J3164" s="3">
        <v>14.9</v>
      </c>
      <c r="K3164" s="4">
        <v>0</v>
      </c>
      <c r="L3164" s="3">
        <v>223.5</v>
      </c>
      <c r="M3164" t="b">
        <v>1</v>
      </c>
      <c r="N3164" s="2">
        <f>YEAR(B3164)</f>
        <v>2025</v>
      </c>
      <c r="O3164" t="str">
        <f>INDEX(Agences!$C:$C,MATCH(F3164,Agences!$A:$A,0))</f>
        <v>Est</v>
      </c>
      <c r="P3164" t="str">
        <f>INDEX(Produits!$C:$C,MATCH(H3164,Produits!$A:$A,0))</f>
        <v>Fournitures</v>
      </c>
      <c r="Q3164" s="3">
        <f>I3164*INDEX(Produits!$E:$E,MATCH(H3164,Produits!$A:$A,0))</f>
        <v>120.75000000000001</v>
      </c>
      <c r="R3164" s="3">
        <f>L3164-Q3164</f>
        <v>102.74999999999999</v>
      </c>
      <c r="S3164" s="2">
        <f>NETWORKDAYS(B3164,C3164)-1</f>
        <v>3</v>
      </c>
      <c r="T3164" s="1">
        <f>WORKDAY(B3164,5)</f>
        <v>45796</v>
      </c>
      <c r="U3164" t="b">
        <f>C3164&gt;T3164</f>
        <v>0</v>
      </c>
    </row>
    <row r="3165" spans="1:21" x14ac:dyDescent="0.25">
      <c r="A3165" t="s">
        <v>1957</v>
      </c>
      <c r="B3165" s="1">
        <v>45789</v>
      </c>
      <c r="C3165" s="1">
        <v>45792</v>
      </c>
      <c r="D3165" t="s">
        <v>1811</v>
      </c>
      <c r="E3165" t="s">
        <v>229</v>
      </c>
      <c r="F3165" t="s">
        <v>55</v>
      </c>
      <c r="G3165" t="s">
        <v>195</v>
      </c>
      <c r="H3165" t="s">
        <v>42</v>
      </c>
      <c r="I3165" s="2">
        <v>2</v>
      </c>
      <c r="J3165" s="3">
        <v>55</v>
      </c>
      <c r="K3165" s="4">
        <v>0</v>
      </c>
      <c r="L3165" s="3">
        <v>110</v>
      </c>
      <c r="M3165" t="b">
        <v>1</v>
      </c>
      <c r="N3165" s="2">
        <f>YEAR(B3165)</f>
        <v>2025</v>
      </c>
      <c r="O3165" t="str">
        <f>INDEX(Agences!$C:$C,MATCH(F3165,Agences!$A:$A,0))</f>
        <v>Est</v>
      </c>
      <c r="P3165" t="str">
        <f>INDEX(Produits!$C:$C,MATCH(H3165,Produits!$A:$A,0))</f>
        <v>Maintenance</v>
      </c>
      <c r="Q3165" s="3">
        <f>I3165*INDEX(Produits!$E:$E,MATCH(H3165,Produits!$A:$A,0))</f>
        <v>49.5</v>
      </c>
      <c r="R3165" s="3">
        <f>L3165-Q3165</f>
        <v>60.5</v>
      </c>
      <c r="S3165" s="2">
        <f>NETWORKDAYS(B3165,C3165)-1</f>
        <v>3</v>
      </c>
      <c r="T3165" s="1">
        <f>WORKDAY(B3165,5)</f>
        <v>45796</v>
      </c>
      <c r="U3165" t="b">
        <f>C3165&gt;T3165</f>
        <v>0</v>
      </c>
    </row>
    <row r="3166" spans="1:21" x14ac:dyDescent="0.25">
      <c r="A3166" t="s">
        <v>1958</v>
      </c>
      <c r="B3166" s="1">
        <v>45789</v>
      </c>
      <c r="C3166" s="1">
        <v>45792</v>
      </c>
      <c r="D3166" t="s">
        <v>1837</v>
      </c>
      <c r="E3166" t="s">
        <v>54</v>
      </c>
      <c r="F3166" t="s">
        <v>55</v>
      </c>
      <c r="G3166" t="s">
        <v>195</v>
      </c>
      <c r="H3166" t="s">
        <v>26</v>
      </c>
      <c r="I3166" s="2">
        <v>1</v>
      </c>
      <c r="J3166" s="3">
        <v>290</v>
      </c>
      <c r="K3166" s="4">
        <v>0.02</v>
      </c>
      <c r="L3166" s="3">
        <v>284.2</v>
      </c>
      <c r="M3166" t="b">
        <v>1</v>
      </c>
      <c r="N3166" s="2">
        <f>YEAR(B3166)</f>
        <v>2025</v>
      </c>
      <c r="O3166" t="str">
        <f>INDEX(Agences!$C:$C,MATCH(F3166,Agences!$A:$A,0))</f>
        <v>Est</v>
      </c>
      <c r="P3166" t="str">
        <f>INDEX(Produits!$C:$C,MATCH(H3166,Produits!$A:$A,0))</f>
        <v>Maintenance</v>
      </c>
      <c r="Q3166" s="3">
        <f>I3166*INDEX(Produits!$E:$E,MATCH(H3166,Produits!$A:$A,0))</f>
        <v>139.2</v>
      </c>
      <c r="R3166" s="3">
        <f>L3166-Q3166</f>
        <v>145</v>
      </c>
      <c r="S3166" s="2">
        <f>NETWORKDAYS(B3166,C3166)-1</f>
        <v>3</v>
      </c>
      <c r="T3166" s="1">
        <f>WORKDAY(B3166,5)</f>
        <v>45796</v>
      </c>
      <c r="U3166" t="b">
        <f>C3166&gt;T3166</f>
        <v>0</v>
      </c>
    </row>
    <row r="3167" spans="1:21" x14ac:dyDescent="0.25">
      <c r="A3167" t="s">
        <v>1958</v>
      </c>
      <c r="B3167" s="1">
        <v>45789</v>
      </c>
      <c r="C3167" s="1">
        <v>45792</v>
      </c>
      <c r="D3167" t="s">
        <v>1837</v>
      </c>
      <c r="E3167" t="s">
        <v>54</v>
      </c>
      <c r="F3167" t="s">
        <v>55</v>
      </c>
      <c r="G3167" t="s">
        <v>195</v>
      </c>
      <c r="H3167" t="s">
        <v>35</v>
      </c>
      <c r="I3167" s="2">
        <v>3</v>
      </c>
      <c r="J3167" s="3">
        <v>79</v>
      </c>
      <c r="K3167" s="4">
        <v>0.05</v>
      </c>
      <c r="L3167" s="3">
        <v>225.15</v>
      </c>
      <c r="M3167" t="b">
        <v>1</v>
      </c>
      <c r="N3167" s="2">
        <f>YEAR(B3167)</f>
        <v>2025</v>
      </c>
      <c r="O3167" t="str">
        <f>INDEX(Agences!$C:$C,MATCH(F3167,Agences!$A:$A,0))</f>
        <v>Est</v>
      </c>
      <c r="P3167" t="str">
        <f>INDEX(Produits!$C:$C,MATCH(H3167,Produits!$A:$A,0))</f>
        <v>Mobilier</v>
      </c>
      <c r="Q3167" s="3">
        <f>I3167*INDEX(Produits!$E:$E,MATCH(H3167,Produits!$A:$A,0))</f>
        <v>139.82999999999998</v>
      </c>
      <c r="R3167" s="3">
        <f>L3167-Q3167</f>
        <v>85.32000000000002</v>
      </c>
      <c r="S3167" s="2">
        <f>NETWORKDAYS(B3167,C3167)-1</f>
        <v>3</v>
      </c>
      <c r="T3167" s="1">
        <f>WORKDAY(B3167,5)</f>
        <v>45796</v>
      </c>
      <c r="U3167" t="b">
        <f>C3167&gt;T3167</f>
        <v>0</v>
      </c>
    </row>
    <row r="3168" spans="1:21" x14ac:dyDescent="0.25">
      <c r="A3168" t="s">
        <v>1959</v>
      </c>
      <c r="B3168" s="1">
        <v>45786</v>
      </c>
      <c r="C3168" s="1">
        <v>45789</v>
      </c>
      <c r="D3168" t="s">
        <v>742</v>
      </c>
      <c r="E3168" t="s">
        <v>98</v>
      </c>
      <c r="F3168" t="s">
        <v>99</v>
      </c>
      <c r="G3168" t="s">
        <v>210</v>
      </c>
      <c r="H3168" t="s">
        <v>33</v>
      </c>
      <c r="I3168" s="2">
        <v>2</v>
      </c>
      <c r="J3168" s="3">
        <v>219</v>
      </c>
      <c r="K3168" s="4">
        <v>0.05</v>
      </c>
      <c r="L3168" s="3">
        <v>416.1</v>
      </c>
      <c r="M3168" t="b">
        <v>1</v>
      </c>
      <c r="N3168" s="2">
        <f>YEAR(B3168)</f>
        <v>2025</v>
      </c>
      <c r="O3168" t="str">
        <f>INDEX(Agences!$C:$C,MATCH(F3168,Agences!$A:$A,0))</f>
        <v>Nord</v>
      </c>
      <c r="P3168" t="str">
        <f>INDEX(Produits!$C:$C,MATCH(H3168,Produits!$A:$A,0))</f>
        <v>Informatique</v>
      </c>
      <c r="Q3168" s="3">
        <f>I3168*INDEX(Produits!$E:$E,MATCH(H3168,Produits!$A:$A,0))</f>
        <v>359.16</v>
      </c>
      <c r="R3168" s="3">
        <f>L3168-Q3168</f>
        <v>56.94</v>
      </c>
      <c r="S3168" s="2">
        <f>NETWORKDAYS(B3168,C3168)-1</f>
        <v>1</v>
      </c>
      <c r="T3168" s="1">
        <f>WORKDAY(B3168,5)</f>
        <v>45793</v>
      </c>
      <c r="U3168" t="b">
        <f>C3168&gt;T3168</f>
        <v>0</v>
      </c>
    </row>
    <row r="3169" spans="1:21" x14ac:dyDescent="0.25">
      <c r="A3169" t="s">
        <v>1959</v>
      </c>
      <c r="B3169" s="1">
        <v>45786</v>
      </c>
      <c r="C3169" s="1">
        <v>45789</v>
      </c>
      <c r="D3169" t="s">
        <v>742</v>
      </c>
      <c r="E3169" t="s">
        <v>98</v>
      </c>
      <c r="F3169" t="s">
        <v>99</v>
      </c>
      <c r="G3169" t="s">
        <v>210</v>
      </c>
      <c r="H3169" t="s">
        <v>83</v>
      </c>
      <c r="I3169" s="2">
        <v>1</v>
      </c>
      <c r="J3169" s="3">
        <v>49</v>
      </c>
      <c r="K3169" s="4">
        <v>0.05</v>
      </c>
      <c r="L3169" s="3">
        <v>46.55</v>
      </c>
      <c r="M3169" t="b">
        <v>1</v>
      </c>
      <c r="N3169" s="2">
        <f>YEAR(B3169)</f>
        <v>2025</v>
      </c>
      <c r="O3169" t="str">
        <f>INDEX(Agences!$C:$C,MATCH(F3169,Agences!$A:$A,0))</f>
        <v>Nord</v>
      </c>
      <c r="P3169" t="str">
        <f>INDEX(Produits!$C:$C,MATCH(H3169,Produits!$A:$A,0))</f>
        <v>Mobilier</v>
      </c>
      <c r="Q3169" s="3">
        <f>I3169*INDEX(Produits!$E:$E,MATCH(H3169,Produits!$A:$A,0))</f>
        <v>28.42</v>
      </c>
      <c r="R3169" s="3">
        <f>L3169-Q3169</f>
        <v>18.129999999999995</v>
      </c>
      <c r="S3169" s="2">
        <f>NETWORKDAYS(B3169,C3169)-1</f>
        <v>1</v>
      </c>
      <c r="T3169" s="1">
        <f>WORKDAY(B3169,5)</f>
        <v>45793</v>
      </c>
      <c r="U3169" t="b">
        <f>C3169&gt;T3169</f>
        <v>0</v>
      </c>
    </row>
    <row r="3170" spans="1:21" x14ac:dyDescent="0.25">
      <c r="A3170" t="s">
        <v>1959</v>
      </c>
      <c r="B3170" s="1">
        <v>45786</v>
      </c>
      <c r="C3170" s="1">
        <v>45789</v>
      </c>
      <c r="D3170" t="s">
        <v>742</v>
      </c>
      <c r="E3170" t="s">
        <v>98</v>
      </c>
      <c r="F3170" t="s">
        <v>99</v>
      </c>
      <c r="G3170" t="s">
        <v>210</v>
      </c>
      <c r="H3170" t="s">
        <v>50</v>
      </c>
      <c r="I3170" s="2">
        <v>2</v>
      </c>
      <c r="J3170" s="3">
        <v>69</v>
      </c>
      <c r="K3170" s="4">
        <v>0.02</v>
      </c>
      <c r="L3170" s="3">
        <v>135.24</v>
      </c>
      <c r="M3170" t="b">
        <v>1</v>
      </c>
      <c r="N3170" s="2">
        <f>YEAR(B3170)</f>
        <v>2025</v>
      </c>
      <c r="O3170" t="str">
        <f>INDEX(Agences!$C:$C,MATCH(F3170,Agences!$A:$A,0))</f>
        <v>Nord</v>
      </c>
      <c r="P3170" t="str">
        <f>INDEX(Produits!$C:$C,MATCH(H3170,Produits!$A:$A,0))</f>
        <v>Informatique</v>
      </c>
      <c r="Q3170" s="3">
        <f>I3170*INDEX(Produits!$E:$E,MATCH(H3170,Produits!$A:$A,0))</f>
        <v>109.02</v>
      </c>
      <c r="R3170" s="3">
        <f>L3170-Q3170</f>
        <v>26.220000000000013</v>
      </c>
      <c r="S3170" s="2">
        <f>NETWORKDAYS(B3170,C3170)-1</f>
        <v>1</v>
      </c>
      <c r="T3170" s="1">
        <f>WORKDAY(B3170,5)</f>
        <v>45793</v>
      </c>
      <c r="U3170" t="b">
        <f>C3170&gt;T3170</f>
        <v>0</v>
      </c>
    </row>
    <row r="3171" spans="1:21" x14ac:dyDescent="0.25">
      <c r="A3171" t="s">
        <v>1959</v>
      </c>
      <c r="B3171" s="1">
        <v>45786</v>
      </c>
      <c r="C3171" s="1">
        <v>45789</v>
      </c>
      <c r="D3171" t="s">
        <v>742</v>
      </c>
      <c r="E3171" t="s">
        <v>98</v>
      </c>
      <c r="F3171" t="s">
        <v>99</v>
      </c>
      <c r="G3171" t="s">
        <v>210</v>
      </c>
      <c r="H3171" t="s">
        <v>64</v>
      </c>
      <c r="I3171" s="2">
        <v>25</v>
      </c>
      <c r="J3171" s="3">
        <v>16.8</v>
      </c>
      <c r="K3171" s="4">
        <v>0.05</v>
      </c>
      <c r="L3171" s="3">
        <v>399</v>
      </c>
      <c r="M3171" t="b">
        <v>1</v>
      </c>
      <c r="N3171" s="2">
        <f>YEAR(B3171)</f>
        <v>2025</v>
      </c>
      <c r="O3171" t="str">
        <f>INDEX(Agences!$C:$C,MATCH(F3171,Agences!$A:$A,0))</f>
        <v>Nord</v>
      </c>
      <c r="P3171" t="str">
        <f>INDEX(Produits!$C:$C,MATCH(H3171,Produits!$A:$A,0))</f>
        <v>Fournitures</v>
      </c>
      <c r="Q3171" s="3">
        <f>I3171*INDEX(Produits!$E:$E,MATCH(H3171,Produits!$A:$A,0))</f>
        <v>218.5</v>
      </c>
      <c r="R3171" s="3">
        <f>L3171-Q3171</f>
        <v>180.5</v>
      </c>
      <c r="S3171" s="2">
        <f>NETWORKDAYS(B3171,C3171)-1</f>
        <v>1</v>
      </c>
      <c r="T3171" s="1">
        <f>WORKDAY(B3171,5)</f>
        <v>45793</v>
      </c>
      <c r="U3171" t="b">
        <f>C3171&gt;T3171</f>
        <v>0</v>
      </c>
    </row>
    <row r="3172" spans="1:21" x14ac:dyDescent="0.25">
      <c r="A3172" t="s">
        <v>1959</v>
      </c>
      <c r="B3172" s="1">
        <v>45786</v>
      </c>
      <c r="C3172" s="1">
        <v>45789</v>
      </c>
      <c r="D3172" t="s">
        <v>742</v>
      </c>
      <c r="E3172" t="s">
        <v>98</v>
      </c>
      <c r="F3172" t="s">
        <v>99</v>
      </c>
      <c r="G3172" t="s">
        <v>210</v>
      </c>
      <c r="H3172" t="s">
        <v>27</v>
      </c>
      <c r="I3172" s="2">
        <v>2</v>
      </c>
      <c r="J3172" s="3">
        <v>310</v>
      </c>
      <c r="K3172" s="4">
        <v>0.05</v>
      </c>
      <c r="L3172" s="3">
        <v>589</v>
      </c>
      <c r="M3172" t="b">
        <v>1</v>
      </c>
      <c r="N3172" s="2">
        <f>YEAR(B3172)</f>
        <v>2025</v>
      </c>
      <c r="O3172" t="str">
        <f>INDEX(Agences!$C:$C,MATCH(F3172,Agences!$A:$A,0))</f>
        <v>Nord</v>
      </c>
      <c r="P3172" t="str">
        <f>INDEX(Produits!$C:$C,MATCH(H3172,Produits!$A:$A,0))</f>
        <v>Mobilier</v>
      </c>
      <c r="Q3172" s="3">
        <f>I3172*INDEX(Produits!$E:$E,MATCH(H3172,Produits!$A:$A,0))</f>
        <v>372</v>
      </c>
      <c r="R3172" s="3">
        <f>L3172-Q3172</f>
        <v>217</v>
      </c>
      <c r="S3172" s="2">
        <f>NETWORKDAYS(B3172,C3172)-1</f>
        <v>1</v>
      </c>
      <c r="T3172" s="1">
        <f>WORKDAY(B3172,5)</f>
        <v>45793</v>
      </c>
      <c r="U3172" t="b">
        <f>C3172&gt;T3172</f>
        <v>0</v>
      </c>
    </row>
    <row r="3173" spans="1:21" x14ac:dyDescent="0.25">
      <c r="A3173" t="s">
        <v>1960</v>
      </c>
      <c r="B3173" s="1">
        <v>45786</v>
      </c>
      <c r="C3173" s="1">
        <v>45790</v>
      </c>
      <c r="D3173" t="s">
        <v>1201</v>
      </c>
      <c r="E3173" t="s">
        <v>333</v>
      </c>
      <c r="F3173" t="s">
        <v>138</v>
      </c>
      <c r="G3173" t="s">
        <v>214</v>
      </c>
      <c r="H3173" t="s">
        <v>49</v>
      </c>
      <c r="I3173" s="2">
        <v>2</v>
      </c>
      <c r="J3173" s="3">
        <v>120</v>
      </c>
      <c r="K3173" s="4">
        <v>0.05</v>
      </c>
      <c r="L3173" s="3">
        <v>228</v>
      </c>
      <c r="M3173" t="b">
        <v>1</v>
      </c>
      <c r="N3173" s="2">
        <f>YEAR(B3173)</f>
        <v>2025</v>
      </c>
      <c r="O3173" t="str">
        <f>INDEX(Agences!$C:$C,MATCH(F3173,Agences!$A:$A,0))</f>
        <v>Île-de-France</v>
      </c>
      <c r="P3173" t="str">
        <f>INDEX(Produits!$C:$C,MATCH(H3173,Produits!$A:$A,0))</f>
        <v>Maintenance</v>
      </c>
      <c r="Q3173" s="3">
        <f>I3173*INDEX(Produits!$E:$E,MATCH(H3173,Produits!$A:$A,0))</f>
        <v>110.4</v>
      </c>
      <c r="R3173" s="3">
        <f>L3173-Q3173</f>
        <v>117.6</v>
      </c>
      <c r="S3173" s="2">
        <f>NETWORKDAYS(B3173,C3173)-1</f>
        <v>2</v>
      </c>
      <c r="T3173" s="1">
        <f>WORKDAY(B3173,5)</f>
        <v>45793</v>
      </c>
      <c r="U3173" t="b">
        <f>C3173&gt;T3173</f>
        <v>0</v>
      </c>
    </row>
    <row r="3174" spans="1:21" x14ac:dyDescent="0.25">
      <c r="A3174" t="s">
        <v>1960</v>
      </c>
      <c r="B3174" s="1">
        <v>45786</v>
      </c>
      <c r="C3174" s="1">
        <v>45790</v>
      </c>
      <c r="D3174" t="s">
        <v>1201</v>
      </c>
      <c r="E3174" t="s">
        <v>333</v>
      </c>
      <c r="F3174" t="s">
        <v>138</v>
      </c>
      <c r="G3174" t="s">
        <v>214</v>
      </c>
      <c r="H3174" t="s">
        <v>48</v>
      </c>
      <c r="I3174" s="2">
        <v>1</v>
      </c>
      <c r="J3174" s="3">
        <v>165</v>
      </c>
      <c r="K3174" s="4">
        <v>0</v>
      </c>
      <c r="L3174" s="3">
        <v>165</v>
      </c>
      <c r="M3174" t="b">
        <v>1</v>
      </c>
      <c r="N3174" s="2">
        <f>YEAR(B3174)</f>
        <v>2025</v>
      </c>
      <c r="O3174" t="str">
        <f>INDEX(Agences!$C:$C,MATCH(F3174,Agences!$A:$A,0))</f>
        <v>Île-de-France</v>
      </c>
      <c r="P3174" t="str">
        <f>INDEX(Produits!$C:$C,MATCH(H3174,Produits!$A:$A,0))</f>
        <v>Mobilier</v>
      </c>
      <c r="Q3174" s="3">
        <f>I3174*INDEX(Produits!$E:$E,MATCH(H3174,Produits!$A:$A,0))</f>
        <v>107.25</v>
      </c>
      <c r="R3174" s="3">
        <f>L3174-Q3174</f>
        <v>57.75</v>
      </c>
      <c r="S3174" s="2">
        <f>NETWORKDAYS(B3174,C3174)-1</f>
        <v>2</v>
      </c>
      <c r="T3174" s="1">
        <f>WORKDAY(B3174,5)</f>
        <v>45793</v>
      </c>
      <c r="U3174" t="b">
        <f>C3174&gt;T3174</f>
        <v>0</v>
      </c>
    </row>
    <row r="3175" spans="1:21" x14ac:dyDescent="0.25">
      <c r="A3175" t="s">
        <v>1961</v>
      </c>
      <c r="B3175" s="1">
        <v>45785</v>
      </c>
      <c r="C3175" s="1">
        <v>45786</v>
      </c>
      <c r="D3175" t="s">
        <v>1201</v>
      </c>
      <c r="E3175" t="s">
        <v>333</v>
      </c>
      <c r="F3175" t="s">
        <v>138</v>
      </c>
      <c r="G3175" t="s">
        <v>220</v>
      </c>
      <c r="H3175" t="s">
        <v>127</v>
      </c>
      <c r="I3175" s="2">
        <v>1</v>
      </c>
      <c r="J3175" s="3">
        <v>649</v>
      </c>
      <c r="K3175" s="4">
        <v>0.08</v>
      </c>
      <c r="L3175" s="3">
        <v>597.08</v>
      </c>
      <c r="M3175" t="b">
        <v>1</v>
      </c>
      <c r="N3175" s="2">
        <f>YEAR(B3175)</f>
        <v>2025</v>
      </c>
      <c r="O3175" t="str">
        <f>INDEX(Agences!$C:$C,MATCH(F3175,Agences!$A:$A,0))</f>
        <v>Île-de-France</v>
      </c>
      <c r="P3175" t="str">
        <f>INDEX(Produits!$C:$C,MATCH(H3175,Produits!$A:$A,0))</f>
        <v>Informatique</v>
      </c>
      <c r="Q3175" s="3">
        <f>I3175*INDEX(Produits!$E:$E,MATCH(H3175,Produits!$A:$A,0))</f>
        <v>480.26</v>
      </c>
      <c r="R3175" s="3">
        <f>L3175-Q3175</f>
        <v>116.82000000000005</v>
      </c>
      <c r="S3175" s="2">
        <f>NETWORKDAYS(B3175,C3175)-1</f>
        <v>1</v>
      </c>
      <c r="T3175" s="1">
        <f>WORKDAY(B3175,5)</f>
        <v>45792</v>
      </c>
      <c r="U3175" t="b">
        <f>C3175&gt;T3175</f>
        <v>0</v>
      </c>
    </row>
    <row r="3176" spans="1:21" x14ac:dyDescent="0.25">
      <c r="A3176" t="s">
        <v>1962</v>
      </c>
      <c r="B3176" s="1">
        <v>45785</v>
      </c>
      <c r="C3176" s="1">
        <v>45791</v>
      </c>
      <c r="D3176" t="s">
        <v>74</v>
      </c>
      <c r="E3176" t="s">
        <v>75</v>
      </c>
      <c r="F3176" t="s">
        <v>76</v>
      </c>
      <c r="G3176" t="s">
        <v>77</v>
      </c>
      <c r="H3176" t="s">
        <v>90</v>
      </c>
      <c r="I3176" s="2">
        <v>10</v>
      </c>
      <c r="J3176" s="3">
        <v>22.9</v>
      </c>
      <c r="K3176" s="4">
        <v>0.05</v>
      </c>
      <c r="L3176" s="3">
        <v>217.55</v>
      </c>
      <c r="M3176" t="b">
        <v>1</v>
      </c>
      <c r="N3176" s="2">
        <f>YEAR(B3176)</f>
        <v>2025</v>
      </c>
      <c r="O3176" t="str">
        <f>INDEX(Agences!$C:$C,MATCH(F3176,Agences!$A:$A,0))</f>
        <v>Île-de-France</v>
      </c>
      <c r="P3176" t="str">
        <f>INDEX(Produits!$C:$C,MATCH(H3176,Produits!$A:$A,0))</f>
        <v>Fournitures</v>
      </c>
      <c r="Q3176" s="3">
        <f>I3176*INDEX(Produits!$E:$E,MATCH(H3176,Produits!$A:$A,0))</f>
        <v>128.2</v>
      </c>
      <c r="R3176" s="3">
        <f>L3176-Q3176</f>
        <v>89.35000000000002</v>
      </c>
      <c r="S3176" s="2">
        <f>NETWORKDAYS(B3176,C3176)-1</f>
        <v>4</v>
      </c>
      <c r="T3176" s="1">
        <f>WORKDAY(B3176,5)</f>
        <v>45792</v>
      </c>
      <c r="U3176" t="b">
        <f>C3176&gt;T3176</f>
        <v>0</v>
      </c>
    </row>
    <row r="3177" spans="1:21" x14ac:dyDescent="0.25">
      <c r="A3177" t="s">
        <v>1963</v>
      </c>
      <c r="B3177" s="1">
        <v>45785</v>
      </c>
      <c r="C3177" s="1">
        <v>45786</v>
      </c>
      <c r="D3177" t="s">
        <v>913</v>
      </c>
      <c r="E3177" t="s">
        <v>339</v>
      </c>
      <c r="F3177" t="s">
        <v>31</v>
      </c>
      <c r="G3177" t="s">
        <v>375</v>
      </c>
      <c r="H3177" t="s">
        <v>42</v>
      </c>
      <c r="I3177" s="2">
        <v>1</v>
      </c>
      <c r="J3177" s="3">
        <v>55</v>
      </c>
      <c r="K3177" s="4">
        <v>0.05</v>
      </c>
      <c r="L3177" s="3">
        <v>52.25</v>
      </c>
      <c r="M3177" t="b">
        <v>1</v>
      </c>
      <c r="N3177" s="2">
        <f>YEAR(B3177)</f>
        <v>2025</v>
      </c>
      <c r="O3177" t="str">
        <f>INDEX(Agences!$C:$C,MATCH(F3177,Agences!$A:$A,0))</f>
        <v>Ouest</v>
      </c>
      <c r="P3177" t="str">
        <f>INDEX(Produits!$C:$C,MATCH(H3177,Produits!$A:$A,0))</f>
        <v>Maintenance</v>
      </c>
      <c r="Q3177" s="3">
        <f>I3177*INDEX(Produits!$E:$E,MATCH(H3177,Produits!$A:$A,0))</f>
        <v>24.75</v>
      </c>
      <c r="R3177" s="3">
        <f>L3177-Q3177</f>
        <v>27.5</v>
      </c>
      <c r="S3177" s="2">
        <f>NETWORKDAYS(B3177,C3177)-1</f>
        <v>1</v>
      </c>
      <c r="T3177" s="1">
        <f>WORKDAY(B3177,5)</f>
        <v>45792</v>
      </c>
      <c r="U3177" t="b">
        <f>C3177&gt;T3177</f>
        <v>0</v>
      </c>
    </row>
    <row r="3178" spans="1:21" x14ac:dyDescent="0.25">
      <c r="A3178" t="s">
        <v>1963</v>
      </c>
      <c r="B3178" s="1">
        <v>45785</v>
      </c>
      <c r="C3178" s="1">
        <v>45786</v>
      </c>
      <c r="D3178" t="s">
        <v>913</v>
      </c>
      <c r="E3178" t="s">
        <v>339</v>
      </c>
      <c r="F3178" t="s">
        <v>31</v>
      </c>
      <c r="G3178" t="s">
        <v>375</v>
      </c>
      <c r="H3178" t="s">
        <v>51</v>
      </c>
      <c r="I3178" s="2">
        <v>1</v>
      </c>
      <c r="J3178" s="3">
        <v>180</v>
      </c>
      <c r="K3178" s="4">
        <v>0</v>
      </c>
      <c r="L3178" s="3">
        <v>180</v>
      </c>
      <c r="M3178" t="b">
        <v>1</v>
      </c>
      <c r="N3178" s="2">
        <f>YEAR(B3178)</f>
        <v>2025</v>
      </c>
      <c r="O3178" t="str">
        <f>INDEX(Agences!$C:$C,MATCH(F3178,Agences!$A:$A,0))</f>
        <v>Ouest</v>
      </c>
      <c r="P3178" t="str">
        <f>INDEX(Produits!$C:$C,MATCH(H3178,Produits!$A:$A,0))</f>
        <v>Maintenance</v>
      </c>
      <c r="Q3178" s="3">
        <f>I3178*INDEX(Produits!$E:$E,MATCH(H3178,Produits!$A:$A,0))</f>
        <v>82.8</v>
      </c>
      <c r="R3178" s="3">
        <f>L3178-Q3178</f>
        <v>97.2</v>
      </c>
      <c r="S3178" s="2">
        <f>NETWORKDAYS(B3178,C3178)-1</f>
        <v>1</v>
      </c>
      <c r="T3178" s="1">
        <f>WORKDAY(B3178,5)</f>
        <v>45792</v>
      </c>
      <c r="U3178" t="b">
        <f>C3178&gt;T3178</f>
        <v>0</v>
      </c>
    </row>
    <row r="3179" spans="1:21" x14ac:dyDescent="0.25">
      <c r="A3179" t="s">
        <v>1964</v>
      </c>
      <c r="B3179" s="1">
        <v>45785</v>
      </c>
      <c r="C3179" s="1">
        <v>45790</v>
      </c>
      <c r="D3179" t="s">
        <v>446</v>
      </c>
      <c r="E3179" t="s">
        <v>191</v>
      </c>
      <c r="F3179" t="s">
        <v>62</v>
      </c>
      <c r="G3179" t="s">
        <v>68</v>
      </c>
      <c r="H3179" t="s">
        <v>42</v>
      </c>
      <c r="I3179" s="2">
        <v>1</v>
      </c>
      <c r="J3179" s="3">
        <v>55</v>
      </c>
      <c r="K3179" s="4">
        <v>0</v>
      </c>
      <c r="L3179" s="3">
        <v>55</v>
      </c>
      <c r="M3179" t="b">
        <v>1</v>
      </c>
      <c r="N3179" s="2">
        <f>YEAR(B3179)</f>
        <v>2025</v>
      </c>
      <c r="O3179" t="str">
        <f>INDEX(Agences!$C:$C,MATCH(F3179,Agences!$A:$A,0))</f>
        <v>Méditerranée</v>
      </c>
      <c r="P3179" t="str">
        <f>INDEX(Produits!$C:$C,MATCH(H3179,Produits!$A:$A,0))</f>
        <v>Maintenance</v>
      </c>
      <c r="Q3179" s="3">
        <f>I3179*INDEX(Produits!$E:$E,MATCH(H3179,Produits!$A:$A,0))</f>
        <v>24.75</v>
      </c>
      <c r="R3179" s="3">
        <f>L3179-Q3179</f>
        <v>30.25</v>
      </c>
      <c r="S3179" s="2">
        <f>NETWORKDAYS(B3179,C3179)-1</f>
        <v>3</v>
      </c>
      <c r="T3179" s="1">
        <f>WORKDAY(B3179,5)</f>
        <v>45792</v>
      </c>
      <c r="U3179" t="b">
        <f>C3179&gt;T3179</f>
        <v>0</v>
      </c>
    </row>
    <row r="3180" spans="1:21" x14ac:dyDescent="0.25">
      <c r="A3180" t="s">
        <v>1964</v>
      </c>
      <c r="B3180" s="1">
        <v>45785</v>
      </c>
      <c r="C3180" s="1">
        <v>45790</v>
      </c>
      <c r="D3180" t="s">
        <v>446</v>
      </c>
      <c r="E3180" t="s">
        <v>191</v>
      </c>
      <c r="F3180" t="s">
        <v>62</v>
      </c>
      <c r="G3180" t="s">
        <v>68</v>
      </c>
      <c r="H3180" t="s">
        <v>319</v>
      </c>
      <c r="I3180" s="2">
        <v>3</v>
      </c>
      <c r="J3180" s="3">
        <v>289</v>
      </c>
      <c r="K3180" s="4">
        <v>0</v>
      </c>
      <c r="L3180" s="3">
        <v>867</v>
      </c>
      <c r="M3180" t="b">
        <v>1</v>
      </c>
      <c r="N3180" s="2">
        <f>YEAR(B3180)</f>
        <v>2025</v>
      </c>
      <c r="O3180" t="str">
        <f>INDEX(Agences!$C:$C,MATCH(F3180,Agences!$A:$A,0))</f>
        <v>Méditerranée</v>
      </c>
      <c r="P3180" t="str">
        <f>INDEX(Produits!$C:$C,MATCH(H3180,Produits!$A:$A,0))</f>
        <v>Informatique</v>
      </c>
      <c r="Q3180" s="3">
        <f>I3180*INDEX(Produits!$E:$E,MATCH(H3180,Produits!$A:$A,0))</f>
        <v>641.58</v>
      </c>
      <c r="R3180" s="3">
        <f>L3180-Q3180</f>
        <v>225.41999999999996</v>
      </c>
      <c r="S3180" s="2">
        <f>NETWORKDAYS(B3180,C3180)-1</f>
        <v>3</v>
      </c>
      <c r="T3180" s="1">
        <f>WORKDAY(B3180,5)</f>
        <v>45792</v>
      </c>
      <c r="U3180" t="b">
        <f>C3180&gt;T3180</f>
        <v>0</v>
      </c>
    </row>
    <row r="3181" spans="1:21" x14ac:dyDescent="0.25">
      <c r="A3181" t="s">
        <v>1965</v>
      </c>
      <c r="B3181" s="1">
        <v>45785</v>
      </c>
      <c r="C3181" s="1">
        <v>45789</v>
      </c>
      <c r="D3181" t="s">
        <v>381</v>
      </c>
      <c r="E3181" t="s">
        <v>157</v>
      </c>
      <c r="F3181" t="s">
        <v>46</v>
      </c>
      <c r="G3181" t="s">
        <v>111</v>
      </c>
      <c r="H3181" t="s">
        <v>42</v>
      </c>
      <c r="I3181" s="2">
        <v>1</v>
      </c>
      <c r="J3181" s="3">
        <v>55</v>
      </c>
      <c r="K3181" s="4">
        <v>0.08</v>
      </c>
      <c r="L3181" s="3">
        <v>50.6</v>
      </c>
      <c r="M3181" t="b">
        <v>1</v>
      </c>
      <c r="N3181" s="2">
        <f>YEAR(B3181)</f>
        <v>2025</v>
      </c>
      <c r="O3181" t="str">
        <f>INDEX(Agences!$C:$C,MATCH(F3181,Agences!$A:$A,0))</f>
        <v>Est</v>
      </c>
      <c r="P3181" t="str">
        <f>INDEX(Produits!$C:$C,MATCH(H3181,Produits!$A:$A,0))</f>
        <v>Maintenance</v>
      </c>
      <c r="Q3181" s="3">
        <f>I3181*INDEX(Produits!$E:$E,MATCH(H3181,Produits!$A:$A,0))</f>
        <v>24.75</v>
      </c>
      <c r="R3181" s="3">
        <f>L3181-Q3181</f>
        <v>25.85</v>
      </c>
      <c r="S3181" s="2">
        <f>NETWORKDAYS(B3181,C3181)-1</f>
        <v>2</v>
      </c>
      <c r="T3181" s="1">
        <f>WORKDAY(B3181,5)</f>
        <v>45792</v>
      </c>
      <c r="U3181" t="b">
        <f>C3181&gt;T3181</f>
        <v>0</v>
      </c>
    </row>
    <row r="3182" spans="1:21" x14ac:dyDescent="0.25">
      <c r="A3182" t="s">
        <v>1965</v>
      </c>
      <c r="B3182" s="1">
        <v>45785</v>
      </c>
      <c r="C3182" s="1">
        <v>45789</v>
      </c>
      <c r="D3182" t="s">
        <v>381</v>
      </c>
      <c r="E3182" t="s">
        <v>157</v>
      </c>
      <c r="F3182" t="s">
        <v>46</v>
      </c>
      <c r="G3182" t="s">
        <v>111</v>
      </c>
      <c r="H3182" t="s">
        <v>319</v>
      </c>
      <c r="I3182" s="2">
        <v>1</v>
      </c>
      <c r="J3182" s="3">
        <v>289</v>
      </c>
      <c r="K3182" s="4">
        <v>0.05</v>
      </c>
      <c r="L3182" s="3">
        <v>274.55</v>
      </c>
      <c r="M3182" t="b">
        <v>1</v>
      </c>
      <c r="N3182" s="2">
        <f>YEAR(B3182)</f>
        <v>2025</v>
      </c>
      <c r="O3182" t="str">
        <f>INDEX(Agences!$C:$C,MATCH(F3182,Agences!$A:$A,0))</f>
        <v>Est</v>
      </c>
      <c r="P3182" t="str">
        <f>INDEX(Produits!$C:$C,MATCH(H3182,Produits!$A:$A,0))</f>
        <v>Informatique</v>
      </c>
      <c r="Q3182" s="3">
        <f>I3182*INDEX(Produits!$E:$E,MATCH(H3182,Produits!$A:$A,0))</f>
        <v>213.86</v>
      </c>
      <c r="R3182" s="3">
        <f>L3182-Q3182</f>
        <v>60.69</v>
      </c>
      <c r="S3182" s="2">
        <f>NETWORKDAYS(B3182,C3182)-1</f>
        <v>2</v>
      </c>
      <c r="T3182" s="1">
        <f>WORKDAY(B3182,5)</f>
        <v>45792</v>
      </c>
      <c r="U3182" t="b">
        <f>C3182&gt;T3182</f>
        <v>0</v>
      </c>
    </row>
    <row r="3183" spans="1:21" x14ac:dyDescent="0.25">
      <c r="A3183" t="s">
        <v>1965</v>
      </c>
      <c r="B3183" s="1">
        <v>45785</v>
      </c>
      <c r="C3183" s="1">
        <v>45789</v>
      </c>
      <c r="D3183" t="s">
        <v>381</v>
      </c>
      <c r="E3183" t="s">
        <v>157</v>
      </c>
      <c r="F3183" t="s">
        <v>46</v>
      </c>
      <c r="G3183" t="s">
        <v>111</v>
      </c>
      <c r="H3183" t="s">
        <v>26</v>
      </c>
      <c r="I3183" s="2">
        <v>1</v>
      </c>
      <c r="J3183" s="3">
        <v>290</v>
      </c>
      <c r="K3183" s="4">
        <v>0.08</v>
      </c>
      <c r="L3183" s="3">
        <v>266.8</v>
      </c>
      <c r="M3183" t="b">
        <v>1</v>
      </c>
      <c r="N3183" s="2">
        <f>YEAR(B3183)</f>
        <v>2025</v>
      </c>
      <c r="O3183" t="str">
        <f>INDEX(Agences!$C:$C,MATCH(F3183,Agences!$A:$A,0))</f>
        <v>Est</v>
      </c>
      <c r="P3183" t="str">
        <f>INDEX(Produits!$C:$C,MATCH(H3183,Produits!$A:$A,0))</f>
        <v>Maintenance</v>
      </c>
      <c r="Q3183" s="3">
        <f>I3183*INDEX(Produits!$E:$E,MATCH(H3183,Produits!$A:$A,0))</f>
        <v>139.2</v>
      </c>
      <c r="R3183" s="3">
        <f>L3183-Q3183</f>
        <v>127.60000000000002</v>
      </c>
      <c r="S3183" s="2">
        <f>NETWORKDAYS(B3183,C3183)-1</f>
        <v>2</v>
      </c>
      <c r="T3183" s="1">
        <f>WORKDAY(B3183,5)</f>
        <v>45792</v>
      </c>
      <c r="U3183" t="b">
        <f>C3183&gt;T3183</f>
        <v>0</v>
      </c>
    </row>
    <row r="3184" spans="1:21" x14ac:dyDescent="0.25">
      <c r="A3184" t="s">
        <v>1965</v>
      </c>
      <c r="B3184" s="1">
        <v>45785</v>
      </c>
      <c r="C3184" s="1">
        <v>45789</v>
      </c>
      <c r="D3184" t="s">
        <v>381</v>
      </c>
      <c r="E3184" t="s">
        <v>157</v>
      </c>
      <c r="F3184" t="s">
        <v>46</v>
      </c>
      <c r="G3184" t="s">
        <v>111</v>
      </c>
      <c r="H3184" t="s">
        <v>161</v>
      </c>
      <c r="I3184" s="2">
        <v>15</v>
      </c>
      <c r="J3184" s="3">
        <v>32</v>
      </c>
      <c r="K3184" s="4">
        <v>0.05</v>
      </c>
      <c r="L3184" s="3">
        <v>456</v>
      </c>
      <c r="M3184" t="b">
        <v>1</v>
      </c>
      <c r="N3184" s="2">
        <f>YEAR(B3184)</f>
        <v>2025</v>
      </c>
      <c r="O3184" t="str">
        <f>INDEX(Agences!$C:$C,MATCH(F3184,Agences!$A:$A,0))</f>
        <v>Est</v>
      </c>
      <c r="P3184" t="str">
        <f>INDEX(Produits!$C:$C,MATCH(H3184,Produits!$A:$A,0))</f>
        <v>Fournitures</v>
      </c>
      <c r="Q3184" s="3">
        <f>I3184*INDEX(Produits!$E:$E,MATCH(H3184,Produits!$A:$A,0))</f>
        <v>264</v>
      </c>
      <c r="R3184" s="3">
        <f>L3184-Q3184</f>
        <v>192</v>
      </c>
      <c r="S3184" s="2">
        <f>NETWORKDAYS(B3184,C3184)-1</f>
        <v>2</v>
      </c>
      <c r="T3184" s="1">
        <f>WORKDAY(B3184,5)</f>
        <v>45792</v>
      </c>
      <c r="U3184" t="b">
        <f>C3184&gt;T3184</f>
        <v>0</v>
      </c>
    </row>
    <row r="3185" spans="1:21" x14ac:dyDescent="0.25">
      <c r="A3185" t="s">
        <v>1966</v>
      </c>
      <c r="B3185" s="1">
        <v>45784</v>
      </c>
      <c r="C3185" s="1">
        <v>45786</v>
      </c>
      <c r="D3185" t="s">
        <v>463</v>
      </c>
      <c r="E3185" t="s">
        <v>115</v>
      </c>
      <c r="F3185" t="s">
        <v>24</v>
      </c>
      <c r="G3185" t="s">
        <v>25</v>
      </c>
      <c r="H3185" t="s">
        <v>34</v>
      </c>
      <c r="I3185" s="2">
        <v>2</v>
      </c>
      <c r="J3185" s="3">
        <v>340</v>
      </c>
      <c r="K3185" s="4">
        <v>0.05</v>
      </c>
      <c r="L3185" s="3">
        <v>646</v>
      </c>
      <c r="M3185" t="b">
        <v>1</v>
      </c>
      <c r="N3185" s="2">
        <f>YEAR(B3185)</f>
        <v>2025</v>
      </c>
      <c r="O3185" t="str">
        <f>INDEX(Agences!$C:$C,MATCH(F3185,Agences!$A:$A,0))</f>
        <v>Nord</v>
      </c>
      <c r="P3185" t="str">
        <f>INDEX(Produits!$C:$C,MATCH(H3185,Produits!$A:$A,0))</f>
        <v>Informatique</v>
      </c>
      <c r="Q3185" s="3">
        <f>I3185*INDEX(Produits!$E:$E,MATCH(H3185,Produits!$A:$A,0))</f>
        <v>550.8</v>
      </c>
      <c r="R3185" s="3">
        <f>L3185-Q3185</f>
        <v>95.20000000000005</v>
      </c>
      <c r="S3185" s="2">
        <f>NETWORKDAYS(B3185,C3185)-1</f>
        <v>2</v>
      </c>
      <c r="T3185" s="1">
        <f>WORKDAY(B3185,5)</f>
        <v>45791</v>
      </c>
      <c r="U3185" t="b">
        <f>C3185&gt;T3185</f>
        <v>0</v>
      </c>
    </row>
    <row r="3186" spans="1:21" x14ac:dyDescent="0.25">
      <c r="A3186" t="s">
        <v>1967</v>
      </c>
      <c r="B3186" s="1">
        <v>45784</v>
      </c>
      <c r="C3186" s="1">
        <v>45786</v>
      </c>
      <c r="D3186" t="s">
        <v>401</v>
      </c>
      <c r="E3186" t="s">
        <v>175</v>
      </c>
      <c r="F3186" t="s">
        <v>76</v>
      </c>
      <c r="G3186" t="s">
        <v>176</v>
      </c>
      <c r="H3186" t="s">
        <v>162</v>
      </c>
      <c r="I3186" s="2">
        <v>2</v>
      </c>
      <c r="J3186" s="3">
        <v>289</v>
      </c>
      <c r="K3186" s="4">
        <v>0</v>
      </c>
      <c r="L3186" s="3">
        <v>578</v>
      </c>
      <c r="M3186" t="b">
        <v>1</v>
      </c>
      <c r="N3186" s="2">
        <f>YEAR(B3186)</f>
        <v>2025</v>
      </c>
      <c r="O3186" t="str">
        <f>INDEX(Agences!$C:$C,MATCH(F3186,Agences!$A:$A,0))</f>
        <v>Île-de-France</v>
      </c>
      <c r="P3186" t="str">
        <f>INDEX(Produits!$C:$C,MATCH(H3186,Produits!$A:$A,0))</f>
        <v>Mobilier</v>
      </c>
      <c r="Q3186" s="3">
        <f>I3186*INDEX(Produits!$E:$E,MATCH(H3186,Produits!$A:$A,0))</f>
        <v>387.26</v>
      </c>
      <c r="R3186" s="3">
        <f>L3186-Q3186</f>
        <v>190.74</v>
      </c>
      <c r="S3186" s="2">
        <f>NETWORKDAYS(B3186,C3186)-1</f>
        <v>2</v>
      </c>
      <c r="T3186" s="1">
        <f>WORKDAY(B3186,5)</f>
        <v>45791</v>
      </c>
      <c r="U3186" t="b">
        <f>C3186&gt;T3186</f>
        <v>0</v>
      </c>
    </row>
    <row r="3187" spans="1:21" x14ac:dyDescent="0.25">
      <c r="A3187" t="s">
        <v>1967</v>
      </c>
      <c r="B3187" s="1">
        <v>45784</v>
      </c>
      <c r="C3187" s="1">
        <v>45786</v>
      </c>
      <c r="D3187" t="s">
        <v>401</v>
      </c>
      <c r="E3187" t="s">
        <v>175</v>
      </c>
      <c r="F3187" t="s">
        <v>76</v>
      </c>
      <c r="G3187" t="s">
        <v>176</v>
      </c>
      <c r="H3187" t="s">
        <v>50</v>
      </c>
      <c r="I3187" s="2">
        <v>1</v>
      </c>
      <c r="J3187" s="3">
        <v>69</v>
      </c>
      <c r="K3187" s="4">
        <v>0</v>
      </c>
      <c r="L3187" s="3">
        <v>69</v>
      </c>
      <c r="M3187" t="b">
        <v>1</v>
      </c>
      <c r="N3187" s="2">
        <f>YEAR(B3187)</f>
        <v>2025</v>
      </c>
      <c r="O3187" t="str">
        <f>INDEX(Agences!$C:$C,MATCH(F3187,Agences!$A:$A,0))</f>
        <v>Île-de-France</v>
      </c>
      <c r="P3187" t="str">
        <f>INDEX(Produits!$C:$C,MATCH(H3187,Produits!$A:$A,0))</f>
        <v>Informatique</v>
      </c>
      <c r="Q3187" s="3">
        <f>I3187*INDEX(Produits!$E:$E,MATCH(H3187,Produits!$A:$A,0))</f>
        <v>54.51</v>
      </c>
      <c r="R3187" s="3">
        <f>L3187-Q3187</f>
        <v>14.490000000000002</v>
      </c>
      <c r="S3187" s="2">
        <f>NETWORKDAYS(B3187,C3187)-1</f>
        <v>2</v>
      </c>
      <c r="T3187" s="1">
        <f>WORKDAY(B3187,5)</f>
        <v>45791</v>
      </c>
      <c r="U3187" t="b">
        <f>C3187&gt;T3187</f>
        <v>0</v>
      </c>
    </row>
    <row r="3188" spans="1:21" x14ac:dyDescent="0.25">
      <c r="A3188" t="s">
        <v>1968</v>
      </c>
      <c r="B3188" s="1">
        <v>45784</v>
      </c>
      <c r="C3188" s="1">
        <v>45791</v>
      </c>
      <c r="D3188" t="s">
        <v>977</v>
      </c>
      <c r="E3188" t="s">
        <v>336</v>
      </c>
      <c r="F3188" t="s">
        <v>166</v>
      </c>
      <c r="G3188" t="s">
        <v>167</v>
      </c>
      <c r="H3188" t="s">
        <v>49</v>
      </c>
      <c r="I3188" s="2">
        <v>1</v>
      </c>
      <c r="J3188" s="3">
        <v>120</v>
      </c>
      <c r="K3188" s="4">
        <v>0</v>
      </c>
      <c r="L3188" s="3">
        <v>120</v>
      </c>
      <c r="M3188" t="b">
        <v>1</v>
      </c>
      <c r="N3188" s="2">
        <f>YEAR(B3188)</f>
        <v>2025</v>
      </c>
      <c r="O3188" t="str">
        <f>INDEX(Agences!$C:$C,MATCH(F3188,Agences!$A:$A,0))</f>
        <v>Ouest</v>
      </c>
      <c r="P3188" t="str">
        <f>INDEX(Produits!$C:$C,MATCH(H3188,Produits!$A:$A,0))</f>
        <v>Maintenance</v>
      </c>
      <c r="Q3188" s="3">
        <f>I3188*INDEX(Produits!$E:$E,MATCH(H3188,Produits!$A:$A,0))</f>
        <v>55.2</v>
      </c>
      <c r="R3188" s="3">
        <f>L3188-Q3188</f>
        <v>64.8</v>
      </c>
      <c r="S3188" s="2">
        <f>NETWORKDAYS(B3188,C3188)-1</f>
        <v>5</v>
      </c>
      <c r="T3188" s="1">
        <f>WORKDAY(B3188,5)</f>
        <v>45791</v>
      </c>
      <c r="U3188" t="b">
        <f>C3188&gt;T3188</f>
        <v>0</v>
      </c>
    </row>
    <row r="3189" spans="1:21" x14ac:dyDescent="0.25">
      <c r="A3189" t="s">
        <v>1968</v>
      </c>
      <c r="B3189" s="1">
        <v>45784</v>
      </c>
      <c r="C3189" s="1">
        <v>45791</v>
      </c>
      <c r="D3189" t="s">
        <v>977</v>
      </c>
      <c r="E3189" t="s">
        <v>336</v>
      </c>
      <c r="F3189" t="s">
        <v>166</v>
      </c>
      <c r="G3189" t="s">
        <v>167</v>
      </c>
      <c r="H3189" t="s">
        <v>108</v>
      </c>
      <c r="I3189" s="2">
        <v>10</v>
      </c>
      <c r="J3189" s="3">
        <v>24.5</v>
      </c>
      <c r="K3189" s="4">
        <v>0</v>
      </c>
      <c r="L3189" s="3">
        <v>245</v>
      </c>
      <c r="M3189" t="b">
        <v>1</v>
      </c>
      <c r="N3189" s="2">
        <f>YEAR(B3189)</f>
        <v>2025</v>
      </c>
      <c r="O3189" t="str">
        <f>INDEX(Agences!$C:$C,MATCH(F3189,Agences!$A:$A,0))</f>
        <v>Ouest</v>
      </c>
      <c r="P3189" t="str">
        <f>INDEX(Produits!$C:$C,MATCH(H3189,Produits!$A:$A,0))</f>
        <v>Fournitures</v>
      </c>
      <c r="Q3189" s="3">
        <f>I3189*INDEX(Produits!$E:$E,MATCH(H3189,Produits!$A:$A,0))</f>
        <v>147</v>
      </c>
      <c r="R3189" s="3">
        <f>L3189-Q3189</f>
        <v>98</v>
      </c>
      <c r="S3189" s="2">
        <f>NETWORKDAYS(B3189,C3189)-1</f>
        <v>5</v>
      </c>
      <c r="T3189" s="1">
        <f>WORKDAY(B3189,5)</f>
        <v>45791</v>
      </c>
      <c r="U3189" t="b">
        <f>C3189&gt;T3189</f>
        <v>0</v>
      </c>
    </row>
    <row r="3190" spans="1:21" x14ac:dyDescent="0.25">
      <c r="A3190" t="s">
        <v>1969</v>
      </c>
      <c r="B3190" s="1">
        <v>45784</v>
      </c>
      <c r="C3190" s="1">
        <v>45789</v>
      </c>
      <c r="D3190" t="s">
        <v>637</v>
      </c>
      <c r="E3190" t="s">
        <v>336</v>
      </c>
      <c r="F3190" t="s">
        <v>166</v>
      </c>
      <c r="G3190" t="s">
        <v>248</v>
      </c>
      <c r="H3190" t="s">
        <v>42</v>
      </c>
      <c r="I3190" s="2">
        <v>1</v>
      </c>
      <c r="J3190" s="3">
        <v>55</v>
      </c>
      <c r="K3190" s="4">
        <v>0.05</v>
      </c>
      <c r="L3190" s="3">
        <v>52.25</v>
      </c>
      <c r="M3190" t="b">
        <v>1</v>
      </c>
      <c r="N3190" s="2">
        <f>YEAR(B3190)</f>
        <v>2025</v>
      </c>
      <c r="O3190" t="str">
        <f>INDEX(Agences!$C:$C,MATCH(F3190,Agences!$A:$A,0))</f>
        <v>Ouest</v>
      </c>
      <c r="P3190" t="str">
        <f>INDEX(Produits!$C:$C,MATCH(H3190,Produits!$A:$A,0))</f>
        <v>Maintenance</v>
      </c>
      <c r="Q3190" s="3">
        <f>I3190*INDEX(Produits!$E:$E,MATCH(H3190,Produits!$A:$A,0))</f>
        <v>24.75</v>
      </c>
      <c r="R3190" s="3">
        <f>L3190-Q3190</f>
        <v>27.5</v>
      </c>
      <c r="S3190" s="2">
        <f>NETWORKDAYS(B3190,C3190)-1</f>
        <v>3</v>
      </c>
      <c r="T3190" s="1">
        <f>WORKDAY(B3190,5)</f>
        <v>45791</v>
      </c>
      <c r="U3190" t="b">
        <f>C3190&gt;T3190</f>
        <v>0</v>
      </c>
    </row>
    <row r="3191" spans="1:21" x14ac:dyDescent="0.25">
      <c r="A3191" t="s">
        <v>1970</v>
      </c>
      <c r="B3191" s="1">
        <v>45784</v>
      </c>
      <c r="C3191" s="1">
        <v>45789</v>
      </c>
      <c r="D3191" t="s">
        <v>1660</v>
      </c>
      <c r="E3191" t="s">
        <v>185</v>
      </c>
      <c r="F3191" t="s">
        <v>31</v>
      </c>
      <c r="G3191" t="s">
        <v>186</v>
      </c>
      <c r="H3191" t="s">
        <v>84</v>
      </c>
      <c r="I3191" s="2">
        <v>3</v>
      </c>
      <c r="J3191" s="3">
        <v>420</v>
      </c>
      <c r="K3191" s="4">
        <v>0</v>
      </c>
      <c r="L3191" s="3">
        <v>1260</v>
      </c>
      <c r="M3191" t="b">
        <v>1</v>
      </c>
      <c r="N3191" s="2">
        <f>YEAR(B3191)</f>
        <v>2025</v>
      </c>
      <c r="O3191" t="str">
        <f>INDEX(Agences!$C:$C,MATCH(F3191,Agences!$A:$A,0))</f>
        <v>Ouest</v>
      </c>
      <c r="P3191" t="str">
        <f>INDEX(Produits!$C:$C,MATCH(H3191,Produits!$A:$A,0))</f>
        <v>Mobilier</v>
      </c>
      <c r="Q3191" s="3">
        <f>I3191*INDEX(Produits!$E:$E,MATCH(H3191,Produits!$A:$A,0))</f>
        <v>730.8</v>
      </c>
      <c r="R3191" s="3">
        <f>L3191-Q3191</f>
        <v>529.2</v>
      </c>
      <c r="S3191" s="2">
        <f>NETWORKDAYS(B3191,C3191)-1</f>
        <v>3</v>
      </c>
      <c r="T3191" s="1">
        <f>WORKDAY(B3191,5)</f>
        <v>45791</v>
      </c>
      <c r="U3191" t="b">
        <f>C3191&gt;T3191</f>
        <v>0</v>
      </c>
    </row>
    <row r="3192" spans="1:21" x14ac:dyDescent="0.25">
      <c r="A3192" t="s">
        <v>1970</v>
      </c>
      <c r="B3192" s="1">
        <v>45784</v>
      </c>
      <c r="C3192" s="1">
        <v>45789</v>
      </c>
      <c r="D3192" t="s">
        <v>1660</v>
      </c>
      <c r="E3192" t="s">
        <v>185</v>
      </c>
      <c r="F3192" t="s">
        <v>31</v>
      </c>
      <c r="G3192" t="s">
        <v>186</v>
      </c>
      <c r="H3192" t="s">
        <v>196</v>
      </c>
      <c r="I3192" s="2">
        <v>20</v>
      </c>
      <c r="J3192" s="3">
        <v>18.5</v>
      </c>
      <c r="K3192" s="4">
        <v>0</v>
      </c>
      <c r="L3192" s="3">
        <v>370</v>
      </c>
      <c r="M3192" t="b">
        <v>1</v>
      </c>
      <c r="N3192" s="2">
        <f>YEAR(B3192)</f>
        <v>2025</v>
      </c>
      <c r="O3192" t="str">
        <f>INDEX(Agences!$C:$C,MATCH(F3192,Agences!$A:$A,0))</f>
        <v>Ouest</v>
      </c>
      <c r="P3192" t="str">
        <f>INDEX(Produits!$C:$C,MATCH(H3192,Produits!$A:$A,0))</f>
        <v>Fournitures</v>
      </c>
      <c r="Q3192" s="3">
        <f>I3192*INDEX(Produits!$E:$E,MATCH(H3192,Produits!$A:$A,0))</f>
        <v>188.79999999999998</v>
      </c>
      <c r="R3192" s="3">
        <f>L3192-Q3192</f>
        <v>181.20000000000002</v>
      </c>
      <c r="S3192" s="2">
        <f>NETWORKDAYS(B3192,C3192)-1</f>
        <v>3</v>
      </c>
      <c r="T3192" s="1">
        <f>WORKDAY(B3192,5)</f>
        <v>45791</v>
      </c>
      <c r="U3192" t="b">
        <f>C3192&gt;T3192</f>
        <v>0</v>
      </c>
    </row>
    <row r="3193" spans="1:21" x14ac:dyDescent="0.25">
      <c r="A3193" t="s">
        <v>1970</v>
      </c>
      <c r="B3193" s="1">
        <v>45784</v>
      </c>
      <c r="C3193" s="1">
        <v>45789</v>
      </c>
      <c r="D3193" t="s">
        <v>1660</v>
      </c>
      <c r="E3193" t="s">
        <v>185</v>
      </c>
      <c r="F3193" t="s">
        <v>31</v>
      </c>
      <c r="G3193" t="s">
        <v>186</v>
      </c>
      <c r="H3193" t="s">
        <v>42</v>
      </c>
      <c r="I3193" s="2">
        <v>1</v>
      </c>
      <c r="J3193" s="3">
        <v>55</v>
      </c>
      <c r="K3193" s="4">
        <v>0</v>
      </c>
      <c r="L3193" s="3">
        <v>55</v>
      </c>
      <c r="M3193" t="b">
        <v>1</v>
      </c>
      <c r="N3193" s="2">
        <f>YEAR(B3193)</f>
        <v>2025</v>
      </c>
      <c r="O3193" t="str">
        <f>INDEX(Agences!$C:$C,MATCH(F3193,Agences!$A:$A,0))</f>
        <v>Ouest</v>
      </c>
      <c r="P3193" t="str">
        <f>INDEX(Produits!$C:$C,MATCH(H3193,Produits!$A:$A,0))</f>
        <v>Maintenance</v>
      </c>
      <c r="Q3193" s="3">
        <f>I3193*INDEX(Produits!$E:$E,MATCH(H3193,Produits!$A:$A,0))</f>
        <v>24.75</v>
      </c>
      <c r="R3193" s="3">
        <f>L3193-Q3193</f>
        <v>30.25</v>
      </c>
      <c r="S3193" s="2">
        <f>NETWORKDAYS(B3193,C3193)-1</f>
        <v>3</v>
      </c>
      <c r="T3193" s="1">
        <f>WORKDAY(B3193,5)</f>
        <v>45791</v>
      </c>
      <c r="U3193" t="b">
        <f>C3193&gt;T3193</f>
        <v>0</v>
      </c>
    </row>
    <row r="3194" spans="1:21" x14ac:dyDescent="0.25">
      <c r="A3194" t="s">
        <v>1970</v>
      </c>
      <c r="B3194" s="1">
        <v>45784</v>
      </c>
      <c r="C3194" s="1">
        <v>45789</v>
      </c>
      <c r="D3194" t="s">
        <v>1660</v>
      </c>
      <c r="E3194" t="s">
        <v>185</v>
      </c>
      <c r="F3194" t="s">
        <v>31</v>
      </c>
      <c r="G3194" t="s">
        <v>186</v>
      </c>
      <c r="H3194" t="s">
        <v>127</v>
      </c>
      <c r="I3194" s="2">
        <v>1</v>
      </c>
      <c r="J3194" s="3">
        <v>649</v>
      </c>
      <c r="K3194" s="4">
        <v>0.05</v>
      </c>
      <c r="L3194" s="3">
        <v>616.55</v>
      </c>
      <c r="M3194" t="b">
        <v>1</v>
      </c>
      <c r="N3194" s="2">
        <f>YEAR(B3194)</f>
        <v>2025</v>
      </c>
      <c r="O3194" t="str">
        <f>INDEX(Agences!$C:$C,MATCH(F3194,Agences!$A:$A,0))</f>
        <v>Ouest</v>
      </c>
      <c r="P3194" t="str">
        <f>INDEX(Produits!$C:$C,MATCH(H3194,Produits!$A:$A,0))</f>
        <v>Informatique</v>
      </c>
      <c r="Q3194" s="3">
        <f>I3194*INDEX(Produits!$E:$E,MATCH(H3194,Produits!$A:$A,0))</f>
        <v>480.26</v>
      </c>
      <c r="R3194" s="3">
        <f>L3194-Q3194</f>
        <v>136.28999999999996</v>
      </c>
      <c r="S3194" s="2">
        <f>NETWORKDAYS(B3194,C3194)-1</f>
        <v>3</v>
      </c>
      <c r="T3194" s="1">
        <f>WORKDAY(B3194,5)</f>
        <v>45791</v>
      </c>
      <c r="U3194" t="b">
        <f>C3194&gt;T3194</f>
        <v>0</v>
      </c>
    </row>
    <row r="3195" spans="1:21" x14ac:dyDescent="0.25">
      <c r="A3195" t="s">
        <v>1970</v>
      </c>
      <c r="B3195" s="1">
        <v>45784</v>
      </c>
      <c r="C3195" s="1">
        <v>45789</v>
      </c>
      <c r="D3195" t="s">
        <v>1660</v>
      </c>
      <c r="E3195" t="s">
        <v>185</v>
      </c>
      <c r="F3195" t="s">
        <v>31</v>
      </c>
      <c r="G3195" t="s">
        <v>186</v>
      </c>
      <c r="H3195" t="s">
        <v>50</v>
      </c>
      <c r="I3195" s="2">
        <v>1</v>
      </c>
      <c r="J3195" s="3">
        <v>69</v>
      </c>
      <c r="K3195" s="4">
        <v>0</v>
      </c>
      <c r="L3195" s="3">
        <v>69</v>
      </c>
      <c r="M3195" t="b">
        <v>1</v>
      </c>
      <c r="N3195" s="2">
        <f>YEAR(B3195)</f>
        <v>2025</v>
      </c>
      <c r="O3195" t="str">
        <f>INDEX(Agences!$C:$C,MATCH(F3195,Agences!$A:$A,0))</f>
        <v>Ouest</v>
      </c>
      <c r="P3195" t="str">
        <f>INDEX(Produits!$C:$C,MATCH(H3195,Produits!$A:$A,0))</f>
        <v>Informatique</v>
      </c>
      <c r="Q3195" s="3">
        <f>I3195*INDEX(Produits!$E:$E,MATCH(H3195,Produits!$A:$A,0))</f>
        <v>54.51</v>
      </c>
      <c r="R3195" s="3">
        <f>L3195-Q3195</f>
        <v>14.490000000000002</v>
      </c>
      <c r="S3195" s="2">
        <f>NETWORKDAYS(B3195,C3195)-1</f>
        <v>3</v>
      </c>
      <c r="T3195" s="1">
        <f>WORKDAY(B3195,5)</f>
        <v>45791</v>
      </c>
      <c r="U3195" t="b">
        <f>C3195&gt;T3195</f>
        <v>0</v>
      </c>
    </row>
    <row r="3196" spans="1:21" x14ac:dyDescent="0.25">
      <c r="A3196" t="s">
        <v>1971</v>
      </c>
      <c r="B3196" s="1">
        <v>45784</v>
      </c>
      <c r="C3196" s="1">
        <v>45790</v>
      </c>
      <c r="D3196" t="s">
        <v>458</v>
      </c>
      <c r="E3196" t="s">
        <v>419</v>
      </c>
      <c r="F3196" t="s">
        <v>62</v>
      </c>
      <c r="G3196" t="s">
        <v>63</v>
      </c>
      <c r="H3196" t="s">
        <v>162</v>
      </c>
      <c r="I3196" s="2">
        <v>3</v>
      </c>
      <c r="J3196" s="3">
        <v>289</v>
      </c>
      <c r="K3196" s="4">
        <v>0</v>
      </c>
      <c r="L3196" s="3">
        <v>867</v>
      </c>
      <c r="M3196" t="b">
        <v>1</v>
      </c>
      <c r="N3196" s="2">
        <f>YEAR(B3196)</f>
        <v>2025</v>
      </c>
      <c r="O3196" t="str">
        <f>INDEX(Agences!$C:$C,MATCH(F3196,Agences!$A:$A,0))</f>
        <v>Méditerranée</v>
      </c>
      <c r="P3196" t="str">
        <f>INDEX(Produits!$C:$C,MATCH(H3196,Produits!$A:$A,0))</f>
        <v>Mobilier</v>
      </c>
      <c r="Q3196" s="3">
        <f>I3196*INDEX(Produits!$E:$E,MATCH(H3196,Produits!$A:$A,0))</f>
        <v>580.89</v>
      </c>
      <c r="R3196" s="3">
        <f>L3196-Q3196</f>
        <v>286.11</v>
      </c>
      <c r="S3196" s="2">
        <f>NETWORKDAYS(B3196,C3196)-1</f>
        <v>4</v>
      </c>
      <c r="T3196" s="1">
        <f>WORKDAY(B3196,5)</f>
        <v>45791</v>
      </c>
      <c r="U3196" t="b">
        <f>C3196&gt;T3196</f>
        <v>0</v>
      </c>
    </row>
    <row r="3197" spans="1:21" x14ac:dyDescent="0.25">
      <c r="A3197" t="s">
        <v>1972</v>
      </c>
      <c r="B3197" s="1">
        <v>45783</v>
      </c>
      <c r="C3197" s="1">
        <v>45789</v>
      </c>
      <c r="D3197" t="s">
        <v>359</v>
      </c>
      <c r="E3197" t="s">
        <v>137</v>
      </c>
      <c r="F3197" t="s">
        <v>138</v>
      </c>
      <c r="G3197" t="s">
        <v>214</v>
      </c>
      <c r="H3197" t="s">
        <v>196</v>
      </c>
      <c r="I3197" s="2">
        <v>5</v>
      </c>
      <c r="J3197" s="3">
        <v>18.5</v>
      </c>
      <c r="K3197" s="4">
        <v>0.05</v>
      </c>
      <c r="L3197" s="3">
        <v>87.88</v>
      </c>
      <c r="M3197" t="b">
        <v>1</v>
      </c>
      <c r="N3197" s="2">
        <f>YEAR(B3197)</f>
        <v>2025</v>
      </c>
      <c r="O3197" t="str">
        <f>INDEX(Agences!$C:$C,MATCH(F3197,Agences!$A:$A,0))</f>
        <v>Île-de-France</v>
      </c>
      <c r="P3197" t="str">
        <f>INDEX(Produits!$C:$C,MATCH(H3197,Produits!$A:$A,0))</f>
        <v>Fournitures</v>
      </c>
      <c r="Q3197" s="3">
        <f>I3197*INDEX(Produits!$E:$E,MATCH(H3197,Produits!$A:$A,0))</f>
        <v>47.199999999999996</v>
      </c>
      <c r="R3197" s="3">
        <f>L3197-Q3197</f>
        <v>40.68</v>
      </c>
      <c r="S3197" s="2">
        <f>NETWORKDAYS(B3197,C3197)-1</f>
        <v>4</v>
      </c>
      <c r="T3197" s="1">
        <f>WORKDAY(B3197,5)</f>
        <v>45790</v>
      </c>
      <c r="U3197" t="b">
        <f>C3197&gt;T3197</f>
        <v>0</v>
      </c>
    </row>
    <row r="3198" spans="1:21" x14ac:dyDescent="0.25">
      <c r="A3198" t="s">
        <v>1973</v>
      </c>
      <c r="B3198" s="1">
        <v>45782</v>
      </c>
      <c r="C3198" s="1">
        <v>45785</v>
      </c>
      <c r="D3198" t="s">
        <v>692</v>
      </c>
      <c r="E3198" t="s">
        <v>30</v>
      </c>
      <c r="F3198" t="s">
        <v>31</v>
      </c>
      <c r="G3198" t="s">
        <v>375</v>
      </c>
      <c r="H3198" t="s">
        <v>90</v>
      </c>
      <c r="I3198" s="2">
        <v>5</v>
      </c>
      <c r="J3198" s="3">
        <v>22.9</v>
      </c>
      <c r="K3198" s="4">
        <v>0.05</v>
      </c>
      <c r="L3198" s="3">
        <v>108.78</v>
      </c>
      <c r="M3198" t="b">
        <v>1</v>
      </c>
      <c r="N3198" s="2">
        <f>YEAR(B3198)</f>
        <v>2025</v>
      </c>
      <c r="O3198" t="str">
        <f>INDEX(Agences!$C:$C,MATCH(F3198,Agences!$A:$A,0))</f>
        <v>Ouest</v>
      </c>
      <c r="P3198" t="str">
        <f>INDEX(Produits!$C:$C,MATCH(H3198,Produits!$A:$A,0))</f>
        <v>Fournitures</v>
      </c>
      <c r="Q3198" s="3">
        <f>I3198*INDEX(Produits!$E:$E,MATCH(H3198,Produits!$A:$A,0))</f>
        <v>64.1</v>
      </c>
      <c r="R3198" s="3">
        <f>L3198-Q3198</f>
        <v>44.68000000000001</v>
      </c>
      <c r="S3198" s="2">
        <f>NETWORKDAYS(B3198,C3198)-1</f>
        <v>3</v>
      </c>
      <c r="T3198" s="1">
        <f>WORKDAY(B3198,5)</f>
        <v>45789</v>
      </c>
      <c r="U3198" t="b">
        <f>C3198&gt;T3198</f>
        <v>0</v>
      </c>
    </row>
    <row r="3199" spans="1:21" x14ac:dyDescent="0.25">
      <c r="A3199" t="s">
        <v>1974</v>
      </c>
      <c r="B3199" s="1">
        <v>45782</v>
      </c>
      <c r="C3199" s="1">
        <v>45784</v>
      </c>
      <c r="D3199" t="s">
        <v>810</v>
      </c>
      <c r="E3199" t="s">
        <v>30</v>
      </c>
      <c r="F3199" t="s">
        <v>31</v>
      </c>
      <c r="G3199" t="s">
        <v>32</v>
      </c>
      <c r="H3199" t="s">
        <v>42</v>
      </c>
      <c r="I3199" s="2">
        <v>2</v>
      </c>
      <c r="J3199" s="3">
        <v>55</v>
      </c>
      <c r="K3199" s="4">
        <v>0</v>
      </c>
      <c r="L3199" s="3">
        <v>110</v>
      </c>
      <c r="M3199" t="b">
        <v>1</v>
      </c>
      <c r="N3199" s="2">
        <f>YEAR(B3199)</f>
        <v>2025</v>
      </c>
      <c r="O3199" t="str">
        <f>INDEX(Agences!$C:$C,MATCH(F3199,Agences!$A:$A,0))</f>
        <v>Ouest</v>
      </c>
      <c r="P3199" t="str">
        <f>INDEX(Produits!$C:$C,MATCH(H3199,Produits!$A:$A,0))</f>
        <v>Maintenance</v>
      </c>
      <c r="Q3199" s="3">
        <f>I3199*INDEX(Produits!$E:$E,MATCH(H3199,Produits!$A:$A,0))</f>
        <v>49.5</v>
      </c>
      <c r="R3199" s="3">
        <f>L3199-Q3199</f>
        <v>60.5</v>
      </c>
      <c r="S3199" s="2">
        <f>NETWORKDAYS(B3199,C3199)-1</f>
        <v>2</v>
      </c>
      <c r="T3199" s="1">
        <f>WORKDAY(B3199,5)</f>
        <v>45789</v>
      </c>
      <c r="U3199" t="b">
        <f>C3199&gt;T3199</f>
        <v>0</v>
      </c>
    </row>
    <row r="3200" spans="1:21" x14ac:dyDescent="0.25">
      <c r="A3200" t="s">
        <v>1975</v>
      </c>
      <c r="B3200" s="1">
        <v>45782</v>
      </c>
      <c r="C3200" s="1">
        <v>45784</v>
      </c>
      <c r="D3200" t="s">
        <v>427</v>
      </c>
      <c r="E3200" t="s">
        <v>236</v>
      </c>
      <c r="F3200" t="s">
        <v>39</v>
      </c>
      <c r="G3200" t="s">
        <v>322</v>
      </c>
      <c r="H3200" t="s">
        <v>83</v>
      </c>
      <c r="I3200" s="2">
        <v>1</v>
      </c>
      <c r="J3200" s="3">
        <v>49</v>
      </c>
      <c r="K3200" s="4">
        <v>0.05</v>
      </c>
      <c r="L3200" s="3">
        <v>46.55</v>
      </c>
      <c r="M3200" t="b">
        <v>1</v>
      </c>
      <c r="N3200" s="2">
        <f>YEAR(B3200)</f>
        <v>2025</v>
      </c>
      <c r="O3200" t="str">
        <f>INDEX(Agences!$C:$C,MATCH(F3200,Agences!$A:$A,0))</f>
        <v>Sud-Ouest</v>
      </c>
      <c r="P3200" t="str">
        <f>INDEX(Produits!$C:$C,MATCH(H3200,Produits!$A:$A,0))</f>
        <v>Mobilier</v>
      </c>
      <c r="Q3200" s="3">
        <f>I3200*INDEX(Produits!$E:$E,MATCH(H3200,Produits!$A:$A,0))</f>
        <v>28.42</v>
      </c>
      <c r="R3200" s="3">
        <f>L3200-Q3200</f>
        <v>18.129999999999995</v>
      </c>
      <c r="S3200" s="2">
        <f>NETWORKDAYS(B3200,C3200)-1</f>
        <v>2</v>
      </c>
      <c r="T3200" s="1">
        <f>WORKDAY(B3200,5)</f>
        <v>45789</v>
      </c>
      <c r="U3200" t="b">
        <f>C3200&gt;T3200</f>
        <v>0</v>
      </c>
    </row>
    <row r="3201" spans="1:21" x14ac:dyDescent="0.25">
      <c r="A3201" t="s">
        <v>1975</v>
      </c>
      <c r="B3201" s="1">
        <v>45782</v>
      </c>
      <c r="C3201" s="1">
        <v>45784</v>
      </c>
      <c r="D3201" t="s">
        <v>427</v>
      </c>
      <c r="E3201" t="s">
        <v>236</v>
      </c>
      <c r="F3201" t="s">
        <v>39</v>
      </c>
      <c r="G3201" t="s">
        <v>322</v>
      </c>
      <c r="H3201" t="s">
        <v>50</v>
      </c>
      <c r="I3201" s="2">
        <v>3</v>
      </c>
      <c r="J3201" s="3">
        <v>69</v>
      </c>
      <c r="K3201" s="4">
        <v>0</v>
      </c>
      <c r="L3201" s="3">
        <v>207</v>
      </c>
      <c r="M3201" t="b">
        <v>1</v>
      </c>
      <c r="N3201" s="2">
        <f>YEAR(B3201)</f>
        <v>2025</v>
      </c>
      <c r="O3201" t="str">
        <f>INDEX(Agences!$C:$C,MATCH(F3201,Agences!$A:$A,0))</f>
        <v>Sud-Ouest</v>
      </c>
      <c r="P3201" t="str">
        <f>INDEX(Produits!$C:$C,MATCH(H3201,Produits!$A:$A,0))</f>
        <v>Informatique</v>
      </c>
      <c r="Q3201" s="3">
        <f>I3201*INDEX(Produits!$E:$E,MATCH(H3201,Produits!$A:$A,0))</f>
        <v>163.53</v>
      </c>
      <c r="R3201" s="3">
        <f>L3201-Q3201</f>
        <v>43.47</v>
      </c>
      <c r="S3201" s="2">
        <f>NETWORKDAYS(B3201,C3201)-1</f>
        <v>2</v>
      </c>
      <c r="T3201" s="1">
        <f>WORKDAY(B3201,5)</f>
        <v>45789</v>
      </c>
      <c r="U3201" t="b">
        <f>C3201&gt;T3201</f>
        <v>0</v>
      </c>
    </row>
    <row r="3202" spans="1:21" x14ac:dyDescent="0.25">
      <c r="A3202" t="s">
        <v>1975</v>
      </c>
      <c r="B3202" s="1">
        <v>45782</v>
      </c>
      <c r="C3202" s="1">
        <v>45784</v>
      </c>
      <c r="D3202" t="s">
        <v>427</v>
      </c>
      <c r="E3202" t="s">
        <v>236</v>
      </c>
      <c r="F3202" t="s">
        <v>39</v>
      </c>
      <c r="G3202" t="s">
        <v>322</v>
      </c>
      <c r="H3202" t="s">
        <v>107</v>
      </c>
      <c r="I3202" s="2">
        <v>1</v>
      </c>
      <c r="J3202" s="3">
        <v>99</v>
      </c>
      <c r="K3202" s="4">
        <v>0.05</v>
      </c>
      <c r="L3202" s="3">
        <v>94.05</v>
      </c>
      <c r="M3202" t="b">
        <v>1</v>
      </c>
      <c r="N3202" s="2">
        <f>YEAR(B3202)</f>
        <v>2025</v>
      </c>
      <c r="O3202" t="str">
        <f>INDEX(Agences!$C:$C,MATCH(F3202,Agences!$A:$A,0))</f>
        <v>Sud-Ouest</v>
      </c>
      <c r="P3202" t="str">
        <f>INDEX(Produits!$C:$C,MATCH(H3202,Produits!$A:$A,0))</f>
        <v>Informatique</v>
      </c>
      <c r="Q3202" s="3">
        <f>I3202*INDEX(Produits!$E:$E,MATCH(H3202,Produits!$A:$A,0))</f>
        <v>75.24</v>
      </c>
      <c r="R3202" s="3">
        <f>L3202-Q3202</f>
        <v>18.810000000000002</v>
      </c>
      <c r="S3202" s="2">
        <f>NETWORKDAYS(B3202,C3202)-1</f>
        <v>2</v>
      </c>
      <c r="T3202" s="1">
        <f>WORKDAY(B3202,5)</f>
        <v>45789</v>
      </c>
      <c r="U3202" t="b">
        <f>C3202&gt;T3202</f>
        <v>0</v>
      </c>
    </row>
    <row r="3203" spans="1:21" x14ac:dyDescent="0.25">
      <c r="A3203" t="s">
        <v>1976</v>
      </c>
      <c r="B3203" s="1">
        <v>45782</v>
      </c>
      <c r="C3203" s="1">
        <v>45786</v>
      </c>
      <c r="D3203" t="s">
        <v>1192</v>
      </c>
      <c r="E3203" t="s">
        <v>256</v>
      </c>
      <c r="F3203" t="s">
        <v>88</v>
      </c>
      <c r="G3203" t="s">
        <v>142</v>
      </c>
      <c r="H3203" t="s">
        <v>34</v>
      </c>
      <c r="I3203" s="2">
        <v>2</v>
      </c>
      <c r="J3203" s="3">
        <v>340</v>
      </c>
      <c r="K3203" s="4">
        <v>0.08</v>
      </c>
      <c r="L3203" s="3">
        <v>625.6</v>
      </c>
      <c r="M3203" t="b">
        <v>1</v>
      </c>
      <c r="N3203" s="2">
        <f>YEAR(B3203)</f>
        <v>2025</v>
      </c>
      <c r="O3203" t="str">
        <f>INDEX(Agences!$C:$C,MATCH(F3203,Agences!$A:$A,0))</f>
        <v>Sud-Ouest</v>
      </c>
      <c r="P3203" t="str">
        <f>INDEX(Produits!$C:$C,MATCH(H3203,Produits!$A:$A,0))</f>
        <v>Informatique</v>
      </c>
      <c r="Q3203" s="3">
        <f>I3203*INDEX(Produits!$E:$E,MATCH(H3203,Produits!$A:$A,0))</f>
        <v>550.8</v>
      </c>
      <c r="R3203" s="3">
        <f>L3203-Q3203</f>
        <v>74.80000000000007</v>
      </c>
      <c r="S3203" s="2">
        <f>NETWORKDAYS(B3203,C3203)-1</f>
        <v>4</v>
      </c>
      <c r="T3203" s="1">
        <f>WORKDAY(B3203,5)</f>
        <v>45789</v>
      </c>
      <c r="U3203" t="b">
        <f>C3203&gt;T3203</f>
        <v>0</v>
      </c>
    </row>
    <row r="3204" spans="1:21" x14ac:dyDescent="0.25">
      <c r="A3204" t="s">
        <v>1976</v>
      </c>
      <c r="B3204" s="1">
        <v>45782</v>
      </c>
      <c r="C3204" s="1">
        <v>45786</v>
      </c>
      <c r="D3204" t="s">
        <v>1192</v>
      </c>
      <c r="E3204" t="s">
        <v>256</v>
      </c>
      <c r="F3204" t="s">
        <v>88</v>
      </c>
      <c r="G3204" t="s">
        <v>142</v>
      </c>
      <c r="H3204" t="s">
        <v>50</v>
      </c>
      <c r="I3204" s="2">
        <v>1</v>
      </c>
      <c r="J3204" s="3">
        <v>69</v>
      </c>
      <c r="K3204" s="4">
        <v>0</v>
      </c>
      <c r="L3204" s="3">
        <v>69</v>
      </c>
      <c r="M3204" t="b">
        <v>1</v>
      </c>
      <c r="N3204" s="2">
        <f>YEAR(B3204)</f>
        <v>2025</v>
      </c>
      <c r="O3204" t="str">
        <f>INDEX(Agences!$C:$C,MATCH(F3204,Agences!$A:$A,0))</f>
        <v>Sud-Ouest</v>
      </c>
      <c r="P3204" t="str">
        <f>INDEX(Produits!$C:$C,MATCH(H3204,Produits!$A:$A,0))</f>
        <v>Informatique</v>
      </c>
      <c r="Q3204" s="3">
        <f>I3204*INDEX(Produits!$E:$E,MATCH(H3204,Produits!$A:$A,0))</f>
        <v>54.51</v>
      </c>
      <c r="R3204" s="3">
        <f>L3204-Q3204</f>
        <v>14.490000000000002</v>
      </c>
      <c r="S3204" s="2">
        <f>NETWORKDAYS(B3204,C3204)-1</f>
        <v>4</v>
      </c>
      <c r="T3204" s="1">
        <f>WORKDAY(B3204,5)</f>
        <v>45789</v>
      </c>
      <c r="U3204" t="b">
        <f>C3204&gt;T3204</f>
        <v>0</v>
      </c>
    </row>
    <row r="3205" spans="1:21" x14ac:dyDescent="0.25">
      <c r="A3205" t="s">
        <v>1976</v>
      </c>
      <c r="B3205" s="1">
        <v>45782</v>
      </c>
      <c r="C3205" s="1">
        <v>45786</v>
      </c>
      <c r="D3205" t="s">
        <v>1192</v>
      </c>
      <c r="E3205" t="s">
        <v>256</v>
      </c>
      <c r="F3205" t="s">
        <v>88</v>
      </c>
      <c r="G3205" t="s">
        <v>142</v>
      </c>
      <c r="H3205" t="s">
        <v>79</v>
      </c>
      <c r="I3205" s="2">
        <v>5</v>
      </c>
      <c r="J3205" s="3">
        <v>14.9</v>
      </c>
      <c r="K3205" s="4">
        <v>0.08</v>
      </c>
      <c r="L3205" s="3">
        <v>68.54</v>
      </c>
      <c r="M3205" t="b">
        <v>1</v>
      </c>
      <c r="N3205" s="2">
        <f>YEAR(B3205)</f>
        <v>2025</v>
      </c>
      <c r="O3205" t="str">
        <f>INDEX(Agences!$C:$C,MATCH(F3205,Agences!$A:$A,0))</f>
        <v>Sud-Ouest</v>
      </c>
      <c r="P3205" t="str">
        <f>INDEX(Produits!$C:$C,MATCH(H3205,Produits!$A:$A,0))</f>
        <v>Fournitures</v>
      </c>
      <c r="Q3205" s="3">
        <f>I3205*INDEX(Produits!$E:$E,MATCH(H3205,Produits!$A:$A,0))</f>
        <v>40.25</v>
      </c>
      <c r="R3205" s="3">
        <f>L3205-Q3205</f>
        <v>28.290000000000006</v>
      </c>
      <c r="S3205" s="2">
        <f>NETWORKDAYS(B3205,C3205)-1</f>
        <v>4</v>
      </c>
      <c r="T3205" s="1">
        <f>WORKDAY(B3205,5)</f>
        <v>45789</v>
      </c>
      <c r="U3205" t="b">
        <f>C3205&gt;T3205</f>
        <v>0</v>
      </c>
    </row>
    <row r="3206" spans="1:21" x14ac:dyDescent="0.25">
      <c r="A3206" t="s">
        <v>1977</v>
      </c>
      <c r="B3206" s="1">
        <v>45782</v>
      </c>
      <c r="C3206" s="1">
        <v>45786</v>
      </c>
      <c r="D3206" t="s">
        <v>169</v>
      </c>
      <c r="E3206" t="s">
        <v>67</v>
      </c>
      <c r="F3206" t="s">
        <v>62</v>
      </c>
      <c r="G3206" t="s">
        <v>106</v>
      </c>
      <c r="H3206" t="s">
        <v>35</v>
      </c>
      <c r="I3206" s="2">
        <v>1</v>
      </c>
      <c r="J3206" s="3">
        <v>79</v>
      </c>
      <c r="K3206" s="4">
        <v>0</v>
      </c>
      <c r="L3206" s="3">
        <v>79</v>
      </c>
      <c r="M3206" t="b">
        <v>1</v>
      </c>
      <c r="N3206" s="2">
        <f>YEAR(B3206)</f>
        <v>2025</v>
      </c>
      <c r="O3206" t="str">
        <f>INDEX(Agences!$C:$C,MATCH(F3206,Agences!$A:$A,0))</f>
        <v>Méditerranée</v>
      </c>
      <c r="P3206" t="str">
        <f>INDEX(Produits!$C:$C,MATCH(H3206,Produits!$A:$A,0))</f>
        <v>Mobilier</v>
      </c>
      <c r="Q3206" s="3">
        <f>I3206*INDEX(Produits!$E:$E,MATCH(H3206,Produits!$A:$A,0))</f>
        <v>46.61</v>
      </c>
      <c r="R3206" s="3">
        <f>L3206-Q3206</f>
        <v>32.39</v>
      </c>
      <c r="S3206" s="2">
        <f>NETWORKDAYS(B3206,C3206)-1</f>
        <v>4</v>
      </c>
      <c r="T3206" s="1">
        <f>WORKDAY(B3206,5)</f>
        <v>45789</v>
      </c>
      <c r="U3206" t="b">
        <f>C3206&gt;T3206</f>
        <v>0</v>
      </c>
    </row>
    <row r="3207" spans="1:21" x14ac:dyDescent="0.25">
      <c r="A3207" t="s">
        <v>1977</v>
      </c>
      <c r="B3207" s="1">
        <v>45782</v>
      </c>
      <c r="C3207" s="1">
        <v>45786</v>
      </c>
      <c r="D3207" t="s">
        <v>169</v>
      </c>
      <c r="E3207" t="s">
        <v>67</v>
      </c>
      <c r="F3207" t="s">
        <v>62</v>
      </c>
      <c r="G3207" t="s">
        <v>106</v>
      </c>
      <c r="H3207" t="s">
        <v>107</v>
      </c>
      <c r="I3207" s="2">
        <v>2</v>
      </c>
      <c r="J3207" s="3">
        <v>99</v>
      </c>
      <c r="K3207" s="4">
        <v>0.02</v>
      </c>
      <c r="L3207" s="3">
        <v>194.04</v>
      </c>
      <c r="M3207" t="b">
        <v>1</v>
      </c>
      <c r="N3207" s="2">
        <f>YEAR(B3207)</f>
        <v>2025</v>
      </c>
      <c r="O3207" t="str">
        <f>INDEX(Agences!$C:$C,MATCH(F3207,Agences!$A:$A,0))</f>
        <v>Méditerranée</v>
      </c>
      <c r="P3207" t="str">
        <f>INDEX(Produits!$C:$C,MATCH(H3207,Produits!$A:$A,0))</f>
        <v>Informatique</v>
      </c>
      <c r="Q3207" s="3">
        <f>I3207*INDEX(Produits!$E:$E,MATCH(H3207,Produits!$A:$A,0))</f>
        <v>150.48</v>
      </c>
      <c r="R3207" s="3">
        <f>L3207-Q3207</f>
        <v>43.56</v>
      </c>
      <c r="S3207" s="2">
        <f>NETWORKDAYS(B3207,C3207)-1</f>
        <v>4</v>
      </c>
      <c r="T3207" s="1">
        <f>WORKDAY(B3207,5)</f>
        <v>45789</v>
      </c>
      <c r="U3207" t="b">
        <f>C3207&gt;T3207</f>
        <v>0</v>
      </c>
    </row>
    <row r="3208" spans="1:21" x14ac:dyDescent="0.25">
      <c r="A3208" t="s">
        <v>1977</v>
      </c>
      <c r="B3208" s="1">
        <v>45782</v>
      </c>
      <c r="C3208" s="1">
        <v>45786</v>
      </c>
      <c r="D3208" t="s">
        <v>169</v>
      </c>
      <c r="E3208" t="s">
        <v>67</v>
      </c>
      <c r="F3208" t="s">
        <v>62</v>
      </c>
      <c r="G3208" t="s">
        <v>106</v>
      </c>
      <c r="H3208" t="s">
        <v>196</v>
      </c>
      <c r="I3208" s="2">
        <v>10</v>
      </c>
      <c r="J3208" s="3">
        <v>18.5</v>
      </c>
      <c r="K3208" s="4">
        <v>0</v>
      </c>
      <c r="L3208" s="3">
        <v>185</v>
      </c>
      <c r="M3208" t="b">
        <v>1</v>
      </c>
      <c r="N3208" s="2">
        <f>YEAR(B3208)</f>
        <v>2025</v>
      </c>
      <c r="O3208" t="str">
        <f>INDEX(Agences!$C:$C,MATCH(F3208,Agences!$A:$A,0))</f>
        <v>Méditerranée</v>
      </c>
      <c r="P3208" t="str">
        <f>INDEX(Produits!$C:$C,MATCH(H3208,Produits!$A:$A,0))</f>
        <v>Fournitures</v>
      </c>
      <c r="Q3208" s="3">
        <f>I3208*INDEX(Produits!$E:$E,MATCH(H3208,Produits!$A:$A,0))</f>
        <v>94.39999999999999</v>
      </c>
      <c r="R3208" s="3">
        <f>L3208-Q3208</f>
        <v>90.60000000000001</v>
      </c>
      <c r="S3208" s="2">
        <f>NETWORKDAYS(B3208,C3208)-1</f>
        <v>4</v>
      </c>
      <c r="T3208" s="1">
        <f>WORKDAY(B3208,5)</f>
        <v>45789</v>
      </c>
      <c r="U3208" t="b">
        <f>C3208&gt;T3208</f>
        <v>0</v>
      </c>
    </row>
    <row r="3209" spans="1:21" x14ac:dyDescent="0.25">
      <c r="A3209" t="s">
        <v>1978</v>
      </c>
      <c r="B3209" s="1">
        <v>45782</v>
      </c>
      <c r="C3209" s="1">
        <v>45789</v>
      </c>
      <c r="D3209" t="s">
        <v>556</v>
      </c>
      <c r="E3209" t="s">
        <v>153</v>
      </c>
      <c r="F3209" t="s">
        <v>94</v>
      </c>
      <c r="G3209" t="s">
        <v>154</v>
      </c>
      <c r="H3209" t="s">
        <v>206</v>
      </c>
      <c r="I3209" s="2">
        <v>5</v>
      </c>
      <c r="J3209" s="3">
        <v>34</v>
      </c>
      <c r="K3209" s="4">
        <v>0</v>
      </c>
      <c r="L3209" s="3">
        <v>170</v>
      </c>
      <c r="M3209" t="b">
        <v>1</v>
      </c>
      <c r="N3209" s="2">
        <f>YEAR(B3209)</f>
        <v>2025</v>
      </c>
      <c r="O3209" t="str">
        <f>INDEX(Agences!$C:$C,MATCH(F3209,Agences!$A:$A,0))</f>
        <v>Méditerranée</v>
      </c>
      <c r="P3209" t="str">
        <f>INDEX(Produits!$C:$C,MATCH(H3209,Produits!$A:$A,0))</f>
        <v>Fournitures</v>
      </c>
      <c r="Q3209" s="3">
        <f>I3209*INDEX(Produits!$E:$E,MATCH(H3209,Produits!$A:$A,0))</f>
        <v>96.89999999999999</v>
      </c>
      <c r="R3209" s="3">
        <f>L3209-Q3209</f>
        <v>73.10000000000001</v>
      </c>
      <c r="S3209" s="2">
        <f>NETWORKDAYS(B3209,C3209)-1</f>
        <v>5</v>
      </c>
      <c r="T3209" s="1">
        <f>WORKDAY(B3209,5)</f>
        <v>45789</v>
      </c>
      <c r="U3209" t="b">
        <f>C3209&gt;T3209</f>
        <v>0</v>
      </c>
    </row>
    <row r="3210" spans="1:21" x14ac:dyDescent="0.25">
      <c r="A3210" t="s">
        <v>1978</v>
      </c>
      <c r="B3210" s="1">
        <v>45782</v>
      </c>
      <c r="C3210" s="1">
        <v>45789</v>
      </c>
      <c r="D3210" t="s">
        <v>556</v>
      </c>
      <c r="E3210" t="s">
        <v>153</v>
      </c>
      <c r="F3210" t="s">
        <v>94</v>
      </c>
      <c r="G3210" t="s">
        <v>154</v>
      </c>
      <c r="H3210" t="s">
        <v>237</v>
      </c>
      <c r="I3210" s="2">
        <v>1</v>
      </c>
      <c r="J3210" s="3">
        <v>890</v>
      </c>
      <c r="K3210" s="4">
        <v>0.05</v>
      </c>
      <c r="L3210" s="3">
        <v>845.5</v>
      </c>
      <c r="M3210" t="b">
        <v>1</v>
      </c>
      <c r="N3210" s="2">
        <f>YEAR(B3210)</f>
        <v>2025</v>
      </c>
      <c r="O3210" t="str">
        <f>INDEX(Agences!$C:$C,MATCH(F3210,Agences!$A:$A,0))</f>
        <v>Méditerranée</v>
      </c>
      <c r="P3210" t="str">
        <f>INDEX(Produits!$C:$C,MATCH(H3210,Produits!$A:$A,0))</f>
        <v>Mobilier</v>
      </c>
      <c r="Q3210" s="3">
        <f>I3210*INDEX(Produits!$E:$E,MATCH(H3210,Produits!$A:$A,0))</f>
        <v>596.3</v>
      </c>
      <c r="R3210" s="3">
        <f>L3210-Q3210</f>
        <v>249.20000000000005</v>
      </c>
      <c r="S3210" s="2">
        <f>NETWORKDAYS(B3210,C3210)-1</f>
        <v>5</v>
      </c>
      <c r="T3210" s="1">
        <f>WORKDAY(B3210,5)</f>
        <v>45789</v>
      </c>
      <c r="U3210" t="b">
        <f>C3210&gt;T3210</f>
        <v>0</v>
      </c>
    </row>
    <row r="3211" spans="1:21" x14ac:dyDescent="0.25">
      <c r="A3211" t="s">
        <v>1978</v>
      </c>
      <c r="B3211" s="1">
        <v>45782</v>
      </c>
      <c r="C3211" s="1">
        <v>45789</v>
      </c>
      <c r="D3211" t="s">
        <v>556</v>
      </c>
      <c r="E3211" t="s">
        <v>153</v>
      </c>
      <c r="F3211" t="s">
        <v>94</v>
      </c>
      <c r="G3211" t="s">
        <v>154</v>
      </c>
      <c r="H3211" t="s">
        <v>161</v>
      </c>
      <c r="I3211" s="2">
        <v>5</v>
      </c>
      <c r="J3211" s="3">
        <v>32</v>
      </c>
      <c r="K3211" s="4">
        <v>0.05</v>
      </c>
      <c r="L3211" s="3">
        <v>152</v>
      </c>
      <c r="M3211" t="b">
        <v>1</v>
      </c>
      <c r="N3211" s="2">
        <f>YEAR(B3211)</f>
        <v>2025</v>
      </c>
      <c r="O3211" t="str">
        <f>INDEX(Agences!$C:$C,MATCH(F3211,Agences!$A:$A,0))</f>
        <v>Méditerranée</v>
      </c>
      <c r="P3211" t="str">
        <f>INDEX(Produits!$C:$C,MATCH(H3211,Produits!$A:$A,0))</f>
        <v>Fournitures</v>
      </c>
      <c r="Q3211" s="3">
        <f>I3211*INDEX(Produits!$E:$E,MATCH(H3211,Produits!$A:$A,0))</f>
        <v>88</v>
      </c>
      <c r="R3211" s="3">
        <f>L3211-Q3211</f>
        <v>64</v>
      </c>
      <c r="S3211" s="2">
        <f>NETWORKDAYS(B3211,C3211)-1</f>
        <v>5</v>
      </c>
      <c r="T3211" s="1">
        <f>WORKDAY(B3211,5)</f>
        <v>45789</v>
      </c>
      <c r="U3211" t="b">
        <f>C3211&gt;T3211</f>
        <v>0</v>
      </c>
    </row>
    <row r="3212" spans="1:21" x14ac:dyDescent="0.25">
      <c r="A3212" t="s">
        <v>1979</v>
      </c>
      <c r="B3212" s="1">
        <v>45782</v>
      </c>
      <c r="C3212" s="1">
        <v>45784</v>
      </c>
      <c r="D3212" t="s">
        <v>1980</v>
      </c>
      <c r="E3212" t="s">
        <v>449</v>
      </c>
      <c r="F3212" t="s">
        <v>94</v>
      </c>
      <c r="G3212" t="s">
        <v>95</v>
      </c>
      <c r="H3212" t="s">
        <v>33</v>
      </c>
      <c r="I3212" s="2">
        <v>2</v>
      </c>
      <c r="J3212" s="3">
        <v>219</v>
      </c>
      <c r="K3212" s="4">
        <v>0</v>
      </c>
      <c r="L3212" s="3">
        <v>438</v>
      </c>
      <c r="M3212" t="b">
        <v>1</v>
      </c>
      <c r="N3212" s="2">
        <f>YEAR(B3212)</f>
        <v>2025</v>
      </c>
      <c r="O3212" t="str">
        <f>INDEX(Agences!$C:$C,MATCH(F3212,Agences!$A:$A,0))</f>
        <v>Méditerranée</v>
      </c>
      <c r="P3212" t="str">
        <f>INDEX(Produits!$C:$C,MATCH(H3212,Produits!$A:$A,0))</f>
        <v>Informatique</v>
      </c>
      <c r="Q3212" s="3">
        <f>I3212*INDEX(Produits!$E:$E,MATCH(H3212,Produits!$A:$A,0))</f>
        <v>359.16</v>
      </c>
      <c r="R3212" s="3">
        <f>L3212-Q3212</f>
        <v>78.83999999999997</v>
      </c>
      <c r="S3212" s="2">
        <f>NETWORKDAYS(B3212,C3212)-1</f>
        <v>2</v>
      </c>
      <c r="T3212" s="1">
        <f>WORKDAY(B3212,5)</f>
        <v>45789</v>
      </c>
      <c r="U3212" t="b">
        <f>C3212&gt;T3212</f>
        <v>0</v>
      </c>
    </row>
    <row r="3213" spans="1:21" x14ac:dyDescent="0.25">
      <c r="A3213" t="s">
        <v>1981</v>
      </c>
      <c r="B3213" s="1">
        <v>45782</v>
      </c>
      <c r="C3213" s="1">
        <v>45784</v>
      </c>
      <c r="D3213" t="s">
        <v>917</v>
      </c>
      <c r="E3213" t="s">
        <v>229</v>
      </c>
      <c r="F3213" t="s">
        <v>55</v>
      </c>
      <c r="G3213" t="s">
        <v>56</v>
      </c>
      <c r="H3213" t="s">
        <v>41</v>
      </c>
      <c r="I3213" s="2">
        <v>1</v>
      </c>
      <c r="J3213" s="3">
        <v>790</v>
      </c>
      <c r="K3213" s="4">
        <v>0</v>
      </c>
      <c r="L3213" s="3">
        <v>790</v>
      </c>
      <c r="M3213" t="b">
        <v>1</v>
      </c>
      <c r="N3213" s="2">
        <f>YEAR(B3213)</f>
        <v>2025</v>
      </c>
      <c r="O3213" t="str">
        <f>INDEX(Agences!$C:$C,MATCH(F3213,Agences!$A:$A,0))</f>
        <v>Est</v>
      </c>
      <c r="P3213" t="str">
        <f>INDEX(Produits!$C:$C,MATCH(H3213,Produits!$A:$A,0))</f>
        <v>Informatique</v>
      </c>
      <c r="Q3213" s="3">
        <f>I3213*INDEX(Produits!$E:$E,MATCH(H3213,Produits!$A:$A,0))</f>
        <v>576.7</v>
      </c>
      <c r="R3213" s="3">
        <f>L3213-Q3213</f>
        <v>213.29999999999995</v>
      </c>
      <c r="S3213" s="2">
        <f>NETWORKDAYS(B3213,C3213)-1</f>
        <v>2</v>
      </c>
      <c r="T3213" s="1">
        <f>WORKDAY(B3213,5)</f>
        <v>45789</v>
      </c>
      <c r="U3213" t="b">
        <f>C3213&gt;T3213</f>
        <v>0</v>
      </c>
    </row>
    <row r="3214" spans="1:21" x14ac:dyDescent="0.25">
      <c r="A3214" t="s">
        <v>1981</v>
      </c>
      <c r="B3214" s="1">
        <v>45782</v>
      </c>
      <c r="C3214" s="1">
        <v>45784</v>
      </c>
      <c r="D3214" t="s">
        <v>917</v>
      </c>
      <c r="E3214" t="s">
        <v>229</v>
      </c>
      <c r="F3214" t="s">
        <v>55</v>
      </c>
      <c r="G3214" t="s">
        <v>56</v>
      </c>
      <c r="H3214" t="s">
        <v>83</v>
      </c>
      <c r="I3214" s="2">
        <v>5</v>
      </c>
      <c r="J3214" s="3">
        <v>49</v>
      </c>
      <c r="K3214" s="4">
        <v>0.02</v>
      </c>
      <c r="L3214" s="3">
        <v>240.1</v>
      </c>
      <c r="M3214" t="b">
        <v>1</v>
      </c>
      <c r="N3214" s="2">
        <f>YEAR(B3214)</f>
        <v>2025</v>
      </c>
      <c r="O3214" t="str">
        <f>INDEX(Agences!$C:$C,MATCH(F3214,Agences!$A:$A,0))</f>
        <v>Est</v>
      </c>
      <c r="P3214" t="str">
        <f>INDEX(Produits!$C:$C,MATCH(H3214,Produits!$A:$A,0))</f>
        <v>Mobilier</v>
      </c>
      <c r="Q3214" s="3">
        <f>I3214*INDEX(Produits!$E:$E,MATCH(H3214,Produits!$A:$A,0))</f>
        <v>142.10000000000002</v>
      </c>
      <c r="R3214" s="3">
        <f>L3214-Q3214</f>
        <v>97.99999999999997</v>
      </c>
      <c r="S3214" s="2">
        <f>NETWORKDAYS(B3214,C3214)-1</f>
        <v>2</v>
      </c>
      <c r="T3214" s="1">
        <f>WORKDAY(B3214,5)</f>
        <v>45789</v>
      </c>
      <c r="U3214" t="b">
        <f>C3214&gt;T3214</f>
        <v>0</v>
      </c>
    </row>
    <row r="3215" spans="1:21" x14ac:dyDescent="0.25">
      <c r="A3215" t="s">
        <v>1981</v>
      </c>
      <c r="B3215" s="1">
        <v>45782</v>
      </c>
      <c r="C3215" s="1">
        <v>45784</v>
      </c>
      <c r="D3215" t="s">
        <v>917</v>
      </c>
      <c r="E3215" t="s">
        <v>229</v>
      </c>
      <c r="F3215" t="s">
        <v>55</v>
      </c>
      <c r="G3215" t="s">
        <v>56</v>
      </c>
      <c r="H3215" t="s">
        <v>103</v>
      </c>
      <c r="I3215" s="2">
        <v>5</v>
      </c>
      <c r="J3215" s="3">
        <v>245</v>
      </c>
      <c r="K3215" s="4">
        <v>0</v>
      </c>
      <c r="L3215" s="3">
        <v>1225</v>
      </c>
      <c r="M3215" t="b">
        <v>1</v>
      </c>
      <c r="N3215" s="2">
        <f>YEAR(B3215)</f>
        <v>2025</v>
      </c>
      <c r="O3215" t="str">
        <f>INDEX(Agences!$C:$C,MATCH(F3215,Agences!$A:$A,0))</f>
        <v>Est</v>
      </c>
      <c r="P3215" t="str">
        <f>INDEX(Produits!$C:$C,MATCH(H3215,Produits!$A:$A,0))</f>
        <v>Mobilier</v>
      </c>
      <c r="Q3215" s="3">
        <f>I3215*INDEX(Produits!$E:$E,MATCH(H3215,Produits!$A:$A,0))</f>
        <v>820.75</v>
      </c>
      <c r="R3215" s="3">
        <f>L3215-Q3215</f>
        <v>404.25</v>
      </c>
      <c r="S3215" s="2">
        <f>NETWORKDAYS(B3215,C3215)-1</f>
        <v>2</v>
      </c>
      <c r="T3215" s="1">
        <f>WORKDAY(B3215,5)</f>
        <v>45789</v>
      </c>
      <c r="U3215" t="b">
        <f>C3215&gt;T3215</f>
        <v>0</v>
      </c>
    </row>
    <row r="3216" spans="1:21" x14ac:dyDescent="0.25">
      <c r="A3216" t="s">
        <v>1981</v>
      </c>
      <c r="B3216" s="1">
        <v>45782</v>
      </c>
      <c r="C3216" s="1">
        <v>45784</v>
      </c>
      <c r="D3216" t="s">
        <v>917</v>
      </c>
      <c r="E3216" t="s">
        <v>229</v>
      </c>
      <c r="F3216" t="s">
        <v>55</v>
      </c>
      <c r="G3216" t="s">
        <v>56</v>
      </c>
      <c r="H3216" t="s">
        <v>42</v>
      </c>
      <c r="I3216" s="2">
        <v>1</v>
      </c>
      <c r="J3216" s="3">
        <v>55</v>
      </c>
      <c r="K3216" s="4">
        <v>0</v>
      </c>
      <c r="L3216" s="3">
        <v>55</v>
      </c>
      <c r="M3216" t="b">
        <v>1</v>
      </c>
      <c r="N3216" s="2">
        <f>YEAR(B3216)</f>
        <v>2025</v>
      </c>
      <c r="O3216" t="str">
        <f>INDEX(Agences!$C:$C,MATCH(F3216,Agences!$A:$A,0))</f>
        <v>Est</v>
      </c>
      <c r="P3216" t="str">
        <f>INDEX(Produits!$C:$C,MATCH(H3216,Produits!$A:$A,0))</f>
        <v>Maintenance</v>
      </c>
      <c r="Q3216" s="3">
        <f>I3216*INDEX(Produits!$E:$E,MATCH(H3216,Produits!$A:$A,0))</f>
        <v>24.75</v>
      </c>
      <c r="R3216" s="3">
        <f>L3216-Q3216</f>
        <v>30.25</v>
      </c>
      <c r="S3216" s="2">
        <f>NETWORKDAYS(B3216,C3216)-1</f>
        <v>2</v>
      </c>
      <c r="T3216" s="1">
        <f>WORKDAY(B3216,5)</f>
        <v>45789</v>
      </c>
      <c r="U3216" t="b">
        <f>C3216&gt;T3216</f>
        <v>0</v>
      </c>
    </row>
    <row r="3217" spans="1:21" x14ac:dyDescent="0.25">
      <c r="A3217" t="s">
        <v>1982</v>
      </c>
      <c r="B3217" s="1">
        <v>45779</v>
      </c>
      <c r="C3217" s="1">
        <v>45784</v>
      </c>
      <c r="D3217" t="s">
        <v>906</v>
      </c>
      <c r="E3217" t="s">
        <v>175</v>
      </c>
      <c r="F3217" t="s">
        <v>76</v>
      </c>
      <c r="G3217" t="s">
        <v>176</v>
      </c>
      <c r="H3217" t="s">
        <v>35</v>
      </c>
      <c r="I3217" s="2">
        <v>3</v>
      </c>
      <c r="J3217" s="3">
        <v>79</v>
      </c>
      <c r="K3217" s="4">
        <v>0</v>
      </c>
      <c r="L3217" s="3">
        <v>237</v>
      </c>
      <c r="M3217" t="b">
        <v>1</v>
      </c>
      <c r="N3217" s="2">
        <f>YEAR(B3217)</f>
        <v>2025</v>
      </c>
      <c r="O3217" t="str">
        <f>INDEX(Agences!$C:$C,MATCH(F3217,Agences!$A:$A,0))</f>
        <v>Île-de-France</v>
      </c>
      <c r="P3217" t="str">
        <f>INDEX(Produits!$C:$C,MATCH(H3217,Produits!$A:$A,0))</f>
        <v>Mobilier</v>
      </c>
      <c r="Q3217" s="3">
        <f>I3217*INDEX(Produits!$E:$E,MATCH(H3217,Produits!$A:$A,0))</f>
        <v>139.82999999999998</v>
      </c>
      <c r="R3217" s="3">
        <f>L3217-Q3217</f>
        <v>97.17000000000002</v>
      </c>
      <c r="S3217" s="2">
        <f>NETWORKDAYS(B3217,C3217)-1</f>
        <v>3</v>
      </c>
      <c r="T3217" s="1">
        <f>WORKDAY(B3217,5)</f>
        <v>45786</v>
      </c>
      <c r="U3217" t="b">
        <f>C3217&gt;T3217</f>
        <v>0</v>
      </c>
    </row>
    <row r="3218" spans="1:21" x14ac:dyDescent="0.25">
      <c r="A3218" t="s">
        <v>1982</v>
      </c>
      <c r="B3218" s="1">
        <v>45779</v>
      </c>
      <c r="C3218" s="1">
        <v>45784</v>
      </c>
      <c r="D3218" t="s">
        <v>906</v>
      </c>
      <c r="E3218" t="s">
        <v>175</v>
      </c>
      <c r="F3218" t="s">
        <v>76</v>
      </c>
      <c r="G3218" t="s">
        <v>176</v>
      </c>
      <c r="H3218" t="s">
        <v>123</v>
      </c>
      <c r="I3218" s="2">
        <v>5</v>
      </c>
      <c r="J3218" s="3">
        <v>39.9</v>
      </c>
      <c r="K3218" s="4">
        <v>0.05</v>
      </c>
      <c r="L3218" s="3">
        <v>189.53</v>
      </c>
      <c r="M3218" t="b">
        <v>1</v>
      </c>
      <c r="N3218" s="2">
        <f>YEAR(B3218)</f>
        <v>2025</v>
      </c>
      <c r="O3218" t="str">
        <f>INDEX(Agences!$C:$C,MATCH(F3218,Agences!$A:$A,0))</f>
        <v>Île-de-France</v>
      </c>
      <c r="P3218" t="str">
        <f>INDEX(Produits!$C:$C,MATCH(H3218,Produits!$A:$A,0))</f>
        <v>Fournitures</v>
      </c>
      <c r="Q3218" s="3">
        <f>I3218*INDEX(Produits!$E:$E,MATCH(H3218,Produits!$A:$A,0))</f>
        <v>111.7</v>
      </c>
      <c r="R3218" s="3">
        <f>L3218-Q3218</f>
        <v>77.83</v>
      </c>
      <c r="S3218" s="2">
        <f>NETWORKDAYS(B3218,C3218)-1</f>
        <v>3</v>
      </c>
      <c r="T3218" s="1">
        <f>WORKDAY(B3218,5)</f>
        <v>45786</v>
      </c>
      <c r="U3218" t="b">
        <f>C3218&gt;T3218</f>
        <v>0</v>
      </c>
    </row>
    <row r="3219" spans="1:21" x14ac:dyDescent="0.25">
      <c r="A3219" t="s">
        <v>1983</v>
      </c>
      <c r="B3219" s="1">
        <v>45779</v>
      </c>
      <c r="C3219" s="1">
        <v>45783</v>
      </c>
      <c r="D3219" t="s">
        <v>733</v>
      </c>
      <c r="E3219" t="s">
        <v>307</v>
      </c>
      <c r="F3219" t="s">
        <v>76</v>
      </c>
      <c r="G3219" t="s">
        <v>232</v>
      </c>
      <c r="H3219" t="s">
        <v>50</v>
      </c>
      <c r="I3219" s="2">
        <v>1</v>
      </c>
      <c r="J3219" s="3">
        <v>69</v>
      </c>
      <c r="K3219" s="4">
        <v>0</v>
      </c>
      <c r="L3219" s="3">
        <v>69</v>
      </c>
      <c r="M3219" t="b">
        <v>1</v>
      </c>
      <c r="N3219" s="2">
        <f>YEAR(B3219)</f>
        <v>2025</v>
      </c>
      <c r="O3219" t="str">
        <f>INDEX(Agences!$C:$C,MATCH(F3219,Agences!$A:$A,0))</f>
        <v>Île-de-France</v>
      </c>
      <c r="P3219" t="str">
        <f>INDEX(Produits!$C:$C,MATCH(H3219,Produits!$A:$A,0))</f>
        <v>Informatique</v>
      </c>
      <c r="Q3219" s="3">
        <f>I3219*INDEX(Produits!$E:$E,MATCH(H3219,Produits!$A:$A,0))</f>
        <v>54.51</v>
      </c>
      <c r="R3219" s="3">
        <f>L3219-Q3219</f>
        <v>14.490000000000002</v>
      </c>
      <c r="S3219" s="2">
        <f>NETWORKDAYS(B3219,C3219)-1</f>
        <v>2</v>
      </c>
      <c r="T3219" s="1">
        <f>WORKDAY(B3219,5)</f>
        <v>45786</v>
      </c>
      <c r="U3219" t="b">
        <f>C3219&gt;T3219</f>
        <v>0</v>
      </c>
    </row>
    <row r="3220" spans="1:21" x14ac:dyDescent="0.25">
      <c r="A3220" t="s">
        <v>1984</v>
      </c>
      <c r="B3220" s="1">
        <v>45779</v>
      </c>
      <c r="C3220" s="1">
        <v>45782</v>
      </c>
      <c r="D3220" t="s">
        <v>473</v>
      </c>
      <c r="E3220" t="s">
        <v>82</v>
      </c>
      <c r="F3220" t="s">
        <v>39</v>
      </c>
      <c r="G3220" t="s">
        <v>131</v>
      </c>
      <c r="H3220" t="s">
        <v>57</v>
      </c>
      <c r="I3220" s="2">
        <v>3</v>
      </c>
      <c r="J3220" s="3">
        <v>149</v>
      </c>
      <c r="K3220" s="4">
        <v>0.05</v>
      </c>
      <c r="L3220" s="3">
        <v>424.65</v>
      </c>
      <c r="M3220" t="b">
        <v>1</v>
      </c>
      <c r="N3220" s="2">
        <f>YEAR(B3220)</f>
        <v>2025</v>
      </c>
      <c r="O3220" t="str">
        <f>INDEX(Agences!$C:$C,MATCH(F3220,Agences!$A:$A,0))</f>
        <v>Sud-Ouest</v>
      </c>
      <c r="P3220" t="str">
        <f>INDEX(Produits!$C:$C,MATCH(H3220,Produits!$A:$A,0))</f>
        <v>Informatique</v>
      </c>
      <c r="Q3220" s="3">
        <f>I3220*INDEX(Produits!$E:$E,MATCH(H3220,Produits!$A:$A,0))</f>
        <v>344.19</v>
      </c>
      <c r="R3220" s="3">
        <f>L3220-Q3220</f>
        <v>80.45999999999998</v>
      </c>
      <c r="S3220" s="2">
        <f>NETWORKDAYS(B3220,C3220)-1</f>
        <v>1</v>
      </c>
      <c r="T3220" s="1">
        <f>WORKDAY(B3220,5)</f>
        <v>45786</v>
      </c>
      <c r="U3220" t="b">
        <f>C3220&gt;T3220</f>
        <v>0</v>
      </c>
    </row>
    <row r="3221" spans="1:21" x14ac:dyDescent="0.25">
      <c r="A3221" t="s">
        <v>1984</v>
      </c>
      <c r="B3221" s="1">
        <v>45779</v>
      </c>
      <c r="C3221" s="1">
        <v>45782</v>
      </c>
      <c r="D3221" t="s">
        <v>473</v>
      </c>
      <c r="E3221" t="s">
        <v>82</v>
      </c>
      <c r="F3221" t="s">
        <v>39</v>
      </c>
      <c r="G3221" t="s">
        <v>131</v>
      </c>
      <c r="H3221" t="s">
        <v>90</v>
      </c>
      <c r="I3221" s="2">
        <v>10</v>
      </c>
      <c r="J3221" s="3">
        <v>22.9</v>
      </c>
      <c r="K3221" s="4">
        <v>0</v>
      </c>
      <c r="L3221" s="3">
        <v>229</v>
      </c>
      <c r="M3221" t="b">
        <v>1</v>
      </c>
      <c r="N3221" s="2">
        <f>YEAR(B3221)</f>
        <v>2025</v>
      </c>
      <c r="O3221" t="str">
        <f>INDEX(Agences!$C:$C,MATCH(F3221,Agences!$A:$A,0))</f>
        <v>Sud-Ouest</v>
      </c>
      <c r="P3221" t="str">
        <f>INDEX(Produits!$C:$C,MATCH(H3221,Produits!$A:$A,0))</f>
        <v>Fournitures</v>
      </c>
      <c r="Q3221" s="3">
        <f>I3221*INDEX(Produits!$E:$E,MATCH(H3221,Produits!$A:$A,0))</f>
        <v>128.2</v>
      </c>
      <c r="R3221" s="3">
        <f>L3221-Q3221</f>
        <v>100.80000000000001</v>
      </c>
      <c r="S3221" s="2">
        <f>NETWORKDAYS(B3221,C3221)-1</f>
        <v>1</v>
      </c>
      <c r="T3221" s="1">
        <f>WORKDAY(B3221,5)</f>
        <v>45786</v>
      </c>
      <c r="U3221" t="b">
        <f>C3221&gt;T3221</f>
        <v>0</v>
      </c>
    </row>
    <row r="3222" spans="1:21" x14ac:dyDescent="0.25">
      <c r="A3222" t="s">
        <v>1984</v>
      </c>
      <c r="B3222" s="1">
        <v>45779</v>
      </c>
      <c r="C3222" s="1">
        <v>45782</v>
      </c>
      <c r="D3222" t="s">
        <v>473</v>
      </c>
      <c r="E3222" t="s">
        <v>82</v>
      </c>
      <c r="F3222" t="s">
        <v>39</v>
      </c>
      <c r="G3222" t="s">
        <v>131</v>
      </c>
      <c r="H3222" t="s">
        <v>50</v>
      </c>
      <c r="I3222" s="2">
        <v>1</v>
      </c>
      <c r="J3222" s="3">
        <v>69</v>
      </c>
      <c r="K3222" s="4">
        <v>0</v>
      </c>
      <c r="L3222" s="3">
        <v>69</v>
      </c>
      <c r="M3222" t="b">
        <v>1</v>
      </c>
      <c r="N3222" s="2">
        <f>YEAR(B3222)</f>
        <v>2025</v>
      </c>
      <c r="O3222" t="str">
        <f>INDEX(Agences!$C:$C,MATCH(F3222,Agences!$A:$A,0))</f>
        <v>Sud-Ouest</v>
      </c>
      <c r="P3222" t="str">
        <f>INDEX(Produits!$C:$C,MATCH(H3222,Produits!$A:$A,0))</f>
        <v>Informatique</v>
      </c>
      <c r="Q3222" s="3">
        <f>I3222*INDEX(Produits!$E:$E,MATCH(H3222,Produits!$A:$A,0))</f>
        <v>54.51</v>
      </c>
      <c r="R3222" s="3">
        <f>L3222-Q3222</f>
        <v>14.490000000000002</v>
      </c>
      <c r="S3222" s="2">
        <f>NETWORKDAYS(B3222,C3222)-1</f>
        <v>1</v>
      </c>
      <c r="T3222" s="1">
        <f>WORKDAY(B3222,5)</f>
        <v>45786</v>
      </c>
      <c r="U3222" t="b">
        <f>C3222&gt;T3222</f>
        <v>0</v>
      </c>
    </row>
    <row r="3223" spans="1:21" x14ac:dyDescent="0.25">
      <c r="A3223" t="s">
        <v>1985</v>
      </c>
      <c r="B3223" s="1">
        <v>45779</v>
      </c>
      <c r="C3223" s="1">
        <v>45784</v>
      </c>
      <c r="D3223" t="s">
        <v>169</v>
      </c>
      <c r="E3223" t="s">
        <v>67</v>
      </c>
      <c r="F3223" t="s">
        <v>62</v>
      </c>
      <c r="G3223" t="s">
        <v>63</v>
      </c>
      <c r="H3223" t="s">
        <v>233</v>
      </c>
      <c r="I3223" s="2">
        <v>5</v>
      </c>
      <c r="J3223" s="3">
        <v>27.5</v>
      </c>
      <c r="K3223" s="4">
        <v>0.05</v>
      </c>
      <c r="L3223" s="3">
        <v>130.63</v>
      </c>
      <c r="M3223" t="b">
        <v>1</v>
      </c>
      <c r="N3223" s="2">
        <f>YEAR(B3223)</f>
        <v>2025</v>
      </c>
      <c r="O3223" t="str">
        <f>INDEX(Agences!$C:$C,MATCH(F3223,Agences!$A:$A,0))</f>
        <v>Méditerranée</v>
      </c>
      <c r="P3223" t="str">
        <f>INDEX(Produits!$C:$C,MATCH(H3223,Produits!$A:$A,0))</f>
        <v>Fournitures</v>
      </c>
      <c r="Q3223" s="3">
        <f>I3223*INDEX(Produits!$E:$E,MATCH(H3223,Produits!$A:$A,0))</f>
        <v>77</v>
      </c>
      <c r="R3223" s="3">
        <f>L3223-Q3223</f>
        <v>53.629999999999995</v>
      </c>
      <c r="S3223" s="2">
        <f>NETWORKDAYS(B3223,C3223)-1</f>
        <v>3</v>
      </c>
      <c r="T3223" s="1">
        <f>WORKDAY(B3223,5)</f>
        <v>45786</v>
      </c>
      <c r="U3223" t="b">
        <f>C3223&gt;T3223</f>
        <v>0</v>
      </c>
    </row>
    <row r="3224" spans="1:21" x14ac:dyDescent="0.25">
      <c r="A3224" t="s">
        <v>1985</v>
      </c>
      <c r="B3224" s="1">
        <v>45779</v>
      </c>
      <c r="C3224" s="1">
        <v>45784</v>
      </c>
      <c r="D3224" t="s">
        <v>169</v>
      </c>
      <c r="E3224" t="s">
        <v>67</v>
      </c>
      <c r="F3224" t="s">
        <v>62</v>
      </c>
      <c r="G3224" t="s">
        <v>63</v>
      </c>
      <c r="H3224" t="s">
        <v>26</v>
      </c>
      <c r="I3224" s="2">
        <v>1</v>
      </c>
      <c r="J3224" s="3">
        <v>290</v>
      </c>
      <c r="K3224" s="4">
        <v>0.02</v>
      </c>
      <c r="L3224" s="3">
        <v>284.2</v>
      </c>
      <c r="M3224" t="b">
        <v>1</v>
      </c>
      <c r="N3224" s="2">
        <f>YEAR(B3224)</f>
        <v>2025</v>
      </c>
      <c r="O3224" t="str">
        <f>INDEX(Agences!$C:$C,MATCH(F3224,Agences!$A:$A,0))</f>
        <v>Méditerranée</v>
      </c>
      <c r="P3224" t="str">
        <f>INDEX(Produits!$C:$C,MATCH(H3224,Produits!$A:$A,0))</f>
        <v>Maintenance</v>
      </c>
      <c r="Q3224" s="3">
        <f>I3224*INDEX(Produits!$E:$E,MATCH(H3224,Produits!$A:$A,0))</f>
        <v>139.2</v>
      </c>
      <c r="R3224" s="3">
        <f>L3224-Q3224</f>
        <v>145</v>
      </c>
      <c r="S3224" s="2">
        <f>NETWORKDAYS(B3224,C3224)-1</f>
        <v>3</v>
      </c>
      <c r="T3224" s="1">
        <f>WORKDAY(B3224,5)</f>
        <v>45786</v>
      </c>
      <c r="U3224" t="b">
        <f>C3224&gt;T3224</f>
        <v>0</v>
      </c>
    </row>
    <row r="3225" spans="1:21" x14ac:dyDescent="0.25">
      <c r="A3225" t="s">
        <v>1985</v>
      </c>
      <c r="B3225" s="1">
        <v>45779</v>
      </c>
      <c r="C3225" s="1">
        <v>45784</v>
      </c>
      <c r="D3225" t="s">
        <v>169</v>
      </c>
      <c r="E3225" t="s">
        <v>67</v>
      </c>
      <c r="F3225" t="s">
        <v>62</v>
      </c>
      <c r="G3225" t="s">
        <v>63</v>
      </c>
      <c r="H3225" t="s">
        <v>48</v>
      </c>
      <c r="I3225" s="2">
        <v>3</v>
      </c>
      <c r="J3225" s="3">
        <v>165</v>
      </c>
      <c r="K3225" s="4">
        <v>0</v>
      </c>
      <c r="L3225" s="3">
        <v>495</v>
      </c>
      <c r="M3225" t="b">
        <v>1</v>
      </c>
      <c r="N3225" s="2">
        <f>YEAR(B3225)</f>
        <v>2025</v>
      </c>
      <c r="O3225" t="str">
        <f>INDEX(Agences!$C:$C,MATCH(F3225,Agences!$A:$A,0))</f>
        <v>Méditerranée</v>
      </c>
      <c r="P3225" t="str">
        <f>INDEX(Produits!$C:$C,MATCH(H3225,Produits!$A:$A,0))</f>
        <v>Mobilier</v>
      </c>
      <c r="Q3225" s="3">
        <f>I3225*INDEX(Produits!$E:$E,MATCH(H3225,Produits!$A:$A,0))</f>
        <v>321.75</v>
      </c>
      <c r="R3225" s="3">
        <f>L3225-Q3225</f>
        <v>173.25</v>
      </c>
      <c r="S3225" s="2">
        <f>NETWORKDAYS(B3225,C3225)-1</f>
        <v>3</v>
      </c>
      <c r="T3225" s="1">
        <f>WORKDAY(B3225,5)</f>
        <v>45786</v>
      </c>
      <c r="U3225" t="b">
        <f>C3225&gt;T3225</f>
        <v>0</v>
      </c>
    </row>
    <row r="3226" spans="1:21" x14ac:dyDescent="0.25">
      <c r="A3226" t="s">
        <v>1985</v>
      </c>
      <c r="B3226" s="1">
        <v>45779</v>
      </c>
      <c r="C3226" s="1">
        <v>45784</v>
      </c>
      <c r="D3226" t="s">
        <v>169</v>
      </c>
      <c r="E3226" t="s">
        <v>67</v>
      </c>
      <c r="F3226" t="s">
        <v>62</v>
      </c>
      <c r="G3226" t="s">
        <v>63</v>
      </c>
      <c r="H3226" t="s">
        <v>42</v>
      </c>
      <c r="I3226" s="2">
        <v>1</v>
      </c>
      <c r="J3226" s="3">
        <v>55</v>
      </c>
      <c r="K3226" s="4">
        <v>0</v>
      </c>
      <c r="L3226" s="3">
        <v>55</v>
      </c>
      <c r="M3226" t="b">
        <v>1</v>
      </c>
      <c r="N3226" s="2">
        <f>YEAR(B3226)</f>
        <v>2025</v>
      </c>
      <c r="O3226" t="str">
        <f>INDEX(Agences!$C:$C,MATCH(F3226,Agences!$A:$A,0))</f>
        <v>Méditerranée</v>
      </c>
      <c r="P3226" t="str">
        <f>INDEX(Produits!$C:$C,MATCH(H3226,Produits!$A:$A,0))</f>
        <v>Maintenance</v>
      </c>
      <c r="Q3226" s="3">
        <f>I3226*INDEX(Produits!$E:$E,MATCH(H3226,Produits!$A:$A,0))</f>
        <v>24.75</v>
      </c>
      <c r="R3226" s="3">
        <f>L3226-Q3226</f>
        <v>30.25</v>
      </c>
      <c r="S3226" s="2">
        <f>NETWORKDAYS(B3226,C3226)-1</f>
        <v>3</v>
      </c>
      <c r="T3226" s="1">
        <f>WORKDAY(B3226,5)</f>
        <v>45786</v>
      </c>
      <c r="U3226" t="b">
        <f>C3226&gt;T3226</f>
        <v>0</v>
      </c>
    </row>
    <row r="3227" spans="1:21" x14ac:dyDescent="0.25">
      <c r="A3227" t="s">
        <v>1986</v>
      </c>
      <c r="B3227" s="1">
        <v>45779</v>
      </c>
      <c r="C3227" s="1">
        <v>45786</v>
      </c>
      <c r="D3227" t="s">
        <v>134</v>
      </c>
      <c r="E3227" t="s">
        <v>45</v>
      </c>
      <c r="F3227" t="s">
        <v>46</v>
      </c>
      <c r="G3227" t="s">
        <v>47</v>
      </c>
      <c r="H3227" t="s">
        <v>42</v>
      </c>
      <c r="I3227" s="2">
        <v>1</v>
      </c>
      <c r="J3227" s="3">
        <v>55</v>
      </c>
      <c r="K3227" s="4">
        <v>0</v>
      </c>
      <c r="L3227" s="3">
        <v>55</v>
      </c>
      <c r="M3227" t="b">
        <v>1</v>
      </c>
      <c r="N3227" s="2">
        <f>YEAR(B3227)</f>
        <v>2025</v>
      </c>
      <c r="O3227" t="str">
        <f>INDEX(Agences!$C:$C,MATCH(F3227,Agences!$A:$A,0))</f>
        <v>Est</v>
      </c>
      <c r="P3227" t="str">
        <f>INDEX(Produits!$C:$C,MATCH(H3227,Produits!$A:$A,0))</f>
        <v>Maintenance</v>
      </c>
      <c r="Q3227" s="3">
        <f>I3227*INDEX(Produits!$E:$E,MATCH(H3227,Produits!$A:$A,0))</f>
        <v>24.75</v>
      </c>
      <c r="R3227" s="3">
        <f>L3227-Q3227</f>
        <v>30.25</v>
      </c>
      <c r="S3227" s="2">
        <f>NETWORKDAYS(B3227,C3227)-1</f>
        <v>5</v>
      </c>
      <c r="T3227" s="1">
        <f>WORKDAY(B3227,5)</f>
        <v>45786</v>
      </c>
      <c r="U3227" t="b">
        <f>C3227&gt;T3227</f>
        <v>0</v>
      </c>
    </row>
    <row r="3228" spans="1:21" x14ac:dyDescent="0.25">
      <c r="A3228" t="s">
        <v>1986</v>
      </c>
      <c r="B3228" s="1">
        <v>45779</v>
      </c>
      <c r="C3228" s="1">
        <v>45786</v>
      </c>
      <c r="D3228" t="s">
        <v>134</v>
      </c>
      <c r="E3228" t="s">
        <v>45</v>
      </c>
      <c r="F3228" t="s">
        <v>46</v>
      </c>
      <c r="G3228" t="s">
        <v>47</v>
      </c>
      <c r="H3228" t="s">
        <v>49</v>
      </c>
      <c r="I3228" s="2">
        <v>1</v>
      </c>
      <c r="J3228" s="3">
        <v>120</v>
      </c>
      <c r="K3228" s="4">
        <v>0.02</v>
      </c>
      <c r="L3228" s="3">
        <v>117.6</v>
      </c>
      <c r="M3228" t="b">
        <v>1</v>
      </c>
      <c r="N3228" s="2">
        <f>YEAR(B3228)</f>
        <v>2025</v>
      </c>
      <c r="O3228" t="str">
        <f>INDEX(Agences!$C:$C,MATCH(F3228,Agences!$A:$A,0))</f>
        <v>Est</v>
      </c>
      <c r="P3228" t="str">
        <f>INDEX(Produits!$C:$C,MATCH(H3228,Produits!$A:$A,0))</f>
        <v>Maintenance</v>
      </c>
      <c r="Q3228" s="3">
        <f>I3228*INDEX(Produits!$E:$E,MATCH(H3228,Produits!$A:$A,0))</f>
        <v>55.2</v>
      </c>
      <c r="R3228" s="3">
        <f>L3228-Q3228</f>
        <v>62.39999999999999</v>
      </c>
      <c r="S3228" s="2">
        <f>NETWORKDAYS(B3228,C3228)-1</f>
        <v>5</v>
      </c>
      <c r="T3228" s="1">
        <f>WORKDAY(B3228,5)</f>
        <v>45786</v>
      </c>
      <c r="U3228" t="b">
        <f>C3228&gt;T3228</f>
        <v>0</v>
      </c>
    </row>
    <row r="3229" spans="1:21" x14ac:dyDescent="0.25">
      <c r="A3229" t="s">
        <v>1986</v>
      </c>
      <c r="B3229" s="1">
        <v>45779</v>
      </c>
      <c r="C3229" s="1">
        <v>45786</v>
      </c>
      <c r="D3229" t="s">
        <v>134</v>
      </c>
      <c r="E3229" t="s">
        <v>45</v>
      </c>
      <c r="F3229" t="s">
        <v>46</v>
      </c>
      <c r="G3229" t="s">
        <v>47</v>
      </c>
      <c r="H3229" t="s">
        <v>112</v>
      </c>
      <c r="I3229" s="2">
        <v>2</v>
      </c>
      <c r="J3229" s="3">
        <v>129</v>
      </c>
      <c r="K3229" s="4">
        <v>0.02</v>
      </c>
      <c r="L3229" s="3">
        <v>252.84</v>
      </c>
      <c r="M3229" t="b">
        <v>1</v>
      </c>
      <c r="N3229" s="2">
        <f>YEAR(B3229)</f>
        <v>2025</v>
      </c>
      <c r="O3229" t="str">
        <f>INDEX(Agences!$C:$C,MATCH(F3229,Agences!$A:$A,0))</f>
        <v>Est</v>
      </c>
      <c r="P3229" t="str">
        <f>INDEX(Produits!$C:$C,MATCH(H3229,Produits!$A:$A,0))</f>
        <v>Mobilier</v>
      </c>
      <c r="Q3229" s="3">
        <f>I3229*INDEX(Produits!$E:$E,MATCH(H3229,Produits!$A:$A,0))</f>
        <v>172.86</v>
      </c>
      <c r="R3229" s="3">
        <f>L3229-Q3229</f>
        <v>79.97999999999999</v>
      </c>
      <c r="S3229" s="2">
        <f>NETWORKDAYS(B3229,C3229)-1</f>
        <v>5</v>
      </c>
      <c r="T3229" s="1">
        <f>WORKDAY(B3229,5)</f>
        <v>45786</v>
      </c>
      <c r="U3229" t="b">
        <f>C3229&gt;T3229</f>
        <v>0</v>
      </c>
    </row>
    <row r="3230" spans="1:21" x14ac:dyDescent="0.25">
      <c r="A3230" t="s">
        <v>1987</v>
      </c>
      <c r="B3230" s="1">
        <v>45779</v>
      </c>
      <c r="C3230" s="1">
        <v>45784</v>
      </c>
      <c r="D3230" t="s">
        <v>1570</v>
      </c>
      <c r="E3230" t="s">
        <v>229</v>
      </c>
      <c r="F3230" t="s">
        <v>55</v>
      </c>
      <c r="G3230" t="s">
        <v>56</v>
      </c>
      <c r="H3230" t="s">
        <v>35</v>
      </c>
      <c r="I3230" s="2">
        <v>1</v>
      </c>
      <c r="J3230" s="3">
        <v>79</v>
      </c>
      <c r="K3230" s="4">
        <v>0</v>
      </c>
      <c r="L3230" s="3">
        <v>79</v>
      </c>
      <c r="M3230" t="b">
        <v>1</v>
      </c>
      <c r="N3230" s="2">
        <f>YEAR(B3230)</f>
        <v>2025</v>
      </c>
      <c r="O3230" t="str">
        <f>INDEX(Agences!$C:$C,MATCH(F3230,Agences!$A:$A,0))</f>
        <v>Est</v>
      </c>
      <c r="P3230" t="str">
        <f>INDEX(Produits!$C:$C,MATCH(H3230,Produits!$A:$A,0))</f>
        <v>Mobilier</v>
      </c>
      <c r="Q3230" s="3">
        <f>I3230*INDEX(Produits!$E:$E,MATCH(H3230,Produits!$A:$A,0))</f>
        <v>46.61</v>
      </c>
      <c r="R3230" s="3">
        <f>L3230-Q3230</f>
        <v>32.39</v>
      </c>
      <c r="S3230" s="2">
        <f>NETWORKDAYS(B3230,C3230)-1</f>
        <v>3</v>
      </c>
      <c r="T3230" s="1">
        <f>WORKDAY(B3230,5)</f>
        <v>45786</v>
      </c>
      <c r="U3230" t="b">
        <f>C3230&gt;T3230</f>
        <v>0</v>
      </c>
    </row>
    <row r="3231" spans="1:21" x14ac:dyDescent="0.25">
      <c r="A3231" t="s">
        <v>1988</v>
      </c>
      <c r="B3231" s="1">
        <v>45777</v>
      </c>
      <c r="C3231" s="1">
        <v>45784</v>
      </c>
      <c r="D3231" t="s">
        <v>1290</v>
      </c>
      <c r="E3231" t="s">
        <v>122</v>
      </c>
      <c r="F3231" t="s">
        <v>24</v>
      </c>
      <c r="G3231" t="s">
        <v>25</v>
      </c>
      <c r="H3231" t="s">
        <v>83</v>
      </c>
      <c r="I3231" s="2">
        <v>2</v>
      </c>
      <c r="J3231" s="3">
        <v>49</v>
      </c>
      <c r="K3231" s="4">
        <v>0.02</v>
      </c>
      <c r="L3231" s="3">
        <v>96.04</v>
      </c>
      <c r="M3231" t="b">
        <v>1</v>
      </c>
      <c r="N3231" s="2">
        <f>YEAR(B3231)</f>
        <v>2025</v>
      </c>
      <c r="O3231" t="str">
        <f>INDEX(Agences!$C:$C,MATCH(F3231,Agences!$A:$A,0))</f>
        <v>Nord</v>
      </c>
      <c r="P3231" t="str">
        <f>INDEX(Produits!$C:$C,MATCH(H3231,Produits!$A:$A,0))</f>
        <v>Mobilier</v>
      </c>
      <c r="Q3231" s="3">
        <f>I3231*INDEX(Produits!$E:$E,MATCH(H3231,Produits!$A:$A,0))</f>
        <v>56.84</v>
      </c>
      <c r="R3231" s="3">
        <f>L3231-Q3231</f>
        <v>39.2</v>
      </c>
      <c r="S3231" s="2">
        <f>NETWORKDAYS(B3231,C3231)-1</f>
        <v>5</v>
      </c>
      <c r="T3231" s="1">
        <f>WORKDAY(B3231,5)</f>
        <v>45784</v>
      </c>
      <c r="U3231" t="b">
        <f>C3231&gt;T3231</f>
        <v>0</v>
      </c>
    </row>
    <row r="3232" spans="1:21" x14ac:dyDescent="0.25">
      <c r="A3232" t="s">
        <v>1988</v>
      </c>
      <c r="B3232" s="1">
        <v>45777</v>
      </c>
      <c r="C3232" s="1">
        <v>45784</v>
      </c>
      <c r="D3232" t="s">
        <v>1290</v>
      </c>
      <c r="E3232" t="s">
        <v>122</v>
      </c>
      <c r="F3232" t="s">
        <v>24</v>
      </c>
      <c r="G3232" t="s">
        <v>25</v>
      </c>
      <c r="H3232" t="s">
        <v>50</v>
      </c>
      <c r="I3232" s="2">
        <v>1</v>
      </c>
      <c r="J3232" s="3">
        <v>69</v>
      </c>
      <c r="K3232" s="4">
        <v>0</v>
      </c>
      <c r="L3232" s="3">
        <v>69</v>
      </c>
      <c r="M3232" t="b">
        <v>1</v>
      </c>
      <c r="N3232" s="2">
        <f>YEAR(B3232)</f>
        <v>2025</v>
      </c>
      <c r="O3232" t="str">
        <f>INDEX(Agences!$C:$C,MATCH(F3232,Agences!$A:$A,0))</f>
        <v>Nord</v>
      </c>
      <c r="P3232" t="str">
        <f>INDEX(Produits!$C:$C,MATCH(H3232,Produits!$A:$A,0))</f>
        <v>Informatique</v>
      </c>
      <c r="Q3232" s="3">
        <f>I3232*INDEX(Produits!$E:$E,MATCH(H3232,Produits!$A:$A,0))</f>
        <v>54.51</v>
      </c>
      <c r="R3232" s="3">
        <f>L3232-Q3232</f>
        <v>14.490000000000002</v>
      </c>
      <c r="S3232" s="2">
        <f>NETWORKDAYS(B3232,C3232)-1</f>
        <v>5</v>
      </c>
      <c r="T3232" s="1">
        <f>WORKDAY(B3232,5)</f>
        <v>45784</v>
      </c>
      <c r="U3232" t="b">
        <f>C3232&gt;T3232</f>
        <v>0</v>
      </c>
    </row>
    <row r="3233" spans="1:21" x14ac:dyDescent="0.25">
      <c r="A3233" t="s">
        <v>1988</v>
      </c>
      <c r="B3233" s="1">
        <v>45777</v>
      </c>
      <c r="C3233" s="1">
        <v>45784</v>
      </c>
      <c r="D3233" t="s">
        <v>1290</v>
      </c>
      <c r="E3233" t="s">
        <v>122</v>
      </c>
      <c r="F3233" t="s">
        <v>24</v>
      </c>
      <c r="G3233" t="s">
        <v>25</v>
      </c>
      <c r="H3233" t="s">
        <v>35</v>
      </c>
      <c r="I3233" s="2">
        <v>5</v>
      </c>
      <c r="J3233" s="3">
        <v>79</v>
      </c>
      <c r="K3233" s="4">
        <v>0</v>
      </c>
      <c r="L3233" s="3">
        <v>395</v>
      </c>
      <c r="M3233" t="b">
        <v>1</v>
      </c>
      <c r="N3233" s="2">
        <f>YEAR(B3233)</f>
        <v>2025</v>
      </c>
      <c r="O3233" t="str">
        <f>INDEX(Agences!$C:$C,MATCH(F3233,Agences!$A:$A,0))</f>
        <v>Nord</v>
      </c>
      <c r="P3233" t="str">
        <f>INDEX(Produits!$C:$C,MATCH(H3233,Produits!$A:$A,0))</f>
        <v>Mobilier</v>
      </c>
      <c r="Q3233" s="3">
        <f>I3233*INDEX(Produits!$E:$E,MATCH(H3233,Produits!$A:$A,0))</f>
        <v>233.05</v>
      </c>
      <c r="R3233" s="3">
        <f>L3233-Q3233</f>
        <v>161.95</v>
      </c>
      <c r="S3233" s="2">
        <f>NETWORKDAYS(B3233,C3233)-1</f>
        <v>5</v>
      </c>
      <c r="T3233" s="1">
        <f>WORKDAY(B3233,5)</f>
        <v>45784</v>
      </c>
      <c r="U3233" t="b">
        <f>C3233&gt;T3233</f>
        <v>0</v>
      </c>
    </row>
    <row r="3234" spans="1:21" x14ac:dyDescent="0.25">
      <c r="A3234" t="s">
        <v>1988</v>
      </c>
      <c r="B3234" s="1">
        <v>45777</v>
      </c>
      <c r="C3234" s="1">
        <v>45784</v>
      </c>
      <c r="D3234" t="s">
        <v>1290</v>
      </c>
      <c r="E3234" t="s">
        <v>122</v>
      </c>
      <c r="F3234" t="s">
        <v>24</v>
      </c>
      <c r="G3234" t="s">
        <v>25</v>
      </c>
      <c r="H3234" t="s">
        <v>107</v>
      </c>
      <c r="I3234" s="2">
        <v>4</v>
      </c>
      <c r="J3234" s="3">
        <v>99</v>
      </c>
      <c r="K3234" s="4">
        <v>0</v>
      </c>
      <c r="L3234" s="3">
        <v>396</v>
      </c>
      <c r="M3234" t="b">
        <v>1</v>
      </c>
      <c r="N3234" s="2">
        <f>YEAR(B3234)</f>
        <v>2025</v>
      </c>
      <c r="O3234" t="str">
        <f>INDEX(Agences!$C:$C,MATCH(F3234,Agences!$A:$A,0))</f>
        <v>Nord</v>
      </c>
      <c r="P3234" t="str">
        <f>INDEX(Produits!$C:$C,MATCH(H3234,Produits!$A:$A,0))</f>
        <v>Informatique</v>
      </c>
      <c r="Q3234" s="3">
        <f>I3234*INDEX(Produits!$E:$E,MATCH(H3234,Produits!$A:$A,0))</f>
        <v>300.96</v>
      </c>
      <c r="R3234" s="3">
        <f>L3234-Q3234</f>
        <v>95.04000000000002</v>
      </c>
      <c r="S3234" s="2">
        <f>NETWORKDAYS(B3234,C3234)-1</f>
        <v>5</v>
      </c>
      <c r="T3234" s="1">
        <f>WORKDAY(B3234,5)</f>
        <v>45784</v>
      </c>
      <c r="U3234" t="b">
        <f>C3234&gt;T3234</f>
        <v>0</v>
      </c>
    </row>
    <row r="3235" spans="1:21" x14ac:dyDescent="0.25">
      <c r="A3235" t="s">
        <v>1989</v>
      </c>
      <c r="B3235" s="1">
        <v>45777</v>
      </c>
      <c r="C3235" s="1">
        <v>45783</v>
      </c>
      <c r="D3235" t="s">
        <v>1098</v>
      </c>
      <c r="E3235" t="s">
        <v>122</v>
      </c>
      <c r="F3235" t="s">
        <v>24</v>
      </c>
      <c r="G3235" t="s">
        <v>25</v>
      </c>
      <c r="H3235" t="s">
        <v>34</v>
      </c>
      <c r="I3235" s="2">
        <v>2</v>
      </c>
      <c r="J3235" s="3">
        <v>340</v>
      </c>
      <c r="K3235" s="4">
        <v>0.05</v>
      </c>
      <c r="L3235" s="3">
        <v>646</v>
      </c>
      <c r="M3235" t="b">
        <v>1</v>
      </c>
      <c r="N3235" s="2">
        <f>YEAR(B3235)</f>
        <v>2025</v>
      </c>
      <c r="O3235" t="str">
        <f>INDEX(Agences!$C:$C,MATCH(F3235,Agences!$A:$A,0))</f>
        <v>Nord</v>
      </c>
      <c r="P3235" t="str">
        <f>INDEX(Produits!$C:$C,MATCH(H3235,Produits!$A:$A,0))</f>
        <v>Informatique</v>
      </c>
      <c r="Q3235" s="3">
        <f>I3235*INDEX(Produits!$E:$E,MATCH(H3235,Produits!$A:$A,0))</f>
        <v>550.8</v>
      </c>
      <c r="R3235" s="3">
        <f>L3235-Q3235</f>
        <v>95.20000000000005</v>
      </c>
      <c r="S3235" s="2">
        <f>NETWORKDAYS(B3235,C3235)-1</f>
        <v>4</v>
      </c>
      <c r="T3235" s="1">
        <f>WORKDAY(B3235,5)</f>
        <v>45784</v>
      </c>
      <c r="U3235" t="b">
        <f>C3235&gt;T3235</f>
        <v>0</v>
      </c>
    </row>
    <row r="3236" spans="1:21" x14ac:dyDescent="0.25">
      <c r="A3236" t="s">
        <v>1990</v>
      </c>
      <c r="B3236" s="1">
        <v>45777</v>
      </c>
      <c r="C3236" s="1">
        <v>45782</v>
      </c>
      <c r="D3236" t="s">
        <v>222</v>
      </c>
      <c r="E3236" t="s">
        <v>165</v>
      </c>
      <c r="F3236" t="s">
        <v>166</v>
      </c>
      <c r="G3236" t="s">
        <v>248</v>
      </c>
      <c r="H3236" t="s">
        <v>107</v>
      </c>
      <c r="I3236" s="2">
        <v>1</v>
      </c>
      <c r="J3236" s="3">
        <v>99</v>
      </c>
      <c r="K3236" s="4">
        <v>0.05</v>
      </c>
      <c r="L3236" s="3">
        <v>94.05</v>
      </c>
      <c r="M3236" t="b">
        <v>1</v>
      </c>
      <c r="N3236" s="2">
        <f>YEAR(B3236)</f>
        <v>2025</v>
      </c>
      <c r="O3236" t="str">
        <f>INDEX(Agences!$C:$C,MATCH(F3236,Agences!$A:$A,0))</f>
        <v>Ouest</v>
      </c>
      <c r="P3236" t="str">
        <f>INDEX(Produits!$C:$C,MATCH(H3236,Produits!$A:$A,0))</f>
        <v>Informatique</v>
      </c>
      <c r="Q3236" s="3">
        <f>I3236*INDEX(Produits!$E:$E,MATCH(H3236,Produits!$A:$A,0))</f>
        <v>75.24</v>
      </c>
      <c r="R3236" s="3">
        <f>L3236-Q3236</f>
        <v>18.810000000000002</v>
      </c>
      <c r="S3236" s="2">
        <f>NETWORKDAYS(B3236,C3236)-1</f>
        <v>3</v>
      </c>
      <c r="T3236" s="1">
        <f>WORKDAY(B3236,5)</f>
        <v>45784</v>
      </c>
      <c r="U3236" t="b">
        <f>C3236&gt;T3236</f>
        <v>0</v>
      </c>
    </row>
    <row r="3237" spans="1:21" x14ac:dyDescent="0.25">
      <c r="A3237" t="s">
        <v>1991</v>
      </c>
      <c r="B3237" s="1">
        <v>45777</v>
      </c>
      <c r="C3237" s="1">
        <v>45779</v>
      </c>
      <c r="D3237" t="s">
        <v>515</v>
      </c>
      <c r="E3237" t="s">
        <v>165</v>
      </c>
      <c r="F3237" t="s">
        <v>166</v>
      </c>
      <c r="G3237" t="s">
        <v>179</v>
      </c>
      <c r="H3237" t="s">
        <v>196</v>
      </c>
      <c r="I3237" s="2">
        <v>5</v>
      </c>
      <c r="J3237" s="3">
        <v>18.5</v>
      </c>
      <c r="K3237" s="4">
        <v>0</v>
      </c>
      <c r="L3237" s="3">
        <v>92.5</v>
      </c>
      <c r="M3237" t="b">
        <v>1</v>
      </c>
      <c r="N3237" s="2">
        <f>YEAR(B3237)</f>
        <v>2025</v>
      </c>
      <c r="O3237" t="str">
        <f>INDEX(Agences!$C:$C,MATCH(F3237,Agences!$A:$A,0))</f>
        <v>Ouest</v>
      </c>
      <c r="P3237" t="str">
        <f>INDEX(Produits!$C:$C,MATCH(H3237,Produits!$A:$A,0))</f>
        <v>Fournitures</v>
      </c>
      <c r="Q3237" s="3">
        <f>I3237*INDEX(Produits!$E:$E,MATCH(H3237,Produits!$A:$A,0))</f>
        <v>47.199999999999996</v>
      </c>
      <c r="R3237" s="3">
        <f>L3237-Q3237</f>
        <v>45.300000000000004</v>
      </c>
      <c r="S3237" s="2">
        <f>NETWORKDAYS(B3237,C3237)-1</f>
        <v>2</v>
      </c>
      <c r="T3237" s="1">
        <f>WORKDAY(B3237,5)</f>
        <v>45784</v>
      </c>
      <c r="U3237" t="b">
        <f>C3237&gt;T3237</f>
        <v>0</v>
      </c>
    </row>
    <row r="3238" spans="1:21" x14ac:dyDescent="0.25">
      <c r="A3238" t="s">
        <v>1991</v>
      </c>
      <c r="B3238" s="1">
        <v>45777</v>
      </c>
      <c r="C3238" s="1">
        <v>45779</v>
      </c>
      <c r="D3238" t="s">
        <v>515</v>
      </c>
      <c r="E3238" t="s">
        <v>165</v>
      </c>
      <c r="F3238" t="s">
        <v>166</v>
      </c>
      <c r="G3238" t="s">
        <v>179</v>
      </c>
      <c r="H3238" t="s">
        <v>50</v>
      </c>
      <c r="I3238" s="2">
        <v>1</v>
      </c>
      <c r="J3238" s="3">
        <v>69</v>
      </c>
      <c r="K3238" s="4">
        <v>0.02</v>
      </c>
      <c r="L3238" s="3">
        <v>67.62</v>
      </c>
      <c r="M3238" t="b">
        <v>1</v>
      </c>
      <c r="N3238" s="2">
        <f>YEAR(B3238)</f>
        <v>2025</v>
      </c>
      <c r="O3238" t="str">
        <f>INDEX(Agences!$C:$C,MATCH(F3238,Agences!$A:$A,0))</f>
        <v>Ouest</v>
      </c>
      <c r="P3238" t="str">
        <f>INDEX(Produits!$C:$C,MATCH(H3238,Produits!$A:$A,0))</f>
        <v>Informatique</v>
      </c>
      <c r="Q3238" s="3">
        <f>I3238*INDEX(Produits!$E:$E,MATCH(H3238,Produits!$A:$A,0))</f>
        <v>54.51</v>
      </c>
      <c r="R3238" s="3">
        <f>L3238-Q3238</f>
        <v>13.110000000000007</v>
      </c>
      <c r="S3238" s="2">
        <f>NETWORKDAYS(B3238,C3238)-1</f>
        <v>2</v>
      </c>
      <c r="T3238" s="1">
        <f>WORKDAY(B3238,5)</f>
        <v>45784</v>
      </c>
      <c r="U3238" t="b">
        <f>C3238&gt;T3238</f>
        <v>0</v>
      </c>
    </row>
    <row r="3239" spans="1:21" x14ac:dyDescent="0.25">
      <c r="A3239" t="s">
        <v>1992</v>
      </c>
      <c r="B3239" s="1">
        <v>45777</v>
      </c>
      <c r="C3239" s="1">
        <v>45779</v>
      </c>
      <c r="D3239" t="s">
        <v>357</v>
      </c>
      <c r="E3239" t="s">
        <v>87</v>
      </c>
      <c r="F3239" t="s">
        <v>88</v>
      </c>
      <c r="G3239" t="s">
        <v>226</v>
      </c>
      <c r="H3239" t="s">
        <v>107</v>
      </c>
      <c r="I3239" s="2">
        <v>1</v>
      </c>
      <c r="J3239" s="3">
        <v>99</v>
      </c>
      <c r="K3239" s="4">
        <v>0</v>
      </c>
      <c r="L3239" s="3">
        <v>99</v>
      </c>
      <c r="M3239" t="b">
        <v>1</v>
      </c>
      <c r="N3239" s="2">
        <f>YEAR(B3239)</f>
        <v>2025</v>
      </c>
      <c r="O3239" t="str">
        <f>INDEX(Agences!$C:$C,MATCH(F3239,Agences!$A:$A,0))</f>
        <v>Sud-Ouest</v>
      </c>
      <c r="P3239" t="str">
        <f>INDEX(Produits!$C:$C,MATCH(H3239,Produits!$A:$A,0))</f>
        <v>Informatique</v>
      </c>
      <c r="Q3239" s="3">
        <f>I3239*INDEX(Produits!$E:$E,MATCH(H3239,Produits!$A:$A,0))</f>
        <v>75.24</v>
      </c>
      <c r="R3239" s="3">
        <f>L3239-Q3239</f>
        <v>23.760000000000005</v>
      </c>
      <c r="S3239" s="2">
        <f>NETWORKDAYS(B3239,C3239)-1</f>
        <v>2</v>
      </c>
      <c r="T3239" s="1">
        <f>WORKDAY(B3239,5)</f>
        <v>45784</v>
      </c>
      <c r="U3239" t="b">
        <f>C3239&gt;T3239</f>
        <v>0</v>
      </c>
    </row>
    <row r="3240" spans="1:21" x14ac:dyDescent="0.25">
      <c r="A3240" t="s">
        <v>1992</v>
      </c>
      <c r="B3240" s="1">
        <v>45777</v>
      </c>
      <c r="C3240" s="1">
        <v>45779</v>
      </c>
      <c r="D3240" t="s">
        <v>357</v>
      </c>
      <c r="E3240" t="s">
        <v>87</v>
      </c>
      <c r="F3240" t="s">
        <v>88</v>
      </c>
      <c r="G3240" t="s">
        <v>226</v>
      </c>
      <c r="H3240" t="s">
        <v>127</v>
      </c>
      <c r="I3240" s="2">
        <v>1</v>
      </c>
      <c r="J3240" s="3">
        <v>649</v>
      </c>
      <c r="K3240" s="4">
        <v>0</v>
      </c>
      <c r="L3240" s="3">
        <v>649</v>
      </c>
      <c r="M3240" t="b">
        <v>1</v>
      </c>
      <c r="N3240" s="2">
        <f>YEAR(B3240)</f>
        <v>2025</v>
      </c>
      <c r="O3240" t="str">
        <f>INDEX(Agences!$C:$C,MATCH(F3240,Agences!$A:$A,0))</f>
        <v>Sud-Ouest</v>
      </c>
      <c r="P3240" t="str">
        <f>INDEX(Produits!$C:$C,MATCH(H3240,Produits!$A:$A,0))</f>
        <v>Informatique</v>
      </c>
      <c r="Q3240" s="3">
        <f>I3240*INDEX(Produits!$E:$E,MATCH(H3240,Produits!$A:$A,0))</f>
        <v>480.26</v>
      </c>
      <c r="R3240" s="3">
        <f>L3240-Q3240</f>
        <v>168.74</v>
      </c>
      <c r="S3240" s="2">
        <f>NETWORKDAYS(B3240,C3240)-1</f>
        <v>2</v>
      </c>
      <c r="T3240" s="1">
        <f>WORKDAY(B3240,5)</f>
        <v>45784</v>
      </c>
      <c r="U3240" t="b">
        <f>C3240&gt;T3240</f>
        <v>0</v>
      </c>
    </row>
    <row r="3241" spans="1:21" x14ac:dyDescent="0.25">
      <c r="A3241" t="s">
        <v>1992</v>
      </c>
      <c r="B3241" s="1">
        <v>45777</v>
      </c>
      <c r="C3241" s="1">
        <v>45779</v>
      </c>
      <c r="D3241" t="s">
        <v>357</v>
      </c>
      <c r="E3241" t="s">
        <v>87</v>
      </c>
      <c r="F3241" t="s">
        <v>88</v>
      </c>
      <c r="G3241" t="s">
        <v>226</v>
      </c>
      <c r="H3241" t="s">
        <v>237</v>
      </c>
      <c r="I3241" s="2">
        <v>1</v>
      </c>
      <c r="J3241" s="3">
        <v>890</v>
      </c>
      <c r="K3241" s="4">
        <v>0.05</v>
      </c>
      <c r="L3241" s="3">
        <v>845.5</v>
      </c>
      <c r="M3241" t="b">
        <v>1</v>
      </c>
      <c r="N3241" s="2">
        <f>YEAR(B3241)</f>
        <v>2025</v>
      </c>
      <c r="O3241" t="str">
        <f>INDEX(Agences!$C:$C,MATCH(F3241,Agences!$A:$A,0))</f>
        <v>Sud-Ouest</v>
      </c>
      <c r="P3241" t="str">
        <f>INDEX(Produits!$C:$C,MATCH(H3241,Produits!$A:$A,0))</f>
        <v>Mobilier</v>
      </c>
      <c r="Q3241" s="3">
        <f>I3241*INDEX(Produits!$E:$E,MATCH(H3241,Produits!$A:$A,0))</f>
        <v>596.3</v>
      </c>
      <c r="R3241" s="3">
        <f>L3241-Q3241</f>
        <v>249.20000000000005</v>
      </c>
      <c r="S3241" s="2">
        <f>NETWORKDAYS(B3241,C3241)-1</f>
        <v>2</v>
      </c>
      <c r="T3241" s="1">
        <f>WORKDAY(B3241,5)</f>
        <v>45784</v>
      </c>
      <c r="U3241" t="b">
        <f>C3241&gt;T3241</f>
        <v>0</v>
      </c>
    </row>
    <row r="3242" spans="1:21" x14ac:dyDescent="0.25">
      <c r="A3242" t="s">
        <v>1992</v>
      </c>
      <c r="B3242" s="1">
        <v>45777</v>
      </c>
      <c r="C3242" s="1">
        <v>45779</v>
      </c>
      <c r="D3242" t="s">
        <v>357</v>
      </c>
      <c r="E3242" t="s">
        <v>87</v>
      </c>
      <c r="F3242" t="s">
        <v>88</v>
      </c>
      <c r="G3242" t="s">
        <v>226</v>
      </c>
      <c r="H3242" t="s">
        <v>57</v>
      </c>
      <c r="I3242" s="2">
        <v>1</v>
      </c>
      <c r="J3242" s="3">
        <v>149</v>
      </c>
      <c r="K3242" s="4">
        <v>0</v>
      </c>
      <c r="L3242" s="3">
        <v>149</v>
      </c>
      <c r="M3242" t="b">
        <v>1</v>
      </c>
      <c r="N3242" s="2">
        <f>YEAR(B3242)</f>
        <v>2025</v>
      </c>
      <c r="O3242" t="str">
        <f>INDEX(Agences!$C:$C,MATCH(F3242,Agences!$A:$A,0))</f>
        <v>Sud-Ouest</v>
      </c>
      <c r="P3242" t="str">
        <f>INDEX(Produits!$C:$C,MATCH(H3242,Produits!$A:$A,0))</f>
        <v>Informatique</v>
      </c>
      <c r="Q3242" s="3">
        <f>I3242*INDEX(Produits!$E:$E,MATCH(H3242,Produits!$A:$A,0))</f>
        <v>114.73</v>
      </c>
      <c r="R3242" s="3">
        <f>L3242-Q3242</f>
        <v>34.269999999999996</v>
      </c>
      <c r="S3242" s="2">
        <f>NETWORKDAYS(B3242,C3242)-1</f>
        <v>2</v>
      </c>
      <c r="T3242" s="1">
        <f>WORKDAY(B3242,5)</f>
        <v>45784</v>
      </c>
      <c r="U3242" t="b">
        <f>C3242&gt;T3242</f>
        <v>0</v>
      </c>
    </row>
    <row r="3243" spans="1:21" x14ac:dyDescent="0.25">
      <c r="A3243" t="s">
        <v>1993</v>
      </c>
      <c r="B3243" s="1">
        <v>45777</v>
      </c>
      <c r="C3243" s="1">
        <v>45779</v>
      </c>
      <c r="D3243" t="s">
        <v>1994</v>
      </c>
      <c r="E3243" t="s">
        <v>419</v>
      </c>
      <c r="F3243" t="s">
        <v>62</v>
      </c>
      <c r="G3243" t="s">
        <v>106</v>
      </c>
      <c r="H3243" t="s">
        <v>33</v>
      </c>
      <c r="I3243" s="2">
        <v>1</v>
      </c>
      <c r="J3243" s="3">
        <v>219</v>
      </c>
      <c r="K3243" s="4">
        <v>0.08</v>
      </c>
      <c r="L3243" s="3">
        <v>201.48</v>
      </c>
      <c r="M3243" t="b">
        <v>1</v>
      </c>
      <c r="N3243" s="2">
        <f>YEAR(B3243)</f>
        <v>2025</v>
      </c>
      <c r="O3243" t="str">
        <f>INDEX(Agences!$C:$C,MATCH(F3243,Agences!$A:$A,0))</f>
        <v>Méditerranée</v>
      </c>
      <c r="P3243" t="str">
        <f>INDEX(Produits!$C:$C,MATCH(H3243,Produits!$A:$A,0))</f>
        <v>Informatique</v>
      </c>
      <c r="Q3243" s="3">
        <f>I3243*INDEX(Produits!$E:$E,MATCH(H3243,Produits!$A:$A,0))</f>
        <v>179.58</v>
      </c>
      <c r="R3243" s="3">
        <f>L3243-Q3243</f>
        <v>21.899999999999977</v>
      </c>
      <c r="S3243" s="2">
        <f>NETWORKDAYS(B3243,C3243)-1</f>
        <v>2</v>
      </c>
      <c r="T3243" s="1">
        <f>WORKDAY(B3243,5)</f>
        <v>45784</v>
      </c>
      <c r="U3243" t="b">
        <f>C3243&gt;T3243</f>
        <v>0</v>
      </c>
    </row>
    <row r="3244" spans="1:21" x14ac:dyDescent="0.25">
      <c r="A3244" t="s">
        <v>1993</v>
      </c>
      <c r="B3244" s="1">
        <v>45777</v>
      </c>
      <c r="C3244" s="1">
        <v>45779</v>
      </c>
      <c r="D3244" t="s">
        <v>1994</v>
      </c>
      <c r="E3244" t="s">
        <v>419</v>
      </c>
      <c r="F3244" t="s">
        <v>62</v>
      </c>
      <c r="G3244" t="s">
        <v>106</v>
      </c>
      <c r="H3244" t="s">
        <v>83</v>
      </c>
      <c r="I3244" s="2">
        <v>1</v>
      </c>
      <c r="J3244" s="3">
        <v>49</v>
      </c>
      <c r="K3244" s="4">
        <v>0</v>
      </c>
      <c r="L3244" s="3">
        <v>49</v>
      </c>
      <c r="M3244" t="b">
        <v>1</v>
      </c>
      <c r="N3244" s="2">
        <f>YEAR(B3244)</f>
        <v>2025</v>
      </c>
      <c r="O3244" t="str">
        <f>INDEX(Agences!$C:$C,MATCH(F3244,Agences!$A:$A,0))</f>
        <v>Méditerranée</v>
      </c>
      <c r="P3244" t="str">
        <f>INDEX(Produits!$C:$C,MATCH(H3244,Produits!$A:$A,0))</f>
        <v>Mobilier</v>
      </c>
      <c r="Q3244" s="3">
        <f>I3244*INDEX(Produits!$E:$E,MATCH(H3244,Produits!$A:$A,0))</f>
        <v>28.42</v>
      </c>
      <c r="R3244" s="3">
        <f>L3244-Q3244</f>
        <v>20.58</v>
      </c>
      <c r="S3244" s="2">
        <f>NETWORKDAYS(B3244,C3244)-1</f>
        <v>2</v>
      </c>
      <c r="T3244" s="1">
        <f>WORKDAY(B3244,5)</f>
        <v>45784</v>
      </c>
      <c r="U3244" t="b">
        <f>C3244&gt;T3244</f>
        <v>0</v>
      </c>
    </row>
    <row r="3245" spans="1:21" x14ac:dyDescent="0.25">
      <c r="A3245" t="s">
        <v>1993</v>
      </c>
      <c r="B3245" s="1">
        <v>45777</v>
      </c>
      <c r="C3245" s="1">
        <v>45779</v>
      </c>
      <c r="D3245" t="s">
        <v>1994</v>
      </c>
      <c r="E3245" t="s">
        <v>419</v>
      </c>
      <c r="F3245" t="s">
        <v>62</v>
      </c>
      <c r="G3245" t="s">
        <v>106</v>
      </c>
      <c r="H3245" t="s">
        <v>42</v>
      </c>
      <c r="I3245" s="2">
        <v>1</v>
      </c>
      <c r="J3245" s="3">
        <v>55</v>
      </c>
      <c r="K3245" s="4">
        <v>0</v>
      </c>
      <c r="L3245" s="3">
        <v>55</v>
      </c>
      <c r="M3245" t="b">
        <v>1</v>
      </c>
      <c r="N3245" s="2">
        <f>YEAR(B3245)</f>
        <v>2025</v>
      </c>
      <c r="O3245" t="str">
        <f>INDEX(Agences!$C:$C,MATCH(F3245,Agences!$A:$A,0))</f>
        <v>Méditerranée</v>
      </c>
      <c r="P3245" t="str">
        <f>INDEX(Produits!$C:$C,MATCH(H3245,Produits!$A:$A,0))</f>
        <v>Maintenance</v>
      </c>
      <c r="Q3245" s="3">
        <f>I3245*INDEX(Produits!$E:$E,MATCH(H3245,Produits!$A:$A,0))</f>
        <v>24.75</v>
      </c>
      <c r="R3245" s="3">
        <f>L3245-Q3245</f>
        <v>30.25</v>
      </c>
      <c r="S3245" s="2">
        <f>NETWORKDAYS(B3245,C3245)-1</f>
        <v>2</v>
      </c>
      <c r="T3245" s="1">
        <f>WORKDAY(B3245,5)</f>
        <v>45784</v>
      </c>
      <c r="U3245" t="b">
        <f>C3245&gt;T3245</f>
        <v>0</v>
      </c>
    </row>
    <row r="3246" spans="1:21" x14ac:dyDescent="0.25">
      <c r="A3246" t="s">
        <v>1993</v>
      </c>
      <c r="B3246" s="1">
        <v>45777</v>
      </c>
      <c r="C3246" s="1">
        <v>45779</v>
      </c>
      <c r="D3246" t="s">
        <v>1994</v>
      </c>
      <c r="E3246" t="s">
        <v>419</v>
      </c>
      <c r="F3246" t="s">
        <v>62</v>
      </c>
      <c r="G3246" t="s">
        <v>106</v>
      </c>
      <c r="H3246" t="s">
        <v>237</v>
      </c>
      <c r="I3246" s="2">
        <v>1</v>
      </c>
      <c r="J3246" s="3">
        <v>890</v>
      </c>
      <c r="K3246" s="4">
        <v>0</v>
      </c>
      <c r="L3246" s="3">
        <v>890</v>
      </c>
      <c r="M3246" t="b">
        <v>1</v>
      </c>
      <c r="N3246" s="2">
        <f>YEAR(B3246)</f>
        <v>2025</v>
      </c>
      <c r="O3246" t="str">
        <f>INDEX(Agences!$C:$C,MATCH(F3246,Agences!$A:$A,0))</f>
        <v>Méditerranée</v>
      </c>
      <c r="P3246" t="str">
        <f>INDEX(Produits!$C:$C,MATCH(H3246,Produits!$A:$A,0))</f>
        <v>Mobilier</v>
      </c>
      <c r="Q3246" s="3">
        <f>I3246*INDEX(Produits!$E:$E,MATCH(H3246,Produits!$A:$A,0))</f>
        <v>596.3</v>
      </c>
      <c r="R3246" s="3">
        <f>L3246-Q3246</f>
        <v>293.70000000000005</v>
      </c>
      <c r="S3246" s="2">
        <f>NETWORKDAYS(B3246,C3246)-1</f>
        <v>2</v>
      </c>
      <c r="T3246" s="1">
        <f>WORKDAY(B3246,5)</f>
        <v>45784</v>
      </c>
      <c r="U3246" t="b">
        <f>C3246&gt;T3246</f>
        <v>0</v>
      </c>
    </row>
    <row r="3247" spans="1:21" x14ac:dyDescent="0.25">
      <c r="A3247" t="s">
        <v>1995</v>
      </c>
      <c r="B3247" s="1">
        <v>45776</v>
      </c>
      <c r="C3247" s="1">
        <v>45782</v>
      </c>
      <c r="D3247" t="s">
        <v>1996</v>
      </c>
      <c r="E3247" t="s">
        <v>202</v>
      </c>
      <c r="F3247" t="s">
        <v>138</v>
      </c>
      <c r="G3247" t="s">
        <v>139</v>
      </c>
      <c r="H3247" t="s">
        <v>41</v>
      </c>
      <c r="I3247" s="2">
        <v>2</v>
      </c>
      <c r="J3247" s="3">
        <v>790</v>
      </c>
      <c r="K3247" s="4">
        <v>0.05</v>
      </c>
      <c r="L3247" s="3">
        <v>1501</v>
      </c>
      <c r="M3247" t="b">
        <v>1</v>
      </c>
      <c r="N3247" s="2">
        <f>YEAR(B3247)</f>
        <v>2025</v>
      </c>
      <c r="O3247" t="str">
        <f>INDEX(Agences!$C:$C,MATCH(F3247,Agences!$A:$A,0))</f>
        <v>Île-de-France</v>
      </c>
      <c r="P3247" t="str">
        <f>INDEX(Produits!$C:$C,MATCH(H3247,Produits!$A:$A,0))</f>
        <v>Informatique</v>
      </c>
      <c r="Q3247" s="3">
        <f>I3247*INDEX(Produits!$E:$E,MATCH(H3247,Produits!$A:$A,0))</f>
        <v>1153.4</v>
      </c>
      <c r="R3247" s="3">
        <f>L3247-Q3247</f>
        <v>347.5999999999999</v>
      </c>
      <c r="S3247" s="2">
        <f>NETWORKDAYS(B3247,C3247)-1</f>
        <v>4</v>
      </c>
      <c r="T3247" s="1">
        <f>WORKDAY(B3247,5)</f>
        <v>45783</v>
      </c>
      <c r="U3247" t="b">
        <f>C3247&gt;T3247</f>
        <v>0</v>
      </c>
    </row>
    <row r="3248" spans="1:21" x14ac:dyDescent="0.25">
      <c r="A3248" t="s">
        <v>1995</v>
      </c>
      <c r="B3248" s="1">
        <v>45776</v>
      </c>
      <c r="C3248" s="1">
        <v>45782</v>
      </c>
      <c r="D3248" t="s">
        <v>1996</v>
      </c>
      <c r="E3248" t="s">
        <v>202</v>
      </c>
      <c r="F3248" t="s">
        <v>138</v>
      </c>
      <c r="G3248" t="s">
        <v>139</v>
      </c>
      <c r="H3248" t="s">
        <v>84</v>
      </c>
      <c r="I3248" s="2">
        <v>1</v>
      </c>
      <c r="J3248" s="3">
        <v>420</v>
      </c>
      <c r="K3248" s="4">
        <v>0</v>
      </c>
      <c r="L3248" s="3">
        <v>420</v>
      </c>
      <c r="M3248" t="b">
        <v>1</v>
      </c>
      <c r="N3248" s="2">
        <f>YEAR(B3248)</f>
        <v>2025</v>
      </c>
      <c r="O3248" t="str">
        <f>INDEX(Agences!$C:$C,MATCH(F3248,Agences!$A:$A,0))</f>
        <v>Île-de-France</v>
      </c>
      <c r="P3248" t="str">
        <f>INDEX(Produits!$C:$C,MATCH(H3248,Produits!$A:$A,0))</f>
        <v>Mobilier</v>
      </c>
      <c r="Q3248" s="3">
        <f>I3248*INDEX(Produits!$E:$E,MATCH(H3248,Produits!$A:$A,0))</f>
        <v>243.6</v>
      </c>
      <c r="R3248" s="3">
        <f>L3248-Q3248</f>
        <v>176.4</v>
      </c>
      <c r="S3248" s="2">
        <f>NETWORKDAYS(B3248,C3248)-1</f>
        <v>4</v>
      </c>
      <c r="T3248" s="1">
        <f>WORKDAY(B3248,5)</f>
        <v>45783</v>
      </c>
      <c r="U3248" t="b">
        <f>C3248&gt;T3248</f>
        <v>0</v>
      </c>
    </row>
    <row r="3249" spans="1:21" x14ac:dyDescent="0.25">
      <c r="A3249" t="s">
        <v>1995</v>
      </c>
      <c r="B3249" s="1">
        <v>45776</v>
      </c>
      <c r="C3249" s="1">
        <v>45782</v>
      </c>
      <c r="D3249" t="s">
        <v>1996</v>
      </c>
      <c r="E3249" t="s">
        <v>202</v>
      </c>
      <c r="F3249" t="s">
        <v>138</v>
      </c>
      <c r="G3249" t="s">
        <v>139</v>
      </c>
      <c r="H3249" t="s">
        <v>90</v>
      </c>
      <c r="I3249" s="2">
        <v>15</v>
      </c>
      <c r="J3249" s="3">
        <v>22.9</v>
      </c>
      <c r="K3249" s="4">
        <v>0</v>
      </c>
      <c r="L3249" s="3">
        <v>343.5</v>
      </c>
      <c r="M3249" t="b">
        <v>1</v>
      </c>
      <c r="N3249" s="2">
        <f>YEAR(B3249)</f>
        <v>2025</v>
      </c>
      <c r="O3249" t="str">
        <f>INDEX(Agences!$C:$C,MATCH(F3249,Agences!$A:$A,0))</f>
        <v>Île-de-France</v>
      </c>
      <c r="P3249" t="str">
        <f>INDEX(Produits!$C:$C,MATCH(H3249,Produits!$A:$A,0))</f>
        <v>Fournitures</v>
      </c>
      <c r="Q3249" s="3">
        <f>I3249*INDEX(Produits!$E:$E,MATCH(H3249,Produits!$A:$A,0))</f>
        <v>192.3</v>
      </c>
      <c r="R3249" s="3">
        <f>L3249-Q3249</f>
        <v>151.2</v>
      </c>
      <c r="S3249" s="2">
        <f>NETWORKDAYS(B3249,C3249)-1</f>
        <v>4</v>
      </c>
      <c r="T3249" s="1">
        <f>WORKDAY(B3249,5)</f>
        <v>45783</v>
      </c>
      <c r="U3249" t="b">
        <f>C3249&gt;T3249</f>
        <v>0</v>
      </c>
    </row>
    <row r="3250" spans="1:21" x14ac:dyDescent="0.25">
      <c r="A3250" t="s">
        <v>1995</v>
      </c>
      <c r="B3250" s="1">
        <v>45776</v>
      </c>
      <c r="C3250" s="1">
        <v>45782</v>
      </c>
      <c r="D3250" t="s">
        <v>1996</v>
      </c>
      <c r="E3250" t="s">
        <v>202</v>
      </c>
      <c r="F3250" t="s">
        <v>138</v>
      </c>
      <c r="G3250" t="s">
        <v>139</v>
      </c>
      <c r="H3250" t="s">
        <v>50</v>
      </c>
      <c r="I3250" s="2">
        <v>1</v>
      </c>
      <c r="J3250" s="3">
        <v>69</v>
      </c>
      <c r="K3250" s="4">
        <v>0.02</v>
      </c>
      <c r="L3250" s="3">
        <v>67.62</v>
      </c>
      <c r="M3250" t="b">
        <v>1</v>
      </c>
      <c r="N3250" s="2">
        <f>YEAR(B3250)</f>
        <v>2025</v>
      </c>
      <c r="O3250" t="str">
        <f>INDEX(Agences!$C:$C,MATCH(F3250,Agences!$A:$A,0))</f>
        <v>Île-de-France</v>
      </c>
      <c r="P3250" t="str">
        <f>INDEX(Produits!$C:$C,MATCH(H3250,Produits!$A:$A,0))</f>
        <v>Informatique</v>
      </c>
      <c r="Q3250" s="3">
        <f>I3250*INDEX(Produits!$E:$E,MATCH(H3250,Produits!$A:$A,0))</f>
        <v>54.51</v>
      </c>
      <c r="R3250" s="3">
        <f>L3250-Q3250</f>
        <v>13.110000000000007</v>
      </c>
      <c r="S3250" s="2">
        <f>NETWORKDAYS(B3250,C3250)-1</f>
        <v>4</v>
      </c>
      <c r="T3250" s="1">
        <f>WORKDAY(B3250,5)</f>
        <v>45783</v>
      </c>
      <c r="U3250" t="b">
        <f>C3250&gt;T3250</f>
        <v>0</v>
      </c>
    </row>
    <row r="3251" spans="1:21" x14ac:dyDescent="0.25">
      <c r="A3251" t="s">
        <v>1997</v>
      </c>
      <c r="B3251" s="1">
        <v>45776</v>
      </c>
      <c r="C3251" s="1">
        <v>45779</v>
      </c>
      <c r="D3251" t="s">
        <v>758</v>
      </c>
      <c r="E3251" t="s">
        <v>307</v>
      </c>
      <c r="F3251" t="s">
        <v>76</v>
      </c>
      <c r="G3251" t="s">
        <v>232</v>
      </c>
      <c r="H3251" t="s">
        <v>72</v>
      </c>
      <c r="I3251" s="2">
        <v>6</v>
      </c>
      <c r="J3251" s="3">
        <v>179</v>
      </c>
      <c r="K3251" s="4">
        <v>0.08</v>
      </c>
      <c r="L3251" s="3">
        <v>988.08</v>
      </c>
      <c r="M3251" t="b">
        <v>1</v>
      </c>
      <c r="N3251" s="2">
        <f>YEAR(B3251)</f>
        <v>2025</v>
      </c>
      <c r="O3251" t="str">
        <f>INDEX(Agences!$C:$C,MATCH(F3251,Agences!$A:$A,0))</f>
        <v>Île-de-France</v>
      </c>
      <c r="P3251" t="str">
        <f>INDEX(Produits!$C:$C,MATCH(H3251,Produits!$A:$A,0))</f>
        <v>Informatique</v>
      </c>
      <c r="Q3251" s="3">
        <f>I3251*INDEX(Produits!$E:$E,MATCH(H3251,Produits!$A:$A,0))</f>
        <v>880.6800000000001</v>
      </c>
      <c r="R3251" s="3">
        <f>L3251-Q3251</f>
        <v>107.39999999999998</v>
      </c>
      <c r="S3251" s="2">
        <f>NETWORKDAYS(B3251,C3251)-1</f>
        <v>3</v>
      </c>
      <c r="T3251" s="1">
        <f>WORKDAY(B3251,5)</f>
        <v>45783</v>
      </c>
      <c r="U3251" t="b">
        <f>C3251&gt;T3251</f>
        <v>0</v>
      </c>
    </row>
    <row r="3252" spans="1:21" x14ac:dyDescent="0.25">
      <c r="A3252" t="s">
        <v>1997</v>
      </c>
      <c r="B3252" s="1">
        <v>45776</v>
      </c>
      <c r="C3252" s="1">
        <v>45779</v>
      </c>
      <c r="D3252" t="s">
        <v>758</v>
      </c>
      <c r="E3252" t="s">
        <v>307</v>
      </c>
      <c r="F3252" t="s">
        <v>76</v>
      </c>
      <c r="G3252" t="s">
        <v>232</v>
      </c>
      <c r="H3252" t="s">
        <v>49</v>
      </c>
      <c r="I3252" s="2">
        <v>1</v>
      </c>
      <c r="J3252" s="3">
        <v>120</v>
      </c>
      <c r="K3252" s="4">
        <v>0</v>
      </c>
      <c r="L3252" s="3">
        <v>120</v>
      </c>
      <c r="M3252" t="b">
        <v>1</v>
      </c>
      <c r="N3252" s="2">
        <f>YEAR(B3252)</f>
        <v>2025</v>
      </c>
      <c r="O3252" t="str">
        <f>INDEX(Agences!$C:$C,MATCH(F3252,Agences!$A:$A,0))</f>
        <v>Île-de-France</v>
      </c>
      <c r="P3252" t="str">
        <f>INDEX(Produits!$C:$C,MATCH(H3252,Produits!$A:$A,0))</f>
        <v>Maintenance</v>
      </c>
      <c r="Q3252" s="3">
        <f>I3252*INDEX(Produits!$E:$E,MATCH(H3252,Produits!$A:$A,0))</f>
        <v>55.2</v>
      </c>
      <c r="R3252" s="3">
        <f>L3252-Q3252</f>
        <v>64.8</v>
      </c>
      <c r="S3252" s="2">
        <f>NETWORKDAYS(B3252,C3252)-1</f>
        <v>3</v>
      </c>
      <c r="T3252" s="1">
        <f>WORKDAY(B3252,5)</f>
        <v>45783</v>
      </c>
      <c r="U3252" t="b">
        <f>C3252&gt;T3252</f>
        <v>0</v>
      </c>
    </row>
    <row r="3253" spans="1:21" x14ac:dyDescent="0.25">
      <c r="A3253" t="s">
        <v>1997</v>
      </c>
      <c r="B3253" s="1">
        <v>45776</v>
      </c>
      <c r="C3253" s="1">
        <v>45779</v>
      </c>
      <c r="D3253" t="s">
        <v>758</v>
      </c>
      <c r="E3253" t="s">
        <v>307</v>
      </c>
      <c r="F3253" t="s">
        <v>76</v>
      </c>
      <c r="G3253" t="s">
        <v>232</v>
      </c>
      <c r="H3253" t="s">
        <v>42</v>
      </c>
      <c r="I3253" s="2">
        <v>1</v>
      </c>
      <c r="J3253" s="3">
        <v>55</v>
      </c>
      <c r="K3253" s="4">
        <v>0.05</v>
      </c>
      <c r="L3253" s="3">
        <v>52.25</v>
      </c>
      <c r="M3253" t="b">
        <v>1</v>
      </c>
      <c r="N3253" s="2">
        <f>YEAR(B3253)</f>
        <v>2025</v>
      </c>
      <c r="O3253" t="str">
        <f>INDEX(Agences!$C:$C,MATCH(F3253,Agences!$A:$A,0))</f>
        <v>Île-de-France</v>
      </c>
      <c r="P3253" t="str">
        <f>INDEX(Produits!$C:$C,MATCH(H3253,Produits!$A:$A,0))</f>
        <v>Maintenance</v>
      </c>
      <c r="Q3253" s="3">
        <f>I3253*INDEX(Produits!$E:$E,MATCH(H3253,Produits!$A:$A,0))</f>
        <v>24.75</v>
      </c>
      <c r="R3253" s="3">
        <f>L3253-Q3253</f>
        <v>27.5</v>
      </c>
      <c r="S3253" s="2">
        <f>NETWORKDAYS(B3253,C3253)-1</f>
        <v>3</v>
      </c>
      <c r="T3253" s="1">
        <f>WORKDAY(B3253,5)</f>
        <v>45783</v>
      </c>
      <c r="U3253" t="b">
        <f>C3253&gt;T3253</f>
        <v>0</v>
      </c>
    </row>
    <row r="3254" spans="1:21" x14ac:dyDescent="0.25">
      <c r="A3254" t="s">
        <v>1997</v>
      </c>
      <c r="B3254" s="1">
        <v>45776</v>
      </c>
      <c r="C3254" s="1">
        <v>45779</v>
      </c>
      <c r="D3254" t="s">
        <v>758</v>
      </c>
      <c r="E3254" t="s">
        <v>307</v>
      </c>
      <c r="F3254" t="s">
        <v>76</v>
      </c>
      <c r="G3254" t="s">
        <v>232</v>
      </c>
      <c r="H3254" t="s">
        <v>64</v>
      </c>
      <c r="I3254" s="2">
        <v>10</v>
      </c>
      <c r="J3254" s="3">
        <v>16.8</v>
      </c>
      <c r="K3254" s="4">
        <v>0.08</v>
      </c>
      <c r="L3254" s="3">
        <v>154.56</v>
      </c>
      <c r="M3254" t="b">
        <v>1</v>
      </c>
      <c r="N3254" s="2">
        <f>YEAR(B3254)</f>
        <v>2025</v>
      </c>
      <c r="O3254" t="str">
        <f>INDEX(Agences!$C:$C,MATCH(F3254,Agences!$A:$A,0))</f>
        <v>Île-de-France</v>
      </c>
      <c r="P3254" t="str">
        <f>INDEX(Produits!$C:$C,MATCH(H3254,Produits!$A:$A,0))</f>
        <v>Fournitures</v>
      </c>
      <c r="Q3254" s="3">
        <f>I3254*INDEX(Produits!$E:$E,MATCH(H3254,Produits!$A:$A,0))</f>
        <v>87.4</v>
      </c>
      <c r="R3254" s="3">
        <f>L3254-Q3254</f>
        <v>67.16</v>
      </c>
      <c r="S3254" s="2">
        <f>NETWORKDAYS(B3254,C3254)-1</f>
        <v>3</v>
      </c>
      <c r="T3254" s="1">
        <f>WORKDAY(B3254,5)</f>
        <v>45783</v>
      </c>
      <c r="U3254" t="b">
        <f>C3254&gt;T3254</f>
        <v>0</v>
      </c>
    </row>
    <row r="3255" spans="1:21" x14ac:dyDescent="0.25">
      <c r="A3255" t="s">
        <v>1998</v>
      </c>
      <c r="B3255" s="1">
        <v>45776</v>
      </c>
      <c r="C3255" s="1">
        <v>45778</v>
      </c>
      <c r="D3255" t="s">
        <v>1946</v>
      </c>
      <c r="E3255" t="s">
        <v>38</v>
      </c>
      <c r="F3255" t="s">
        <v>39</v>
      </c>
      <c r="G3255" t="s">
        <v>322</v>
      </c>
      <c r="H3255" t="s">
        <v>51</v>
      </c>
      <c r="I3255" s="2">
        <v>2</v>
      </c>
      <c r="J3255" s="3">
        <v>180</v>
      </c>
      <c r="K3255" s="4">
        <v>0.08</v>
      </c>
      <c r="L3255" s="3">
        <v>331.2</v>
      </c>
      <c r="M3255" t="b">
        <v>1</v>
      </c>
      <c r="N3255" s="2">
        <f>YEAR(B3255)</f>
        <v>2025</v>
      </c>
      <c r="O3255" t="str">
        <f>INDEX(Agences!$C:$C,MATCH(F3255,Agences!$A:$A,0))</f>
        <v>Sud-Ouest</v>
      </c>
      <c r="P3255" t="str">
        <f>INDEX(Produits!$C:$C,MATCH(H3255,Produits!$A:$A,0))</f>
        <v>Maintenance</v>
      </c>
      <c r="Q3255" s="3">
        <f>I3255*INDEX(Produits!$E:$E,MATCH(H3255,Produits!$A:$A,0))</f>
        <v>165.6</v>
      </c>
      <c r="R3255" s="3">
        <f>L3255-Q3255</f>
        <v>165.6</v>
      </c>
      <c r="S3255" s="2">
        <f>NETWORKDAYS(B3255,C3255)-1</f>
        <v>2</v>
      </c>
      <c r="T3255" s="1">
        <f>WORKDAY(B3255,5)</f>
        <v>45783</v>
      </c>
      <c r="U3255" t="b">
        <f>C3255&gt;T3255</f>
        <v>0</v>
      </c>
    </row>
    <row r="3256" spans="1:21" x14ac:dyDescent="0.25">
      <c r="A3256" t="s">
        <v>1998</v>
      </c>
      <c r="B3256" s="1">
        <v>45776</v>
      </c>
      <c r="C3256" s="1">
        <v>45778</v>
      </c>
      <c r="D3256" t="s">
        <v>1946</v>
      </c>
      <c r="E3256" t="s">
        <v>38</v>
      </c>
      <c r="F3256" t="s">
        <v>39</v>
      </c>
      <c r="G3256" t="s">
        <v>322</v>
      </c>
      <c r="H3256" t="s">
        <v>83</v>
      </c>
      <c r="I3256" s="2">
        <v>1</v>
      </c>
      <c r="J3256" s="3">
        <v>49</v>
      </c>
      <c r="K3256" s="4">
        <v>0.08</v>
      </c>
      <c r="L3256" s="3">
        <v>45.08</v>
      </c>
      <c r="M3256" t="b">
        <v>1</v>
      </c>
      <c r="N3256" s="2">
        <f>YEAR(B3256)</f>
        <v>2025</v>
      </c>
      <c r="O3256" t="str">
        <f>INDEX(Agences!$C:$C,MATCH(F3256,Agences!$A:$A,0))</f>
        <v>Sud-Ouest</v>
      </c>
      <c r="P3256" t="str">
        <f>INDEX(Produits!$C:$C,MATCH(H3256,Produits!$A:$A,0))</f>
        <v>Mobilier</v>
      </c>
      <c r="Q3256" s="3">
        <f>I3256*INDEX(Produits!$E:$E,MATCH(H3256,Produits!$A:$A,0))</f>
        <v>28.42</v>
      </c>
      <c r="R3256" s="3">
        <f>L3256-Q3256</f>
        <v>16.659999999999997</v>
      </c>
      <c r="S3256" s="2">
        <f>NETWORKDAYS(B3256,C3256)-1</f>
        <v>2</v>
      </c>
      <c r="T3256" s="1">
        <f>WORKDAY(B3256,5)</f>
        <v>45783</v>
      </c>
      <c r="U3256" t="b">
        <f>C3256&gt;T3256</f>
        <v>0</v>
      </c>
    </row>
    <row r="3257" spans="1:21" x14ac:dyDescent="0.25">
      <c r="A3257" t="s">
        <v>1999</v>
      </c>
      <c r="B3257" s="1">
        <v>45776</v>
      </c>
      <c r="C3257" s="1">
        <v>45779</v>
      </c>
      <c r="D3257" t="s">
        <v>44</v>
      </c>
      <c r="E3257" t="s">
        <v>45</v>
      </c>
      <c r="F3257" t="s">
        <v>46</v>
      </c>
      <c r="G3257" t="s">
        <v>158</v>
      </c>
      <c r="H3257" t="s">
        <v>79</v>
      </c>
      <c r="I3257" s="2">
        <v>10</v>
      </c>
      <c r="J3257" s="3">
        <v>14.9</v>
      </c>
      <c r="K3257" s="4">
        <v>0</v>
      </c>
      <c r="L3257" s="3">
        <v>149</v>
      </c>
      <c r="M3257" t="b">
        <v>1</v>
      </c>
      <c r="N3257" s="2">
        <f>YEAR(B3257)</f>
        <v>2025</v>
      </c>
      <c r="O3257" t="str">
        <f>INDEX(Agences!$C:$C,MATCH(F3257,Agences!$A:$A,0))</f>
        <v>Est</v>
      </c>
      <c r="P3257" t="str">
        <f>INDEX(Produits!$C:$C,MATCH(H3257,Produits!$A:$A,0))</f>
        <v>Fournitures</v>
      </c>
      <c r="Q3257" s="3">
        <f>I3257*INDEX(Produits!$E:$E,MATCH(H3257,Produits!$A:$A,0))</f>
        <v>80.5</v>
      </c>
      <c r="R3257" s="3">
        <f>L3257-Q3257</f>
        <v>68.5</v>
      </c>
      <c r="S3257" s="2">
        <f>NETWORKDAYS(B3257,C3257)-1</f>
        <v>3</v>
      </c>
      <c r="T3257" s="1">
        <f>WORKDAY(B3257,5)</f>
        <v>45783</v>
      </c>
      <c r="U3257" t="b">
        <f>C3257&gt;T3257</f>
        <v>0</v>
      </c>
    </row>
    <row r="3258" spans="1:21" x14ac:dyDescent="0.25">
      <c r="A3258" t="s">
        <v>1999</v>
      </c>
      <c r="B3258" s="1">
        <v>45776</v>
      </c>
      <c r="C3258" s="1">
        <v>45779</v>
      </c>
      <c r="D3258" t="s">
        <v>44</v>
      </c>
      <c r="E3258" t="s">
        <v>45</v>
      </c>
      <c r="F3258" t="s">
        <v>46</v>
      </c>
      <c r="G3258" t="s">
        <v>158</v>
      </c>
      <c r="H3258" t="s">
        <v>83</v>
      </c>
      <c r="I3258" s="2">
        <v>2</v>
      </c>
      <c r="J3258" s="3">
        <v>49</v>
      </c>
      <c r="K3258" s="4">
        <v>0.05</v>
      </c>
      <c r="L3258" s="3">
        <v>93.1</v>
      </c>
      <c r="M3258" t="b">
        <v>1</v>
      </c>
      <c r="N3258" s="2">
        <f>YEAR(B3258)</f>
        <v>2025</v>
      </c>
      <c r="O3258" t="str">
        <f>INDEX(Agences!$C:$C,MATCH(F3258,Agences!$A:$A,0))</f>
        <v>Est</v>
      </c>
      <c r="P3258" t="str">
        <f>INDEX(Produits!$C:$C,MATCH(H3258,Produits!$A:$A,0))</f>
        <v>Mobilier</v>
      </c>
      <c r="Q3258" s="3">
        <f>I3258*INDEX(Produits!$E:$E,MATCH(H3258,Produits!$A:$A,0))</f>
        <v>56.84</v>
      </c>
      <c r="R3258" s="3">
        <f>L3258-Q3258</f>
        <v>36.25999999999999</v>
      </c>
      <c r="S3258" s="2">
        <f>NETWORKDAYS(B3258,C3258)-1</f>
        <v>3</v>
      </c>
      <c r="T3258" s="1">
        <f>WORKDAY(B3258,5)</f>
        <v>45783</v>
      </c>
      <c r="U3258" t="b">
        <f>C3258&gt;T3258</f>
        <v>0</v>
      </c>
    </row>
    <row r="3259" spans="1:21" x14ac:dyDescent="0.25">
      <c r="A3259" t="s">
        <v>2000</v>
      </c>
      <c r="B3259" s="1">
        <v>45775</v>
      </c>
      <c r="C3259" s="1">
        <v>45777</v>
      </c>
      <c r="D3259" t="s">
        <v>1112</v>
      </c>
      <c r="E3259" t="s">
        <v>122</v>
      </c>
      <c r="F3259" t="s">
        <v>24</v>
      </c>
      <c r="G3259" t="s">
        <v>116</v>
      </c>
      <c r="H3259" t="s">
        <v>83</v>
      </c>
      <c r="I3259" s="2">
        <v>1</v>
      </c>
      <c r="J3259" s="3">
        <v>49</v>
      </c>
      <c r="K3259" s="4">
        <v>0</v>
      </c>
      <c r="L3259" s="3">
        <v>49</v>
      </c>
      <c r="M3259" t="b">
        <v>1</v>
      </c>
      <c r="N3259" s="2">
        <f>YEAR(B3259)</f>
        <v>2025</v>
      </c>
      <c r="O3259" t="str">
        <f>INDEX(Agences!$C:$C,MATCH(F3259,Agences!$A:$A,0))</f>
        <v>Nord</v>
      </c>
      <c r="P3259" t="str">
        <f>INDEX(Produits!$C:$C,MATCH(H3259,Produits!$A:$A,0))</f>
        <v>Mobilier</v>
      </c>
      <c r="Q3259" s="3">
        <f>I3259*INDEX(Produits!$E:$E,MATCH(H3259,Produits!$A:$A,0))</f>
        <v>28.42</v>
      </c>
      <c r="R3259" s="3">
        <f>L3259-Q3259</f>
        <v>20.58</v>
      </c>
      <c r="S3259" s="2">
        <f>NETWORKDAYS(B3259,C3259)-1</f>
        <v>2</v>
      </c>
      <c r="T3259" s="1">
        <f>WORKDAY(B3259,5)</f>
        <v>45782</v>
      </c>
      <c r="U3259" t="b">
        <f>C3259&gt;T3259</f>
        <v>0</v>
      </c>
    </row>
    <row r="3260" spans="1:21" x14ac:dyDescent="0.25">
      <c r="A3260" t="s">
        <v>2000</v>
      </c>
      <c r="B3260" s="1">
        <v>45775</v>
      </c>
      <c r="C3260" s="1">
        <v>45777</v>
      </c>
      <c r="D3260" t="s">
        <v>1112</v>
      </c>
      <c r="E3260" t="s">
        <v>122</v>
      </c>
      <c r="F3260" t="s">
        <v>24</v>
      </c>
      <c r="G3260" t="s">
        <v>116</v>
      </c>
      <c r="H3260" t="s">
        <v>150</v>
      </c>
      <c r="I3260" s="2">
        <v>1</v>
      </c>
      <c r="J3260" s="3">
        <v>790</v>
      </c>
      <c r="K3260" s="4">
        <v>0</v>
      </c>
      <c r="L3260" s="3">
        <v>790</v>
      </c>
      <c r="M3260" t="b">
        <v>1</v>
      </c>
      <c r="N3260" s="2">
        <f>YEAR(B3260)</f>
        <v>2025</v>
      </c>
      <c r="O3260" t="str">
        <f>INDEX(Agences!$C:$C,MATCH(F3260,Agences!$A:$A,0))</f>
        <v>Nord</v>
      </c>
      <c r="P3260" t="str">
        <f>INDEX(Produits!$C:$C,MATCH(H3260,Produits!$A:$A,0))</f>
        <v>Informatique</v>
      </c>
      <c r="Q3260" s="3">
        <f>I3260*INDEX(Produits!$E:$E,MATCH(H3260,Produits!$A:$A,0))</f>
        <v>584.6</v>
      </c>
      <c r="R3260" s="3">
        <f>L3260-Q3260</f>
        <v>205.39999999999998</v>
      </c>
      <c r="S3260" s="2">
        <f>NETWORKDAYS(B3260,C3260)-1</f>
        <v>2</v>
      </c>
      <c r="T3260" s="1">
        <f>WORKDAY(B3260,5)</f>
        <v>45782</v>
      </c>
      <c r="U3260" t="b">
        <f>C3260&gt;T3260</f>
        <v>0</v>
      </c>
    </row>
    <row r="3261" spans="1:21" x14ac:dyDescent="0.25">
      <c r="A3261" t="s">
        <v>2000</v>
      </c>
      <c r="B3261" s="1">
        <v>45775</v>
      </c>
      <c r="C3261" s="1">
        <v>45777</v>
      </c>
      <c r="D3261" t="s">
        <v>1112</v>
      </c>
      <c r="E3261" t="s">
        <v>122</v>
      </c>
      <c r="F3261" t="s">
        <v>24</v>
      </c>
      <c r="G3261" t="s">
        <v>116</v>
      </c>
      <c r="H3261" t="s">
        <v>51</v>
      </c>
      <c r="I3261" s="2">
        <v>1</v>
      </c>
      <c r="J3261" s="3">
        <v>180</v>
      </c>
      <c r="K3261" s="4">
        <v>0</v>
      </c>
      <c r="L3261" s="3">
        <v>180</v>
      </c>
      <c r="M3261" t="b">
        <v>1</v>
      </c>
      <c r="N3261" s="2">
        <f>YEAR(B3261)</f>
        <v>2025</v>
      </c>
      <c r="O3261" t="str">
        <f>INDEX(Agences!$C:$C,MATCH(F3261,Agences!$A:$A,0))</f>
        <v>Nord</v>
      </c>
      <c r="P3261" t="str">
        <f>INDEX(Produits!$C:$C,MATCH(H3261,Produits!$A:$A,0))</f>
        <v>Maintenance</v>
      </c>
      <c r="Q3261" s="3">
        <f>I3261*INDEX(Produits!$E:$E,MATCH(H3261,Produits!$A:$A,0))</f>
        <v>82.8</v>
      </c>
      <c r="R3261" s="3">
        <f>L3261-Q3261</f>
        <v>97.2</v>
      </c>
      <c r="S3261" s="2">
        <f>NETWORKDAYS(B3261,C3261)-1</f>
        <v>2</v>
      </c>
      <c r="T3261" s="1">
        <f>WORKDAY(B3261,5)</f>
        <v>45782</v>
      </c>
      <c r="U3261" t="b">
        <f>C3261&gt;T3261</f>
        <v>0</v>
      </c>
    </row>
    <row r="3262" spans="1:21" x14ac:dyDescent="0.25">
      <c r="A3262" t="s">
        <v>2001</v>
      </c>
      <c r="B3262" s="1">
        <v>45775</v>
      </c>
      <c r="C3262" s="1">
        <v>45778</v>
      </c>
      <c r="D3262" t="s">
        <v>1186</v>
      </c>
      <c r="E3262" t="s">
        <v>126</v>
      </c>
      <c r="F3262" t="s">
        <v>99</v>
      </c>
      <c r="G3262" t="s">
        <v>210</v>
      </c>
      <c r="H3262" t="s">
        <v>107</v>
      </c>
      <c r="I3262" s="2">
        <v>2</v>
      </c>
      <c r="J3262" s="3">
        <v>99</v>
      </c>
      <c r="K3262" s="4">
        <v>0.05</v>
      </c>
      <c r="L3262" s="3">
        <v>188.1</v>
      </c>
      <c r="M3262" t="b">
        <v>1</v>
      </c>
      <c r="N3262" s="2">
        <f>YEAR(B3262)</f>
        <v>2025</v>
      </c>
      <c r="O3262" t="str">
        <f>INDEX(Agences!$C:$C,MATCH(F3262,Agences!$A:$A,0))</f>
        <v>Nord</v>
      </c>
      <c r="P3262" t="str">
        <f>INDEX(Produits!$C:$C,MATCH(H3262,Produits!$A:$A,0))</f>
        <v>Informatique</v>
      </c>
      <c r="Q3262" s="3">
        <f>I3262*INDEX(Produits!$E:$E,MATCH(H3262,Produits!$A:$A,0))</f>
        <v>150.48</v>
      </c>
      <c r="R3262" s="3">
        <f>L3262-Q3262</f>
        <v>37.620000000000005</v>
      </c>
      <c r="S3262" s="2">
        <f>NETWORKDAYS(B3262,C3262)-1</f>
        <v>3</v>
      </c>
      <c r="T3262" s="1">
        <f>WORKDAY(B3262,5)</f>
        <v>45782</v>
      </c>
      <c r="U3262" t="b">
        <f>C3262&gt;T3262</f>
        <v>0</v>
      </c>
    </row>
    <row r="3263" spans="1:21" x14ac:dyDescent="0.25">
      <c r="A3263" t="s">
        <v>2002</v>
      </c>
      <c r="B3263" s="1">
        <v>45775</v>
      </c>
      <c r="C3263" s="1">
        <v>45777</v>
      </c>
      <c r="D3263" t="s">
        <v>552</v>
      </c>
      <c r="E3263" t="s">
        <v>137</v>
      </c>
      <c r="F3263" t="s">
        <v>138</v>
      </c>
      <c r="G3263" t="s">
        <v>220</v>
      </c>
      <c r="H3263" t="s">
        <v>112</v>
      </c>
      <c r="I3263" s="2">
        <v>1</v>
      </c>
      <c r="J3263" s="3">
        <v>129</v>
      </c>
      <c r="K3263" s="4">
        <v>0.05</v>
      </c>
      <c r="L3263" s="3">
        <v>122.55</v>
      </c>
      <c r="M3263" t="b">
        <v>1</v>
      </c>
      <c r="N3263" s="2">
        <f>YEAR(B3263)</f>
        <v>2025</v>
      </c>
      <c r="O3263" t="str">
        <f>INDEX(Agences!$C:$C,MATCH(F3263,Agences!$A:$A,0))</f>
        <v>Île-de-France</v>
      </c>
      <c r="P3263" t="str">
        <f>INDEX(Produits!$C:$C,MATCH(H3263,Produits!$A:$A,0))</f>
        <v>Mobilier</v>
      </c>
      <c r="Q3263" s="3">
        <f>I3263*INDEX(Produits!$E:$E,MATCH(H3263,Produits!$A:$A,0))</f>
        <v>86.43</v>
      </c>
      <c r="R3263" s="3">
        <f>L3263-Q3263</f>
        <v>36.11999999999999</v>
      </c>
      <c r="S3263" s="2">
        <f>NETWORKDAYS(B3263,C3263)-1</f>
        <v>2</v>
      </c>
      <c r="T3263" s="1">
        <f>WORKDAY(B3263,5)</f>
        <v>45782</v>
      </c>
      <c r="U3263" t="b">
        <f>C3263&gt;T3263</f>
        <v>0</v>
      </c>
    </row>
    <row r="3264" spans="1:21" x14ac:dyDescent="0.25">
      <c r="A3264" t="s">
        <v>2002</v>
      </c>
      <c r="B3264" s="1">
        <v>45775</v>
      </c>
      <c r="C3264" s="1">
        <v>45777</v>
      </c>
      <c r="D3264" t="s">
        <v>552</v>
      </c>
      <c r="E3264" t="s">
        <v>137</v>
      </c>
      <c r="F3264" t="s">
        <v>138</v>
      </c>
      <c r="G3264" t="s">
        <v>220</v>
      </c>
      <c r="H3264" t="s">
        <v>42</v>
      </c>
      <c r="I3264" s="2">
        <v>1</v>
      </c>
      <c r="J3264" s="3">
        <v>55</v>
      </c>
      <c r="K3264" s="4">
        <v>0.05</v>
      </c>
      <c r="L3264" s="3">
        <v>52.25</v>
      </c>
      <c r="M3264" t="b">
        <v>1</v>
      </c>
      <c r="N3264" s="2">
        <f>YEAR(B3264)</f>
        <v>2025</v>
      </c>
      <c r="O3264" t="str">
        <f>INDEX(Agences!$C:$C,MATCH(F3264,Agences!$A:$A,0))</f>
        <v>Île-de-France</v>
      </c>
      <c r="P3264" t="str">
        <f>INDEX(Produits!$C:$C,MATCH(H3264,Produits!$A:$A,0))</f>
        <v>Maintenance</v>
      </c>
      <c r="Q3264" s="3">
        <f>I3264*INDEX(Produits!$E:$E,MATCH(H3264,Produits!$A:$A,0))</f>
        <v>24.75</v>
      </c>
      <c r="R3264" s="3">
        <f>L3264-Q3264</f>
        <v>27.5</v>
      </c>
      <c r="S3264" s="2">
        <f>NETWORKDAYS(B3264,C3264)-1</f>
        <v>2</v>
      </c>
      <c r="T3264" s="1">
        <f>WORKDAY(B3264,5)</f>
        <v>45782</v>
      </c>
      <c r="U3264" t="b">
        <f>C3264&gt;T3264</f>
        <v>0</v>
      </c>
    </row>
    <row r="3265" spans="1:21" x14ac:dyDescent="0.25">
      <c r="A3265" t="s">
        <v>2002</v>
      </c>
      <c r="B3265" s="1">
        <v>45775</v>
      </c>
      <c r="C3265" s="1">
        <v>45777</v>
      </c>
      <c r="D3265" t="s">
        <v>552</v>
      </c>
      <c r="E3265" t="s">
        <v>137</v>
      </c>
      <c r="F3265" t="s">
        <v>138</v>
      </c>
      <c r="G3265" t="s">
        <v>220</v>
      </c>
      <c r="H3265" t="s">
        <v>83</v>
      </c>
      <c r="I3265" s="2">
        <v>1</v>
      </c>
      <c r="J3265" s="3">
        <v>49</v>
      </c>
      <c r="K3265" s="4">
        <v>0</v>
      </c>
      <c r="L3265" s="3">
        <v>49</v>
      </c>
      <c r="M3265" t="b">
        <v>1</v>
      </c>
      <c r="N3265" s="2">
        <f>YEAR(B3265)</f>
        <v>2025</v>
      </c>
      <c r="O3265" t="str">
        <f>INDEX(Agences!$C:$C,MATCH(F3265,Agences!$A:$A,0))</f>
        <v>Île-de-France</v>
      </c>
      <c r="P3265" t="str">
        <f>INDEX(Produits!$C:$C,MATCH(H3265,Produits!$A:$A,0))</f>
        <v>Mobilier</v>
      </c>
      <c r="Q3265" s="3">
        <f>I3265*INDEX(Produits!$E:$E,MATCH(H3265,Produits!$A:$A,0))</f>
        <v>28.42</v>
      </c>
      <c r="R3265" s="3">
        <f>L3265-Q3265</f>
        <v>20.58</v>
      </c>
      <c r="S3265" s="2">
        <f>NETWORKDAYS(B3265,C3265)-1</f>
        <v>2</v>
      </c>
      <c r="T3265" s="1">
        <f>WORKDAY(B3265,5)</f>
        <v>45782</v>
      </c>
      <c r="U3265" t="b">
        <f>C3265&gt;T3265</f>
        <v>0</v>
      </c>
    </row>
    <row r="3266" spans="1:21" x14ac:dyDescent="0.25">
      <c r="A3266" t="s">
        <v>2002</v>
      </c>
      <c r="B3266" s="1">
        <v>45775</v>
      </c>
      <c r="C3266" s="1">
        <v>45777</v>
      </c>
      <c r="D3266" t="s">
        <v>552</v>
      </c>
      <c r="E3266" t="s">
        <v>137</v>
      </c>
      <c r="F3266" t="s">
        <v>138</v>
      </c>
      <c r="G3266" t="s">
        <v>220</v>
      </c>
      <c r="H3266" t="s">
        <v>103</v>
      </c>
      <c r="I3266" s="2">
        <v>2</v>
      </c>
      <c r="J3266" s="3">
        <v>245</v>
      </c>
      <c r="K3266" s="4">
        <v>0</v>
      </c>
      <c r="L3266" s="3">
        <v>490</v>
      </c>
      <c r="M3266" t="b">
        <v>1</v>
      </c>
      <c r="N3266" s="2">
        <f>YEAR(B3266)</f>
        <v>2025</v>
      </c>
      <c r="O3266" t="str">
        <f>INDEX(Agences!$C:$C,MATCH(F3266,Agences!$A:$A,0))</f>
        <v>Île-de-France</v>
      </c>
      <c r="P3266" t="str">
        <f>INDEX(Produits!$C:$C,MATCH(H3266,Produits!$A:$A,0))</f>
        <v>Mobilier</v>
      </c>
      <c r="Q3266" s="3">
        <f>I3266*INDEX(Produits!$E:$E,MATCH(H3266,Produits!$A:$A,0))</f>
        <v>328.3</v>
      </c>
      <c r="R3266" s="3">
        <f>L3266-Q3266</f>
        <v>161.7</v>
      </c>
      <c r="S3266" s="2">
        <f>NETWORKDAYS(B3266,C3266)-1</f>
        <v>2</v>
      </c>
      <c r="T3266" s="1">
        <f>WORKDAY(B3266,5)</f>
        <v>45782</v>
      </c>
      <c r="U3266" t="b">
        <f>C3266&gt;T3266</f>
        <v>0</v>
      </c>
    </row>
    <row r="3267" spans="1:21" x14ac:dyDescent="0.25">
      <c r="A3267" t="s">
        <v>2003</v>
      </c>
      <c r="B3267" s="1">
        <v>45775</v>
      </c>
      <c r="C3267" s="1">
        <v>45777</v>
      </c>
      <c r="D3267" t="s">
        <v>828</v>
      </c>
      <c r="E3267" t="s">
        <v>165</v>
      </c>
      <c r="F3267" t="s">
        <v>166</v>
      </c>
      <c r="G3267" t="s">
        <v>179</v>
      </c>
      <c r="H3267" t="s">
        <v>33</v>
      </c>
      <c r="I3267" s="2">
        <v>1</v>
      </c>
      <c r="J3267" s="3">
        <v>219</v>
      </c>
      <c r="K3267" s="4">
        <v>0.08</v>
      </c>
      <c r="L3267" s="3">
        <v>201.48</v>
      </c>
      <c r="M3267" t="b">
        <v>1</v>
      </c>
      <c r="N3267" s="2">
        <f>YEAR(B3267)</f>
        <v>2025</v>
      </c>
      <c r="O3267" t="str">
        <f>INDEX(Agences!$C:$C,MATCH(F3267,Agences!$A:$A,0))</f>
        <v>Ouest</v>
      </c>
      <c r="P3267" t="str">
        <f>INDEX(Produits!$C:$C,MATCH(H3267,Produits!$A:$A,0))</f>
        <v>Informatique</v>
      </c>
      <c r="Q3267" s="3">
        <f>I3267*INDEX(Produits!$E:$E,MATCH(H3267,Produits!$A:$A,0))</f>
        <v>179.58</v>
      </c>
      <c r="R3267" s="3">
        <f>L3267-Q3267</f>
        <v>21.899999999999977</v>
      </c>
      <c r="S3267" s="2">
        <f>NETWORKDAYS(B3267,C3267)-1</f>
        <v>2</v>
      </c>
      <c r="T3267" s="1">
        <f>WORKDAY(B3267,5)</f>
        <v>45782</v>
      </c>
      <c r="U3267" t="b">
        <f>C3267&gt;T3267</f>
        <v>0</v>
      </c>
    </row>
    <row r="3268" spans="1:21" x14ac:dyDescent="0.25">
      <c r="A3268" t="s">
        <v>2003</v>
      </c>
      <c r="B3268" s="1">
        <v>45775</v>
      </c>
      <c r="C3268" s="1">
        <v>45777</v>
      </c>
      <c r="D3268" t="s">
        <v>828</v>
      </c>
      <c r="E3268" t="s">
        <v>165</v>
      </c>
      <c r="F3268" t="s">
        <v>166</v>
      </c>
      <c r="G3268" t="s">
        <v>179</v>
      </c>
      <c r="H3268" t="s">
        <v>606</v>
      </c>
      <c r="I3268" s="2">
        <v>1</v>
      </c>
      <c r="J3268" s="3">
        <v>1150</v>
      </c>
      <c r="K3268" s="4">
        <v>0.05</v>
      </c>
      <c r="L3268" s="3">
        <v>1092.5</v>
      </c>
      <c r="M3268" t="b">
        <v>1</v>
      </c>
      <c r="N3268" s="2">
        <f>YEAR(B3268)</f>
        <v>2025</v>
      </c>
      <c r="O3268" t="str">
        <f>INDEX(Agences!$C:$C,MATCH(F3268,Agences!$A:$A,0))</f>
        <v>Ouest</v>
      </c>
      <c r="P3268" t="str">
        <f>INDEX(Produits!$C:$C,MATCH(H3268,Produits!$A:$A,0))</f>
        <v>Mobilier</v>
      </c>
      <c r="Q3268" s="3">
        <f>I3268*INDEX(Produits!$E:$E,MATCH(H3268,Produits!$A:$A,0))</f>
        <v>713</v>
      </c>
      <c r="R3268" s="3">
        <f>L3268-Q3268</f>
        <v>379.5</v>
      </c>
      <c r="S3268" s="2">
        <f>NETWORKDAYS(B3268,C3268)-1</f>
        <v>2</v>
      </c>
      <c r="T3268" s="1">
        <f>WORKDAY(B3268,5)</f>
        <v>45782</v>
      </c>
      <c r="U3268" t="b">
        <f>C3268&gt;T3268</f>
        <v>0</v>
      </c>
    </row>
    <row r="3269" spans="1:21" x14ac:dyDescent="0.25">
      <c r="A3269" t="s">
        <v>2004</v>
      </c>
      <c r="B3269" s="1">
        <v>45775</v>
      </c>
      <c r="C3269" s="1">
        <v>45776</v>
      </c>
      <c r="D3269" t="s">
        <v>2005</v>
      </c>
      <c r="E3269" t="s">
        <v>191</v>
      </c>
      <c r="F3269" t="s">
        <v>62</v>
      </c>
      <c r="G3269" t="s">
        <v>68</v>
      </c>
      <c r="H3269" t="s">
        <v>35</v>
      </c>
      <c r="I3269" s="2">
        <v>3</v>
      </c>
      <c r="J3269" s="3">
        <v>79</v>
      </c>
      <c r="K3269" s="4">
        <v>0.08</v>
      </c>
      <c r="L3269" s="3">
        <v>218.04</v>
      </c>
      <c r="M3269" t="b">
        <v>1</v>
      </c>
      <c r="N3269" s="2">
        <f>YEAR(B3269)</f>
        <v>2025</v>
      </c>
      <c r="O3269" t="str">
        <f>INDEX(Agences!$C:$C,MATCH(F3269,Agences!$A:$A,0))</f>
        <v>Méditerranée</v>
      </c>
      <c r="P3269" t="str">
        <f>INDEX(Produits!$C:$C,MATCH(H3269,Produits!$A:$A,0))</f>
        <v>Mobilier</v>
      </c>
      <c r="Q3269" s="3">
        <f>I3269*INDEX(Produits!$E:$E,MATCH(H3269,Produits!$A:$A,0))</f>
        <v>139.82999999999998</v>
      </c>
      <c r="R3269" s="3">
        <f>L3269-Q3269</f>
        <v>78.21000000000001</v>
      </c>
      <c r="S3269" s="2">
        <f>NETWORKDAYS(B3269,C3269)-1</f>
        <v>1</v>
      </c>
      <c r="T3269" s="1">
        <f>WORKDAY(B3269,5)</f>
        <v>45782</v>
      </c>
      <c r="U3269" t="b">
        <f>C3269&gt;T3269</f>
        <v>0</v>
      </c>
    </row>
    <row r="3270" spans="1:21" x14ac:dyDescent="0.25">
      <c r="A3270" t="s">
        <v>2004</v>
      </c>
      <c r="B3270" s="1">
        <v>45775</v>
      </c>
      <c r="C3270" s="1">
        <v>45776</v>
      </c>
      <c r="D3270" t="s">
        <v>2005</v>
      </c>
      <c r="E3270" t="s">
        <v>191</v>
      </c>
      <c r="F3270" t="s">
        <v>62</v>
      </c>
      <c r="G3270" t="s">
        <v>68</v>
      </c>
      <c r="H3270" t="s">
        <v>72</v>
      </c>
      <c r="I3270" s="2">
        <v>3</v>
      </c>
      <c r="J3270" s="3">
        <v>179</v>
      </c>
      <c r="K3270" s="4">
        <v>0.08</v>
      </c>
      <c r="L3270" s="3">
        <v>494.04</v>
      </c>
      <c r="M3270" t="b">
        <v>1</v>
      </c>
      <c r="N3270" s="2">
        <f>YEAR(B3270)</f>
        <v>2025</v>
      </c>
      <c r="O3270" t="str">
        <f>INDEX(Agences!$C:$C,MATCH(F3270,Agences!$A:$A,0))</f>
        <v>Méditerranée</v>
      </c>
      <c r="P3270" t="str">
        <f>INDEX(Produits!$C:$C,MATCH(H3270,Produits!$A:$A,0))</f>
        <v>Informatique</v>
      </c>
      <c r="Q3270" s="3">
        <f>I3270*INDEX(Produits!$E:$E,MATCH(H3270,Produits!$A:$A,0))</f>
        <v>440.34000000000003</v>
      </c>
      <c r="R3270" s="3">
        <f>L3270-Q3270</f>
        <v>53.69999999999999</v>
      </c>
      <c r="S3270" s="2">
        <f>NETWORKDAYS(B3270,C3270)-1</f>
        <v>1</v>
      </c>
      <c r="T3270" s="1">
        <f>WORKDAY(B3270,5)</f>
        <v>45782</v>
      </c>
      <c r="U3270" t="b">
        <f>C3270&gt;T3270</f>
        <v>0</v>
      </c>
    </row>
    <row r="3271" spans="1:21" x14ac:dyDescent="0.25">
      <c r="A3271" t="s">
        <v>2004</v>
      </c>
      <c r="B3271" s="1">
        <v>45775</v>
      </c>
      <c r="C3271" s="1">
        <v>45776</v>
      </c>
      <c r="D3271" t="s">
        <v>2005</v>
      </c>
      <c r="E3271" t="s">
        <v>191</v>
      </c>
      <c r="F3271" t="s">
        <v>62</v>
      </c>
      <c r="G3271" t="s">
        <v>68</v>
      </c>
      <c r="H3271" t="s">
        <v>42</v>
      </c>
      <c r="I3271" s="2">
        <v>2</v>
      </c>
      <c r="J3271" s="3">
        <v>55</v>
      </c>
      <c r="K3271" s="4">
        <v>0</v>
      </c>
      <c r="L3271" s="3">
        <v>110</v>
      </c>
      <c r="M3271" t="b">
        <v>1</v>
      </c>
      <c r="N3271" s="2">
        <f>YEAR(B3271)</f>
        <v>2025</v>
      </c>
      <c r="O3271" t="str">
        <f>INDEX(Agences!$C:$C,MATCH(F3271,Agences!$A:$A,0))</f>
        <v>Méditerranée</v>
      </c>
      <c r="P3271" t="str">
        <f>INDEX(Produits!$C:$C,MATCH(H3271,Produits!$A:$A,0))</f>
        <v>Maintenance</v>
      </c>
      <c r="Q3271" s="3">
        <f>I3271*INDEX(Produits!$E:$E,MATCH(H3271,Produits!$A:$A,0))</f>
        <v>49.5</v>
      </c>
      <c r="R3271" s="3">
        <f>L3271-Q3271</f>
        <v>60.5</v>
      </c>
      <c r="S3271" s="2">
        <f>NETWORKDAYS(B3271,C3271)-1</f>
        <v>1</v>
      </c>
      <c r="T3271" s="1">
        <f>WORKDAY(B3271,5)</f>
        <v>45782</v>
      </c>
      <c r="U3271" t="b">
        <f>C3271&gt;T3271</f>
        <v>0</v>
      </c>
    </row>
    <row r="3272" spans="1:21" x14ac:dyDescent="0.25">
      <c r="A3272" t="s">
        <v>2006</v>
      </c>
      <c r="B3272" s="1">
        <v>45772</v>
      </c>
      <c r="C3272" s="1">
        <v>45778</v>
      </c>
      <c r="D3272" t="s">
        <v>421</v>
      </c>
      <c r="E3272" t="s">
        <v>316</v>
      </c>
      <c r="F3272" t="s">
        <v>46</v>
      </c>
      <c r="G3272" t="s">
        <v>47</v>
      </c>
      <c r="H3272" t="s">
        <v>83</v>
      </c>
      <c r="I3272" s="2">
        <v>2</v>
      </c>
      <c r="J3272" s="3">
        <v>49</v>
      </c>
      <c r="K3272" s="4">
        <v>0.1</v>
      </c>
      <c r="L3272" s="3">
        <v>88.2</v>
      </c>
      <c r="M3272" t="b">
        <v>1</v>
      </c>
      <c r="N3272" s="2">
        <f>YEAR(B3272)</f>
        <v>2025</v>
      </c>
      <c r="O3272" t="str">
        <f>INDEX(Agences!$C:$C,MATCH(F3272,Agences!$A:$A,0))</f>
        <v>Est</v>
      </c>
      <c r="P3272" t="str">
        <f>INDEX(Produits!$C:$C,MATCH(H3272,Produits!$A:$A,0))</f>
        <v>Mobilier</v>
      </c>
      <c r="Q3272" s="3">
        <f>I3272*INDEX(Produits!$E:$E,MATCH(H3272,Produits!$A:$A,0))</f>
        <v>56.84</v>
      </c>
      <c r="R3272" s="3">
        <f>L3272-Q3272</f>
        <v>31.36</v>
      </c>
      <c r="S3272" s="2">
        <f>NETWORKDAYS(B3272,C3272)-1</f>
        <v>4</v>
      </c>
      <c r="T3272" s="1">
        <f>WORKDAY(B3272,5)</f>
        <v>45779</v>
      </c>
      <c r="U3272" t="b">
        <f>C3272&gt;T3272</f>
        <v>0</v>
      </c>
    </row>
    <row r="3273" spans="1:21" x14ac:dyDescent="0.25">
      <c r="A3273" t="s">
        <v>2006</v>
      </c>
      <c r="B3273" s="1">
        <v>45772</v>
      </c>
      <c r="C3273" s="1">
        <v>45778</v>
      </c>
      <c r="D3273" t="s">
        <v>421</v>
      </c>
      <c r="E3273" t="s">
        <v>316</v>
      </c>
      <c r="F3273" t="s">
        <v>46</v>
      </c>
      <c r="G3273" t="s">
        <v>47</v>
      </c>
      <c r="H3273" t="s">
        <v>79</v>
      </c>
      <c r="I3273" s="2">
        <v>5</v>
      </c>
      <c r="J3273" s="3">
        <v>14.9</v>
      </c>
      <c r="K3273" s="4">
        <v>0.05</v>
      </c>
      <c r="L3273" s="3">
        <v>70.78</v>
      </c>
      <c r="M3273" t="b">
        <v>1</v>
      </c>
      <c r="N3273" s="2">
        <f>YEAR(B3273)</f>
        <v>2025</v>
      </c>
      <c r="O3273" t="str">
        <f>INDEX(Agences!$C:$C,MATCH(F3273,Agences!$A:$A,0))</f>
        <v>Est</v>
      </c>
      <c r="P3273" t="str">
        <f>INDEX(Produits!$C:$C,MATCH(H3273,Produits!$A:$A,0))</f>
        <v>Fournitures</v>
      </c>
      <c r="Q3273" s="3">
        <f>I3273*INDEX(Produits!$E:$E,MATCH(H3273,Produits!$A:$A,0))</f>
        <v>40.25</v>
      </c>
      <c r="R3273" s="3">
        <f>L3273-Q3273</f>
        <v>30.53</v>
      </c>
      <c r="S3273" s="2">
        <f>NETWORKDAYS(B3273,C3273)-1</f>
        <v>4</v>
      </c>
      <c r="T3273" s="1">
        <f>WORKDAY(B3273,5)</f>
        <v>45779</v>
      </c>
      <c r="U3273" t="b">
        <f>C3273&gt;T3273</f>
        <v>0</v>
      </c>
    </row>
    <row r="3274" spans="1:21" x14ac:dyDescent="0.25">
      <c r="A3274" t="s">
        <v>2006</v>
      </c>
      <c r="B3274" s="1">
        <v>45772</v>
      </c>
      <c r="C3274" s="1">
        <v>45778</v>
      </c>
      <c r="D3274" t="s">
        <v>421</v>
      </c>
      <c r="E3274" t="s">
        <v>316</v>
      </c>
      <c r="F3274" t="s">
        <v>46</v>
      </c>
      <c r="G3274" t="s">
        <v>47</v>
      </c>
      <c r="H3274" t="s">
        <v>27</v>
      </c>
      <c r="I3274" s="2">
        <v>3</v>
      </c>
      <c r="J3274" s="3">
        <v>310</v>
      </c>
      <c r="K3274" s="4">
        <v>0</v>
      </c>
      <c r="L3274" s="3">
        <v>930</v>
      </c>
      <c r="M3274" t="b">
        <v>1</v>
      </c>
      <c r="N3274" s="2">
        <f>YEAR(B3274)</f>
        <v>2025</v>
      </c>
      <c r="O3274" t="str">
        <f>INDEX(Agences!$C:$C,MATCH(F3274,Agences!$A:$A,0))</f>
        <v>Est</v>
      </c>
      <c r="P3274" t="str">
        <f>INDEX(Produits!$C:$C,MATCH(H3274,Produits!$A:$A,0))</f>
        <v>Mobilier</v>
      </c>
      <c r="Q3274" s="3">
        <f>I3274*INDEX(Produits!$E:$E,MATCH(H3274,Produits!$A:$A,0))</f>
        <v>558</v>
      </c>
      <c r="R3274" s="3">
        <f>L3274-Q3274</f>
        <v>372</v>
      </c>
      <c r="S3274" s="2">
        <f>NETWORKDAYS(B3274,C3274)-1</f>
        <v>4</v>
      </c>
      <c r="T3274" s="1">
        <f>WORKDAY(B3274,5)</f>
        <v>45779</v>
      </c>
      <c r="U3274" t="b">
        <f>C3274&gt;T3274</f>
        <v>0</v>
      </c>
    </row>
    <row r="3275" spans="1:21" x14ac:dyDescent="0.25">
      <c r="A3275" t="s">
        <v>2006</v>
      </c>
      <c r="B3275" s="1">
        <v>45772</v>
      </c>
      <c r="C3275" s="1">
        <v>45778</v>
      </c>
      <c r="D3275" t="s">
        <v>421</v>
      </c>
      <c r="E3275" t="s">
        <v>316</v>
      </c>
      <c r="F3275" t="s">
        <v>46</v>
      </c>
      <c r="G3275" t="s">
        <v>47</v>
      </c>
      <c r="H3275" t="s">
        <v>49</v>
      </c>
      <c r="I3275" s="2">
        <v>1</v>
      </c>
      <c r="J3275" s="3">
        <v>120</v>
      </c>
      <c r="K3275" s="4">
        <v>0.02</v>
      </c>
      <c r="L3275" s="3">
        <v>117.6</v>
      </c>
      <c r="M3275" t="b">
        <v>1</v>
      </c>
      <c r="N3275" s="2">
        <f>YEAR(B3275)</f>
        <v>2025</v>
      </c>
      <c r="O3275" t="str">
        <f>INDEX(Agences!$C:$C,MATCH(F3275,Agences!$A:$A,0))</f>
        <v>Est</v>
      </c>
      <c r="P3275" t="str">
        <f>INDEX(Produits!$C:$C,MATCH(H3275,Produits!$A:$A,0))</f>
        <v>Maintenance</v>
      </c>
      <c r="Q3275" s="3">
        <f>I3275*INDEX(Produits!$E:$E,MATCH(H3275,Produits!$A:$A,0))</f>
        <v>55.2</v>
      </c>
      <c r="R3275" s="3">
        <f>L3275-Q3275</f>
        <v>62.39999999999999</v>
      </c>
      <c r="S3275" s="2">
        <f>NETWORKDAYS(B3275,C3275)-1</f>
        <v>4</v>
      </c>
      <c r="T3275" s="1">
        <f>WORKDAY(B3275,5)</f>
        <v>45779</v>
      </c>
      <c r="U3275" t="b">
        <f>C3275&gt;T3275</f>
        <v>0</v>
      </c>
    </row>
    <row r="3276" spans="1:21" x14ac:dyDescent="0.25">
      <c r="A3276" t="s">
        <v>2006</v>
      </c>
      <c r="B3276" s="1">
        <v>45772</v>
      </c>
      <c r="C3276" s="1">
        <v>45778</v>
      </c>
      <c r="D3276" t="s">
        <v>421</v>
      </c>
      <c r="E3276" t="s">
        <v>316</v>
      </c>
      <c r="F3276" t="s">
        <v>46</v>
      </c>
      <c r="G3276" t="s">
        <v>47</v>
      </c>
      <c r="H3276" t="s">
        <v>51</v>
      </c>
      <c r="I3276" s="2">
        <v>2</v>
      </c>
      <c r="J3276" s="3">
        <v>180</v>
      </c>
      <c r="K3276" s="4">
        <v>0.02</v>
      </c>
      <c r="L3276" s="3">
        <v>352.8</v>
      </c>
      <c r="M3276" t="b">
        <v>1</v>
      </c>
      <c r="N3276" s="2">
        <f>YEAR(B3276)</f>
        <v>2025</v>
      </c>
      <c r="O3276" t="str">
        <f>INDEX(Agences!$C:$C,MATCH(F3276,Agences!$A:$A,0))</f>
        <v>Est</v>
      </c>
      <c r="P3276" t="str">
        <f>INDEX(Produits!$C:$C,MATCH(H3276,Produits!$A:$A,0))</f>
        <v>Maintenance</v>
      </c>
      <c r="Q3276" s="3">
        <f>I3276*INDEX(Produits!$E:$E,MATCH(H3276,Produits!$A:$A,0))</f>
        <v>165.6</v>
      </c>
      <c r="R3276" s="3">
        <f>L3276-Q3276</f>
        <v>187.20000000000002</v>
      </c>
      <c r="S3276" s="2">
        <f>NETWORKDAYS(B3276,C3276)-1</f>
        <v>4</v>
      </c>
      <c r="T3276" s="1">
        <f>WORKDAY(B3276,5)</f>
        <v>45779</v>
      </c>
      <c r="U3276" t="b">
        <f>C3276&gt;T3276</f>
        <v>0</v>
      </c>
    </row>
    <row r="3277" spans="1:21" x14ac:dyDescent="0.25">
      <c r="A3277" t="s">
        <v>2007</v>
      </c>
      <c r="B3277" s="1">
        <v>45772</v>
      </c>
      <c r="C3277" s="1">
        <v>45777</v>
      </c>
      <c r="D3277" t="s">
        <v>694</v>
      </c>
      <c r="E3277" t="s">
        <v>45</v>
      </c>
      <c r="F3277" t="s">
        <v>46</v>
      </c>
      <c r="G3277" t="s">
        <v>158</v>
      </c>
      <c r="H3277" t="s">
        <v>34</v>
      </c>
      <c r="I3277" s="2">
        <v>1</v>
      </c>
      <c r="J3277" s="3">
        <v>340</v>
      </c>
      <c r="K3277" s="4">
        <v>0</v>
      </c>
      <c r="L3277" s="3">
        <v>340</v>
      </c>
      <c r="M3277" t="b">
        <v>1</v>
      </c>
      <c r="N3277" s="2">
        <f>YEAR(B3277)</f>
        <v>2025</v>
      </c>
      <c r="O3277" t="str">
        <f>INDEX(Agences!$C:$C,MATCH(F3277,Agences!$A:$A,0))</f>
        <v>Est</v>
      </c>
      <c r="P3277" t="str">
        <f>INDEX(Produits!$C:$C,MATCH(H3277,Produits!$A:$A,0))</f>
        <v>Informatique</v>
      </c>
      <c r="Q3277" s="3">
        <f>I3277*INDEX(Produits!$E:$E,MATCH(H3277,Produits!$A:$A,0))</f>
        <v>275.4</v>
      </c>
      <c r="R3277" s="3">
        <f>L3277-Q3277</f>
        <v>64.60000000000002</v>
      </c>
      <c r="S3277" s="2">
        <f>NETWORKDAYS(B3277,C3277)-1</f>
        <v>3</v>
      </c>
      <c r="T3277" s="1">
        <f>WORKDAY(B3277,5)</f>
        <v>45779</v>
      </c>
      <c r="U3277" t="b">
        <f>C3277&gt;T3277</f>
        <v>0</v>
      </c>
    </row>
    <row r="3278" spans="1:21" x14ac:dyDescent="0.25">
      <c r="A3278" t="s">
        <v>2008</v>
      </c>
      <c r="B3278" s="1">
        <v>45771</v>
      </c>
      <c r="C3278" s="1">
        <v>45778</v>
      </c>
      <c r="D3278" t="s">
        <v>2009</v>
      </c>
      <c r="E3278" t="s">
        <v>172</v>
      </c>
      <c r="F3278" t="s">
        <v>99</v>
      </c>
      <c r="G3278" t="s">
        <v>100</v>
      </c>
      <c r="H3278" t="s">
        <v>606</v>
      </c>
      <c r="I3278" s="2">
        <v>1</v>
      </c>
      <c r="J3278" s="3">
        <v>1150</v>
      </c>
      <c r="K3278" s="4">
        <v>0</v>
      </c>
      <c r="L3278" s="3">
        <v>1150</v>
      </c>
      <c r="M3278" t="b">
        <v>1</v>
      </c>
      <c r="N3278" s="2">
        <f>YEAR(B3278)</f>
        <v>2025</v>
      </c>
      <c r="O3278" t="str">
        <f>INDEX(Agences!$C:$C,MATCH(F3278,Agences!$A:$A,0))</f>
        <v>Nord</v>
      </c>
      <c r="P3278" t="str">
        <f>INDEX(Produits!$C:$C,MATCH(H3278,Produits!$A:$A,0))</f>
        <v>Mobilier</v>
      </c>
      <c r="Q3278" s="3">
        <f>I3278*INDEX(Produits!$E:$E,MATCH(H3278,Produits!$A:$A,0))</f>
        <v>713</v>
      </c>
      <c r="R3278" s="3">
        <f>L3278-Q3278</f>
        <v>437</v>
      </c>
      <c r="S3278" s="2">
        <f>NETWORKDAYS(B3278,C3278)-1</f>
        <v>5</v>
      </c>
      <c r="T3278" s="1">
        <f>WORKDAY(B3278,5)</f>
        <v>45778</v>
      </c>
      <c r="U3278" t="b">
        <f>C3278&gt;T3278</f>
        <v>0</v>
      </c>
    </row>
    <row r="3279" spans="1:21" x14ac:dyDescent="0.25">
      <c r="A3279" t="s">
        <v>2008</v>
      </c>
      <c r="B3279" s="1">
        <v>45771</v>
      </c>
      <c r="C3279" s="1">
        <v>45778</v>
      </c>
      <c r="D3279" t="s">
        <v>2009</v>
      </c>
      <c r="E3279" t="s">
        <v>172</v>
      </c>
      <c r="F3279" t="s">
        <v>99</v>
      </c>
      <c r="G3279" t="s">
        <v>100</v>
      </c>
      <c r="H3279" t="s">
        <v>112</v>
      </c>
      <c r="I3279" s="2">
        <v>3</v>
      </c>
      <c r="J3279" s="3">
        <v>129</v>
      </c>
      <c r="K3279" s="4">
        <v>0</v>
      </c>
      <c r="L3279" s="3">
        <v>387</v>
      </c>
      <c r="M3279" t="b">
        <v>1</v>
      </c>
      <c r="N3279" s="2">
        <f>YEAR(B3279)</f>
        <v>2025</v>
      </c>
      <c r="O3279" t="str">
        <f>INDEX(Agences!$C:$C,MATCH(F3279,Agences!$A:$A,0))</f>
        <v>Nord</v>
      </c>
      <c r="P3279" t="str">
        <f>INDEX(Produits!$C:$C,MATCH(H3279,Produits!$A:$A,0))</f>
        <v>Mobilier</v>
      </c>
      <c r="Q3279" s="3">
        <f>I3279*INDEX(Produits!$E:$E,MATCH(H3279,Produits!$A:$A,0))</f>
        <v>259.29</v>
      </c>
      <c r="R3279" s="3">
        <f>L3279-Q3279</f>
        <v>127.70999999999998</v>
      </c>
      <c r="S3279" s="2">
        <f>NETWORKDAYS(B3279,C3279)-1</f>
        <v>5</v>
      </c>
      <c r="T3279" s="1">
        <f>WORKDAY(B3279,5)</f>
        <v>45778</v>
      </c>
      <c r="U3279" t="b">
        <f>C3279&gt;T3279</f>
        <v>0</v>
      </c>
    </row>
    <row r="3280" spans="1:21" x14ac:dyDescent="0.25">
      <c r="A3280" t="s">
        <v>2008</v>
      </c>
      <c r="B3280" s="1">
        <v>45771</v>
      </c>
      <c r="C3280" s="1">
        <v>45778</v>
      </c>
      <c r="D3280" t="s">
        <v>2009</v>
      </c>
      <c r="E3280" t="s">
        <v>172</v>
      </c>
      <c r="F3280" t="s">
        <v>99</v>
      </c>
      <c r="G3280" t="s">
        <v>100</v>
      </c>
      <c r="H3280" t="s">
        <v>51</v>
      </c>
      <c r="I3280" s="2">
        <v>1</v>
      </c>
      <c r="J3280" s="3">
        <v>180</v>
      </c>
      <c r="K3280" s="4">
        <v>0</v>
      </c>
      <c r="L3280" s="3">
        <v>180</v>
      </c>
      <c r="M3280" t="b">
        <v>1</v>
      </c>
      <c r="N3280" s="2">
        <f>YEAR(B3280)</f>
        <v>2025</v>
      </c>
      <c r="O3280" t="str">
        <f>INDEX(Agences!$C:$C,MATCH(F3280,Agences!$A:$A,0))</f>
        <v>Nord</v>
      </c>
      <c r="P3280" t="str">
        <f>INDEX(Produits!$C:$C,MATCH(H3280,Produits!$A:$A,0))</f>
        <v>Maintenance</v>
      </c>
      <c r="Q3280" s="3">
        <f>I3280*INDEX(Produits!$E:$E,MATCH(H3280,Produits!$A:$A,0))</f>
        <v>82.8</v>
      </c>
      <c r="R3280" s="3">
        <f>L3280-Q3280</f>
        <v>97.2</v>
      </c>
      <c r="S3280" s="2">
        <f>NETWORKDAYS(B3280,C3280)-1</f>
        <v>5</v>
      </c>
      <c r="T3280" s="1">
        <f>WORKDAY(B3280,5)</f>
        <v>45778</v>
      </c>
      <c r="U3280" t="b">
        <f>C3280&gt;T3280</f>
        <v>0</v>
      </c>
    </row>
    <row r="3281" spans="1:21" x14ac:dyDescent="0.25">
      <c r="A3281" t="s">
        <v>2010</v>
      </c>
      <c r="B3281" s="1">
        <v>45771</v>
      </c>
      <c r="C3281" s="1">
        <v>45775</v>
      </c>
      <c r="D3281" t="s">
        <v>1320</v>
      </c>
      <c r="E3281" t="s">
        <v>172</v>
      </c>
      <c r="F3281" t="s">
        <v>99</v>
      </c>
      <c r="G3281" t="s">
        <v>210</v>
      </c>
      <c r="H3281" t="s">
        <v>57</v>
      </c>
      <c r="I3281" s="2">
        <v>1</v>
      </c>
      <c r="J3281" s="3">
        <v>149</v>
      </c>
      <c r="K3281" s="4">
        <v>0</v>
      </c>
      <c r="L3281" s="3">
        <v>149</v>
      </c>
      <c r="M3281" t="b">
        <v>1</v>
      </c>
      <c r="N3281" s="2">
        <f>YEAR(B3281)</f>
        <v>2025</v>
      </c>
      <c r="O3281" t="str">
        <f>INDEX(Agences!$C:$C,MATCH(F3281,Agences!$A:$A,0))</f>
        <v>Nord</v>
      </c>
      <c r="P3281" t="str">
        <f>INDEX(Produits!$C:$C,MATCH(H3281,Produits!$A:$A,0))</f>
        <v>Informatique</v>
      </c>
      <c r="Q3281" s="3">
        <f>I3281*INDEX(Produits!$E:$E,MATCH(H3281,Produits!$A:$A,0))</f>
        <v>114.73</v>
      </c>
      <c r="R3281" s="3">
        <f>L3281-Q3281</f>
        <v>34.269999999999996</v>
      </c>
      <c r="S3281" s="2">
        <f>NETWORKDAYS(B3281,C3281)-1</f>
        <v>2</v>
      </c>
      <c r="T3281" s="1">
        <f>WORKDAY(B3281,5)</f>
        <v>45778</v>
      </c>
      <c r="U3281" t="b">
        <f>C3281&gt;T3281</f>
        <v>0</v>
      </c>
    </row>
    <row r="3282" spans="1:21" x14ac:dyDescent="0.25">
      <c r="A3282" t="s">
        <v>2010</v>
      </c>
      <c r="B3282" s="1">
        <v>45771</v>
      </c>
      <c r="C3282" s="1">
        <v>45775</v>
      </c>
      <c r="D3282" t="s">
        <v>1320</v>
      </c>
      <c r="E3282" t="s">
        <v>172</v>
      </c>
      <c r="F3282" t="s">
        <v>99</v>
      </c>
      <c r="G3282" t="s">
        <v>210</v>
      </c>
      <c r="H3282" t="s">
        <v>107</v>
      </c>
      <c r="I3282" s="2">
        <v>2</v>
      </c>
      <c r="J3282" s="3">
        <v>99</v>
      </c>
      <c r="K3282" s="4">
        <v>0.05</v>
      </c>
      <c r="L3282" s="3">
        <v>188.1</v>
      </c>
      <c r="M3282" t="b">
        <v>1</v>
      </c>
      <c r="N3282" s="2">
        <f>YEAR(B3282)</f>
        <v>2025</v>
      </c>
      <c r="O3282" t="str">
        <f>INDEX(Agences!$C:$C,MATCH(F3282,Agences!$A:$A,0))</f>
        <v>Nord</v>
      </c>
      <c r="P3282" t="str">
        <f>INDEX(Produits!$C:$C,MATCH(H3282,Produits!$A:$A,0))</f>
        <v>Informatique</v>
      </c>
      <c r="Q3282" s="3">
        <f>I3282*INDEX(Produits!$E:$E,MATCH(H3282,Produits!$A:$A,0))</f>
        <v>150.48</v>
      </c>
      <c r="R3282" s="3">
        <f>L3282-Q3282</f>
        <v>37.620000000000005</v>
      </c>
      <c r="S3282" s="2">
        <f>NETWORKDAYS(B3282,C3282)-1</f>
        <v>2</v>
      </c>
      <c r="T3282" s="1">
        <f>WORKDAY(B3282,5)</f>
        <v>45778</v>
      </c>
      <c r="U3282" t="b">
        <f>C3282&gt;T3282</f>
        <v>0</v>
      </c>
    </row>
    <row r="3283" spans="1:21" x14ac:dyDescent="0.25">
      <c r="A3283" t="s">
        <v>2010</v>
      </c>
      <c r="B3283" s="1">
        <v>45771</v>
      </c>
      <c r="C3283" s="1">
        <v>45775</v>
      </c>
      <c r="D3283" t="s">
        <v>1320</v>
      </c>
      <c r="E3283" t="s">
        <v>172</v>
      </c>
      <c r="F3283" t="s">
        <v>99</v>
      </c>
      <c r="G3283" t="s">
        <v>210</v>
      </c>
      <c r="H3283" t="s">
        <v>33</v>
      </c>
      <c r="I3283" s="2">
        <v>1</v>
      </c>
      <c r="J3283" s="3">
        <v>219</v>
      </c>
      <c r="K3283" s="4">
        <v>0</v>
      </c>
      <c r="L3283" s="3">
        <v>219</v>
      </c>
      <c r="M3283" t="b">
        <v>1</v>
      </c>
      <c r="N3283" s="2">
        <f>YEAR(B3283)</f>
        <v>2025</v>
      </c>
      <c r="O3283" t="str">
        <f>INDEX(Agences!$C:$C,MATCH(F3283,Agences!$A:$A,0))</f>
        <v>Nord</v>
      </c>
      <c r="P3283" t="str">
        <f>INDEX(Produits!$C:$C,MATCH(H3283,Produits!$A:$A,0))</f>
        <v>Informatique</v>
      </c>
      <c r="Q3283" s="3">
        <f>I3283*INDEX(Produits!$E:$E,MATCH(H3283,Produits!$A:$A,0))</f>
        <v>179.58</v>
      </c>
      <c r="R3283" s="3">
        <f>L3283-Q3283</f>
        <v>39.41999999999999</v>
      </c>
      <c r="S3283" s="2">
        <f>NETWORKDAYS(B3283,C3283)-1</f>
        <v>2</v>
      </c>
      <c r="T3283" s="1">
        <f>WORKDAY(B3283,5)</f>
        <v>45778</v>
      </c>
      <c r="U3283" t="b">
        <f>C3283&gt;T3283</f>
        <v>0</v>
      </c>
    </row>
    <row r="3284" spans="1:21" x14ac:dyDescent="0.25">
      <c r="A3284" t="s">
        <v>2011</v>
      </c>
      <c r="B3284" s="1">
        <v>45771</v>
      </c>
      <c r="C3284" s="1">
        <v>45778</v>
      </c>
      <c r="D3284" t="s">
        <v>335</v>
      </c>
      <c r="E3284" t="s">
        <v>336</v>
      </c>
      <c r="F3284" t="s">
        <v>166</v>
      </c>
      <c r="G3284" t="s">
        <v>167</v>
      </c>
      <c r="H3284" t="s">
        <v>107</v>
      </c>
      <c r="I3284" s="2">
        <v>1</v>
      </c>
      <c r="J3284" s="3">
        <v>99</v>
      </c>
      <c r="K3284" s="4">
        <v>0</v>
      </c>
      <c r="L3284" s="3">
        <v>99</v>
      </c>
      <c r="M3284" t="b">
        <v>1</v>
      </c>
      <c r="N3284" s="2">
        <f>YEAR(B3284)</f>
        <v>2025</v>
      </c>
      <c r="O3284" t="str">
        <f>INDEX(Agences!$C:$C,MATCH(F3284,Agences!$A:$A,0))</f>
        <v>Ouest</v>
      </c>
      <c r="P3284" t="str">
        <f>INDEX(Produits!$C:$C,MATCH(H3284,Produits!$A:$A,0))</f>
        <v>Informatique</v>
      </c>
      <c r="Q3284" s="3">
        <f>I3284*INDEX(Produits!$E:$E,MATCH(H3284,Produits!$A:$A,0))</f>
        <v>75.24</v>
      </c>
      <c r="R3284" s="3">
        <f>L3284-Q3284</f>
        <v>23.760000000000005</v>
      </c>
      <c r="S3284" s="2">
        <f>NETWORKDAYS(B3284,C3284)-1</f>
        <v>5</v>
      </c>
      <c r="T3284" s="1">
        <f>WORKDAY(B3284,5)</f>
        <v>45778</v>
      </c>
      <c r="U3284" t="b">
        <f>C3284&gt;T3284</f>
        <v>0</v>
      </c>
    </row>
    <row r="3285" spans="1:21" x14ac:dyDescent="0.25">
      <c r="A3285" t="s">
        <v>2012</v>
      </c>
      <c r="B3285" s="1">
        <v>45771</v>
      </c>
      <c r="C3285" s="1">
        <v>45772</v>
      </c>
      <c r="D3285" t="s">
        <v>844</v>
      </c>
      <c r="E3285" t="s">
        <v>236</v>
      </c>
      <c r="F3285" t="s">
        <v>39</v>
      </c>
      <c r="G3285" t="s">
        <v>131</v>
      </c>
      <c r="H3285" t="s">
        <v>42</v>
      </c>
      <c r="I3285" s="2">
        <v>1</v>
      </c>
      <c r="J3285" s="3">
        <v>55</v>
      </c>
      <c r="K3285" s="4">
        <v>0</v>
      </c>
      <c r="L3285" s="3">
        <v>55</v>
      </c>
      <c r="M3285" t="b">
        <v>1</v>
      </c>
      <c r="N3285" s="2">
        <f>YEAR(B3285)</f>
        <v>2025</v>
      </c>
      <c r="O3285" t="str">
        <f>INDEX(Agences!$C:$C,MATCH(F3285,Agences!$A:$A,0))</f>
        <v>Sud-Ouest</v>
      </c>
      <c r="P3285" t="str">
        <f>INDEX(Produits!$C:$C,MATCH(H3285,Produits!$A:$A,0))</f>
        <v>Maintenance</v>
      </c>
      <c r="Q3285" s="3">
        <f>I3285*INDEX(Produits!$E:$E,MATCH(H3285,Produits!$A:$A,0))</f>
        <v>24.75</v>
      </c>
      <c r="R3285" s="3">
        <f>L3285-Q3285</f>
        <v>30.25</v>
      </c>
      <c r="S3285" s="2">
        <f>NETWORKDAYS(B3285,C3285)-1</f>
        <v>1</v>
      </c>
      <c r="T3285" s="1">
        <f>WORKDAY(B3285,5)</f>
        <v>45778</v>
      </c>
      <c r="U3285" t="b">
        <f>C3285&gt;T3285</f>
        <v>0</v>
      </c>
    </row>
    <row r="3286" spans="1:21" x14ac:dyDescent="0.25">
      <c r="A3286" t="s">
        <v>2012</v>
      </c>
      <c r="B3286" s="1">
        <v>45771</v>
      </c>
      <c r="C3286" s="1">
        <v>45772</v>
      </c>
      <c r="D3286" t="s">
        <v>844</v>
      </c>
      <c r="E3286" t="s">
        <v>236</v>
      </c>
      <c r="F3286" t="s">
        <v>39</v>
      </c>
      <c r="G3286" t="s">
        <v>131</v>
      </c>
      <c r="H3286" t="s">
        <v>83</v>
      </c>
      <c r="I3286" s="2">
        <v>1</v>
      </c>
      <c r="J3286" s="3">
        <v>49</v>
      </c>
      <c r="K3286" s="4">
        <v>0.02</v>
      </c>
      <c r="L3286" s="3">
        <v>48.02</v>
      </c>
      <c r="M3286" t="b">
        <v>1</v>
      </c>
      <c r="N3286" s="2">
        <f>YEAR(B3286)</f>
        <v>2025</v>
      </c>
      <c r="O3286" t="str">
        <f>INDEX(Agences!$C:$C,MATCH(F3286,Agences!$A:$A,0))</f>
        <v>Sud-Ouest</v>
      </c>
      <c r="P3286" t="str">
        <f>INDEX(Produits!$C:$C,MATCH(H3286,Produits!$A:$A,0))</f>
        <v>Mobilier</v>
      </c>
      <c r="Q3286" s="3">
        <f>I3286*INDEX(Produits!$E:$E,MATCH(H3286,Produits!$A:$A,0))</f>
        <v>28.42</v>
      </c>
      <c r="R3286" s="3">
        <f>L3286-Q3286</f>
        <v>19.6</v>
      </c>
      <c r="S3286" s="2">
        <f>NETWORKDAYS(B3286,C3286)-1</f>
        <v>1</v>
      </c>
      <c r="T3286" s="1">
        <f>WORKDAY(B3286,5)</f>
        <v>45778</v>
      </c>
      <c r="U3286" t="b">
        <f>C3286&gt;T3286</f>
        <v>0</v>
      </c>
    </row>
    <row r="3287" spans="1:21" x14ac:dyDescent="0.25">
      <c r="A3287" t="s">
        <v>2012</v>
      </c>
      <c r="B3287" s="1">
        <v>45771</v>
      </c>
      <c r="C3287" s="1">
        <v>45772</v>
      </c>
      <c r="D3287" t="s">
        <v>844</v>
      </c>
      <c r="E3287" t="s">
        <v>236</v>
      </c>
      <c r="F3287" t="s">
        <v>39</v>
      </c>
      <c r="G3287" t="s">
        <v>131</v>
      </c>
      <c r="H3287" t="s">
        <v>107</v>
      </c>
      <c r="I3287" s="2">
        <v>2</v>
      </c>
      <c r="J3287" s="3">
        <v>99</v>
      </c>
      <c r="K3287" s="4">
        <v>0</v>
      </c>
      <c r="L3287" s="3">
        <v>198</v>
      </c>
      <c r="M3287" t="b">
        <v>1</v>
      </c>
      <c r="N3287" s="2">
        <f>YEAR(B3287)</f>
        <v>2025</v>
      </c>
      <c r="O3287" t="str">
        <f>INDEX(Agences!$C:$C,MATCH(F3287,Agences!$A:$A,0))</f>
        <v>Sud-Ouest</v>
      </c>
      <c r="P3287" t="str">
        <f>INDEX(Produits!$C:$C,MATCH(H3287,Produits!$A:$A,0))</f>
        <v>Informatique</v>
      </c>
      <c r="Q3287" s="3">
        <f>I3287*INDEX(Produits!$E:$E,MATCH(H3287,Produits!$A:$A,0))</f>
        <v>150.48</v>
      </c>
      <c r="R3287" s="3">
        <f>L3287-Q3287</f>
        <v>47.52000000000001</v>
      </c>
      <c r="S3287" s="2">
        <f>NETWORKDAYS(B3287,C3287)-1</f>
        <v>1</v>
      </c>
      <c r="T3287" s="1">
        <f>WORKDAY(B3287,5)</f>
        <v>45778</v>
      </c>
      <c r="U3287" t="b">
        <f>C3287&gt;T3287</f>
        <v>0</v>
      </c>
    </row>
    <row r="3288" spans="1:21" x14ac:dyDescent="0.25">
      <c r="A3288" t="s">
        <v>2012</v>
      </c>
      <c r="B3288" s="1">
        <v>45771</v>
      </c>
      <c r="C3288" s="1">
        <v>45772</v>
      </c>
      <c r="D3288" t="s">
        <v>844</v>
      </c>
      <c r="E3288" t="s">
        <v>236</v>
      </c>
      <c r="F3288" t="s">
        <v>39</v>
      </c>
      <c r="G3288" t="s">
        <v>131</v>
      </c>
      <c r="H3288" t="s">
        <v>79</v>
      </c>
      <c r="I3288" s="2">
        <v>10</v>
      </c>
      <c r="J3288" s="3">
        <v>14.9</v>
      </c>
      <c r="K3288" s="4">
        <v>0.1</v>
      </c>
      <c r="L3288" s="3">
        <v>134.1</v>
      </c>
      <c r="M3288" t="b">
        <v>1</v>
      </c>
      <c r="N3288" s="2">
        <f>YEAR(B3288)</f>
        <v>2025</v>
      </c>
      <c r="O3288" t="str">
        <f>INDEX(Agences!$C:$C,MATCH(F3288,Agences!$A:$A,0))</f>
        <v>Sud-Ouest</v>
      </c>
      <c r="P3288" t="str">
        <f>INDEX(Produits!$C:$C,MATCH(H3288,Produits!$A:$A,0))</f>
        <v>Fournitures</v>
      </c>
      <c r="Q3288" s="3">
        <f>I3288*INDEX(Produits!$E:$E,MATCH(H3288,Produits!$A:$A,0))</f>
        <v>80.5</v>
      </c>
      <c r="R3288" s="3">
        <f>L3288-Q3288</f>
        <v>53.599999999999994</v>
      </c>
      <c r="S3288" s="2">
        <f>NETWORKDAYS(B3288,C3288)-1</f>
        <v>1</v>
      </c>
      <c r="T3288" s="1">
        <f>WORKDAY(B3288,5)</f>
        <v>45778</v>
      </c>
      <c r="U3288" t="b">
        <f>C3288&gt;T3288</f>
        <v>0</v>
      </c>
    </row>
    <row r="3289" spans="1:21" x14ac:dyDescent="0.25">
      <c r="A3289" t="s">
        <v>2013</v>
      </c>
      <c r="B3289" s="1">
        <v>45771</v>
      </c>
      <c r="C3289" s="1">
        <v>45775</v>
      </c>
      <c r="D3289" t="s">
        <v>535</v>
      </c>
      <c r="E3289" t="s">
        <v>236</v>
      </c>
      <c r="F3289" t="s">
        <v>39</v>
      </c>
      <c r="G3289" t="s">
        <v>131</v>
      </c>
      <c r="H3289" t="s">
        <v>57</v>
      </c>
      <c r="I3289" s="2">
        <v>2</v>
      </c>
      <c r="J3289" s="3">
        <v>149</v>
      </c>
      <c r="K3289" s="4">
        <v>0.02</v>
      </c>
      <c r="L3289" s="3">
        <v>292.04</v>
      </c>
      <c r="M3289" t="b">
        <v>1</v>
      </c>
      <c r="N3289" s="2">
        <f>YEAR(B3289)</f>
        <v>2025</v>
      </c>
      <c r="O3289" t="str">
        <f>INDEX(Agences!$C:$C,MATCH(F3289,Agences!$A:$A,0))</f>
        <v>Sud-Ouest</v>
      </c>
      <c r="P3289" t="str">
        <f>INDEX(Produits!$C:$C,MATCH(H3289,Produits!$A:$A,0))</f>
        <v>Informatique</v>
      </c>
      <c r="Q3289" s="3">
        <f>I3289*INDEX(Produits!$E:$E,MATCH(H3289,Produits!$A:$A,0))</f>
        <v>229.46</v>
      </c>
      <c r="R3289" s="3">
        <f>L3289-Q3289</f>
        <v>62.58000000000001</v>
      </c>
      <c r="S3289" s="2">
        <f>NETWORKDAYS(B3289,C3289)-1</f>
        <v>2</v>
      </c>
      <c r="T3289" s="1">
        <f>WORKDAY(B3289,5)</f>
        <v>45778</v>
      </c>
      <c r="U3289" t="b">
        <f>C3289&gt;T3289</f>
        <v>0</v>
      </c>
    </row>
    <row r="3290" spans="1:21" x14ac:dyDescent="0.25">
      <c r="A3290" t="s">
        <v>2013</v>
      </c>
      <c r="B3290" s="1">
        <v>45771</v>
      </c>
      <c r="C3290" s="1">
        <v>45775</v>
      </c>
      <c r="D3290" t="s">
        <v>535</v>
      </c>
      <c r="E3290" t="s">
        <v>236</v>
      </c>
      <c r="F3290" t="s">
        <v>39</v>
      </c>
      <c r="G3290" t="s">
        <v>131</v>
      </c>
      <c r="H3290" t="s">
        <v>606</v>
      </c>
      <c r="I3290" s="2">
        <v>1</v>
      </c>
      <c r="J3290" s="3">
        <v>1150</v>
      </c>
      <c r="K3290" s="4">
        <v>0</v>
      </c>
      <c r="L3290" s="3">
        <v>1150</v>
      </c>
      <c r="M3290" t="b">
        <v>1</v>
      </c>
      <c r="N3290" s="2">
        <f>YEAR(B3290)</f>
        <v>2025</v>
      </c>
      <c r="O3290" t="str">
        <f>INDEX(Agences!$C:$C,MATCH(F3290,Agences!$A:$A,0))</f>
        <v>Sud-Ouest</v>
      </c>
      <c r="P3290" t="str">
        <f>INDEX(Produits!$C:$C,MATCH(H3290,Produits!$A:$A,0))</f>
        <v>Mobilier</v>
      </c>
      <c r="Q3290" s="3">
        <f>I3290*INDEX(Produits!$E:$E,MATCH(H3290,Produits!$A:$A,0))</f>
        <v>713</v>
      </c>
      <c r="R3290" s="3">
        <f>L3290-Q3290</f>
        <v>437</v>
      </c>
      <c r="S3290" s="2">
        <f>NETWORKDAYS(B3290,C3290)-1</f>
        <v>2</v>
      </c>
      <c r="T3290" s="1">
        <f>WORKDAY(B3290,5)</f>
        <v>45778</v>
      </c>
      <c r="U3290" t="b">
        <f>C3290&gt;T3290</f>
        <v>0</v>
      </c>
    </row>
    <row r="3291" spans="1:21" x14ac:dyDescent="0.25">
      <c r="A3291" t="s">
        <v>2013</v>
      </c>
      <c r="B3291" s="1">
        <v>45771</v>
      </c>
      <c r="C3291" s="1">
        <v>45775</v>
      </c>
      <c r="D3291" t="s">
        <v>535</v>
      </c>
      <c r="E3291" t="s">
        <v>236</v>
      </c>
      <c r="F3291" t="s">
        <v>39</v>
      </c>
      <c r="G3291" t="s">
        <v>131</v>
      </c>
      <c r="H3291" t="s">
        <v>42</v>
      </c>
      <c r="I3291" s="2">
        <v>3</v>
      </c>
      <c r="J3291" s="3">
        <v>55</v>
      </c>
      <c r="K3291" s="4">
        <v>0</v>
      </c>
      <c r="L3291" s="3">
        <v>165</v>
      </c>
      <c r="M3291" t="b">
        <v>1</v>
      </c>
      <c r="N3291" s="2">
        <f>YEAR(B3291)</f>
        <v>2025</v>
      </c>
      <c r="O3291" t="str">
        <f>INDEX(Agences!$C:$C,MATCH(F3291,Agences!$A:$A,0))</f>
        <v>Sud-Ouest</v>
      </c>
      <c r="P3291" t="str">
        <f>INDEX(Produits!$C:$C,MATCH(H3291,Produits!$A:$A,0))</f>
        <v>Maintenance</v>
      </c>
      <c r="Q3291" s="3">
        <f>I3291*INDEX(Produits!$E:$E,MATCH(H3291,Produits!$A:$A,0))</f>
        <v>74.25</v>
      </c>
      <c r="R3291" s="3">
        <f>L3291-Q3291</f>
        <v>90.75</v>
      </c>
      <c r="S3291" s="2">
        <f>NETWORKDAYS(B3291,C3291)-1</f>
        <v>2</v>
      </c>
      <c r="T3291" s="1">
        <f>WORKDAY(B3291,5)</f>
        <v>45778</v>
      </c>
      <c r="U3291" t="b">
        <f>C3291&gt;T3291</f>
        <v>0</v>
      </c>
    </row>
    <row r="3292" spans="1:21" x14ac:dyDescent="0.25">
      <c r="A3292" t="s">
        <v>2014</v>
      </c>
      <c r="B3292" s="1">
        <v>45770</v>
      </c>
      <c r="C3292" s="1">
        <v>45771</v>
      </c>
      <c r="D3292" t="s">
        <v>136</v>
      </c>
      <c r="E3292" t="s">
        <v>137</v>
      </c>
      <c r="F3292" t="s">
        <v>138</v>
      </c>
      <c r="G3292" t="s">
        <v>220</v>
      </c>
      <c r="H3292" t="s">
        <v>90</v>
      </c>
      <c r="I3292" s="2">
        <v>15</v>
      </c>
      <c r="J3292" s="3">
        <v>22.9</v>
      </c>
      <c r="K3292" s="4">
        <v>0</v>
      </c>
      <c r="L3292" s="3">
        <v>343.5</v>
      </c>
      <c r="M3292" t="b">
        <v>1</v>
      </c>
      <c r="N3292" s="2">
        <f>YEAR(B3292)</f>
        <v>2025</v>
      </c>
      <c r="O3292" t="str">
        <f>INDEX(Agences!$C:$C,MATCH(F3292,Agences!$A:$A,0))</f>
        <v>Île-de-France</v>
      </c>
      <c r="P3292" t="str">
        <f>INDEX(Produits!$C:$C,MATCH(H3292,Produits!$A:$A,0))</f>
        <v>Fournitures</v>
      </c>
      <c r="Q3292" s="3">
        <f>I3292*INDEX(Produits!$E:$E,MATCH(H3292,Produits!$A:$A,0))</f>
        <v>192.3</v>
      </c>
      <c r="R3292" s="3">
        <f>L3292-Q3292</f>
        <v>151.2</v>
      </c>
      <c r="S3292" s="2">
        <f>NETWORKDAYS(B3292,C3292)-1</f>
        <v>1</v>
      </c>
      <c r="T3292" s="1">
        <f>WORKDAY(B3292,5)</f>
        <v>45777</v>
      </c>
      <c r="U3292" t="b">
        <f>C3292&gt;T3292</f>
        <v>0</v>
      </c>
    </row>
    <row r="3293" spans="1:21" x14ac:dyDescent="0.25">
      <c r="A3293" t="s">
        <v>2014</v>
      </c>
      <c r="B3293" s="1">
        <v>45770</v>
      </c>
      <c r="C3293" s="1">
        <v>45771</v>
      </c>
      <c r="D3293" t="s">
        <v>136</v>
      </c>
      <c r="E3293" t="s">
        <v>137</v>
      </c>
      <c r="F3293" t="s">
        <v>138</v>
      </c>
      <c r="G3293" t="s">
        <v>220</v>
      </c>
      <c r="H3293" t="s">
        <v>26</v>
      </c>
      <c r="I3293" s="2">
        <v>1</v>
      </c>
      <c r="J3293" s="3">
        <v>290</v>
      </c>
      <c r="K3293" s="4">
        <v>0.02</v>
      </c>
      <c r="L3293" s="3">
        <v>284.2</v>
      </c>
      <c r="M3293" t="b">
        <v>1</v>
      </c>
      <c r="N3293" s="2">
        <f>YEAR(B3293)</f>
        <v>2025</v>
      </c>
      <c r="O3293" t="str">
        <f>INDEX(Agences!$C:$C,MATCH(F3293,Agences!$A:$A,0))</f>
        <v>Île-de-France</v>
      </c>
      <c r="P3293" t="str">
        <f>INDEX(Produits!$C:$C,MATCH(H3293,Produits!$A:$A,0))</f>
        <v>Maintenance</v>
      </c>
      <c r="Q3293" s="3">
        <f>I3293*INDEX(Produits!$E:$E,MATCH(H3293,Produits!$A:$A,0))</f>
        <v>139.2</v>
      </c>
      <c r="R3293" s="3">
        <f>L3293-Q3293</f>
        <v>145</v>
      </c>
      <c r="S3293" s="2">
        <f>NETWORKDAYS(B3293,C3293)-1</f>
        <v>1</v>
      </c>
      <c r="T3293" s="1">
        <f>WORKDAY(B3293,5)</f>
        <v>45777</v>
      </c>
      <c r="U3293" t="b">
        <f>C3293&gt;T3293</f>
        <v>0</v>
      </c>
    </row>
    <row r="3294" spans="1:21" x14ac:dyDescent="0.25">
      <c r="A3294" t="s">
        <v>2015</v>
      </c>
      <c r="B3294" s="1">
        <v>45770</v>
      </c>
      <c r="C3294" s="1">
        <v>45771</v>
      </c>
      <c r="D3294" t="s">
        <v>164</v>
      </c>
      <c r="E3294" t="s">
        <v>165</v>
      </c>
      <c r="F3294" t="s">
        <v>166</v>
      </c>
      <c r="G3294" t="s">
        <v>167</v>
      </c>
      <c r="H3294" t="s">
        <v>26</v>
      </c>
      <c r="I3294" s="2">
        <v>1</v>
      </c>
      <c r="J3294" s="3">
        <v>290</v>
      </c>
      <c r="K3294" s="4">
        <v>0.02</v>
      </c>
      <c r="L3294" s="3">
        <v>284.2</v>
      </c>
      <c r="M3294" t="b">
        <v>1</v>
      </c>
      <c r="N3294" s="2">
        <f>YEAR(B3294)</f>
        <v>2025</v>
      </c>
      <c r="O3294" t="str">
        <f>INDEX(Agences!$C:$C,MATCH(F3294,Agences!$A:$A,0))</f>
        <v>Ouest</v>
      </c>
      <c r="P3294" t="str">
        <f>INDEX(Produits!$C:$C,MATCH(H3294,Produits!$A:$A,0))</f>
        <v>Maintenance</v>
      </c>
      <c r="Q3294" s="3">
        <f>I3294*INDEX(Produits!$E:$E,MATCH(H3294,Produits!$A:$A,0))</f>
        <v>139.2</v>
      </c>
      <c r="R3294" s="3">
        <f>L3294-Q3294</f>
        <v>145</v>
      </c>
      <c r="S3294" s="2">
        <f>NETWORKDAYS(B3294,C3294)-1</f>
        <v>1</v>
      </c>
      <c r="T3294" s="1">
        <f>WORKDAY(B3294,5)</f>
        <v>45777</v>
      </c>
      <c r="U3294" t="b">
        <f>C3294&gt;T3294</f>
        <v>0</v>
      </c>
    </row>
    <row r="3295" spans="1:21" x14ac:dyDescent="0.25">
      <c r="A3295" t="s">
        <v>2016</v>
      </c>
      <c r="B3295" s="1">
        <v>45770</v>
      </c>
      <c r="C3295" s="1">
        <v>45771</v>
      </c>
      <c r="D3295" t="s">
        <v>188</v>
      </c>
      <c r="E3295" t="s">
        <v>30</v>
      </c>
      <c r="F3295" t="s">
        <v>31</v>
      </c>
      <c r="G3295" t="s">
        <v>32</v>
      </c>
      <c r="H3295" t="s">
        <v>42</v>
      </c>
      <c r="I3295" s="2">
        <v>1</v>
      </c>
      <c r="J3295" s="3">
        <v>55</v>
      </c>
      <c r="K3295" s="4">
        <v>0.02</v>
      </c>
      <c r="L3295" s="3">
        <v>53.9</v>
      </c>
      <c r="M3295" t="b">
        <v>1</v>
      </c>
      <c r="N3295" s="2">
        <f>YEAR(B3295)</f>
        <v>2025</v>
      </c>
      <c r="O3295" t="str">
        <f>INDEX(Agences!$C:$C,MATCH(F3295,Agences!$A:$A,0))</f>
        <v>Ouest</v>
      </c>
      <c r="P3295" t="str">
        <f>INDEX(Produits!$C:$C,MATCH(H3295,Produits!$A:$A,0))</f>
        <v>Maintenance</v>
      </c>
      <c r="Q3295" s="3">
        <f>I3295*INDEX(Produits!$E:$E,MATCH(H3295,Produits!$A:$A,0))</f>
        <v>24.75</v>
      </c>
      <c r="R3295" s="3">
        <f>L3295-Q3295</f>
        <v>29.15</v>
      </c>
      <c r="S3295" s="2">
        <f>NETWORKDAYS(B3295,C3295)-1</f>
        <v>1</v>
      </c>
      <c r="T3295" s="1">
        <f>WORKDAY(B3295,5)</f>
        <v>45777</v>
      </c>
      <c r="U3295" t="b">
        <f>C3295&gt;T3295</f>
        <v>0</v>
      </c>
    </row>
    <row r="3296" spans="1:21" x14ac:dyDescent="0.25">
      <c r="A3296" t="s">
        <v>2017</v>
      </c>
      <c r="B3296" s="1">
        <v>45770</v>
      </c>
      <c r="C3296" s="1">
        <v>45771</v>
      </c>
      <c r="D3296" t="s">
        <v>523</v>
      </c>
      <c r="E3296" t="s">
        <v>185</v>
      </c>
      <c r="F3296" t="s">
        <v>31</v>
      </c>
      <c r="G3296" t="s">
        <v>186</v>
      </c>
      <c r="H3296" t="s">
        <v>57</v>
      </c>
      <c r="I3296" s="2">
        <v>4</v>
      </c>
      <c r="J3296" s="3">
        <v>149</v>
      </c>
      <c r="K3296" s="4">
        <v>0</v>
      </c>
      <c r="L3296" s="3">
        <v>596</v>
      </c>
      <c r="M3296" t="b">
        <v>1</v>
      </c>
      <c r="N3296" s="2">
        <f>YEAR(B3296)</f>
        <v>2025</v>
      </c>
      <c r="O3296" t="str">
        <f>INDEX(Agences!$C:$C,MATCH(F3296,Agences!$A:$A,0))</f>
        <v>Ouest</v>
      </c>
      <c r="P3296" t="str">
        <f>INDEX(Produits!$C:$C,MATCH(H3296,Produits!$A:$A,0))</f>
        <v>Informatique</v>
      </c>
      <c r="Q3296" s="3">
        <f>I3296*INDEX(Produits!$E:$E,MATCH(H3296,Produits!$A:$A,0))</f>
        <v>458.92</v>
      </c>
      <c r="R3296" s="3">
        <f>L3296-Q3296</f>
        <v>137.07999999999998</v>
      </c>
      <c r="S3296" s="2">
        <f>NETWORKDAYS(B3296,C3296)-1</f>
        <v>1</v>
      </c>
      <c r="T3296" s="1">
        <f>WORKDAY(B3296,5)</f>
        <v>45777</v>
      </c>
      <c r="U3296" t="b">
        <f>C3296&gt;T3296</f>
        <v>0</v>
      </c>
    </row>
    <row r="3297" spans="1:21" x14ac:dyDescent="0.25">
      <c r="A3297" t="s">
        <v>2017</v>
      </c>
      <c r="B3297" s="1">
        <v>45770</v>
      </c>
      <c r="C3297" s="1">
        <v>45771</v>
      </c>
      <c r="D3297" t="s">
        <v>523</v>
      </c>
      <c r="E3297" t="s">
        <v>185</v>
      </c>
      <c r="F3297" t="s">
        <v>31</v>
      </c>
      <c r="G3297" t="s">
        <v>186</v>
      </c>
      <c r="H3297" t="s">
        <v>34</v>
      </c>
      <c r="I3297" s="2">
        <v>1</v>
      </c>
      <c r="J3297" s="3">
        <v>340</v>
      </c>
      <c r="K3297" s="4">
        <v>0</v>
      </c>
      <c r="L3297" s="3">
        <v>340</v>
      </c>
      <c r="M3297" t="b">
        <v>1</v>
      </c>
      <c r="N3297" s="2">
        <f>YEAR(B3297)</f>
        <v>2025</v>
      </c>
      <c r="O3297" t="str">
        <f>INDEX(Agences!$C:$C,MATCH(F3297,Agences!$A:$A,0))</f>
        <v>Ouest</v>
      </c>
      <c r="P3297" t="str">
        <f>INDEX(Produits!$C:$C,MATCH(H3297,Produits!$A:$A,0))</f>
        <v>Informatique</v>
      </c>
      <c r="Q3297" s="3">
        <f>I3297*INDEX(Produits!$E:$E,MATCH(H3297,Produits!$A:$A,0))</f>
        <v>275.4</v>
      </c>
      <c r="R3297" s="3">
        <f>L3297-Q3297</f>
        <v>64.60000000000002</v>
      </c>
      <c r="S3297" s="2">
        <f>NETWORKDAYS(B3297,C3297)-1</f>
        <v>1</v>
      </c>
      <c r="T3297" s="1">
        <f>WORKDAY(B3297,5)</f>
        <v>45777</v>
      </c>
      <c r="U3297" t="b">
        <f>C3297&gt;T3297</f>
        <v>0</v>
      </c>
    </row>
    <row r="3298" spans="1:21" x14ac:dyDescent="0.25">
      <c r="A3298" t="s">
        <v>2018</v>
      </c>
      <c r="B3298" s="1">
        <v>45770</v>
      </c>
      <c r="C3298" s="1">
        <v>45777</v>
      </c>
      <c r="D3298" t="s">
        <v>448</v>
      </c>
      <c r="E3298" t="s">
        <v>449</v>
      </c>
      <c r="F3298" t="s">
        <v>94</v>
      </c>
      <c r="G3298" t="s">
        <v>154</v>
      </c>
      <c r="H3298" t="s">
        <v>83</v>
      </c>
      <c r="I3298" s="2">
        <v>1</v>
      </c>
      <c r="J3298" s="3">
        <v>49</v>
      </c>
      <c r="K3298" s="4">
        <v>0</v>
      </c>
      <c r="L3298" s="3">
        <v>49</v>
      </c>
      <c r="M3298" t="b">
        <v>1</v>
      </c>
      <c r="N3298" s="2">
        <f>YEAR(B3298)</f>
        <v>2025</v>
      </c>
      <c r="O3298" t="str">
        <f>INDEX(Agences!$C:$C,MATCH(F3298,Agences!$A:$A,0))</f>
        <v>Méditerranée</v>
      </c>
      <c r="P3298" t="str">
        <f>INDEX(Produits!$C:$C,MATCH(H3298,Produits!$A:$A,0))</f>
        <v>Mobilier</v>
      </c>
      <c r="Q3298" s="3">
        <f>I3298*INDEX(Produits!$E:$E,MATCH(H3298,Produits!$A:$A,0))</f>
        <v>28.42</v>
      </c>
      <c r="R3298" s="3">
        <f>L3298-Q3298</f>
        <v>20.58</v>
      </c>
      <c r="S3298" s="2">
        <f>NETWORKDAYS(B3298,C3298)-1</f>
        <v>5</v>
      </c>
      <c r="T3298" s="1">
        <f>WORKDAY(B3298,5)</f>
        <v>45777</v>
      </c>
      <c r="U3298" t="b">
        <f>C3298&gt;T3298</f>
        <v>0</v>
      </c>
    </row>
    <row r="3299" spans="1:21" x14ac:dyDescent="0.25">
      <c r="A3299" t="s">
        <v>2018</v>
      </c>
      <c r="B3299" s="1">
        <v>45770</v>
      </c>
      <c r="C3299" s="1">
        <v>45777</v>
      </c>
      <c r="D3299" t="s">
        <v>448</v>
      </c>
      <c r="E3299" t="s">
        <v>449</v>
      </c>
      <c r="F3299" t="s">
        <v>94</v>
      </c>
      <c r="G3299" t="s">
        <v>154</v>
      </c>
      <c r="H3299" t="s">
        <v>50</v>
      </c>
      <c r="I3299" s="2">
        <v>1</v>
      </c>
      <c r="J3299" s="3">
        <v>69</v>
      </c>
      <c r="K3299" s="4">
        <v>0.02</v>
      </c>
      <c r="L3299" s="3">
        <v>67.62</v>
      </c>
      <c r="M3299" t="b">
        <v>1</v>
      </c>
      <c r="N3299" s="2">
        <f>YEAR(B3299)</f>
        <v>2025</v>
      </c>
      <c r="O3299" t="str">
        <f>INDEX(Agences!$C:$C,MATCH(F3299,Agences!$A:$A,0))</f>
        <v>Méditerranée</v>
      </c>
      <c r="P3299" t="str">
        <f>INDEX(Produits!$C:$C,MATCH(H3299,Produits!$A:$A,0))</f>
        <v>Informatique</v>
      </c>
      <c r="Q3299" s="3">
        <f>I3299*INDEX(Produits!$E:$E,MATCH(H3299,Produits!$A:$A,0))</f>
        <v>54.51</v>
      </c>
      <c r="R3299" s="3">
        <f>L3299-Q3299</f>
        <v>13.110000000000007</v>
      </c>
      <c r="S3299" s="2">
        <f>NETWORKDAYS(B3299,C3299)-1</f>
        <v>5</v>
      </c>
      <c r="T3299" s="1">
        <f>WORKDAY(B3299,5)</f>
        <v>45777</v>
      </c>
      <c r="U3299" t="b">
        <f>C3299&gt;T3299</f>
        <v>0</v>
      </c>
    </row>
    <row r="3300" spans="1:21" x14ac:dyDescent="0.25">
      <c r="A3300" t="s">
        <v>2018</v>
      </c>
      <c r="B3300" s="1">
        <v>45770</v>
      </c>
      <c r="C3300" s="1">
        <v>45777</v>
      </c>
      <c r="D3300" t="s">
        <v>448</v>
      </c>
      <c r="E3300" t="s">
        <v>449</v>
      </c>
      <c r="F3300" t="s">
        <v>94</v>
      </c>
      <c r="G3300" t="s">
        <v>154</v>
      </c>
      <c r="H3300" t="s">
        <v>78</v>
      </c>
      <c r="I3300" s="2">
        <v>1</v>
      </c>
      <c r="J3300" s="3">
        <v>1390</v>
      </c>
      <c r="K3300" s="4">
        <v>0</v>
      </c>
      <c r="L3300" s="3">
        <v>1390</v>
      </c>
      <c r="M3300" t="b">
        <v>1</v>
      </c>
      <c r="N3300" s="2">
        <f>YEAR(B3300)</f>
        <v>2025</v>
      </c>
      <c r="O3300" t="str">
        <f>INDEX(Agences!$C:$C,MATCH(F3300,Agences!$A:$A,0))</f>
        <v>Méditerranée</v>
      </c>
      <c r="P3300" t="str">
        <f>INDEX(Produits!$C:$C,MATCH(H3300,Produits!$A:$A,0))</f>
        <v>Informatique</v>
      </c>
      <c r="Q3300" s="3">
        <f>I3300*INDEX(Produits!$E:$E,MATCH(H3300,Produits!$A:$A,0))</f>
        <v>1125.9</v>
      </c>
      <c r="R3300" s="3">
        <f>L3300-Q3300</f>
        <v>264.0999999999999</v>
      </c>
      <c r="S3300" s="2">
        <f>NETWORKDAYS(B3300,C3300)-1</f>
        <v>5</v>
      </c>
      <c r="T3300" s="1">
        <f>WORKDAY(B3300,5)</f>
        <v>45777</v>
      </c>
      <c r="U3300" t="b">
        <f>C3300&gt;T3300</f>
        <v>0</v>
      </c>
    </row>
    <row r="3301" spans="1:21" x14ac:dyDescent="0.25">
      <c r="A3301" t="s">
        <v>2018</v>
      </c>
      <c r="B3301" s="1">
        <v>45770</v>
      </c>
      <c r="C3301" s="1">
        <v>45777</v>
      </c>
      <c r="D3301" t="s">
        <v>448</v>
      </c>
      <c r="E3301" t="s">
        <v>449</v>
      </c>
      <c r="F3301" t="s">
        <v>94</v>
      </c>
      <c r="G3301" t="s">
        <v>154</v>
      </c>
      <c r="H3301" t="s">
        <v>233</v>
      </c>
      <c r="I3301" s="2">
        <v>10</v>
      </c>
      <c r="J3301" s="3">
        <v>27.5</v>
      </c>
      <c r="K3301" s="4">
        <v>0</v>
      </c>
      <c r="L3301" s="3">
        <v>275</v>
      </c>
      <c r="M3301" t="b">
        <v>1</v>
      </c>
      <c r="N3301" s="2">
        <f>YEAR(B3301)</f>
        <v>2025</v>
      </c>
      <c r="O3301" t="str">
        <f>INDEX(Agences!$C:$C,MATCH(F3301,Agences!$A:$A,0))</f>
        <v>Méditerranée</v>
      </c>
      <c r="P3301" t="str">
        <f>INDEX(Produits!$C:$C,MATCH(H3301,Produits!$A:$A,0))</f>
        <v>Fournitures</v>
      </c>
      <c r="Q3301" s="3">
        <f>I3301*INDEX(Produits!$E:$E,MATCH(H3301,Produits!$A:$A,0))</f>
        <v>154</v>
      </c>
      <c r="R3301" s="3">
        <f>L3301-Q3301</f>
        <v>121</v>
      </c>
      <c r="S3301" s="2">
        <f>NETWORKDAYS(B3301,C3301)-1</f>
        <v>5</v>
      </c>
      <c r="T3301" s="1">
        <f>WORKDAY(B3301,5)</f>
        <v>45777</v>
      </c>
      <c r="U3301" t="b">
        <f>C3301&gt;T3301</f>
        <v>0</v>
      </c>
    </row>
    <row r="3302" spans="1:21" x14ac:dyDescent="0.25">
      <c r="A3302" t="s">
        <v>2018</v>
      </c>
      <c r="B3302" s="1">
        <v>45770</v>
      </c>
      <c r="C3302" s="1">
        <v>45777</v>
      </c>
      <c r="D3302" t="s">
        <v>448</v>
      </c>
      <c r="E3302" t="s">
        <v>449</v>
      </c>
      <c r="F3302" t="s">
        <v>94</v>
      </c>
      <c r="G3302" t="s">
        <v>154</v>
      </c>
      <c r="H3302" t="s">
        <v>79</v>
      </c>
      <c r="I3302" s="2">
        <v>5</v>
      </c>
      <c r="J3302" s="3">
        <v>14.9</v>
      </c>
      <c r="K3302" s="4">
        <v>0.05</v>
      </c>
      <c r="L3302" s="3">
        <v>70.78</v>
      </c>
      <c r="M3302" t="b">
        <v>1</v>
      </c>
      <c r="N3302" s="2">
        <f>YEAR(B3302)</f>
        <v>2025</v>
      </c>
      <c r="O3302" t="str">
        <f>INDEX(Agences!$C:$C,MATCH(F3302,Agences!$A:$A,0))</f>
        <v>Méditerranée</v>
      </c>
      <c r="P3302" t="str">
        <f>INDEX(Produits!$C:$C,MATCH(H3302,Produits!$A:$A,0))</f>
        <v>Fournitures</v>
      </c>
      <c r="Q3302" s="3">
        <f>I3302*INDEX(Produits!$E:$E,MATCH(H3302,Produits!$A:$A,0))</f>
        <v>40.25</v>
      </c>
      <c r="R3302" s="3">
        <f>L3302-Q3302</f>
        <v>30.53</v>
      </c>
      <c r="S3302" s="2">
        <f>NETWORKDAYS(B3302,C3302)-1</f>
        <v>5</v>
      </c>
      <c r="T3302" s="1">
        <f>WORKDAY(B3302,5)</f>
        <v>45777</v>
      </c>
      <c r="U3302" t="b">
        <f>C3302&gt;T3302</f>
        <v>0</v>
      </c>
    </row>
    <row r="3303" spans="1:21" x14ac:dyDescent="0.25">
      <c r="A3303" t="s">
        <v>2019</v>
      </c>
      <c r="B3303" s="1">
        <v>45770</v>
      </c>
      <c r="C3303" s="1">
        <v>45775</v>
      </c>
      <c r="D3303" t="s">
        <v>1016</v>
      </c>
      <c r="E3303" t="s">
        <v>384</v>
      </c>
      <c r="F3303" t="s">
        <v>46</v>
      </c>
      <c r="G3303" t="s">
        <v>158</v>
      </c>
      <c r="H3303" t="s">
        <v>84</v>
      </c>
      <c r="I3303" s="2">
        <v>1</v>
      </c>
      <c r="J3303" s="3">
        <v>420</v>
      </c>
      <c r="K3303" s="4">
        <v>0</v>
      </c>
      <c r="L3303" s="3">
        <v>420</v>
      </c>
      <c r="M3303" t="b">
        <v>1</v>
      </c>
      <c r="N3303" s="2">
        <f>YEAR(B3303)</f>
        <v>2025</v>
      </c>
      <c r="O3303" t="str">
        <f>INDEX(Agences!$C:$C,MATCH(F3303,Agences!$A:$A,0))</f>
        <v>Est</v>
      </c>
      <c r="P3303" t="str">
        <f>INDEX(Produits!$C:$C,MATCH(H3303,Produits!$A:$A,0))</f>
        <v>Mobilier</v>
      </c>
      <c r="Q3303" s="3">
        <f>I3303*INDEX(Produits!$E:$E,MATCH(H3303,Produits!$A:$A,0))</f>
        <v>243.6</v>
      </c>
      <c r="R3303" s="3">
        <f>L3303-Q3303</f>
        <v>176.4</v>
      </c>
      <c r="S3303" s="2">
        <f>NETWORKDAYS(B3303,C3303)-1</f>
        <v>3</v>
      </c>
      <c r="T3303" s="1">
        <f>WORKDAY(B3303,5)</f>
        <v>45777</v>
      </c>
      <c r="U3303" t="b">
        <f>C3303&gt;T3303</f>
        <v>0</v>
      </c>
    </row>
    <row r="3304" spans="1:21" x14ac:dyDescent="0.25">
      <c r="A3304" t="s">
        <v>2020</v>
      </c>
      <c r="B3304" s="1">
        <v>45769</v>
      </c>
      <c r="C3304" s="1">
        <v>45770</v>
      </c>
      <c r="D3304" t="s">
        <v>262</v>
      </c>
      <c r="E3304" t="s">
        <v>119</v>
      </c>
      <c r="F3304" t="s">
        <v>24</v>
      </c>
      <c r="G3304" t="s">
        <v>25</v>
      </c>
      <c r="H3304" t="s">
        <v>42</v>
      </c>
      <c r="I3304" s="2">
        <v>1</v>
      </c>
      <c r="J3304" s="3">
        <v>55</v>
      </c>
      <c r="K3304" s="4">
        <v>0</v>
      </c>
      <c r="L3304" s="3">
        <v>55</v>
      </c>
      <c r="M3304" t="b">
        <v>1</v>
      </c>
      <c r="N3304" s="2">
        <f>YEAR(B3304)</f>
        <v>2025</v>
      </c>
      <c r="O3304" t="str">
        <f>INDEX(Agences!$C:$C,MATCH(F3304,Agences!$A:$A,0))</f>
        <v>Nord</v>
      </c>
      <c r="P3304" t="str">
        <f>INDEX(Produits!$C:$C,MATCH(H3304,Produits!$A:$A,0))</f>
        <v>Maintenance</v>
      </c>
      <c r="Q3304" s="3">
        <f>I3304*INDEX(Produits!$E:$E,MATCH(H3304,Produits!$A:$A,0))</f>
        <v>24.75</v>
      </c>
      <c r="R3304" s="3">
        <f>L3304-Q3304</f>
        <v>30.25</v>
      </c>
      <c r="S3304" s="2">
        <f>NETWORKDAYS(B3304,C3304)-1</f>
        <v>1</v>
      </c>
      <c r="T3304" s="1">
        <f>WORKDAY(B3304,5)</f>
        <v>45776</v>
      </c>
      <c r="U3304" t="b">
        <f>C3304&gt;T3304</f>
        <v>0</v>
      </c>
    </row>
    <row r="3305" spans="1:21" x14ac:dyDescent="0.25">
      <c r="A3305" t="s">
        <v>2020</v>
      </c>
      <c r="B3305" s="1">
        <v>45769</v>
      </c>
      <c r="C3305" s="1">
        <v>45770</v>
      </c>
      <c r="D3305" t="s">
        <v>262</v>
      </c>
      <c r="E3305" t="s">
        <v>119</v>
      </c>
      <c r="F3305" t="s">
        <v>24</v>
      </c>
      <c r="G3305" t="s">
        <v>25</v>
      </c>
      <c r="H3305" t="s">
        <v>83</v>
      </c>
      <c r="I3305" s="2">
        <v>5</v>
      </c>
      <c r="J3305" s="3">
        <v>49</v>
      </c>
      <c r="K3305" s="4">
        <v>0.05</v>
      </c>
      <c r="L3305" s="3">
        <v>232.75</v>
      </c>
      <c r="M3305" t="b">
        <v>1</v>
      </c>
      <c r="N3305" s="2">
        <f>YEAR(B3305)</f>
        <v>2025</v>
      </c>
      <c r="O3305" t="str">
        <f>INDEX(Agences!$C:$C,MATCH(F3305,Agences!$A:$A,0))</f>
        <v>Nord</v>
      </c>
      <c r="P3305" t="str">
        <f>INDEX(Produits!$C:$C,MATCH(H3305,Produits!$A:$A,0))</f>
        <v>Mobilier</v>
      </c>
      <c r="Q3305" s="3">
        <f>I3305*INDEX(Produits!$E:$E,MATCH(H3305,Produits!$A:$A,0))</f>
        <v>142.10000000000002</v>
      </c>
      <c r="R3305" s="3">
        <f>L3305-Q3305</f>
        <v>90.64999999999998</v>
      </c>
      <c r="S3305" s="2">
        <f>NETWORKDAYS(B3305,C3305)-1</f>
        <v>1</v>
      </c>
      <c r="T3305" s="1">
        <f>WORKDAY(B3305,5)</f>
        <v>45776</v>
      </c>
      <c r="U3305" t="b">
        <f>C3305&gt;T3305</f>
        <v>0</v>
      </c>
    </row>
    <row r="3306" spans="1:21" x14ac:dyDescent="0.25">
      <c r="A3306" t="s">
        <v>2021</v>
      </c>
      <c r="B3306" s="1">
        <v>45769</v>
      </c>
      <c r="C3306" s="1">
        <v>45772</v>
      </c>
      <c r="D3306" t="s">
        <v>1909</v>
      </c>
      <c r="E3306" t="s">
        <v>434</v>
      </c>
      <c r="F3306" t="s">
        <v>55</v>
      </c>
      <c r="G3306" t="s">
        <v>71</v>
      </c>
      <c r="H3306" t="s">
        <v>83</v>
      </c>
      <c r="I3306" s="2">
        <v>1</v>
      </c>
      <c r="J3306" s="3">
        <v>49</v>
      </c>
      <c r="K3306" s="4">
        <v>0</v>
      </c>
      <c r="L3306" s="3">
        <v>49</v>
      </c>
      <c r="M3306" t="b">
        <v>1</v>
      </c>
      <c r="N3306" s="2">
        <f>YEAR(B3306)</f>
        <v>2025</v>
      </c>
      <c r="O3306" t="str">
        <f>INDEX(Agences!$C:$C,MATCH(F3306,Agences!$A:$A,0))</f>
        <v>Est</v>
      </c>
      <c r="P3306" t="str">
        <f>INDEX(Produits!$C:$C,MATCH(H3306,Produits!$A:$A,0))</f>
        <v>Mobilier</v>
      </c>
      <c r="Q3306" s="3">
        <f>I3306*INDEX(Produits!$E:$E,MATCH(H3306,Produits!$A:$A,0))</f>
        <v>28.42</v>
      </c>
      <c r="R3306" s="3">
        <f>L3306-Q3306</f>
        <v>20.58</v>
      </c>
      <c r="S3306" s="2">
        <f>NETWORKDAYS(B3306,C3306)-1</f>
        <v>3</v>
      </c>
      <c r="T3306" s="1">
        <f>WORKDAY(B3306,5)</f>
        <v>45776</v>
      </c>
      <c r="U3306" t="b">
        <f>C3306&gt;T3306</f>
        <v>0</v>
      </c>
    </row>
    <row r="3307" spans="1:21" x14ac:dyDescent="0.25">
      <c r="A3307" t="s">
        <v>2021</v>
      </c>
      <c r="B3307" s="1">
        <v>45769</v>
      </c>
      <c r="C3307" s="1">
        <v>45772</v>
      </c>
      <c r="D3307" t="s">
        <v>1909</v>
      </c>
      <c r="E3307" t="s">
        <v>434</v>
      </c>
      <c r="F3307" t="s">
        <v>55</v>
      </c>
      <c r="G3307" t="s">
        <v>71</v>
      </c>
      <c r="H3307" t="s">
        <v>108</v>
      </c>
      <c r="I3307" s="2">
        <v>20</v>
      </c>
      <c r="J3307" s="3">
        <v>24.5</v>
      </c>
      <c r="K3307" s="4">
        <v>0</v>
      </c>
      <c r="L3307" s="3">
        <v>490</v>
      </c>
      <c r="M3307" t="b">
        <v>1</v>
      </c>
      <c r="N3307" s="2">
        <f>YEAR(B3307)</f>
        <v>2025</v>
      </c>
      <c r="O3307" t="str">
        <f>INDEX(Agences!$C:$C,MATCH(F3307,Agences!$A:$A,0))</f>
        <v>Est</v>
      </c>
      <c r="P3307" t="str">
        <f>INDEX(Produits!$C:$C,MATCH(H3307,Produits!$A:$A,0))</f>
        <v>Fournitures</v>
      </c>
      <c r="Q3307" s="3">
        <f>I3307*INDEX(Produits!$E:$E,MATCH(H3307,Produits!$A:$A,0))</f>
        <v>294</v>
      </c>
      <c r="R3307" s="3">
        <f>L3307-Q3307</f>
        <v>196</v>
      </c>
      <c r="S3307" s="2">
        <f>NETWORKDAYS(B3307,C3307)-1</f>
        <v>3</v>
      </c>
      <c r="T3307" s="1">
        <f>WORKDAY(B3307,5)</f>
        <v>45776</v>
      </c>
      <c r="U3307" t="b">
        <f>C3307&gt;T3307</f>
        <v>0</v>
      </c>
    </row>
    <row r="3308" spans="1:21" x14ac:dyDescent="0.25">
      <c r="A3308" t="s">
        <v>2021</v>
      </c>
      <c r="B3308" s="1">
        <v>45769</v>
      </c>
      <c r="C3308" s="1">
        <v>45772</v>
      </c>
      <c r="D3308" t="s">
        <v>1909</v>
      </c>
      <c r="E3308" t="s">
        <v>434</v>
      </c>
      <c r="F3308" t="s">
        <v>55</v>
      </c>
      <c r="G3308" t="s">
        <v>71</v>
      </c>
      <c r="H3308" t="s">
        <v>72</v>
      </c>
      <c r="I3308" s="2">
        <v>1</v>
      </c>
      <c r="J3308" s="3">
        <v>179</v>
      </c>
      <c r="K3308" s="4">
        <v>0</v>
      </c>
      <c r="L3308" s="3">
        <v>179</v>
      </c>
      <c r="M3308" t="b">
        <v>1</v>
      </c>
      <c r="N3308" s="2">
        <f>YEAR(B3308)</f>
        <v>2025</v>
      </c>
      <c r="O3308" t="str">
        <f>INDEX(Agences!$C:$C,MATCH(F3308,Agences!$A:$A,0))</f>
        <v>Est</v>
      </c>
      <c r="P3308" t="str">
        <f>INDEX(Produits!$C:$C,MATCH(H3308,Produits!$A:$A,0))</f>
        <v>Informatique</v>
      </c>
      <c r="Q3308" s="3">
        <f>I3308*INDEX(Produits!$E:$E,MATCH(H3308,Produits!$A:$A,0))</f>
        <v>146.78</v>
      </c>
      <c r="R3308" s="3">
        <f>L3308-Q3308</f>
        <v>32.22</v>
      </c>
      <c r="S3308" s="2">
        <f>NETWORKDAYS(B3308,C3308)-1</f>
        <v>3</v>
      </c>
      <c r="T3308" s="1">
        <f>WORKDAY(B3308,5)</f>
        <v>45776</v>
      </c>
      <c r="U3308" t="b">
        <f>C3308&gt;T3308</f>
        <v>0</v>
      </c>
    </row>
    <row r="3309" spans="1:21" x14ac:dyDescent="0.25">
      <c r="A3309" t="s">
        <v>2021</v>
      </c>
      <c r="B3309" s="1">
        <v>45769</v>
      </c>
      <c r="C3309" s="1">
        <v>45772</v>
      </c>
      <c r="D3309" t="s">
        <v>1909</v>
      </c>
      <c r="E3309" t="s">
        <v>434</v>
      </c>
      <c r="F3309" t="s">
        <v>55</v>
      </c>
      <c r="G3309" t="s">
        <v>71</v>
      </c>
      <c r="H3309" t="s">
        <v>51</v>
      </c>
      <c r="I3309" s="2">
        <v>1</v>
      </c>
      <c r="J3309" s="3">
        <v>180</v>
      </c>
      <c r="K3309" s="4">
        <v>0.05</v>
      </c>
      <c r="L3309" s="3">
        <v>171</v>
      </c>
      <c r="M3309" t="b">
        <v>1</v>
      </c>
      <c r="N3309" s="2">
        <f>YEAR(B3309)</f>
        <v>2025</v>
      </c>
      <c r="O3309" t="str">
        <f>INDEX(Agences!$C:$C,MATCH(F3309,Agences!$A:$A,0))</f>
        <v>Est</v>
      </c>
      <c r="P3309" t="str">
        <f>INDEX(Produits!$C:$C,MATCH(H3309,Produits!$A:$A,0))</f>
        <v>Maintenance</v>
      </c>
      <c r="Q3309" s="3">
        <f>I3309*INDEX(Produits!$E:$E,MATCH(H3309,Produits!$A:$A,0))</f>
        <v>82.8</v>
      </c>
      <c r="R3309" s="3">
        <f>L3309-Q3309</f>
        <v>88.2</v>
      </c>
      <c r="S3309" s="2">
        <f>NETWORKDAYS(B3309,C3309)-1</f>
        <v>3</v>
      </c>
      <c r="T3309" s="1">
        <f>WORKDAY(B3309,5)</f>
        <v>45776</v>
      </c>
      <c r="U3309" t="b">
        <f>C3309&gt;T3309</f>
        <v>0</v>
      </c>
    </row>
    <row r="3310" spans="1:21" x14ac:dyDescent="0.25">
      <c r="A3310" t="s">
        <v>2022</v>
      </c>
      <c r="B3310" s="1">
        <v>45768</v>
      </c>
      <c r="C3310" s="1">
        <v>45775</v>
      </c>
      <c r="D3310" t="s">
        <v>451</v>
      </c>
      <c r="E3310" t="s">
        <v>30</v>
      </c>
      <c r="F3310" t="s">
        <v>31</v>
      </c>
      <c r="G3310" t="s">
        <v>186</v>
      </c>
      <c r="H3310" t="s">
        <v>51</v>
      </c>
      <c r="I3310" s="2">
        <v>1</v>
      </c>
      <c r="J3310" s="3">
        <v>180</v>
      </c>
      <c r="K3310" s="4">
        <v>0</v>
      </c>
      <c r="L3310" s="3">
        <v>180</v>
      </c>
      <c r="M3310" t="b">
        <v>1</v>
      </c>
      <c r="N3310" s="2">
        <f>YEAR(B3310)</f>
        <v>2025</v>
      </c>
      <c r="O3310" t="str">
        <f>INDEX(Agences!$C:$C,MATCH(F3310,Agences!$A:$A,0))</f>
        <v>Ouest</v>
      </c>
      <c r="P3310" t="str">
        <f>INDEX(Produits!$C:$C,MATCH(H3310,Produits!$A:$A,0))</f>
        <v>Maintenance</v>
      </c>
      <c r="Q3310" s="3">
        <f>I3310*INDEX(Produits!$E:$E,MATCH(H3310,Produits!$A:$A,0))</f>
        <v>82.8</v>
      </c>
      <c r="R3310" s="3">
        <f>L3310-Q3310</f>
        <v>97.2</v>
      </c>
      <c r="S3310" s="2">
        <f>NETWORKDAYS(B3310,C3310)-1</f>
        <v>5</v>
      </c>
      <c r="T3310" s="1">
        <f>WORKDAY(B3310,5)</f>
        <v>45775</v>
      </c>
      <c r="U3310" t="b">
        <f>C3310&gt;T3310</f>
        <v>0</v>
      </c>
    </row>
    <row r="3311" spans="1:21" x14ac:dyDescent="0.25">
      <c r="A3311" t="s">
        <v>2023</v>
      </c>
      <c r="B3311" s="1">
        <v>45765</v>
      </c>
      <c r="C3311" s="1">
        <v>45771</v>
      </c>
      <c r="D3311" t="s">
        <v>867</v>
      </c>
      <c r="E3311" t="s">
        <v>202</v>
      </c>
      <c r="F3311" t="s">
        <v>138</v>
      </c>
      <c r="G3311" t="s">
        <v>139</v>
      </c>
      <c r="H3311" t="s">
        <v>51</v>
      </c>
      <c r="I3311" s="2">
        <v>2</v>
      </c>
      <c r="J3311" s="3">
        <v>180</v>
      </c>
      <c r="K3311" s="4">
        <v>0</v>
      </c>
      <c r="L3311" s="3">
        <v>360</v>
      </c>
      <c r="M3311" t="b">
        <v>1</v>
      </c>
      <c r="N3311" s="2">
        <f>YEAR(B3311)</f>
        <v>2025</v>
      </c>
      <c r="O3311" t="str">
        <f>INDEX(Agences!$C:$C,MATCH(F3311,Agences!$A:$A,0))</f>
        <v>Île-de-France</v>
      </c>
      <c r="P3311" t="str">
        <f>INDEX(Produits!$C:$C,MATCH(H3311,Produits!$A:$A,0))</f>
        <v>Maintenance</v>
      </c>
      <c r="Q3311" s="3">
        <f>I3311*INDEX(Produits!$E:$E,MATCH(H3311,Produits!$A:$A,0))</f>
        <v>165.6</v>
      </c>
      <c r="R3311" s="3">
        <f>L3311-Q3311</f>
        <v>194.4</v>
      </c>
      <c r="S3311" s="2">
        <f>NETWORKDAYS(B3311,C3311)-1</f>
        <v>4</v>
      </c>
      <c r="T3311" s="1">
        <f>WORKDAY(B3311,5)</f>
        <v>45772</v>
      </c>
      <c r="U3311" t="b">
        <f>C3311&gt;T3311</f>
        <v>0</v>
      </c>
    </row>
    <row r="3312" spans="1:21" x14ac:dyDescent="0.25">
      <c r="A3312" t="s">
        <v>2023</v>
      </c>
      <c r="B3312" s="1">
        <v>45765</v>
      </c>
      <c r="C3312" s="1">
        <v>45771</v>
      </c>
      <c r="D3312" t="s">
        <v>867</v>
      </c>
      <c r="E3312" t="s">
        <v>202</v>
      </c>
      <c r="F3312" t="s">
        <v>138</v>
      </c>
      <c r="G3312" t="s">
        <v>139</v>
      </c>
      <c r="H3312" t="s">
        <v>50</v>
      </c>
      <c r="I3312" s="2">
        <v>1</v>
      </c>
      <c r="J3312" s="3">
        <v>69</v>
      </c>
      <c r="K3312" s="4">
        <v>0.1</v>
      </c>
      <c r="L3312" s="3">
        <v>62.1</v>
      </c>
      <c r="M3312" t="b">
        <v>1</v>
      </c>
      <c r="N3312" s="2">
        <f>YEAR(B3312)</f>
        <v>2025</v>
      </c>
      <c r="O3312" t="str">
        <f>INDEX(Agences!$C:$C,MATCH(F3312,Agences!$A:$A,0))</f>
        <v>Île-de-France</v>
      </c>
      <c r="P3312" t="str">
        <f>INDEX(Produits!$C:$C,MATCH(H3312,Produits!$A:$A,0))</f>
        <v>Informatique</v>
      </c>
      <c r="Q3312" s="3">
        <f>I3312*INDEX(Produits!$E:$E,MATCH(H3312,Produits!$A:$A,0))</f>
        <v>54.51</v>
      </c>
      <c r="R3312" s="3">
        <f>L3312-Q3312</f>
        <v>7.590000000000003</v>
      </c>
      <c r="S3312" s="2">
        <f>NETWORKDAYS(B3312,C3312)-1</f>
        <v>4</v>
      </c>
      <c r="T3312" s="1">
        <f>WORKDAY(B3312,5)</f>
        <v>45772</v>
      </c>
      <c r="U3312" t="b">
        <f>C3312&gt;T3312</f>
        <v>0</v>
      </c>
    </row>
    <row r="3313" spans="1:21" x14ac:dyDescent="0.25">
      <c r="A3313" t="s">
        <v>2023</v>
      </c>
      <c r="B3313" s="1">
        <v>45765</v>
      </c>
      <c r="C3313" s="1">
        <v>45771</v>
      </c>
      <c r="D3313" t="s">
        <v>867</v>
      </c>
      <c r="E3313" t="s">
        <v>202</v>
      </c>
      <c r="F3313" t="s">
        <v>138</v>
      </c>
      <c r="G3313" t="s">
        <v>139</v>
      </c>
      <c r="H3313" t="s">
        <v>64</v>
      </c>
      <c r="I3313" s="2">
        <v>5</v>
      </c>
      <c r="J3313" s="3">
        <v>16.8</v>
      </c>
      <c r="K3313" s="4">
        <v>0.05</v>
      </c>
      <c r="L3313" s="3">
        <v>79.8</v>
      </c>
      <c r="M3313" t="b">
        <v>1</v>
      </c>
      <c r="N3313" s="2">
        <f>YEAR(B3313)</f>
        <v>2025</v>
      </c>
      <c r="O3313" t="str">
        <f>INDEX(Agences!$C:$C,MATCH(F3313,Agences!$A:$A,0))</f>
        <v>Île-de-France</v>
      </c>
      <c r="P3313" t="str">
        <f>INDEX(Produits!$C:$C,MATCH(H3313,Produits!$A:$A,0))</f>
        <v>Fournitures</v>
      </c>
      <c r="Q3313" s="3">
        <f>I3313*INDEX(Produits!$E:$E,MATCH(H3313,Produits!$A:$A,0))</f>
        <v>43.7</v>
      </c>
      <c r="R3313" s="3">
        <f>L3313-Q3313</f>
        <v>36.099999999999994</v>
      </c>
      <c r="S3313" s="2">
        <f>NETWORKDAYS(B3313,C3313)-1</f>
        <v>4</v>
      </c>
      <c r="T3313" s="1">
        <f>WORKDAY(B3313,5)</f>
        <v>45772</v>
      </c>
      <c r="U3313" t="b">
        <f>C3313&gt;T3313</f>
        <v>0</v>
      </c>
    </row>
    <row r="3314" spans="1:21" x14ac:dyDescent="0.25">
      <c r="A3314" t="s">
        <v>2023</v>
      </c>
      <c r="B3314" s="1">
        <v>45765</v>
      </c>
      <c r="C3314" s="1">
        <v>45771</v>
      </c>
      <c r="D3314" t="s">
        <v>867</v>
      </c>
      <c r="E3314" t="s">
        <v>202</v>
      </c>
      <c r="F3314" t="s">
        <v>138</v>
      </c>
      <c r="G3314" t="s">
        <v>139</v>
      </c>
      <c r="H3314" t="s">
        <v>103</v>
      </c>
      <c r="I3314" s="2">
        <v>2</v>
      </c>
      <c r="J3314" s="3">
        <v>245</v>
      </c>
      <c r="K3314" s="4">
        <v>0</v>
      </c>
      <c r="L3314" s="3">
        <v>490</v>
      </c>
      <c r="M3314" t="b">
        <v>1</v>
      </c>
      <c r="N3314" s="2">
        <f>YEAR(B3314)</f>
        <v>2025</v>
      </c>
      <c r="O3314" t="str">
        <f>INDEX(Agences!$C:$C,MATCH(F3314,Agences!$A:$A,0))</f>
        <v>Île-de-France</v>
      </c>
      <c r="P3314" t="str">
        <f>INDEX(Produits!$C:$C,MATCH(H3314,Produits!$A:$A,0))</f>
        <v>Mobilier</v>
      </c>
      <c r="Q3314" s="3">
        <f>I3314*INDEX(Produits!$E:$E,MATCH(H3314,Produits!$A:$A,0))</f>
        <v>328.3</v>
      </c>
      <c r="R3314" s="3">
        <f>L3314-Q3314</f>
        <v>161.7</v>
      </c>
      <c r="S3314" s="2">
        <f>NETWORKDAYS(B3314,C3314)-1</f>
        <v>4</v>
      </c>
      <c r="T3314" s="1">
        <f>WORKDAY(B3314,5)</f>
        <v>45772</v>
      </c>
      <c r="U3314" t="b">
        <f>C3314&gt;T3314</f>
        <v>0</v>
      </c>
    </row>
    <row r="3315" spans="1:21" x14ac:dyDescent="0.25">
      <c r="A3315" t="s">
        <v>2024</v>
      </c>
      <c r="B3315" s="1">
        <v>45765</v>
      </c>
      <c r="C3315" s="1">
        <v>45770</v>
      </c>
      <c r="D3315" t="s">
        <v>975</v>
      </c>
      <c r="E3315" t="s">
        <v>175</v>
      </c>
      <c r="F3315" t="s">
        <v>76</v>
      </c>
      <c r="G3315" t="s">
        <v>176</v>
      </c>
      <c r="H3315" t="s">
        <v>42</v>
      </c>
      <c r="I3315" s="2">
        <v>1</v>
      </c>
      <c r="J3315" s="3">
        <v>55</v>
      </c>
      <c r="K3315" s="4">
        <v>0</v>
      </c>
      <c r="L3315" s="3">
        <v>55</v>
      </c>
      <c r="M3315" t="b">
        <v>1</v>
      </c>
      <c r="N3315" s="2">
        <f>YEAR(B3315)</f>
        <v>2025</v>
      </c>
      <c r="O3315" t="str">
        <f>INDEX(Agences!$C:$C,MATCH(F3315,Agences!$A:$A,0))</f>
        <v>Île-de-France</v>
      </c>
      <c r="P3315" t="str">
        <f>INDEX(Produits!$C:$C,MATCH(H3315,Produits!$A:$A,0))</f>
        <v>Maintenance</v>
      </c>
      <c r="Q3315" s="3">
        <f>I3315*INDEX(Produits!$E:$E,MATCH(H3315,Produits!$A:$A,0))</f>
        <v>24.75</v>
      </c>
      <c r="R3315" s="3">
        <f>L3315-Q3315</f>
        <v>30.25</v>
      </c>
      <c r="S3315" s="2">
        <f>NETWORKDAYS(B3315,C3315)-1</f>
        <v>3</v>
      </c>
      <c r="T3315" s="1">
        <f>WORKDAY(B3315,5)</f>
        <v>45772</v>
      </c>
      <c r="U3315" t="b">
        <f>C3315&gt;T3315</f>
        <v>0</v>
      </c>
    </row>
    <row r="3316" spans="1:21" x14ac:dyDescent="0.25">
      <c r="A3316" t="s">
        <v>2025</v>
      </c>
      <c r="B3316" s="1">
        <v>45765</v>
      </c>
      <c r="C3316" s="1">
        <v>45770</v>
      </c>
      <c r="D3316" t="s">
        <v>1845</v>
      </c>
      <c r="E3316" t="s">
        <v>185</v>
      </c>
      <c r="F3316" t="s">
        <v>31</v>
      </c>
      <c r="G3316" t="s">
        <v>32</v>
      </c>
      <c r="H3316" t="s">
        <v>103</v>
      </c>
      <c r="I3316" s="2">
        <v>2</v>
      </c>
      <c r="J3316" s="3">
        <v>245</v>
      </c>
      <c r="K3316" s="4">
        <v>0.05</v>
      </c>
      <c r="L3316" s="3">
        <v>465.5</v>
      </c>
      <c r="M3316" t="b">
        <v>1</v>
      </c>
      <c r="N3316" s="2">
        <f>YEAR(B3316)</f>
        <v>2025</v>
      </c>
      <c r="O3316" t="str">
        <f>INDEX(Agences!$C:$C,MATCH(F3316,Agences!$A:$A,0))</f>
        <v>Ouest</v>
      </c>
      <c r="P3316" t="str">
        <f>INDEX(Produits!$C:$C,MATCH(H3316,Produits!$A:$A,0))</f>
        <v>Mobilier</v>
      </c>
      <c r="Q3316" s="3">
        <f>I3316*INDEX(Produits!$E:$E,MATCH(H3316,Produits!$A:$A,0))</f>
        <v>328.3</v>
      </c>
      <c r="R3316" s="3">
        <f>L3316-Q3316</f>
        <v>137.2</v>
      </c>
      <c r="S3316" s="2">
        <f>NETWORKDAYS(B3316,C3316)-1</f>
        <v>3</v>
      </c>
      <c r="T3316" s="1">
        <f>WORKDAY(B3316,5)</f>
        <v>45772</v>
      </c>
      <c r="U3316" t="b">
        <f>C3316&gt;T3316</f>
        <v>0</v>
      </c>
    </row>
    <row r="3317" spans="1:21" x14ac:dyDescent="0.25">
      <c r="A3317" t="s">
        <v>2025</v>
      </c>
      <c r="B3317" s="1">
        <v>45765</v>
      </c>
      <c r="C3317" s="1">
        <v>45770</v>
      </c>
      <c r="D3317" t="s">
        <v>1845</v>
      </c>
      <c r="E3317" t="s">
        <v>185</v>
      </c>
      <c r="F3317" t="s">
        <v>31</v>
      </c>
      <c r="G3317" t="s">
        <v>32</v>
      </c>
      <c r="H3317" t="s">
        <v>42</v>
      </c>
      <c r="I3317" s="2">
        <v>1</v>
      </c>
      <c r="J3317" s="3">
        <v>55</v>
      </c>
      <c r="K3317" s="4">
        <v>0</v>
      </c>
      <c r="L3317" s="3">
        <v>55</v>
      </c>
      <c r="M3317" t="b">
        <v>1</v>
      </c>
      <c r="N3317" s="2">
        <f>YEAR(B3317)</f>
        <v>2025</v>
      </c>
      <c r="O3317" t="str">
        <f>INDEX(Agences!$C:$C,MATCH(F3317,Agences!$A:$A,0))</f>
        <v>Ouest</v>
      </c>
      <c r="P3317" t="str">
        <f>INDEX(Produits!$C:$C,MATCH(H3317,Produits!$A:$A,0))</f>
        <v>Maintenance</v>
      </c>
      <c r="Q3317" s="3">
        <f>I3317*INDEX(Produits!$E:$E,MATCH(H3317,Produits!$A:$A,0))</f>
        <v>24.75</v>
      </c>
      <c r="R3317" s="3">
        <f>L3317-Q3317</f>
        <v>30.25</v>
      </c>
      <c r="S3317" s="2">
        <f>NETWORKDAYS(B3317,C3317)-1</f>
        <v>3</v>
      </c>
      <c r="T3317" s="1">
        <f>WORKDAY(B3317,5)</f>
        <v>45772</v>
      </c>
      <c r="U3317" t="b">
        <f>C3317&gt;T3317</f>
        <v>0</v>
      </c>
    </row>
    <row r="3318" spans="1:21" x14ac:dyDescent="0.25">
      <c r="A3318" t="s">
        <v>2026</v>
      </c>
      <c r="B3318" s="1">
        <v>45765</v>
      </c>
      <c r="C3318" s="1">
        <v>45770</v>
      </c>
      <c r="D3318" t="s">
        <v>2027</v>
      </c>
      <c r="E3318" t="s">
        <v>191</v>
      </c>
      <c r="F3318" t="s">
        <v>62</v>
      </c>
      <c r="G3318" t="s">
        <v>68</v>
      </c>
      <c r="H3318" t="s">
        <v>35</v>
      </c>
      <c r="I3318" s="2">
        <v>2</v>
      </c>
      <c r="J3318" s="3">
        <v>79</v>
      </c>
      <c r="K3318" s="4">
        <v>0</v>
      </c>
      <c r="L3318" s="3">
        <v>158</v>
      </c>
      <c r="M3318" t="b">
        <v>1</v>
      </c>
      <c r="N3318" s="2">
        <f>YEAR(B3318)</f>
        <v>2025</v>
      </c>
      <c r="O3318" t="str">
        <f>INDEX(Agences!$C:$C,MATCH(F3318,Agences!$A:$A,0))</f>
        <v>Méditerranée</v>
      </c>
      <c r="P3318" t="str">
        <f>INDEX(Produits!$C:$C,MATCH(H3318,Produits!$A:$A,0))</f>
        <v>Mobilier</v>
      </c>
      <c r="Q3318" s="3">
        <f>I3318*INDEX(Produits!$E:$E,MATCH(H3318,Produits!$A:$A,0))</f>
        <v>93.22</v>
      </c>
      <c r="R3318" s="3">
        <f>L3318-Q3318</f>
        <v>64.78</v>
      </c>
      <c r="S3318" s="2">
        <f>NETWORKDAYS(B3318,C3318)-1</f>
        <v>3</v>
      </c>
      <c r="T3318" s="1">
        <f>WORKDAY(B3318,5)</f>
        <v>45772</v>
      </c>
      <c r="U3318" t="b">
        <f>C3318&gt;T3318</f>
        <v>0</v>
      </c>
    </row>
    <row r="3319" spans="1:21" x14ac:dyDescent="0.25">
      <c r="A3319" t="s">
        <v>2028</v>
      </c>
      <c r="B3319" s="1">
        <v>45765</v>
      </c>
      <c r="C3319" s="1">
        <v>45770</v>
      </c>
      <c r="D3319" t="s">
        <v>538</v>
      </c>
      <c r="E3319" t="s">
        <v>157</v>
      </c>
      <c r="F3319" t="s">
        <v>46</v>
      </c>
      <c r="G3319" t="s">
        <v>47</v>
      </c>
      <c r="H3319" t="s">
        <v>42</v>
      </c>
      <c r="I3319" s="2">
        <v>1</v>
      </c>
      <c r="J3319" s="3">
        <v>55</v>
      </c>
      <c r="K3319" s="4">
        <v>0.05</v>
      </c>
      <c r="L3319" s="3">
        <v>52.25</v>
      </c>
      <c r="M3319" t="b">
        <v>1</v>
      </c>
      <c r="N3319" s="2">
        <f>YEAR(B3319)</f>
        <v>2025</v>
      </c>
      <c r="O3319" t="str">
        <f>INDEX(Agences!$C:$C,MATCH(F3319,Agences!$A:$A,0))</f>
        <v>Est</v>
      </c>
      <c r="P3319" t="str">
        <f>INDEX(Produits!$C:$C,MATCH(H3319,Produits!$A:$A,0))</f>
        <v>Maintenance</v>
      </c>
      <c r="Q3319" s="3">
        <f>I3319*INDEX(Produits!$E:$E,MATCH(H3319,Produits!$A:$A,0))</f>
        <v>24.75</v>
      </c>
      <c r="R3319" s="3">
        <f>L3319-Q3319</f>
        <v>27.5</v>
      </c>
      <c r="S3319" s="2">
        <f>NETWORKDAYS(B3319,C3319)-1</f>
        <v>3</v>
      </c>
      <c r="T3319" s="1">
        <f>WORKDAY(B3319,5)</f>
        <v>45772</v>
      </c>
      <c r="U3319" t="b">
        <f>C3319&gt;T3319</f>
        <v>0</v>
      </c>
    </row>
    <row r="3320" spans="1:21" x14ac:dyDescent="0.25">
      <c r="A3320" t="s">
        <v>2028</v>
      </c>
      <c r="B3320" s="1">
        <v>45765</v>
      </c>
      <c r="C3320" s="1">
        <v>45770</v>
      </c>
      <c r="D3320" t="s">
        <v>538</v>
      </c>
      <c r="E3320" t="s">
        <v>157</v>
      </c>
      <c r="F3320" t="s">
        <v>46</v>
      </c>
      <c r="G3320" t="s">
        <v>47</v>
      </c>
      <c r="H3320" t="s">
        <v>48</v>
      </c>
      <c r="I3320" s="2">
        <v>6</v>
      </c>
      <c r="J3320" s="3">
        <v>165</v>
      </c>
      <c r="K3320" s="4">
        <v>0</v>
      </c>
      <c r="L3320" s="3">
        <v>990</v>
      </c>
      <c r="M3320" t="b">
        <v>1</v>
      </c>
      <c r="N3320" s="2">
        <f>YEAR(B3320)</f>
        <v>2025</v>
      </c>
      <c r="O3320" t="str">
        <f>INDEX(Agences!$C:$C,MATCH(F3320,Agences!$A:$A,0))</f>
        <v>Est</v>
      </c>
      <c r="P3320" t="str">
        <f>INDEX(Produits!$C:$C,MATCH(H3320,Produits!$A:$A,0))</f>
        <v>Mobilier</v>
      </c>
      <c r="Q3320" s="3">
        <f>I3320*INDEX(Produits!$E:$E,MATCH(H3320,Produits!$A:$A,0))</f>
        <v>643.5</v>
      </c>
      <c r="R3320" s="3">
        <f>L3320-Q3320</f>
        <v>346.5</v>
      </c>
      <c r="S3320" s="2">
        <f>NETWORKDAYS(B3320,C3320)-1</f>
        <v>3</v>
      </c>
      <c r="T3320" s="1">
        <f>WORKDAY(B3320,5)</f>
        <v>45772</v>
      </c>
      <c r="U3320" t="b">
        <f>C3320&gt;T3320</f>
        <v>0</v>
      </c>
    </row>
    <row r="3321" spans="1:21" x14ac:dyDescent="0.25">
      <c r="A3321" t="s">
        <v>2029</v>
      </c>
      <c r="B3321" s="1">
        <v>45764</v>
      </c>
      <c r="C3321" s="1">
        <v>45769</v>
      </c>
      <c r="D3321" t="s">
        <v>656</v>
      </c>
      <c r="E3321" t="s">
        <v>122</v>
      </c>
      <c r="F3321" t="s">
        <v>24</v>
      </c>
      <c r="G3321" t="s">
        <v>199</v>
      </c>
      <c r="H3321" t="s">
        <v>49</v>
      </c>
      <c r="I3321" s="2">
        <v>2</v>
      </c>
      <c r="J3321" s="3">
        <v>120</v>
      </c>
      <c r="K3321" s="4">
        <v>0</v>
      </c>
      <c r="L3321" s="3">
        <v>240</v>
      </c>
      <c r="M3321" t="b">
        <v>1</v>
      </c>
      <c r="N3321" s="2">
        <f>YEAR(B3321)</f>
        <v>2025</v>
      </c>
      <c r="O3321" t="str">
        <f>INDEX(Agences!$C:$C,MATCH(F3321,Agences!$A:$A,0))</f>
        <v>Nord</v>
      </c>
      <c r="P3321" t="str">
        <f>INDEX(Produits!$C:$C,MATCH(H3321,Produits!$A:$A,0))</f>
        <v>Maintenance</v>
      </c>
      <c r="Q3321" s="3">
        <f>I3321*INDEX(Produits!$E:$E,MATCH(H3321,Produits!$A:$A,0))</f>
        <v>110.4</v>
      </c>
      <c r="R3321" s="3">
        <f>L3321-Q3321</f>
        <v>129.6</v>
      </c>
      <c r="S3321" s="2">
        <f>NETWORKDAYS(B3321,C3321)-1</f>
        <v>3</v>
      </c>
      <c r="T3321" s="1">
        <f>WORKDAY(B3321,5)</f>
        <v>45771</v>
      </c>
      <c r="U3321" t="b">
        <f>C3321&gt;T3321</f>
        <v>0</v>
      </c>
    </row>
    <row r="3322" spans="1:21" x14ac:dyDescent="0.25">
      <c r="A3322" t="s">
        <v>2029</v>
      </c>
      <c r="B3322" s="1">
        <v>45764</v>
      </c>
      <c r="C3322" s="1">
        <v>45769</v>
      </c>
      <c r="D3322" t="s">
        <v>656</v>
      </c>
      <c r="E3322" t="s">
        <v>122</v>
      </c>
      <c r="F3322" t="s">
        <v>24</v>
      </c>
      <c r="G3322" t="s">
        <v>199</v>
      </c>
      <c r="H3322" t="s">
        <v>233</v>
      </c>
      <c r="I3322" s="2">
        <v>20</v>
      </c>
      <c r="J3322" s="3">
        <v>27.5</v>
      </c>
      <c r="K3322" s="4">
        <v>0.02</v>
      </c>
      <c r="L3322" s="3">
        <v>539</v>
      </c>
      <c r="M3322" t="b">
        <v>1</v>
      </c>
      <c r="N3322" s="2">
        <f>YEAR(B3322)</f>
        <v>2025</v>
      </c>
      <c r="O3322" t="str">
        <f>INDEX(Agences!$C:$C,MATCH(F3322,Agences!$A:$A,0))</f>
        <v>Nord</v>
      </c>
      <c r="P3322" t="str">
        <f>INDEX(Produits!$C:$C,MATCH(H3322,Produits!$A:$A,0))</f>
        <v>Fournitures</v>
      </c>
      <c r="Q3322" s="3">
        <f>I3322*INDEX(Produits!$E:$E,MATCH(H3322,Produits!$A:$A,0))</f>
        <v>308</v>
      </c>
      <c r="R3322" s="3">
        <f>L3322-Q3322</f>
        <v>231</v>
      </c>
      <c r="S3322" s="2">
        <f>NETWORKDAYS(B3322,C3322)-1</f>
        <v>3</v>
      </c>
      <c r="T3322" s="1">
        <f>WORKDAY(B3322,5)</f>
        <v>45771</v>
      </c>
      <c r="U3322" t="b">
        <f>C3322&gt;T3322</f>
        <v>0</v>
      </c>
    </row>
    <row r="3323" spans="1:21" x14ac:dyDescent="0.25">
      <c r="A3323" t="s">
        <v>2030</v>
      </c>
      <c r="B3323" s="1">
        <v>45764</v>
      </c>
      <c r="C3323" s="1">
        <v>45769</v>
      </c>
      <c r="D3323" t="s">
        <v>448</v>
      </c>
      <c r="E3323" t="s">
        <v>449</v>
      </c>
      <c r="F3323" t="s">
        <v>94</v>
      </c>
      <c r="G3323" t="s">
        <v>154</v>
      </c>
      <c r="H3323" t="s">
        <v>58</v>
      </c>
      <c r="I3323" s="2">
        <v>1</v>
      </c>
      <c r="J3323" s="3">
        <v>649</v>
      </c>
      <c r="K3323" s="4">
        <v>0</v>
      </c>
      <c r="L3323" s="3">
        <v>649</v>
      </c>
      <c r="M3323" t="b">
        <v>1</v>
      </c>
      <c r="N3323" s="2">
        <f>YEAR(B3323)</f>
        <v>2025</v>
      </c>
      <c r="O3323" t="str">
        <f>INDEX(Agences!$C:$C,MATCH(F3323,Agences!$A:$A,0))</f>
        <v>Méditerranée</v>
      </c>
      <c r="P3323" t="str">
        <f>INDEX(Produits!$C:$C,MATCH(H3323,Produits!$A:$A,0))</f>
        <v>Mobilier</v>
      </c>
      <c r="Q3323" s="3">
        <f>I3323*INDEX(Produits!$E:$E,MATCH(H3323,Produits!$A:$A,0))</f>
        <v>408.87</v>
      </c>
      <c r="R3323" s="3">
        <f>L3323-Q3323</f>
        <v>240.13</v>
      </c>
      <c r="S3323" s="2">
        <f>NETWORKDAYS(B3323,C3323)-1</f>
        <v>3</v>
      </c>
      <c r="T3323" s="1">
        <f>WORKDAY(B3323,5)</f>
        <v>45771</v>
      </c>
      <c r="U3323" t="b">
        <f>C3323&gt;T3323</f>
        <v>0</v>
      </c>
    </row>
    <row r="3324" spans="1:21" x14ac:dyDescent="0.25">
      <c r="A3324" t="s">
        <v>2030</v>
      </c>
      <c r="B3324" s="1">
        <v>45764</v>
      </c>
      <c r="C3324" s="1">
        <v>45769</v>
      </c>
      <c r="D3324" t="s">
        <v>448</v>
      </c>
      <c r="E3324" t="s">
        <v>449</v>
      </c>
      <c r="F3324" t="s">
        <v>94</v>
      </c>
      <c r="G3324" t="s">
        <v>154</v>
      </c>
      <c r="H3324" t="s">
        <v>50</v>
      </c>
      <c r="I3324" s="2">
        <v>1</v>
      </c>
      <c r="J3324" s="3">
        <v>69</v>
      </c>
      <c r="K3324" s="4">
        <v>0.08</v>
      </c>
      <c r="L3324" s="3">
        <v>63.48</v>
      </c>
      <c r="M3324" t="b">
        <v>1</v>
      </c>
      <c r="N3324" s="2">
        <f>YEAR(B3324)</f>
        <v>2025</v>
      </c>
      <c r="O3324" t="str">
        <f>INDEX(Agences!$C:$C,MATCH(F3324,Agences!$A:$A,0))</f>
        <v>Méditerranée</v>
      </c>
      <c r="P3324" t="str">
        <f>INDEX(Produits!$C:$C,MATCH(H3324,Produits!$A:$A,0))</f>
        <v>Informatique</v>
      </c>
      <c r="Q3324" s="3">
        <f>I3324*INDEX(Produits!$E:$E,MATCH(H3324,Produits!$A:$A,0))</f>
        <v>54.51</v>
      </c>
      <c r="R3324" s="3">
        <f>L3324-Q3324</f>
        <v>8.969999999999999</v>
      </c>
      <c r="S3324" s="2">
        <f>NETWORKDAYS(B3324,C3324)-1</f>
        <v>3</v>
      </c>
      <c r="T3324" s="1">
        <f>WORKDAY(B3324,5)</f>
        <v>45771</v>
      </c>
      <c r="U3324" t="b">
        <f>C3324&gt;T3324</f>
        <v>0</v>
      </c>
    </row>
    <row r="3325" spans="1:21" x14ac:dyDescent="0.25">
      <c r="A3325" t="s">
        <v>2030</v>
      </c>
      <c r="B3325" s="1">
        <v>45764</v>
      </c>
      <c r="C3325" s="1">
        <v>45769</v>
      </c>
      <c r="D3325" t="s">
        <v>448</v>
      </c>
      <c r="E3325" t="s">
        <v>449</v>
      </c>
      <c r="F3325" t="s">
        <v>94</v>
      </c>
      <c r="G3325" t="s">
        <v>154</v>
      </c>
      <c r="H3325" t="s">
        <v>83</v>
      </c>
      <c r="I3325" s="2">
        <v>1</v>
      </c>
      <c r="J3325" s="3">
        <v>49</v>
      </c>
      <c r="K3325" s="4">
        <v>0.02</v>
      </c>
      <c r="L3325" s="3">
        <v>48.02</v>
      </c>
      <c r="M3325" t="b">
        <v>1</v>
      </c>
      <c r="N3325" s="2">
        <f>YEAR(B3325)</f>
        <v>2025</v>
      </c>
      <c r="O3325" t="str">
        <f>INDEX(Agences!$C:$C,MATCH(F3325,Agences!$A:$A,0))</f>
        <v>Méditerranée</v>
      </c>
      <c r="P3325" t="str">
        <f>INDEX(Produits!$C:$C,MATCH(H3325,Produits!$A:$A,0))</f>
        <v>Mobilier</v>
      </c>
      <c r="Q3325" s="3">
        <f>I3325*INDEX(Produits!$E:$E,MATCH(H3325,Produits!$A:$A,0))</f>
        <v>28.42</v>
      </c>
      <c r="R3325" s="3">
        <f>L3325-Q3325</f>
        <v>19.6</v>
      </c>
      <c r="S3325" s="2">
        <f>NETWORKDAYS(B3325,C3325)-1</f>
        <v>3</v>
      </c>
      <c r="T3325" s="1">
        <f>WORKDAY(B3325,5)</f>
        <v>45771</v>
      </c>
      <c r="U3325" t="b">
        <f>C3325&gt;T3325</f>
        <v>0</v>
      </c>
    </row>
    <row r="3326" spans="1:21" x14ac:dyDescent="0.25">
      <c r="A3326" t="s">
        <v>2030</v>
      </c>
      <c r="B3326" s="1">
        <v>45764</v>
      </c>
      <c r="C3326" s="1">
        <v>45769</v>
      </c>
      <c r="D3326" t="s">
        <v>448</v>
      </c>
      <c r="E3326" t="s">
        <v>449</v>
      </c>
      <c r="F3326" t="s">
        <v>94</v>
      </c>
      <c r="G3326" t="s">
        <v>154</v>
      </c>
      <c r="H3326" t="s">
        <v>48</v>
      </c>
      <c r="I3326" s="2">
        <v>3</v>
      </c>
      <c r="J3326" s="3">
        <v>165</v>
      </c>
      <c r="K3326" s="4">
        <v>0</v>
      </c>
      <c r="L3326" s="3">
        <v>495</v>
      </c>
      <c r="M3326" t="b">
        <v>1</v>
      </c>
      <c r="N3326" s="2">
        <f>YEAR(B3326)</f>
        <v>2025</v>
      </c>
      <c r="O3326" t="str">
        <f>INDEX(Agences!$C:$C,MATCH(F3326,Agences!$A:$A,0))</f>
        <v>Méditerranée</v>
      </c>
      <c r="P3326" t="str">
        <f>INDEX(Produits!$C:$C,MATCH(H3326,Produits!$A:$A,0))</f>
        <v>Mobilier</v>
      </c>
      <c r="Q3326" s="3">
        <f>I3326*INDEX(Produits!$E:$E,MATCH(H3326,Produits!$A:$A,0))</f>
        <v>321.75</v>
      </c>
      <c r="R3326" s="3">
        <f>L3326-Q3326</f>
        <v>173.25</v>
      </c>
      <c r="S3326" s="2">
        <f>NETWORKDAYS(B3326,C3326)-1</f>
        <v>3</v>
      </c>
      <c r="T3326" s="1">
        <f>WORKDAY(B3326,5)</f>
        <v>45771</v>
      </c>
      <c r="U3326" t="b">
        <f>C3326&gt;T3326</f>
        <v>0</v>
      </c>
    </row>
    <row r="3327" spans="1:21" x14ac:dyDescent="0.25">
      <c r="A3327" t="s">
        <v>2031</v>
      </c>
      <c r="B3327" s="1">
        <v>45764</v>
      </c>
      <c r="C3327" s="1">
        <v>45770</v>
      </c>
      <c r="D3327" t="s">
        <v>558</v>
      </c>
      <c r="E3327" t="s">
        <v>316</v>
      </c>
      <c r="F3327" t="s">
        <v>46</v>
      </c>
      <c r="G3327" t="s">
        <v>158</v>
      </c>
      <c r="H3327" t="s">
        <v>83</v>
      </c>
      <c r="I3327" s="2">
        <v>3</v>
      </c>
      <c r="J3327" s="3">
        <v>49</v>
      </c>
      <c r="K3327" s="4">
        <v>0</v>
      </c>
      <c r="L3327" s="3">
        <v>147</v>
      </c>
      <c r="M3327" t="b">
        <v>1</v>
      </c>
      <c r="N3327" s="2">
        <f>YEAR(B3327)</f>
        <v>2025</v>
      </c>
      <c r="O3327" t="str">
        <f>INDEX(Agences!$C:$C,MATCH(F3327,Agences!$A:$A,0))</f>
        <v>Est</v>
      </c>
      <c r="P3327" t="str">
        <f>INDEX(Produits!$C:$C,MATCH(H3327,Produits!$A:$A,0))</f>
        <v>Mobilier</v>
      </c>
      <c r="Q3327" s="3">
        <f>I3327*INDEX(Produits!$E:$E,MATCH(H3327,Produits!$A:$A,0))</f>
        <v>85.26</v>
      </c>
      <c r="R3327" s="3">
        <f>L3327-Q3327</f>
        <v>61.739999999999995</v>
      </c>
      <c r="S3327" s="2">
        <f>NETWORKDAYS(B3327,C3327)-1</f>
        <v>4</v>
      </c>
      <c r="T3327" s="1">
        <f>WORKDAY(B3327,5)</f>
        <v>45771</v>
      </c>
      <c r="U3327" t="b">
        <f>C3327&gt;T3327</f>
        <v>0</v>
      </c>
    </row>
    <row r="3328" spans="1:21" x14ac:dyDescent="0.25">
      <c r="A3328" t="s">
        <v>2031</v>
      </c>
      <c r="B3328" s="1">
        <v>45764</v>
      </c>
      <c r="C3328" s="1">
        <v>45770</v>
      </c>
      <c r="D3328" t="s">
        <v>558</v>
      </c>
      <c r="E3328" t="s">
        <v>316</v>
      </c>
      <c r="F3328" t="s">
        <v>46</v>
      </c>
      <c r="G3328" t="s">
        <v>158</v>
      </c>
      <c r="H3328" t="s">
        <v>90</v>
      </c>
      <c r="I3328" s="2">
        <v>15</v>
      </c>
      <c r="J3328" s="3">
        <v>22.9</v>
      </c>
      <c r="K3328" s="4">
        <v>0.05</v>
      </c>
      <c r="L3328" s="3">
        <v>326.33</v>
      </c>
      <c r="M3328" t="b">
        <v>1</v>
      </c>
      <c r="N3328" s="2">
        <f>YEAR(B3328)</f>
        <v>2025</v>
      </c>
      <c r="O3328" t="str">
        <f>INDEX(Agences!$C:$C,MATCH(F3328,Agences!$A:$A,0))</f>
        <v>Est</v>
      </c>
      <c r="P3328" t="str">
        <f>INDEX(Produits!$C:$C,MATCH(H3328,Produits!$A:$A,0))</f>
        <v>Fournitures</v>
      </c>
      <c r="Q3328" s="3">
        <f>I3328*INDEX(Produits!$E:$E,MATCH(H3328,Produits!$A:$A,0))</f>
        <v>192.3</v>
      </c>
      <c r="R3328" s="3">
        <f>L3328-Q3328</f>
        <v>134.02999999999997</v>
      </c>
      <c r="S3328" s="2">
        <f>NETWORKDAYS(B3328,C3328)-1</f>
        <v>4</v>
      </c>
      <c r="T3328" s="1">
        <f>WORKDAY(B3328,5)</f>
        <v>45771</v>
      </c>
      <c r="U3328" t="b">
        <f>C3328&gt;T3328</f>
        <v>0</v>
      </c>
    </row>
    <row r="3329" spans="1:21" x14ac:dyDescent="0.25">
      <c r="A3329" t="s">
        <v>2032</v>
      </c>
      <c r="B3329" s="1">
        <v>45763</v>
      </c>
      <c r="C3329" s="1">
        <v>45765</v>
      </c>
      <c r="D3329" t="s">
        <v>789</v>
      </c>
      <c r="E3329" t="s">
        <v>115</v>
      </c>
      <c r="F3329" t="s">
        <v>24</v>
      </c>
      <c r="G3329" t="s">
        <v>116</v>
      </c>
      <c r="H3329" t="s">
        <v>83</v>
      </c>
      <c r="I3329" s="2">
        <v>3</v>
      </c>
      <c r="J3329" s="3">
        <v>49</v>
      </c>
      <c r="K3329" s="4">
        <v>0.05</v>
      </c>
      <c r="L3329" s="3">
        <v>139.65</v>
      </c>
      <c r="M3329" t="b">
        <v>1</v>
      </c>
      <c r="N3329" s="2">
        <f>YEAR(B3329)</f>
        <v>2025</v>
      </c>
      <c r="O3329" t="str">
        <f>INDEX(Agences!$C:$C,MATCH(F3329,Agences!$A:$A,0))</f>
        <v>Nord</v>
      </c>
      <c r="P3329" t="str">
        <f>INDEX(Produits!$C:$C,MATCH(H3329,Produits!$A:$A,0))</f>
        <v>Mobilier</v>
      </c>
      <c r="Q3329" s="3">
        <f>I3329*INDEX(Produits!$E:$E,MATCH(H3329,Produits!$A:$A,0))</f>
        <v>85.26</v>
      </c>
      <c r="R3329" s="3">
        <f>L3329-Q3329</f>
        <v>54.39</v>
      </c>
      <c r="S3329" s="2">
        <f>NETWORKDAYS(B3329,C3329)-1</f>
        <v>2</v>
      </c>
      <c r="T3329" s="1">
        <f>WORKDAY(B3329,5)</f>
        <v>45770</v>
      </c>
      <c r="U3329" t="b">
        <f>C3329&gt;T3329</f>
        <v>0</v>
      </c>
    </row>
    <row r="3330" spans="1:21" x14ac:dyDescent="0.25">
      <c r="A3330" t="s">
        <v>2032</v>
      </c>
      <c r="B3330" s="1">
        <v>45763</v>
      </c>
      <c r="C3330" s="1">
        <v>45765</v>
      </c>
      <c r="D3330" t="s">
        <v>789</v>
      </c>
      <c r="E3330" t="s">
        <v>115</v>
      </c>
      <c r="F3330" t="s">
        <v>24</v>
      </c>
      <c r="G3330" t="s">
        <v>116</v>
      </c>
      <c r="H3330" t="s">
        <v>49</v>
      </c>
      <c r="I3330" s="2">
        <v>1</v>
      </c>
      <c r="J3330" s="3">
        <v>120</v>
      </c>
      <c r="K3330" s="4">
        <v>0.1</v>
      </c>
      <c r="L3330" s="3">
        <v>108</v>
      </c>
      <c r="M3330" t="b">
        <v>1</v>
      </c>
      <c r="N3330" s="2">
        <f>YEAR(B3330)</f>
        <v>2025</v>
      </c>
      <c r="O3330" t="str">
        <f>INDEX(Agences!$C:$C,MATCH(F3330,Agences!$A:$A,0))</f>
        <v>Nord</v>
      </c>
      <c r="P3330" t="str">
        <f>INDEX(Produits!$C:$C,MATCH(H3330,Produits!$A:$A,0))</f>
        <v>Maintenance</v>
      </c>
      <c r="Q3330" s="3">
        <f>I3330*INDEX(Produits!$E:$E,MATCH(H3330,Produits!$A:$A,0))</f>
        <v>55.2</v>
      </c>
      <c r="R3330" s="3">
        <f>L3330-Q3330</f>
        <v>52.8</v>
      </c>
      <c r="S3330" s="2">
        <f>NETWORKDAYS(B3330,C3330)-1</f>
        <v>2</v>
      </c>
      <c r="T3330" s="1">
        <f>WORKDAY(B3330,5)</f>
        <v>45770</v>
      </c>
      <c r="U3330" t="b">
        <f>C3330&gt;T3330</f>
        <v>0</v>
      </c>
    </row>
    <row r="3331" spans="1:21" x14ac:dyDescent="0.25">
      <c r="A3331" t="s">
        <v>2032</v>
      </c>
      <c r="B3331" s="1">
        <v>45763</v>
      </c>
      <c r="C3331" s="1">
        <v>45765</v>
      </c>
      <c r="D3331" t="s">
        <v>789</v>
      </c>
      <c r="E3331" t="s">
        <v>115</v>
      </c>
      <c r="F3331" t="s">
        <v>24</v>
      </c>
      <c r="G3331" t="s">
        <v>116</v>
      </c>
      <c r="H3331" t="s">
        <v>72</v>
      </c>
      <c r="I3331" s="2">
        <v>1</v>
      </c>
      <c r="J3331" s="3">
        <v>179</v>
      </c>
      <c r="K3331" s="4">
        <v>0.05</v>
      </c>
      <c r="L3331" s="3">
        <v>170.05</v>
      </c>
      <c r="M3331" t="b">
        <v>1</v>
      </c>
      <c r="N3331" s="2">
        <f>YEAR(B3331)</f>
        <v>2025</v>
      </c>
      <c r="O3331" t="str">
        <f>INDEX(Agences!$C:$C,MATCH(F3331,Agences!$A:$A,0))</f>
        <v>Nord</v>
      </c>
      <c r="P3331" t="str">
        <f>INDEX(Produits!$C:$C,MATCH(H3331,Produits!$A:$A,0))</f>
        <v>Informatique</v>
      </c>
      <c r="Q3331" s="3">
        <f>I3331*INDEX(Produits!$E:$E,MATCH(H3331,Produits!$A:$A,0))</f>
        <v>146.78</v>
      </c>
      <c r="R3331" s="3">
        <f>L3331-Q3331</f>
        <v>23.27000000000001</v>
      </c>
      <c r="S3331" s="2">
        <f>NETWORKDAYS(B3331,C3331)-1</f>
        <v>2</v>
      </c>
      <c r="T3331" s="1">
        <f>WORKDAY(B3331,5)</f>
        <v>45770</v>
      </c>
      <c r="U3331" t="b">
        <f>C3331&gt;T3331</f>
        <v>0</v>
      </c>
    </row>
    <row r="3332" spans="1:21" x14ac:dyDescent="0.25">
      <c r="A3332" t="s">
        <v>2032</v>
      </c>
      <c r="B3332" s="1">
        <v>45763</v>
      </c>
      <c r="C3332" s="1">
        <v>45765</v>
      </c>
      <c r="D3332" t="s">
        <v>789</v>
      </c>
      <c r="E3332" t="s">
        <v>115</v>
      </c>
      <c r="F3332" t="s">
        <v>24</v>
      </c>
      <c r="G3332" t="s">
        <v>116</v>
      </c>
      <c r="H3332" t="s">
        <v>27</v>
      </c>
      <c r="I3332" s="2">
        <v>4</v>
      </c>
      <c r="J3332" s="3">
        <v>310</v>
      </c>
      <c r="K3332" s="4">
        <v>0.05</v>
      </c>
      <c r="L3332" s="3">
        <v>1178</v>
      </c>
      <c r="M3332" t="b">
        <v>1</v>
      </c>
      <c r="N3332" s="2">
        <f>YEAR(B3332)</f>
        <v>2025</v>
      </c>
      <c r="O3332" t="str">
        <f>INDEX(Agences!$C:$C,MATCH(F3332,Agences!$A:$A,0))</f>
        <v>Nord</v>
      </c>
      <c r="P3332" t="str">
        <f>INDEX(Produits!$C:$C,MATCH(H3332,Produits!$A:$A,0))</f>
        <v>Mobilier</v>
      </c>
      <c r="Q3332" s="3">
        <f>I3332*INDEX(Produits!$E:$E,MATCH(H3332,Produits!$A:$A,0))</f>
        <v>744</v>
      </c>
      <c r="R3332" s="3">
        <f>L3332-Q3332</f>
        <v>434</v>
      </c>
      <c r="S3332" s="2">
        <f>NETWORKDAYS(B3332,C3332)-1</f>
        <v>2</v>
      </c>
      <c r="T3332" s="1">
        <f>WORKDAY(B3332,5)</f>
        <v>45770</v>
      </c>
      <c r="U3332" t="b">
        <f>C3332&gt;T3332</f>
        <v>0</v>
      </c>
    </row>
    <row r="3333" spans="1:21" x14ac:dyDescent="0.25">
      <c r="A3333" t="s">
        <v>2033</v>
      </c>
      <c r="B3333" s="1">
        <v>45763</v>
      </c>
      <c r="C3333" s="1">
        <v>45764</v>
      </c>
      <c r="D3333" t="s">
        <v>1801</v>
      </c>
      <c r="E3333" t="s">
        <v>213</v>
      </c>
      <c r="F3333" t="s">
        <v>138</v>
      </c>
      <c r="G3333" t="s">
        <v>220</v>
      </c>
      <c r="H3333" t="s">
        <v>57</v>
      </c>
      <c r="I3333" s="2">
        <v>3</v>
      </c>
      <c r="J3333" s="3">
        <v>149</v>
      </c>
      <c r="K3333" s="4">
        <v>0</v>
      </c>
      <c r="L3333" s="3">
        <v>447</v>
      </c>
      <c r="M3333" t="b">
        <v>1</v>
      </c>
      <c r="N3333" s="2">
        <f>YEAR(B3333)</f>
        <v>2025</v>
      </c>
      <c r="O3333" t="str">
        <f>INDEX(Agences!$C:$C,MATCH(F3333,Agences!$A:$A,0))</f>
        <v>Île-de-France</v>
      </c>
      <c r="P3333" t="str">
        <f>INDEX(Produits!$C:$C,MATCH(H3333,Produits!$A:$A,0))</f>
        <v>Informatique</v>
      </c>
      <c r="Q3333" s="3">
        <f>I3333*INDEX(Produits!$E:$E,MATCH(H3333,Produits!$A:$A,0))</f>
        <v>344.19</v>
      </c>
      <c r="R3333" s="3">
        <f>L3333-Q3333</f>
        <v>102.81</v>
      </c>
      <c r="S3333" s="2">
        <f>NETWORKDAYS(B3333,C3333)-1</f>
        <v>1</v>
      </c>
      <c r="T3333" s="1">
        <f>WORKDAY(B3333,5)</f>
        <v>45770</v>
      </c>
      <c r="U3333" t="b">
        <f>C3333&gt;T3333</f>
        <v>0</v>
      </c>
    </row>
    <row r="3334" spans="1:21" x14ac:dyDescent="0.25">
      <c r="A3334" t="s">
        <v>2033</v>
      </c>
      <c r="B3334" s="1">
        <v>45763</v>
      </c>
      <c r="C3334" s="1">
        <v>45764</v>
      </c>
      <c r="D3334" t="s">
        <v>1801</v>
      </c>
      <c r="E3334" t="s">
        <v>213</v>
      </c>
      <c r="F3334" t="s">
        <v>138</v>
      </c>
      <c r="G3334" t="s">
        <v>220</v>
      </c>
      <c r="H3334" t="s">
        <v>606</v>
      </c>
      <c r="I3334" s="2">
        <v>1</v>
      </c>
      <c r="J3334" s="3">
        <v>1150</v>
      </c>
      <c r="K3334" s="4">
        <v>0</v>
      </c>
      <c r="L3334" s="3">
        <v>1150</v>
      </c>
      <c r="M3334" t="b">
        <v>1</v>
      </c>
      <c r="N3334" s="2">
        <f>YEAR(B3334)</f>
        <v>2025</v>
      </c>
      <c r="O3334" t="str">
        <f>INDEX(Agences!$C:$C,MATCH(F3334,Agences!$A:$A,0))</f>
        <v>Île-de-France</v>
      </c>
      <c r="P3334" t="str">
        <f>INDEX(Produits!$C:$C,MATCH(H3334,Produits!$A:$A,0))</f>
        <v>Mobilier</v>
      </c>
      <c r="Q3334" s="3">
        <f>I3334*INDEX(Produits!$E:$E,MATCH(H3334,Produits!$A:$A,0))</f>
        <v>713</v>
      </c>
      <c r="R3334" s="3">
        <f>L3334-Q3334</f>
        <v>437</v>
      </c>
      <c r="S3334" s="2">
        <f>NETWORKDAYS(B3334,C3334)-1</f>
        <v>1</v>
      </c>
      <c r="T3334" s="1">
        <f>WORKDAY(B3334,5)</f>
        <v>45770</v>
      </c>
      <c r="U3334" t="b">
        <f>C3334&gt;T3334</f>
        <v>0</v>
      </c>
    </row>
    <row r="3335" spans="1:21" x14ac:dyDescent="0.25">
      <c r="A3335" t="s">
        <v>2033</v>
      </c>
      <c r="B3335" s="1">
        <v>45763</v>
      </c>
      <c r="C3335" s="1">
        <v>45764</v>
      </c>
      <c r="D3335" t="s">
        <v>1801</v>
      </c>
      <c r="E3335" t="s">
        <v>213</v>
      </c>
      <c r="F3335" t="s">
        <v>138</v>
      </c>
      <c r="G3335" t="s">
        <v>220</v>
      </c>
      <c r="H3335" t="s">
        <v>35</v>
      </c>
      <c r="I3335" s="2">
        <v>1</v>
      </c>
      <c r="J3335" s="3">
        <v>79</v>
      </c>
      <c r="K3335" s="4">
        <v>0</v>
      </c>
      <c r="L3335" s="3">
        <v>79</v>
      </c>
      <c r="M3335" t="b">
        <v>1</v>
      </c>
      <c r="N3335" s="2">
        <f>YEAR(B3335)</f>
        <v>2025</v>
      </c>
      <c r="O3335" t="str">
        <f>INDEX(Agences!$C:$C,MATCH(F3335,Agences!$A:$A,0))</f>
        <v>Île-de-France</v>
      </c>
      <c r="P3335" t="str">
        <f>INDEX(Produits!$C:$C,MATCH(H3335,Produits!$A:$A,0))</f>
        <v>Mobilier</v>
      </c>
      <c r="Q3335" s="3">
        <f>I3335*INDEX(Produits!$E:$E,MATCH(H3335,Produits!$A:$A,0))</f>
        <v>46.61</v>
      </c>
      <c r="R3335" s="3">
        <f>L3335-Q3335</f>
        <v>32.39</v>
      </c>
      <c r="S3335" s="2">
        <f>NETWORKDAYS(B3335,C3335)-1</f>
        <v>1</v>
      </c>
      <c r="T3335" s="1">
        <f>WORKDAY(B3335,5)</f>
        <v>45770</v>
      </c>
      <c r="U3335" t="b">
        <f>C3335&gt;T3335</f>
        <v>0</v>
      </c>
    </row>
    <row r="3336" spans="1:21" x14ac:dyDescent="0.25">
      <c r="A3336" t="s">
        <v>2034</v>
      </c>
      <c r="B3336" s="1">
        <v>45763</v>
      </c>
      <c r="C3336" s="1">
        <v>45765</v>
      </c>
      <c r="D3336" t="s">
        <v>982</v>
      </c>
      <c r="E3336" t="s">
        <v>339</v>
      </c>
      <c r="F3336" t="s">
        <v>31</v>
      </c>
      <c r="G3336" t="s">
        <v>186</v>
      </c>
      <c r="H3336" t="s">
        <v>84</v>
      </c>
      <c r="I3336" s="2">
        <v>2</v>
      </c>
      <c r="J3336" s="3">
        <v>420</v>
      </c>
      <c r="K3336" s="4">
        <v>0.02</v>
      </c>
      <c r="L3336" s="3">
        <v>823.2</v>
      </c>
      <c r="M3336" t="b">
        <v>1</v>
      </c>
      <c r="N3336" s="2">
        <f>YEAR(B3336)</f>
        <v>2025</v>
      </c>
      <c r="O3336" t="str">
        <f>INDEX(Agences!$C:$C,MATCH(F3336,Agences!$A:$A,0))</f>
        <v>Ouest</v>
      </c>
      <c r="P3336" t="str">
        <f>INDEX(Produits!$C:$C,MATCH(H3336,Produits!$A:$A,0))</f>
        <v>Mobilier</v>
      </c>
      <c r="Q3336" s="3">
        <f>I3336*INDEX(Produits!$E:$E,MATCH(H3336,Produits!$A:$A,0))</f>
        <v>487.2</v>
      </c>
      <c r="R3336" s="3">
        <f>L3336-Q3336</f>
        <v>336.00000000000006</v>
      </c>
      <c r="S3336" s="2">
        <f>NETWORKDAYS(B3336,C3336)-1</f>
        <v>2</v>
      </c>
      <c r="T3336" s="1">
        <f>WORKDAY(B3336,5)</f>
        <v>45770</v>
      </c>
      <c r="U3336" t="b">
        <f>C3336&gt;T3336</f>
        <v>0</v>
      </c>
    </row>
    <row r="3337" spans="1:21" x14ac:dyDescent="0.25">
      <c r="A3337" t="s">
        <v>2035</v>
      </c>
      <c r="B3337" s="1">
        <v>45763</v>
      </c>
      <c r="C3337" s="1">
        <v>45764</v>
      </c>
      <c r="D3337" t="s">
        <v>1874</v>
      </c>
      <c r="E3337" t="s">
        <v>130</v>
      </c>
      <c r="F3337" t="s">
        <v>39</v>
      </c>
      <c r="G3337" t="s">
        <v>40</v>
      </c>
      <c r="H3337" t="s">
        <v>161</v>
      </c>
      <c r="I3337" s="2">
        <v>5</v>
      </c>
      <c r="J3337" s="3">
        <v>32</v>
      </c>
      <c r="K3337" s="4">
        <v>0</v>
      </c>
      <c r="L3337" s="3">
        <v>160</v>
      </c>
      <c r="M3337" t="b">
        <v>1</v>
      </c>
      <c r="N3337" s="2">
        <f>YEAR(B3337)</f>
        <v>2025</v>
      </c>
      <c r="O3337" t="str">
        <f>INDEX(Agences!$C:$C,MATCH(F3337,Agences!$A:$A,0))</f>
        <v>Sud-Ouest</v>
      </c>
      <c r="P3337" t="str">
        <f>INDEX(Produits!$C:$C,MATCH(H3337,Produits!$A:$A,0))</f>
        <v>Fournitures</v>
      </c>
      <c r="Q3337" s="3">
        <f>I3337*INDEX(Produits!$E:$E,MATCH(H3337,Produits!$A:$A,0))</f>
        <v>88</v>
      </c>
      <c r="R3337" s="3">
        <f>L3337-Q3337</f>
        <v>72</v>
      </c>
      <c r="S3337" s="2">
        <f>NETWORKDAYS(B3337,C3337)-1</f>
        <v>1</v>
      </c>
      <c r="T3337" s="1">
        <f>WORKDAY(B3337,5)</f>
        <v>45770</v>
      </c>
      <c r="U3337" t="b">
        <f>C3337&gt;T3337</f>
        <v>0</v>
      </c>
    </row>
    <row r="3338" spans="1:21" x14ac:dyDescent="0.25">
      <c r="A3338" t="s">
        <v>2035</v>
      </c>
      <c r="B3338" s="1">
        <v>45763</v>
      </c>
      <c r="C3338" s="1">
        <v>45764</v>
      </c>
      <c r="D3338" t="s">
        <v>1874</v>
      </c>
      <c r="E3338" t="s">
        <v>130</v>
      </c>
      <c r="F3338" t="s">
        <v>39</v>
      </c>
      <c r="G3338" t="s">
        <v>40</v>
      </c>
      <c r="H3338" t="s">
        <v>35</v>
      </c>
      <c r="I3338" s="2">
        <v>4</v>
      </c>
      <c r="J3338" s="3">
        <v>79</v>
      </c>
      <c r="K3338" s="4">
        <v>0.05</v>
      </c>
      <c r="L3338" s="3">
        <v>300.2</v>
      </c>
      <c r="M3338" t="b">
        <v>1</v>
      </c>
      <c r="N3338" s="2">
        <f>YEAR(B3338)</f>
        <v>2025</v>
      </c>
      <c r="O3338" t="str">
        <f>INDEX(Agences!$C:$C,MATCH(F3338,Agences!$A:$A,0))</f>
        <v>Sud-Ouest</v>
      </c>
      <c r="P3338" t="str">
        <f>INDEX(Produits!$C:$C,MATCH(H3338,Produits!$A:$A,0))</f>
        <v>Mobilier</v>
      </c>
      <c r="Q3338" s="3">
        <f>I3338*INDEX(Produits!$E:$E,MATCH(H3338,Produits!$A:$A,0))</f>
        <v>186.44</v>
      </c>
      <c r="R3338" s="3">
        <f>L3338-Q3338</f>
        <v>113.75999999999999</v>
      </c>
      <c r="S3338" s="2">
        <f>NETWORKDAYS(B3338,C3338)-1</f>
        <v>1</v>
      </c>
      <c r="T3338" s="1">
        <f>WORKDAY(B3338,5)</f>
        <v>45770</v>
      </c>
      <c r="U3338" t="b">
        <f>C3338&gt;T3338</f>
        <v>0</v>
      </c>
    </row>
    <row r="3339" spans="1:21" x14ac:dyDescent="0.25">
      <c r="A3339" t="s">
        <v>2035</v>
      </c>
      <c r="B3339" s="1">
        <v>45763</v>
      </c>
      <c r="C3339" s="1">
        <v>45764</v>
      </c>
      <c r="D3339" t="s">
        <v>1874</v>
      </c>
      <c r="E3339" t="s">
        <v>130</v>
      </c>
      <c r="F3339" t="s">
        <v>39</v>
      </c>
      <c r="G3339" t="s">
        <v>40</v>
      </c>
      <c r="H3339" t="s">
        <v>319</v>
      </c>
      <c r="I3339" s="2">
        <v>4</v>
      </c>
      <c r="J3339" s="3">
        <v>289</v>
      </c>
      <c r="K3339" s="4">
        <v>0.02</v>
      </c>
      <c r="L3339" s="3">
        <v>1132.88</v>
      </c>
      <c r="M3339" t="b">
        <v>1</v>
      </c>
      <c r="N3339" s="2">
        <f>YEAR(B3339)</f>
        <v>2025</v>
      </c>
      <c r="O3339" t="str">
        <f>INDEX(Agences!$C:$C,MATCH(F3339,Agences!$A:$A,0))</f>
        <v>Sud-Ouest</v>
      </c>
      <c r="P3339" t="str">
        <f>INDEX(Produits!$C:$C,MATCH(H3339,Produits!$A:$A,0))</f>
        <v>Informatique</v>
      </c>
      <c r="Q3339" s="3">
        <f>I3339*INDEX(Produits!$E:$E,MATCH(H3339,Produits!$A:$A,0))</f>
        <v>855.44</v>
      </c>
      <c r="R3339" s="3">
        <f>L3339-Q3339</f>
        <v>277.44000000000005</v>
      </c>
      <c r="S3339" s="2">
        <f>NETWORKDAYS(B3339,C3339)-1</f>
        <v>1</v>
      </c>
      <c r="T3339" s="1">
        <f>WORKDAY(B3339,5)</f>
        <v>45770</v>
      </c>
      <c r="U3339" t="b">
        <f>C3339&gt;T3339</f>
        <v>0</v>
      </c>
    </row>
    <row r="3340" spans="1:21" x14ac:dyDescent="0.25">
      <c r="A3340" t="s">
        <v>2036</v>
      </c>
      <c r="B3340" s="1">
        <v>45763</v>
      </c>
      <c r="C3340" s="1">
        <v>45764</v>
      </c>
      <c r="D3340" t="s">
        <v>686</v>
      </c>
      <c r="E3340" t="s">
        <v>256</v>
      </c>
      <c r="F3340" t="s">
        <v>88</v>
      </c>
      <c r="G3340" t="s">
        <v>89</v>
      </c>
      <c r="H3340" t="s">
        <v>34</v>
      </c>
      <c r="I3340" s="2">
        <v>2</v>
      </c>
      <c r="J3340" s="3">
        <v>340</v>
      </c>
      <c r="K3340" s="4">
        <v>0</v>
      </c>
      <c r="L3340" s="3">
        <v>680</v>
      </c>
      <c r="M3340" t="b">
        <v>1</v>
      </c>
      <c r="N3340" s="2">
        <f>YEAR(B3340)</f>
        <v>2025</v>
      </c>
      <c r="O3340" t="str">
        <f>INDEX(Agences!$C:$C,MATCH(F3340,Agences!$A:$A,0))</f>
        <v>Sud-Ouest</v>
      </c>
      <c r="P3340" t="str">
        <f>INDEX(Produits!$C:$C,MATCH(H3340,Produits!$A:$A,0))</f>
        <v>Informatique</v>
      </c>
      <c r="Q3340" s="3">
        <f>I3340*INDEX(Produits!$E:$E,MATCH(H3340,Produits!$A:$A,0))</f>
        <v>550.8</v>
      </c>
      <c r="R3340" s="3">
        <f>L3340-Q3340</f>
        <v>129.20000000000005</v>
      </c>
      <c r="S3340" s="2">
        <f>NETWORKDAYS(B3340,C3340)-1</f>
        <v>1</v>
      </c>
      <c r="T3340" s="1">
        <f>WORKDAY(B3340,5)</f>
        <v>45770</v>
      </c>
      <c r="U3340" t="b">
        <f>C3340&gt;T3340</f>
        <v>0</v>
      </c>
    </row>
    <row r="3341" spans="1:21" x14ac:dyDescent="0.25">
      <c r="A3341" t="s">
        <v>2036</v>
      </c>
      <c r="B3341" s="1">
        <v>45763</v>
      </c>
      <c r="C3341" s="1">
        <v>45764</v>
      </c>
      <c r="D3341" t="s">
        <v>686</v>
      </c>
      <c r="E3341" t="s">
        <v>256</v>
      </c>
      <c r="F3341" t="s">
        <v>88</v>
      </c>
      <c r="G3341" t="s">
        <v>89</v>
      </c>
      <c r="H3341" t="s">
        <v>112</v>
      </c>
      <c r="I3341" s="2">
        <v>4</v>
      </c>
      <c r="J3341" s="3">
        <v>129</v>
      </c>
      <c r="K3341" s="4">
        <v>0.02</v>
      </c>
      <c r="L3341" s="3">
        <v>505.68</v>
      </c>
      <c r="M3341" t="b">
        <v>1</v>
      </c>
      <c r="N3341" s="2">
        <f>YEAR(B3341)</f>
        <v>2025</v>
      </c>
      <c r="O3341" t="str">
        <f>INDEX(Agences!$C:$C,MATCH(F3341,Agences!$A:$A,0))</f>
        <v>Sud-Ouest</v>
      </c>
      <c r="P3341" t="str">
        <f>INDEX(Produits!$C:$C,MATCH(H3341,Produits!$A:$A,0))</f>
        <v>Mobilier</v>
      </c>
      <c r="Q3341" s="3">
        <f>I3341*INDEX(Produits!$E:$E,MATCH(H3341,Produits!$A:$A,0))</f>
        <v>345.72</v>
      </c>
      <c r="R3341" s="3">
        <f>L3341-Q3341</f>
        <v>159.95999999999998</v>
      </c>
      <c r="S3341" s="2">
        <f>NETWORKDAYS(B3341,C3341)-1</f>
        <v>1</v>
      </c>
      <c r="T3341" s="1">
        <f>WORKDAY(B3341,5)</f>
        <v>45770</v>
      </c>
      <c r="U3341" t="b">
        <f>C3341&gt;T3341</f>
        <v>0</v>
      </c>
    </row>
    <row r="3342" spans="1:21" x14ac:dyDescent="0.25">
      <c r="A3342" t="s">
        <v>2037</v>
      </c>
      <c r="B3342" s="1">
        <v>45763</v>
      </c>
      <c r="C3342" s="1">
        <v>45768</v>
      </c>
      <c r="D3342" t="s">
        <v>832</v>
      </c>
      <c r="E3342" t="s">
        <v>256</v>
      </c>
      <c r="F3342" t="s">
        <v>88</v>
      </c>
      <c r="G3342" t="s">
        <v>226</v>
      </c>
      <c r="H3342" t="s">
        <v>83</v>
      </c>
      <c r="I3342" s="2">
        <v>7</v>
      </c>
      <c r="J3342" s="3">
        <v>49</v>
      </c>
      <c r="K3342" s="4">
        <v>0.1</v>
      </c>
      <c r="L3342" s="3">
        <v>308.7</v>
      </c>
      <c r="M3342" t="b">
        <v>1</v>
      </c>
      <c r="N3342" s="2">
        <f>YEAR(B3342)</f>
        <v>2025</v>
      </c>
      <c r="O3342" t="str">
        <f>INDEX(Agences!$C:$C,MATCH(F3342,Agences!$A:$A,0))</f>
        <v>Sud-Ouest</v>
      </c>
      <c r="P3342" t="str">
        <f>INDEX(Produits!$C:$C,MATCH(H3342,Produits!$A:$A,0))</f>
        <v>Mobilier</v>
      </c>
      <c r="Q3342" s="3">
        <f>I3342*INDEX(Produits!$E:$E,MATCH(H3342,Produits!$A:$A,0))</f>
        <v>198.94</v>
      </c>
      <c r="R3342" s="3">
        <f>L3342-Q3342</f>
        <v>109.75999999999999</v>
      </c>
      <c r="S3342" s="2">
        <f>NETWORKDAYS(B3342,C3342)-1</f>
        <v>3</v>
      </c>
      <c r="T3342" s="1">
        <f>WORKDAY(B3342,5)</f>
        <v>45770</v>
      </c>
      <c r="U3342" t="b">
        <f>C3342&gt;T3342</f>
        <v>0</v>
      </c>
    </row>
    <row r="3343" spans="1:21" x14ac:dyDescent="0.25">
      <c r="A3343" t="s">
        <v>2038</v>
      </c>
      <c r="B3343" s="1">
        <v>45762</v>
      </c>
      <c r="C3343" s="1">
        <v>45764</v>
      </c>
      <c r="D3343" t="s">
        <v>1679</v>
      </c>
      <c r="E3343" t="s">
        <v>172</v>
      </c>
      <c r="F3343" t="s">
        <v>99</v>
      </c>
      <c r="G3343" t="s">
        <v>210</v>
      </c>
      <c r="H3343" t="s">
        <v>161</v>
      </c>
      <c r="I3343" s="2">
        <v>15</v>
      </c>
      <c r="J3343" s="3">
        <v>32</v>
      </c>
      <c r="K3343" s="4">
        <v>0.02</v>
      </c>
      <c r="L3343" s="3">
        <v>470.4</v>
      </c>
      <c r="M3343" t="b">
        <v>1</v>
      </c>
      <c r="N3343" s="2">
        <f>YEAR(B3343)</f>
        <v>2025</v>
      </c>
      <c r="O3343" t="str">
        <f>INDEX(Agences!$C:$C,MATCH(F3343,Agences!$A:$A,0))</f>
        <v>Nord</v>
      </c>
      <c r="P3343" t="str">
        <f>INDEX(Produits!$C:$C,MATCH(H3343,Produits!$A:$A,0))</f>
        <v>Fournitures</v>
      </c>
      <c r="Q3343" s="3">
        <f>I3343*INDEX(Produits!$E:$E,MATCH(H3343,Produits!$A:$A,0))</f>
        <v>264</v>
      </c>
      <c r="R3343" s="3">
        <f>L3343-Q3343</f>
        <v>206.39999999999998</v>
      </c>
      <c r="S3343" s="2">
        <f>NETWORKDAYS(B3343,C3343)-1</f>
        <v>2</v>
      </c>
      <c r="T3343" s="1">
        <f>WORKDAY(B3343,5)</f>
        <v>45769</v>
      </c>
      <c r="U3343" t="b">
        <f>C3343&gt;T3343</f>
        <v>0</v>
      </c>
    </row>
    <row r="3344" spans="1:21" x14ac:dyDescent="0.25">
      <c r="A3344" t="s">
        <v>2039</v>
      </c>
      <c r="B3344" s="1">
        <v>45762</v>
      </c>
      <c r="C3344" s="1">
        <v>45764</v>
      </c>
      <c r="D3344" t="s">
        <v>532</v>
      </c>
      <c r="E3344" t="s">
        <v>165</v>
      </c>
      <c r="F3344" t="s">
        <v>166</v>
      </c>
      <c r="G3344" t="s">
        <v>179</v>
      </c>
      <c r="H3344" t="s">
        <v>72</v>
      </c>
      <c r="I3344" s="2">
        <v>4</v>
      </c>
      <c r="J3344" s="3">
        <v>179</v>
      </c>
      <c r="K3344" s="4">
        <v>0.08</v>
      </c>
      <c r="L3344" s="3">
        <v>658.72</v>
      </c>
      <c r="M3344" t="b">
        <v>1</v>
      </c>
      <c r="N3344" s="2">
        <f>YEAR(B3344)</f>
        <v>2025</v>
      </c>
      <c r="O3344" t="str">
        <f>INDEX(Agences!$C:$C,MATCH(F3344,Agences!$A:$A,0))</f>
        <v>Ouest</v>
      </c>
      <c r="P3344" t="str">
        <f>INDEX(Produits!$C:$C,MATCH(H3344,Produits!$A:$A,0))</f>
        <v>Informatique</v>
      </c>
      <c r="Q3344" s="3">
        <f>I3344*INDEX(Produits!$E:$E,MATCH(H3344,Produits!$A:$A,0))</f>
        <v>587.12</v>
      </c>
      <c r="R3344" s="3">
        <f>L3344-Q3344</f>
        <v>71.60000000000002</v>
      </c>
      <c r="S3344" s="2">
        <f>NETWORKDAYS(B3344,C3344)-1</f>
        <v>2</v>
      </c>
      <c r="T3344" s="1">
        <f>WORKDAY(B3344,5)</f>
        <v>45769</v>
      </c>
      <c r="U3344" t="b">
        <f>C3344&gt;T3344</f>
        <v>0</v>
      </c>
    </row>
    <row r="3345" spans="1:21" x14ac:dyDescent="0.25">
      <c r="A3345" t="s">
        <v>2039</v>
      </c>
      <c r="B3345" s="1">
        <v>45762</v>
      </c>
      <c r="C3345" s="1">
        <v>45764</v>
      </c>
      <c r="D3345" t="s">
        <v>532</v>
      </c>
      <c r="E3345" t="s">
        <v>165</v>
      </c>
      <c r="F3345" t="s">
        <v>166</v>
      </c>
      <c r="G3345" t="s">
        <v>179</v>
      </c>
      <c r="H3345" t="s">
        <v>83</v>
      </c>
      <c r="I3345" s="2">
        <v>4</v>
      </c>
      <c r="J3345" s="3">
        <v>49</v>
      </c>
      <c r="K3345" s="4">
        <v>0</v>
      </c>
      <c r="L3345" s="3">
        <v>196</v>
      </c>
      <c r="M3345" t="b">
        <v>1</v>
      </c>
      <c r="N3345" s="2">
        <f>YEAR(B3345)</f>
        <v>2025</v>
      </c>
      <c r="O3345" t="str">
        <f>INDEX(Agences!$C:$C,MATCH(F3345,Agences!$A:$A,0))</f>
        <v>Ouest</v>
      </c>
      <c r="P3345" t="str">
        <f>INDEX(Produits!$C:$C,MATCH(H3345,Produits!$A:$A,0))</f>
        <v>Mobilier</v>
      </c>
      <c r="Q3345" s="3">
        <f>I3345*INDEX(Produits!$E:$E,MATCH(H3345,Produits!$A:$A,0))</f>
        <v>113.68</v>
      </c>
      <c r="R3345" s="3">
        <f>L3345-Q3345</f>
        <v>82.32</v>
      </c>
      <c r="S3345" s="2">
        <f>NETWORKDAYS(B3345,C3345)-1</f>
        <v>2</v>
      </c>
      <c r="T3345" s="1">
        <f>WORKDAY(B3345,5)</f>
        <v>45769</v>
      </c>
      <c r="U3345" t="b">
        <f>C3345&gt;T3345</f>
        <v>0</v>
      </c>
    </row>
    <row r="3346" spans="1:21" x14ac:dyDescent="0.25">
      <c r="A3346" t="s">
        <v>2039</v>
      </c>
      <c r="B3346" s="1">
        <v>45762</v>
      </c>
      <c r="C3346" s="1">
        <v>45764</v>
      </c>
      <c r="D3346" t="s">
        <v>532</v>
      </c>
      <c r="E3346" t="s">
        <v>165</v>
      </c>
      <c r="F3346" t="s">
        <v>166</v>
      </c>
      <c r="G3346" t="s">
        <v>179</v>
      </c>
      <c r="H3346" t="s">
        <v>196</v>
      </c>
      <c r="I3346" s="2">
        <v>10</v>
      </c>
      <c r="J3346" s="3">
        <v>18.5</v>
      </c>
      <c r="K3346" s="4">
        <v>0.08</v>
      </c>
      <c r="L3346" s="3">
        <v>170.2</v>
      </c>
      <c r="M3346" t="b">
        <v>1</v>
      </c>
      <c r="N3346" s="2">
        <f>YEAR(B3346)</f>
        <v>2025</v>
      </c>
      <c r="O3346" t="str">
        <f>INDEX(Agences!$C:$C,MATCH(F3346,Agences!$A:$A,0))</f>
        <v>Ouest</v>
      </c>
      <c r="P3346" t="str">
        <f>INDEX(Produits!$C:$C,MATCH(H3346,Produits!$A:$A,0))</f>
        <v>Fournitures</v>
      </c>
      <c r="Q3346" s="3">
        <f>I3346*INDEX(Produits!$E:$E,MATCH(H3346,Produits!$A:$A,0))</f>
        <v>94.39999999999999</v>
      </c>
      <c r="R3346" s="3">
        <f>L3346-Q3346</f>
        <v>75.8</v>
      </c>
      <c r="S3346" s="2">
        <f>NETWORKDAYS(B3346,C3346)-1</f>
        <v>2</v>
      </c>
      <c r="T3346" s="1">
        <f>WORKDAY(B3346,5)</f>
        <v>45769</v>
      </c>
      <c r="U3346" t="b">
        <f>C3346&gt;T3346</f>
        <v>0</v>
      </c>
    </row>
    <row r="3347" spans="1:21" x14ac:dyDescent="0.25">
      <c r="A3347" t="s">
        <v>2040</v>
      </c>
      <c r="B3347" s="1">
        <v>45762</v>
      </c>
      <c r="C3347" s="1">
        <v>45763</v>
      </c>
      <c r="D3347" t="s">
        <v>913</v>
      </c>
      <c r="E3347" t="s">
        <v>339</v>
      </c>
      <c r="F3347" t="s">
        <v>31</v>
      </c>
      <c r="G3347" t="s">
        <v>375</v>
      </c>
      <c r="H3347" t="s">
        <v>50</v>
      </c>
      <c r="I3347" s="2">
        <v>1</v>
      </c>
      <c r="J3347" s="3">
        <v>69</v>
      </c>
      <c r="K3347" s="4">
        <v>0.05</v>
      </c>
      <c r="L3347" s="3">
        <v>65.55</v>
      </c>
      <c r="M3347" t="b">
        <v>1</v>
      </c>
      <c r="N3347" s="2">
        <f>YEAR(B3347)</f>
        <v>2025</v>
      </c>
      <c r="O3347" t="str">
        <f>INDEX(Agences!$C:$C,MATCH(F3347,Agences!$A:$A,0))</f>
        <v>Ouest</v>
      </c>
      <c r="P3347" t="str">
        <f>INDEX(Produits!$C:$C,MATCH(H3347,Produits!$A:$A,0))</f>
        <v>Informatique</v>
      </c>
      <c r="Q3347" s="3">
        <f>I3347*INDEX(Produits!$E:$E,MATCH(H3347,Produits!$A:$A,0))</f>
        <v>54.51</v>
      </c>
      <c r="R3347" s="3">
        <f>L3347-Q3347</f>
        <v>11.04</v>
      </c>
      <c r="S3347" s="2">
        <f>NETWORKDAYS(B3347,C3347)-1</f>
        <v>1</v>
      </c>
      <c r="T3347" s="1">
        <f>WORKDAY(B3347,5)</f>
        <v>45769</v>
      </c>
      <c r="U3347" t="b">
        <f>C3347&gt;T3347</f>
        <v>0</v>
      </c>
    </row>
    <row r="3348" spans="1:21" x14ac:dyDescent="0.25">
      <c r="A3348" t="s">
        <v>2040</v>
      </c>
      <c r="B3348" s="1">
        <v>45762</v>
      </c>
      <c r="C3348" s="1">
        <v>45763</v>
      </c>
      <c r="D3348" t="s">
        <v>913</v>
      </c>
      <c r="E3348" t="s">
        <v>339</v>
      </c>
      <c r="F3348" t="s">
        <v>31</v>
      </c>
      <c r="G3348" t="s">
        <v>375</v>
      </c>
      <c r="H3348" t="s">
        <v>42</v>
      </c>
      <c r="I3348" s="2">
        <v>2</v>
      </c>
      <c r="J3348" s="3">
        <v>55</v>
      </c>
      <c r="K3348" s="4">
        <v>0</v>
      </c>
      <c r="L3348" s="3">
        <v>110</v>
      </c>
      <c r="M3348" t="b">
        <v>1</v>
      </c>
      <c r="N3348" s="2">
        <f>YEAR(B3348)</f>
        <v>2025</v>
      </c>
      <c r="O3348" t="str">
        <f>INDEX(Agences!$C:$C,MATCH(F3348,Agences!$A:$A,0))</f>
        <v>Ouest</v>
      </c>
      <c r="P3348" t="str">
        <f>INDEX(Produits!$C:$C,MATCH(H3348,Produits!$A:$A,0))</f>
        <v>Maintenance</v>
      </c>
      <c r="Q3348" s="3">
        <f>I3348*INDEX(Produits!$E:$E,MATCH(H3348,Produits!$A:$A,0))</f>
        <v>49.5</v>
      </c>
      <c r="R3348" s="3">
        <f>L3348-Q3348</f>
        <v>60.5</v>
      </c>
      <c r="S3348" s="2">
        <f>NETWORKDAYS(B3348,C3348)-1</f>
        <v>1</v>
      </c>
      <c r="T3348" s="1">
        <f>WORKDAY(B3348,5)</f>
        <v>45769</v>
      </c>
      <c r="U3348" t="b">
        <f>C3348&gt;T3348</f>
        <v>0</v>
      </c>
    </row>
    <row r="3349" spans="1:21" x14ac:dyDescent="0.25">
      <c r="A3349" t="s">
        <v>2040</v>
      </c>
      <c r="B3349" s="1">
        <v>45762</v>
      </c>
      <c r="C3349" s="1">
        <v>45763</v>
      </c>
      <c r="D3349" t="s">
        <v>913</v>
      </c>
      <c r="E3349" t="s">
        <v>339</v>
      </c>
      <c r="F3349" t="s">
        <v>31</v>
      </c>
      <c r="G3349" t="s">
        <v>375</v>
      </c>
      <c r="H3349" t="s">
        <v>83</v>
      </c>
      <c r="I3349" s="2">
        <v>1</v>
      </c>
      <c r="J3349" s="3">
        <v>49</v>
      </c>
      <c r="K3349" s="4">
        <v>0</v>
      </c>
      <c r="L3349" s="3">
        <v>49</v>
      </c>
      <c r="M3349" t="b">
        <v>1</v>
      </c>
      <c r="N3349" s="2">
        <f>YEAR(B3349)</f>
        <v>2025</v>
      </c>
      <c r="O3349" t="str">
        <f>INDEX(Agences!$C:$C,MATCH(F3349,Agences!$A:$A,0))</f>
        <v>Ouest</v>
      </c>
      <c r="P3349" t="str">
        <f>INDEX(Produits!$C:$C,MATCH(H3349,Produits!$A:$A,0))</f>
        <v>Mobilier</v>
      </c>
      <c r="Q3349" s="3">
        <f>I3349*INDEX(Produits!$E:$E,MATCH(H3349,Produits!$A:$A,0))</f>
        <v>28.42</v>
      </c>
      <c r="R3349" s="3">
        <f>L3349-Q3349</f>
        <v>20.58</v>
      </c>
      <c r="S3349" s="2">
        <f>NETWORKDAYS(B3349,C3349)-1</f>
        <v>1</v>
      </c>
      <c r="T3349" s="1">
        <f>WORKDAY(B3349,5)</f>
        <v>45769</v>
      </c>
      <c r="U3349" t="b">
        <f>C3349&gt;T3349</f>
        <v>0</v>
      </c>
    </row>
    <row r="3350" spans="1:21" x14ac:dyDescent="0.25">
      <c r="A3350" t="s">
        <v>2040</v>
      </c>
      <c r="B3350" s="1">
        <v>45762</v>
      </c>
      <c r="C3350" s="1">
        <v>45763</v>
      </c>
      <c r="D3350" t="s">
        <v>913</v>
      </c>
      <c r="E3350" t="s">
        <v>339</v>
      </c>
      <c r="F3350" t="s">
        <v>31</v>
      </c>
      <c r="G3350" t="s">
        <v>375</v>
      </c>
      <c r="H3350" t="s">
        <v>35</v>
      </c>
      <c r="I3350" s="2">
        <v>3</v>
      </c>
      <c r="J3350" s="3">
        <v>79</v>
      </c>
      <c r="K3350" s="4">
        <v>0.05</v>
      </c>
      <c r="L3350" s="3">
        <v>225.15</v>
      </c>
      <c r="M3350" t="b">
        <v>1</v>
      </c>
      <c r="N3350" s="2">
        <f>YEAR(B3350)</f>
        <v>2025</v>
      </c>
      <c r="O3350" t="str">
        <f>INDEX(Agences!$C:$C,MATCH(F3350,Agences!$A:$A,0))</f>
        <v>Ouest</v>
      </c>
      <c r="P3350" t="str">
        <f>INDEX(Produits!$C:$C,MATCH(H3350,Produits!$A:$A,0))</f>
        <v>Mobilier</v>
      </c>
      <c r="Q3350" s="3">
        <f>I3350*INDEX(Produits!$E:$E,MATCH(H3350,Produits!$A:$A,0))</f>
        <v>139.82999999999998</v>
      </c>
      <c r="R3350" s="3">
        <f>L3350-Q3350</f>
        <v>85.32000000000002</v>
      </c>
      <c r="S3350" s="2">
        <f>NETWORKDAYS(B3350,C3350)-1</f>
        <v>1</v>
      </c>
      <c r="T3350" s="1">
        <f>WORKDAY(B3350,5)</f>
        <v>45769</v>
      </c>
      <c r="U3350" t="b">
        <f>C3350&gt;T3350</f>
        <v>0</v>
      </c>
    </row>
    <row r="3351" spans="1:21" x14ac:dyDescent="0.25">
      <c r="A3351" t="s">
        <v>2041</v>
      </c>
      <c r="B3351" s="1">
        <v>45762</v>
      </c>
      <c r="C3351" s="1">
        <v>45765</v>
      </c>
      <c r="D3351" t="s">
        <v>129</v>
      </c>
      <c r="E3351" t="s">
        <v>130</v>
      </c>
      <c r="F3351" t="s">
        <v>39</v>
      </c>
      <c r="G3351" t="s">
        <v>131</v>
      </c>
      <c r="H3351" t="s">
        <v>79</v>
      </c>
      <c r="I3351" s="2">
        <v>20</v>
      </c>
      <c r="J3351" s="3">
        <v>14.9</v>
      </c>
      <c r="K3351" s="4">
        <v>0</v>
      </c>
      <c r="L3351" s="3">
        <v>298</v>
      </c>
      <c r="M3351" t="b">
        <v>1</v>
      </c>
      <c r="N3351" s="2">
        <f>YEAR(B3351)</f>
        <v>2025</v>
      </c>
      <c r="O3351" t="str">
        <f>INDEX(Agences!$C:$C,MATCH(F3351,Agences!$A:$A,0))</f>
        <v>Sud-Ouest</v>
      </c>
      <c r="P3351" t="str">
        <f>INDEX(Produits!$C:$C,MATCH(H3351,Produits!$A:$A,0))</f>
        <v>Fournitures</v>
      </c>
      <c r="Q3351" s="3">
        <f>I3351*INDEX(Produits!$E:$E,MATCH(H3351,Produits!$A:$A,0))</f>
        <v>161</v>
      </c>
      <c r="R3351" s="3">
        <f>L3351-Q3351</f>
        <v>137</v>
      </c>
      <c r="S3351" s="2">
        <f>NETWORKDAYS(B3351,C3351)-1</f>
        <v>3</v>
      </c>
      <c r="T3351" s="1">
        <f>WORKDAY(B3351,5)</f>
        <v>45769</v>
      </c>
      <c r="U3351" t="b">
        <f>C3351&gt;T3351</f>
        <v>0</v>
      </c>
    </row>
    <row r="3352" spans="1:21" x14ac:dyDescent="0.25">
      <c r="A3352" t="s">
        <v>2041</v>
      </c>
      <c r="B3352" s="1">
        <v>45762</v>
      </c>
      <c r="C3352" s="1">
        <v>45765</v>
      </c>
      <c r="D3352" t="s">
        <v>129</v>
      </c>
      <c r="E3352" t="s">
        <v>130</v>
      </c>
      <c r="F3352" t="s">
        <v>39</v>
      </c>
      <c r="G3352" t="s">
        <v>131</v>
      </c>
      <c r="H3352" t="s">
        <v>83</v>
      </c>
      <c r="I3352" s="2">
        <v>1</v>
      </c>
      <c r="J3352" s="3">
        <v>49</v>
      </c>
      <c r="K3352" s="4">
        <v>0</v>
      </c>
      <c r="L3352" s="3">
        <v>49</v>
      </c>
      <c r="M3352" t="b">
        <v>1</v>
      </c>
      <c r="N3352" s="2">
        <f>YEAR(B3352)</f>
        <v>2025</v>
      </c>
      <c r="O3352" t="str">
        <f>INDEX(Agences!$C:$C,MATCH(F3352,Agences!$A:$A,0))</f>
        <v>Sud-Ouest</v>
      </c>
      <c r="P3352" t="str">
        <f>INDEX(Produits!$C:$C,MATCH(H3352,Produits!$A:$A,0))</f>
        <v>Mobilier</v>
      </c>
      <c r="Q3352" s="3">
        <f>I3352*INDEX(Produits!$E:$E,MATCH(H3352,Produits!$A:$A,0))</f>
        <v>28.42</v>
      </c>
      <c r="R3352" s="3">
        <f>L3352-Q3352</f>
        <v>20.58</v>
      </c>
      <c r="S3352" s="2">
        <f>NETWORKDAYS(B3352,C3352)-1</f>
        <v>3</v>
      </c>
      <c r="T3352" s="1">
        <f>WORKDAY(B3352,5)</f>
        <v>45769</v>
      </c>
      <c r="U3352" t="b">
        <f>C3352&gt;T3352</f>
        <v>0</v>
      </c>
    </row>
    <row r="3353" spans="1:21" x14ac:dyDescent="0.25">
      <c r="A3353" t="s">
        <v>2042</v>
      </c>
      <c r="B3353" s="1">
        <v>45762</v>
      </c>
      <c r="C3353" s="1">
        <v>45764</v>
      </c>
      <c r="D3353" t="s">
        <v>654</v>
      </c>
      <c r="E3353" t="s">
        <v>87</v>
      </c>
      <c r="F3353" t="s">
        <v>88</v>
      </c>
      <c r="G3353" t="s">
        <v>226</v>
      </c>
      <c r="H3353" t="s">
        <v>42</v>
      </c>
      <c r="I3353" s="2">
        <v>2</v>
      </c>
      <c r="J3353" s="3">
        <v>55</v>
      </c>
      <c r="K3353" s="4">
        <v>0</v>
      </c>
      <c r="L3353" s="3">
        <v>110</v>
      </c>
      <c r="M3353" t="b">
        <v>1</v>
      </c>
      <c r="N3353" s="2">
        <f>YEAR(B3353)</f>
        <v>2025</v>
      </c>
      <c r="O3353" t="str">
        <f>INDEX(Agences!$C:$C,MATCH(F3353,Agences!$A:$A,0))</f>
        <v>Sud-Ouest</v>
      </c>
      <c r="P3353" t="str">
        <f>INDEX(Produits!$C:$C,MATCH(H3353,Produits!$A:$A,0))</f>
        <v>Maintenance</v>
      </c>
      <c r="Q3353" s="3">
        <f>I3353*INDEX(Produits!$E:$E,MATCH(H3353,Produits!$A:$A,0))</f>
        <v>49.5</v>
      </c>
      <c r="R3353" s="3">
        <f>L3353-Q3353</f>
        <v>60.5</v>
      </c>
      <c r="S3353" s="2">
        <f>NETWORKDAYS(B3353,C3353)-1</f>
        <v>2</v>
      </c>
      <c r="T3353" s="1">
        <f>WORKDAY(B3353,5)</f>
        <v>45769</v>
      </c>
      <c r="U3353" t="b">
        <f>C3353&gt;T3353</f>
        <v>0</v>
      </c>
    </row>
    <row r="3354" spans="1:21" x14ac:dyDescent="0.25">
      <c r="A3354" t="s">
        <v>2042</v>
      </c>
      <c r="B3354" s="1">
        <v>45762</v>
      </c>
      <c r="C3354" s="1">
        <v>45764</v>
      </c>
      <c r="D3354" t="s">
        <v>654</v>
      </c>
      <c r="E3354" t="s">
        <v>87</v>
      </c>
      <c r="F3354" t="s">
        <v>88</v>
      </c>
      <c r="G3354" t="s">
        <v>226</v>
      </c>
      <c r="H3354" t="s">
        <v>50</v>
      </c>
      <c r="I3354" s="2">
        <v>1</v>
      </c>
      <c r="J3354" s="3">
        <v>69</v>
      </c>
      <c r="K3354" s="4">
        <v>0</v>
      </c>
      <c r="L3354" s="3">
        <v>69</v>
      </c>
      <c r="M3354" t="b">
        <v>1</v>
      </c>
      <c r="N3354" s="2">
        <f>YEAR(B3354)</f>
        <v>2025</v>
      </c>
      <c r="O3354" t="str">
        <f>INDEX(Agences!$C:$C,MATCH(F3354,Agences!$A:$A,0))</f>
        <v>Sud-Ouest</v>
      </c>
      <c r="P3354" t="str">
        <f>INDEX(Produits!$C:$C,MATCH(H3354,Produits!$A:$A,0))</f>
        <v>Informatique</v>
      </c>
      <c r="Q3354" s="3">
        <f>I3354*INDEX(Produits!$E:$E,MATCH(H3354,Produits!$A:$A,0))</f>
        <v>54.51</v>
      </c>
      <c r="R3354" s="3">
        <f>L3354-Q3354</f>
        <v>14.490000000000002</v>
      </c>
      <c r="S3354" s="2">
        <f>NETWORKDAYS(B3354,C3354)-1</f>
        <v>2</v>
      </c>
      <c r="T3354" s="1">
        <f>WORKDAY(B3354,5)</f>
        <v>45769</v>
      </c>
      <c r="U3354" t="b">
        <f>C3354&gt;T3354</f>
        <v>0</v>
      </c>
    </row>
    <row r="3355" spans="1:21" x14ac:dyDescent="0.25">
      <c r="A3355" t="s">
        <v>2042</v>
      </c>
      <c r="B3355" s="1">
        <v>45762</v>
      </c>
      <c r="C3355" s="1">
        <v>45764</v>
      </c>
      <c r="D3355" t="s">
        <v>654</v>
      </c>
      <c r="E3355" t="s">
        <v>87</v>
      </c>
      <c r="F3355" t="s">
        <v>88</v>
      </c>
      <c r="G3355" t="s">
        <v>226</v>
      </c>
      <c r="H3355" t="s">
        <v>51</v>
      </c>
      <c r="I3355" s="2">
        <v>1</v>
      </c>
      <c r="J3355" s="3">
        <v>180</v>
      </c>
      <c r="K3355" s="4">
        <v>0.05</v>
      </c>
      <c r="L3355" s="3">
        <v>171</v>
      </c>
      <c r="M3355" t="b">
        <v>1</v>
      </c>
      <c r="N3355" s="2">
        <f>YEAR(B3355)</f>
        <v>2025</v>
      </c>
      <c r="O3355" t="str">
        <f>INDEX(Agences!$C:$C,MATCH(F3355,Agences!$A:$A,0))</f>
        <v>Sud-Ouest</v>
      </c>
      <c r="P3355" t="str">
        <f>INDEX(Produits!$C:$C,MATCH(H3355,Produits!$A:$A,0))</f>
        <v>Maintenance</v>
      </c>
      <c r="Q3355" s="3">
        <f>I3355*INDEX(Produits!$E:$E,MATCH(H3355,Produits!$A:$A,0))</f>
        <v>82.8</v>
      </c>
      <c r="R3355" s="3">
        <f>L3355-Q3355</f>
        <v>88.2</v>
      </c>
      <c r="S3355" s="2">
        <f>NETWORKDAYS(B3355,C3355)-1</f>
        <v>2</v>
      </c>
      <c r="T3355" s="1">
        <f>WORKDAY(B3355,5)</f>
        <v>45769</v>
      </c>
      <c r="U3355" t="b">
        <f>C3355&gt;T3355</f>
        <v>0</v>
      </c>
    </row>
    <row r="3356" spans="1:21" x14ac:dyDescent="0.25">
      <c r="A3356" t="s">
        <v>2043</v>
      </c>
      <c r="B3356" s="1">
        <v>45762</v>
      </c>
      <c r="C3356" s="1">
        <v>45768</v>
      </c>
      <c r="D3356" t="s">
        <v>1058</v>
      </c>
      <c r="E3356" t="s">
        <v>157</v>
      </c>
      <c r="F3356" t="s">
        <v>46</v>
      </c>
      <c r="G3356" t="s">
        <v>47</v>
      </c>
      <c r="H3356" t="s">
        <v>42</v>
      </c>
      <c r="I3356" s="2">
        <v>3</v>
      </c>
      <c r="J3356" s="3">
        <v>55</v>
      </c>
      <c r="K3356" s="4">
        <v>0.05</v>
      </c>
      <c r="L3356" s="3">
        <v>156.75</v>
      </c>
      <c r="M3356" t="b">
        <v>1</v>
      </c>
      <c r="N3356" s="2">
        <f>YEAR(B3356)</f>
        <v>2025</v>
      </c>
      <c r="O3356" t="str">
        <f>INDEX(Agences!$C:$C,MATCH(F3356,Agences!$A:$A,0))</f>
        <v>Est</v>
      </c>
      <c r="P3356" t="str">
        <f>INDEX(Produits!$C:$C,MATCH(H3356,Produits!$A:$A,0))</f>
        <v>Maintenance</v>
      </c>
      <c r="Q3356" s="3">
        <f>I3356*INDEX(Produits!$E:$E,MATCH(H3356,Produits!$A:$A,0))</f>
        <v>74.25</v>
      </c>
      <c r="R3356" s="3">
        <f>L3356-Q3356</f>
        <v>82.5</v>
      </c>
      <c r="S3356" s="2">
        <f>NETWORKDAYS(B3356,C3356)-1</f>
        <v>4</v>
      </c>
      <c r="T3356" s="1">
        <f>WORKDAY(B3356,5)</f>
        <v>45769</v>
      </c>
      <c r="U3356" t="b">
        <f>C3356&gt;T3356</f>
        <v>0</v>
      </c>
    </row>
    <row r="3357" spans="1:21" x14ac:dyDescent="0.25">
      <c r="A3357" t="s">
        <v>2044</v>
      </c>
      <c r="B3357" s="1">
        <v>45761</v>
      </c>
      <c r="C3357" s="1">
        <v>45768</v>
      </c>
      <c r="D3357" t="s">
        <v>762</v>
      </c>
      <c r="E3357" t="s">
        <v>30</v>
      </c>
      <c r="F3357" t="s">
        <v>31</v>
      </c>
      <c r="G3357" t="s">
        <v>375</v>
      </c>
      <c r="H3357" t="s">
        <v>72</v>
      </c>
      <c r="I3357" s="2">
        <v>4</v>
      </c>
      <c r="J3357" s="3">
        <v>179</v>
      </c>
      <c r="K3357" s="4">
        <v>0.02</v>
      </c>
      <c r="L3357" s="3">
        <v>701.68</v>
      </c>
      <c r="M3357" t="b">
        <v>1</v>
      </c>
      <c r="N3357" s="2">
        <f>YEAR(B3357)</f>
        <v>2025</v>
      </c>
      <c r="O3357" t="str">
        <f>INDEX(Agences!$C:$C,MATCH(F3357,Agences!$A:$A,0))</f>
        <v>Ouest</v>
      </c>
      <c r="P3357" t="str">
        <f>INDEX(Produits!$C:$C,MATCH(H3357,Produits!$A:$A,0))</f>
        <v>Informatique</v>
      </c>
      <c r="Q3357" s="3">
        <f>I3357*INDEX(Produits!$E:$E,MATCH(H3357,Produits!$A:$A,0))</f>
        <v>587.12</v>
      </c>
      <c r="R3357" s="3">
        <f>L3357-Q3357</f>
        <v>114.55999999999995</v>
      </c>
      <c r="S3357" s="2">
        <f>NETWORKDAYS(B3357,C3357)-1</f>
        <v>5</v>
      </c>
      <c r="T3357" s="1">
        <f>WORKDAY(B3357,5)</f>
        <v>45768</v>
      </c>
      <c r="U3357" t="b">
        <f>C3357&gt;T3357</f>
        <v>0</v>
      </c>
    </row>
    <row r="3358" spans="1:21" x14ac:dyDescent="0.25">
      <c r="A3358" t="s">
        <v>2045</v>
      </c>
      <c r="B3358" s="1">
        <v>45761</v>
      </c>
      <c r="C3358" s="1">
        <v>45764</v>
      </c>
      <c r="D3358" t="s">
        <v>934</v>
      </c>
      <c r="E3358" t="s">
        <v>419</v>
      </c>
      <c r="F3358" t="s">
        <v>62</v>
      </c>
      <c r="G3358" t="s">
        <v>68</v>
      </c>
      <c r="H3358" t="s">
        <v>49</v>
      </c>
      <c r="I3358" s="2">
        <v>1</v>
      </c>
      <c r="J3358" s="3">
        <v>120</v>
      </c>
      <c r="K3358" s="4">
        <v>0.02</v>
      </c>
      <c r="L3358" s="3">
        <v>117.6</v>
      </c>
      <c r="M3358" t="b">
        <v>1</v>
      </c>
      <c r="N3358" s="2">
        <f>YEAR(B3358)</f>
        <v>2025</v>
      </c>
      <c r="O3358" t="str">
        <f>INDEX(Agences!$C:$C,MATCH(F3358,Agences!$A:$A,0))</f>
        <v>Méditerranée</v>
      </c>
      <c r="P3358" t="str">
        <f>INDEX(Produits!$C:$C,MATCH(H3358,Produits!$A:$A,0))</f>
        <v>Maintenance</v>
      </c>
      <c r="Q3358" s="3">
        <f>I3358*INDEX(Produits!$E:$E,MATCH(H3358,Produits!$A:$A,0))</f>
        <v>55.2</v>
      </c>
      <c r="R3358" s="3">
        <f>L3358-Q3358</f>
        <v>62.39999999999999</v>
      </c>
      <c r="S3358" s="2">
        <f>NETWORKDAYS(B3358,C3358)-1</f>
        <v>3</v>
      </c>
      <c r="T3358" s="1">
        <f>WORKDAY(B3358,5)</f>
        <v>45768</v>
      </c>
      <c r="U3358" t="b">
        <f>C3358&gt;T3358</f>
        <v>0</v>
      </c>
    </row>
    <row r="3359" spans="1:21" x14ac:dyDescent="0.25">
      <c r="A3359" t="s">
        <v>2045</v>
      </c>
      <c r="B3359" s="1">
        <v>45761</v>
      </c>
      <c r="C3359" s="1">
        <v>45764</v>
      </c>
      <c r="D3359" t="s">
        <v>934</v>
      </c>
      <c r="E3359" t="s">
        <v>419</v>
      </c>
      <c r="F3359" t="s">
        <v>62</v>
      </c>
      <c r="G3359" t="s">
        <v>68</v>
      </c>
      <c r="H3359" t="s">
        <v>107</v>
      </c>
      <c r="I3359" s="2">
        <v>1</v>
      </c>
      <c r="J3359" s="3">
        <v>99</v>
      </c>
      <c r="K3359" s="4">
        <v>0.02</v>
      </c>
      <c r="L3359" s="3">
        <v>97.02</v>
      </c>
      <c r="M3359" t="b">
        <v>1</v>
      </c>
      <c r="N3359" s="2">
        <f>YEAR(B3359)</f>
        <v>2025</v>
      </c>
      <c r="O3359" t="str">
        <f>INDEX(Agences!$C:$C,MATCH(F3359,Agences!$A:$A,0))</f>
        <v>Méditerranée</v>
      </c>
      <c r="P3359" t="str">
        <f>INDEX(Produits!$C:$C,MATCH(H3359,Produits!$A:$A,0))</f>
        <v>Informatique</v>
      </c>
      <c r="Q3359" s="3">
        <f>I3359*INDEX(Produits!$E:$E,MATCH(H3359,Produits!$A:$A,0))</f>
        <v>75.24</v>
      </c>
      <c r="R3359" s="3">
        <f>L3359-Q3359</f>
        <v>21.78</v>
      </c>
      <c r="S3359" s="2">
        <f>NETWORKDAYS(B3359,C3359)-1</f>
        <v>3</v>
      </c>
      <c r="T3359" s="1">
        <f>WORKDAY(B3359,5)</f>
        <v>45768</v>
      </c>
      <c r="U3359" t="b">
        <f>C3359&gt;T3359</f>
        <v>0</v>
      </c>
    </row>
    <row r="3360" spans="1:21" x14ac:dyDescent="0.25">
      <c r="A3360" t="s">
        <v>2046</v>
      </c>
      <c r="B3360" s="1">
        <v>45758</v>
      </c>
      <c r="C3360" s="1">
        <v>45762</v>
      </c>
      <c r="D3360" t="s">
        <v>1323</v>
      </c>
      <c r="E3360" t="s">
        <v>336</v>
      </c>
      <c r="F3360" t="s">
        <v>166</v>
      </c>
      <c r="G3360" t="s">
        <v>179</v>
      </c>
      <c r="H3360" t="s">
        <v>48</v>
      </c>
      <c r="I3360" s="2">
        <v>1</v>
      </c>
      <c r="J3360" s="3">
        <v>165</v>
      </c>
      <c r="K3360" s="4">
        <v>0.08</v>
      </c>
      <c r="L3360" s="3">
        <v>151.8</v>
      </c>
      <c r="M3360" t="b">
        <v>1</v>
      </c>
      <c r="N3360" s="2">
        <f>YEAR(B3360)</f>
        <v>2025</v>
      </c>
      <c r="O3360" t="str">
        <f>INDEX(Agences!$C:$C,MATCH(F3360,Agences!$A:$A,0))</f>
        <v>Ouest</v>
      </c>
      <c r="P3360" t="str">
        <f>INDEX(Produits!$C:$C,MATCH(H3360,Produits!$A:$A,0))</f>
        <v>Mobilier</v>
      </c>
      <c r="Q3360" s="3">
        <f>I3360*INDEX(Produits!$E:$E,MATCH(H3360,Produits!$A:$A,0))</f>
        <v>107.25</v>
      </c>
      <c r="R3360" s="3">
        <f>L3360-Q3360</f>
        <v>44.55000000000001</v>
      </c>
      <c r="S3360" s="2">
        <f>NETWORKDAYS(B3360,C3360)-1</f>
        <v>2</v>
      </c>
      <c r="T3360" s="1">
        <f>WORKDAY(B3360,5)</f>
        <v>45765</v>
      </c>
      <c r="U3360" t="b">
        <f>C3360&gt;T3360</f>
        <v>0</v>
      </c>
    </row>
    <row r="3361" spans="1:21" x14ac:dyDescent="0.25">
      <c r="A3361" t="s">
        <v>2047</v>
      </c>
      <c r="B3361" s="1">
        <v>45757</v>
      </c>
      <c r="C3361" s="1">
        <v>45761</v>
      </c>
      <c r="D3361" t="s">
        <v>1212</v>
      </c>
      <c r="E3361" t="s">
        <v>307</v>
      </c>
      <c r="F3361" t="s">
        <v>76</v>
      </c>
      <c r="G3361" t="s">
        <v>176</v>
      </c>
      <c r="H3361" t="s">
        <v>72</v>
      </c>
      <c r="I3361" s="2">
        <v>3</v>
      </c>
      <c r="J3361" s="3">
        <v>179</v>
      </c>
      <c r="K3361" s="4">
        <v>0.02</v>
      </c>
      <c r="L3361" s="3">
        <v>526.26</v>
      </c>
      <c r="M3361" t="b">
        <v>1</v>
      </c>
      <c r="N3361" s="2">
        <f>YEAR(B3361)</f>
        <v>2025</v>
      </c>
      <c r="O3361" t="str">
        <f>INDEX(Agences!$C:$C,MATCH(F3361,Agences!$A:$A,0))</f>
        <v>Île-de-France</v>
      </c>
      <c r="P3361" t="str">
        <f>INDEX(Produits!$C:$C,MATCH(H3361,Produits!$A:$A,0))</f>
        <v>Informatique</v>
      </c>
      <c r="Q3361" s="3">
        <f>I3361*INDEX(Produits!$E:$E,MATCH(H3361,Produits!$A:$A,0))</f>
        <v>440.34000000000003</v>
      </c>
      <c r="R3361" s="3">
        <f>L3361-Q3361</f>
        <v>85.91999999999996</v>
      </c>
      <c r="S3361" s="2">
        <f>NETWORKDAYS(B3361,C3361)-1</f>
        <v>2</v>
      </c>
      <c r="T3361" s="1">
        <f>WORKDAY(B3361,5)</f>
        <v>45764</v>
      </c>
      <c r="U3361" t="b">
        <f>C3361&gt;T3361</f>
        <v>0</v>
      </c>
    </row>
    <row r="3362" spans="1:21" x14ac:dyDescent="0.25">
      <c r="A3362" t="s">
        <v>2047</v>
      </c>
      <c r="B3362" s="1">
        <v>45757</v>
      </c>
      <c r="C3362" s="1">
        <v>45761</v>
      </c>
      <c r="D3362" t="s">
        <v>1212</v>
      </c>
      <c r="E3362" t="s">
        <v>307</v>
      </c>
      <c r="F3362" t="s">
        <v>76</v>
      </c>
      <c r="G3362" t="s">
        <v>176</v>
      </c>
      <c r="H3362" t="s">
        <v>57</v>
      </c>
      <c r="I3362" s="2">
        <v>3</v>
      </c>
      <c r="J3362" s="3">
        <v>149</v>
      </c>
      <c r="K3362" s="4">
        <v>0.05</v>
      </c>
      <c r="L3362" s="3">
        <v>424.65</v>
      </c>
      <c r="M3362" t="b">
        <v>1</v>
      </c>
      <c r="N3362" s="2">
        <f>YEAR(B3362)</f>
        <v>2025</v>
      </c>
      <c r="O3362" t="str">
        <f>INDEX(Agences!$C:$C,MATCH(F3362,Agences!$A:$A,0))</f>
        <v>Île-de-France</v>
      </c>
      <c r="P3362" t="str">
        <f>INDEX(Produits!$C:$C,MATCH(H3362,Produits!$A:$A,0))</f>
        <v>Informatique</v>
      </c>
      <c r="Q3362" s="3">
        <f>I3362*INDEX(Produits!$E:$E,MATCH(H3362,Produits!$A:$A,0))</f>
        <v>344.19</v>
      </c>
      <c r="R3362" s="3">
        <f>L3362-Q3362</f>
        <v>80.45999999999998</v>
      </c>
      <c r="S3362" s="2">
        <f>NETWORKDAYS(B3362,C3362)-1</f>
        <v>2</v>
      </c>
      <c r="T3362" s="1">
        <f>WORKDAY(B3362,5)</f>
        <v>45764</v>
      </c>
      <c r="U3362" t="b">
        <f>C3362&gt;T3362</f>
        <v>0</v>
      </c>
    </row>
    <row r="3363" spans="1:21" x14ac:dyDescent="0.25">
      <c r="A3363" t="s">
        <v>2047</v>
      </c>
      <c r="B3363" s="1">
        <v>45757</v>
      </c>
      <c r="C3363" s="1">
        <v>45761</v>
      </c>
      <c r="D3363" t="s">
        <v>1212</v>
      </c>
      <c r="E3363" t="s">
        <v>307</v>
      </c>
      <c r="F3363" t="s">
        <v>76</v>
      </c>
      <c r="G3363" t="s">
        <v>176</v>
      </c>
      <c r="H3363" t="s">
        <v>64</v>
      </c>
      <c r="I3363" s="2">
        <v>10</v>
      </c>
      <c r="J3363" s="3">
        <v>16.8</v>
      </c>
      <c r="K3363" s="4">
        <v>0</v>
      </c>
      <c r="L3363" s="3">
        <v>168</v>
      </c>
      <c r="M3363" t="b">
        <v>1</v>
      </c>
      <c r="N3363" s="2">
        <f>YEAR(B3363)</f>
        <v>2025</v>
      </c>
      <c r="O3363" t="str">
        <f>INDEX(Agences!$C:$C,MATCH(F3363,Agences!$A:$A,0))</f>
        <v>Île-de-France</v>
      </c>
      <c r="P3363" t="str">
        <f>INDEX(Produits!$C:$C,MATCH(H3363,Produits!$A:$A,0))</f>
        <v>Fournitures</v>
      </c>
      <c r="Q3363" s="3">
        <f>I3363*INDEX(Produits!$E:$E,MATCH(H3363,Produits!$A:$A,0))</f>
        <v>87.4</v>
      </c>
      <c r="R3363" s="3">
        <f>L3363-Q3363</f>
        <v>80.6</v>
      </c>
      <c r="S3363" s="2">
        <f>NETWORKDAYS(B3363,C3363)-1</f>
        <v>2</v>
      </c>
      <c r="T3363" s="1">
        <f>WORKDAY(B3363,5)</f>
        <v>45764</v>
      </c>
      <c r="U3363" t="b">
        <f>C3363&gt;T3363</f>
        <v>0</v>
      </c>
    </row>
    <row r="3364" spans="1:21" x14ac:dyDescent="0.25">
      <c r="A3364" t="s">
        <v>2047</v>
      </c>
      <c r="B3364" s="1">
        <v>45757</v>
      </c>
      <c r="C3364" s="1">
        <v>45761</v>
      </c>
      <c r="D3364" t="s">
        <v>1212</v>
      </c>
      <c r="E3364" t="s">
        <v>307</v>
      </c>
      <c r="F3364" t="s">
        <v>76</v>
      </c>
      <c r="G3364" t="s">
        <v>176</v>
      </c>
      <c r="H3364" t="s">
        <v>49</v>
      </c>
      <c r="I3364" s="2">
        <v>2</v>
      </c>
      <c r="J3364" s="3">
        <v>120</v>
      </c>
      <c r="K3364" s="4">
        <v>0</v>
      </c>
      <c r="L3364" s="3">
        <v>240</v>
      </c>
      <c r="M3364" t="b">
        <v>1</v>
      </c>
      <c r="N3364" s="2">
        <f>YEAR(B3364)</f>
        <v>2025</v>
      </c>
      <c r="O3364" t="str">
        <f>INDEX(Agences!$C:$C,MATCH(F3364,Agences!$A:$A,0))</f>
        <v>Île-de-France</v>
      </c>
      <c r="P3364" t="str">
        <f>INDEX(Produits!$C:$C,MATCH(H3364,Produits!$A:$A,0))</f>
        <v>Maintenance</v>
      </c>
      <c r="Q3364" s="3">
        <f>I3364*INDEX(Produits!$E:$E,MATCH(H3364,Produits!$A:$A,0))</f>
        <v>110.4</v>
      </c>
      <c r="R3364" s="3">
        <f>L3364-Q3364</f>
        <v>129.6</v>
      </c>
      <c r="S3364" s="2">
        <f>NETWORKDAYS(B3364,C3364)-1</f>
        <v>2</v>
      </c>
      <c r="T3364" s="1">
        <f>WORKDAY(B3364,5)</f>
        <v>45764</v>
      </c>
      <c r="U3364" t="b">
        <f>C3364&gt;T3364</f>
        <v>0</v>
      </c>
    </row>
    <row r="3365" spans="1:21" x14ac:dyDescent="0.25">
      <c r="A3365" t="s">
        <v>2048</v>
      </c>
      <c r="B3365" s="1">
        <v>45756</v>
      </c>
      <c r="C3365" s="1">
        <v>45761</v>
      </c>
      <c r="D3365" t="s">
        <v>1922</v>
      </c>
      <c r="E3365" t="s">
        <v>209</v>
      </c>
      <c r="F3365" t="s">
        <v>99</v>
      </c>
      <c r="G3365" t="s">
        <v>210</v>
      </c>
      <c r="H3365" t="s">
        <v>51</v>
      </c>
      <c r="I3365" s="2">
        <v>1</v>
      </c>
      <c r="J3365" s="3">
        <v>180</v>
      </c>
      <c r="K3365" s="4">
        <v>0</v>
      </c>
      <c r="L3365" s="3">
        <v>180</v>
      </c>
      <c r="M3365" t="b">
        <v>1</v>
      </c>
      <c r="N3365" s="2">
        <f>YEAR(B3365)</f>
        <v>2025</v>
      </c>
      <c r="O3365" t="str">
        <f>INDEX(Agences!$C:$C,MATCH(F3365,Agences!$A:$A,0))</f>
        <v>Nord</v>
      </c>
      <c r="P3365" t="str">
        <f>INDEX(Produits!$C:$C,MATCH(H3365,Produits!$A:$A,0))</f>
        <v>Maintenance</v>
      </c>
      <c r="Q3365" s="3">
        <f>I3365*INDEX(Produits!$E:$E,MATCH(H3365,Produits!$A:$A,0))</f>
        <v>82.8</v>
      </c>
      <c r="R3365" s="3">
        <f>L3365-Q3365</f>
        <v>97.2</v>
      </c>
      <c r="S3365" s="2">
        <f>NETWORKDAYS(B3365,C3365)-1</f>
        <v>3</v>
      </c>
      <c r="T3365" s="1">
        <f>WORKDAY(B3365,5)</f>
        <v>45763</v>
      </c>
      <c r="U3365" t="b">
        <f>C3365&gt;T3365</f>
        <v>0</v>
      </c>
    </row>
    <row r="3366" spans="1:21" x14ac:dyDescent="0.25">
      <c r="A3366" t="s">
        <v>2049</v>
      </c>
      <c r="B3366" s="1">
        <v>45756</v>
      </c>
      <c r="C3366" s="1">
        <v>45757</v>
      </c>
      <c r="D3366" t="s">
        <v>2050</v>
      </c>
      <c r="E3366" t="s">
        <v>175</v>
      </c>
      <c r="F3366" t="s">
        <v>76</v>
      </c>
      <c r="G3366" t="s">
        <v>176</v>
      </c>
      <c r="H3366" t="s">
        <v>107</v>
      </c>
      <c r="I3366" s="2">
        <v>2</v>
      </c>
      <c r="J3366" s="3">
        <v>99</v>
      </c>
      <c r="K3366" s="4">
        <v>0.08</v>
      </c>
      <c r="L3366" s="3">
        <v>182.16</v>
      </c>
      <c r="M3366" t="b">
        <v>1</v>
      </c>
      <c r="N3366" s="2">
        <f>YEAR(B3366)</f>
        <v>2025</v>
      </c>
      <c r="O3366" t="str">
        <f>INDEX(Agences!$C:$C,MATCH(F3366,Agences!$A:$A,0))</f>
        <v>Île-de-France</v>
      </c>
      <c r="P3366" t="str">
        <f>INDEX(Produits!$C:$C,MATCH(H3366,Produits!$A:$A,0))</f>
        <v>Informatique</v>
      </c>
      <c r="Q3366" s="3">
        <f>I3366*INDEX(Produits!$E:$E,MATCH(H3366,Produits!$A:$A,0))</f>
        <v>150.48</v>
      </c>
      <c r="R3366" s="3">
        <f>L3366-Q3366</f>
        <v>31.680000000000007</v>
      </c>
      <c r="S3366" s="2">
        <f>NETWORKDAYS(B3366,C3366)-1</f>
        <v>1</v>
      </c>
      <c r="T3366" s="1">
        <f>WORKDAY(B3366,5)</f>
        <v>45763</v>
      </c>
      <c r="U3366" t="b">
        <f>C3366&gt;T3366</f>
        <v>0</v>
      </c>
    </row>
    <row r="3367" spans="1:21" x14ac:dyDescent="0.25">
      <c r="A3367" t="s">
        <v>2049</v>
      </c>
      <c r="B3367" s="1">
        <v>45756</v>
      </c>
      <c r="C3367" s="1">
        <v>45757</v>
      </c>
      <c r="D3367" t="s">
        <v>2050</v>
      </c>
      <c r="E3367" t="s">
        <v>175</v>
      </c>
      <c r="F3367" t="s">
        <v>76</v>
      </c>
      <c r="G3367" t="s">
        <v>176</v>
      </c>
      <c r="H3367" t="s">
        <v>84</v>
      </c>
      <c r="I3367" s="2">
        <v>3</v>
      </c>
      <c r="J3367" s="3">
        <v>420</v>
      </c>
      <c r="K3367" s="4">
        <v>0</v>
      </c>
      <c r="L3367" s="3">
        <v>1260</v>
      </c>
      <c r="M3367" t="b">
        <v>1</v>
      </c>
      <c r="N3367" s="2">
        <f>YEAR(B3367)</f>
        <v>2025</v>
      </c>
      <c r="O3367" t="str">
        <f>INDEX(Agences!$C:$C,MATCH(F3367,Agences!$A:$A,0))</f>
        <v>Île-de-France</v>
      </c>
      <c r="P3367" t="str">
        <f>INDEX(Produits!$C:$C,MATCH(H3367,Produits!$A:$A,0))</f>
        <v>Mobilier</v>
      </c>
      <c r="Q3367" s="3">
        <f>I3367*INDEX(Produits!$E:$E,MATCH(H3367,Produits!$A:$A,0))</f>
        <v>730.8</v>
      </c>
      <c r="R3367" s="3">
        <f>L3367-Q3367</f>
        <v>529.2</v>
      </c>
      <c r="S3367" s="2">
        <f>NETWORKDAYS(B3367,C3367)-1</f>
        <v>1</v>
      </c>
      <c r="T3367" s="1">
        <f>WORKDAY(B3367,5)</f>
        <v>45763</v>
      </c>
      <c r="U3367" t="b">
        <f>C3367&gt;T3367</f>
        <v>0</v>
      </c>
    </row>
    <row r="3368" spans="1:21" x14ac:dyDescent="0.25">
      <c r="A3368" t="s">
        <v>2049</v>
      </c>
      <c r="B3368" s="1">
        <v>45756</v>
      </c>
      <c r="C3368" s="1">
        <v>45757</v>
      </c>
      <c r="D3368" t="s">
        <v>2050</v>
      </c>
      <c r="E3368" t="s">
        <v>175</v>
      </c>
      <c r="F3368" t="s">
        <v>76</v>
      </c>
      <c r="G3368" t="s">
        <v>176</v>
      </c>
      <c r="H3368" t="s">
        <v>90</v>
      </c>
      <c r="I3368" s="2">
        <v>5</v>
      </c>
      <c r="J3368" s="3">
        <v>22.9</v>
      </c>
      <c r="K3368" s="4">
        <v>0</v>
      </c>
      <c r="L3368" s="3">
        <v>114.5</v>
      </c>
      <c r="M3368" t="b">
        <v>1</v>
      </c>
      <c r="N3368" s="2">
        <f>YEAR(B3368)</f>
        <v>2025</v>
      </c>
      <c r="O3368" t="str">
        <f>INDEX(Agences!$C:$C,MATCH(F3368,Agences!$A:$A,0))</f>
        <v>Île-de-France</v>
      </c>
      <c r="P3368" t="str">
        <f>INDEX(Produits!$C:$C,MATCH(H3368,Produits!$A:$A,0))</f>
        <v>Fournitures</v>
      </c>
      <c r="Q3368" s="3">
        <f>I3368*INDEX(Produits!$E:$E,MATCH(H3368,Produits!$A:$A,0))</f>
        <v>64.1</v>
      </c>
      <c r="R3368" s="3">
        <f>L3368-Q3368</f>
        <v>50.400000000000006</v>
      </c>
      <c r="S3368" s="2">
        <f>NETWORKDAYS(B3368,C3368)-1</f>
        <v>1</v>
      </c>
      <c r="T3368" s="1">
        <f>WORKDAY(B3368,5)</f>
        <v>45763</v>
      </c>
      <c r="U3368" t="b">
        <f>C3368&gt;T3368</f>
        <v>0</v>
      </c>
    </row>
    <row r="3369" spans="1:21" x14ac:dyDescent="0.25">
      <c r="A3369" t="s">
        <v>2049</v>
      </c>
      <c r="B3369" s="1">
        <v>45756</v>
      </c>
      <c r="C3369" s="1">
        <v>45757</v>
      </c>
      <c r="D3369" t="s">
        <v>2050</v>
      </c>
      <c r="E3369" t="s">
        <v>175</v>
      </c>
      <c r="F3369" t="s">
        <v>76</v>
      </c>
      <c r="G3369" t="s">
        <v>176</v>
      </c>
      <c r="H3369" t="s">
        <v>233</v>
      </c>
      <c r="I3369" s="2">
        <v>10</v>
      </c>
      <c r="J3369" s="3">
        <v>27.5</v>
      </c>
      <c r="K3369" s="4">
        <v>0</v>
      </c>
      <c r="L3369" s="3">
        <v>275</v>
      </c>
      <c r="M3369" t="b">
        <v>1</v>
      </c>
      <c r="N3369" s="2">
        <f>YEAR(B3369)</f>
        <v>2025</v>
      </c>
      <c r="O3369" t="str">
        <f>INDEX(Agences!$C:$C,MATCH(F3369,Agences!$A:$A,0))</f>
        <v>Île-de-France</v>
      </c>
      <c r="P3369" t="str">
        <f>INDEX(Produits!$C:$C,MATCH(H3369,Produits!$A:$A,0))</f>
        <v>Fournitures</v>
      </c>
      <c r="Q3369" s="3">
        <f>I3369*INDEX(Produits!$E:$E,MATCH(H3369,Produits!$A:$A,0))</f>
        <v>154</v>
      </c>
      <c r="R3369" s="3">
        <f>L3369-Q3369</f>
        <v>121</v>
      </c>
      <c r="S3369" s="2">
        <f>NETWORKDAYS(B3369,C3369)-1</f>
        <v>1</v>
      </c>
      <c r="T3369" s="1">
        <f>WORKDAY(B3369,5)</f>
        <v>45763</v>
      </c>
      <c r="U3369" t="b">
        <f>C3369&gt;T3369</f>
        <v>0</v>
      </c>
    </row>
    <row r="3370" spans="1:21" x14ac:dyDescent="0.25">
      <c r="A3370" t="s">
        <v>2049</v>
      </c>
      <c r="B3370" s="1">
        <v>45756</v>
      </c>
      <c r="C3370" s="1">
        <v>45757</v>
      </c>
      <c r="D3370" t="s">
        <v>2050</v>
      </c>
      <c r="E3370" t="s">
        <v>175</v>
      </c>
      <c r="F3370" t="s">
        <v>76</v>
      </c>
      <c r="G3370" t="s">
        <v>176</v>
      </c>
      <c r="H3370" t="s">
        <v>42</v>
      </c>
      <c r="I3370" s="2">
        <v>1</v>
      </c>
      <c r="J3370" s="3">
        <v>55</v>
      </c>
      <c r="K3370" s="4">
        <v>0.08</v>
      </c>
      <c r="L3370" s="3">
        <v>50.6</v>
      </c>
      <c r="M3370" t="b">
        <v>1</v>
      </c>
      <c r="N3370" s="2">
        <f>YEAR(B3370)</f>
        <v>2025</v>
      </c>
      <c r="O3370" t="str">
        <f>INDEX(Agences!$C:$C,MATCH(F3370,Agences!$A:$A,0))</f>
        <v>Île-de-France</v>
      </c>
      <c r="P3370" t="str">
        <f>INDEX(Produits!$C:$C,MATCH(H3370,Produits!$A:$A,0))</f>
        <v>Maintenance</v>
      </c>
      <c r="Q3370" s="3">
        <f>I3370*INDEX(Produits!$E:$E,MATCH(H3370,Produits!$A:$A,0))</f>
        <v>24.75</v>
      </c>
      <c r="R3370" s="3">
        <f>L3370-Q3370</f>
        <v>25.85</v>
      </c>
      <c r="S3370" s="2">
        <f>NETWORKDAYS(B3370,C3370)-1</f>
        <v>1</v>
      </c>
      <c r="T3370" s="1">
        <f>WORKDAY(B3370,5)</f>
        <v>45763</v>
      </c>
      <c r="U3370" t="b">
        <f>C3370&gt;T3370</f>
        <v>0</v>
      </c>
    </row>
    <row r="3371" spans="1:21" x14ac:dyDescent="0.25">
      <c r="A3371" t="s">
        <v>2051</v>
      </c>
      <c r="B3371" s="1">
        <v>45756</v>
      </c>
      <c r="C3371" s="1">
        <v>45761</v>
      </c>
      <c r="D3371" t="s">
        <v>538</v>
      </c>
      <c r="E3371" t="s">
        <v>157</v>
      </c>
      <c r="F3371" t="s">
        <v>46</v>
      </c>
      <c r="G3371" t="s">
        <v>47</v>
      </c>
      <c r="H3371" t="s">
        <v>217</v>
      </c>
      <c r="I3371" s="2">
        <v>2</v>
      </c>
      <c r="J3371" s="3">
        <v>1090</v>
      </c>
      <c r="K3371" s="4">
        <v>0.02</v>
      </c>
      <c r="L3371" s="3">
        <v>2136.4</v>
      </c>
      <c r="M3371" t="b">
        <v>1</v>
      </c>
      <c r="N3371" s="2">
        <f>YEAR(B3371)</f>
        <v>2025</v>
      </c>
      <c r="O3371" t="str">
        <f>INDEX(Agences!$C:$C,MATCH(F3371,Agences!$A:$A,0))</f>
        <v>Est</v>
      </c>
      <c r="P3371" t="str">
        <f>INDEX(Produits!$C:$C,MATCH(H3371,Produits!$A:$A,0))</f>
        <v>Informatique</v>
      </c>
      <c r="Q3371" s="3">
        <f>I3371*INDEX(Produits!$E:$E,MATCH(H3371,Produits!$A:$A,0))</f>
        <v>1635</v>
      </c>
      <c r="R3371" s="3">
        <f>L3371-Q3371</f>
        <v>501.4000000000001</v>
      </c>
      <c r="S3371" s="2">
        <f>NETWORKDAYS(B3371,C3371)-1</f>
        <v>3</v>
      </c>
      <c r="T3371" s="1">
        <f>WORKDAY(B3371,5)</f>
        <v>45763</v>
      </c>
      <c r="U3371" t="b">
        <f>C3371&gt;T3371</f>
        <v>0</v>
      </c>
    </row>
    <row r="3372" spans="1:21" x14ac:dyDescent="0.25">
      <c r="A3372" t="s">
        <v>2051</v>
      </c>
      <c r="B3372" s="1">
        <v>45756</v>
      </c>
      <c r="C3372" s="1">
        <v>45761</v>
      </c>
      <c r="D3372" t="s">
        <v>538</v>
      </c>
      <c r="E3372" t="s">
        <v>157</v>
      </c>
      <c r="F3372" t="s">
        <v>46</v>
      </c>
      <c r="G3372" t="s">
        <v>47</v>
      </c>
      <c r="H3372" t="s">
        <v>64</v>
      </c>
      <c r="I3372" s="2">
        <v>10</v>
      </c>
      <c r="J3372" s="3">
        <v>16.8</v>
      </c>
      <c r="K3372" s="4">
        <v>0.02</v>
      </c>
      <c r="L3372" s="3">
        <v>164.64</v>
      </c>
      <c r="M3372" t="b">
        <v>1</v>
      </c>
      <c r="N3372" s="2">
        <f>YEAR(B3372)</f>
        <v>2025</v>
      </c>
      <c r="O3372" t="str">
        <f>INDEX(Agences!$C:$C,MATCH(F3372,Agences!$A:$A,0))</f>
        <v>Est</v>
      </c>
      <c r="P3372" t="str">
        <f>INDEX(Produits!$C:$C,MATCH(H3372,Produits!$A:$A,0))</f>
        <v>Fournitures</v>
      </c>
      <c r="Q3372" s="3">
        <f>I3372*INDEX(Produits!$E:$E,MATCH(H3372,Produits!$A:$A,0))</f>
        <v>87.4</v>
      </c>
      <c r="R3372" s="3">
        <f>L3372-Q3372</f>
        <v>77.23999999999998</v>
      </c>
      <c r="S3372" s="2">
        <f>NETWORKDAYS(B3372,C3372)-1</f>
        <v>3</v>
      </c>
      <c r="T3372" s="1">
        <f>WORKDAY(B3372,5)</f>
        <v>45763</v>
      </c>
      <c r="U3372" t="b">
        <f>C3372&gt;T3372</f>
        <v>0</v>
      </c>
    </row>
    <row r="3373" spans="1:21" x14ac:dyDescent="0.25">
      <c r="A3373" t="s">
        <v>2052</v>
      </c>
      <c r="B3373" s="1">
        <v>45756</v>
      </c>
      <c r="C3373" s="1">
        <v>45763</v>
      </c>
      <c r="D3373" t="s">
        <v>296</v>
      </c>
      <c r="E3373" t="s">
        <v>229</v>
      </c>
      <c r="F3373" t="s">
        <v>55</v>
      </c>
      <c r="G3373" t="s">
        <v>56</v>
      </c>
      <c r="H3373" t="s">
        <v>83</v>
      </c>
      <c r="I3373" s="2">
        <v>1</v>
      </c>
      <c r="J3373" s="3">
        <v>49</v>
      </c>
      <c r="K3373" s="4">
        <v>0</v>
      </c>
      <c r="L3373" s="3">
        <v>49</v>
      </c>
      <c r="M3373" t="b">
        <v>1</v>
      </c>
      <c r="N3373" s="2">
        <f>YEAR(B3373)</f>
        <v>2025</v>
      </c>
      <c r="O3373" t="str">
        <f>INDEX(Agences!$C:$C,MATCH(F3373,Agences!$A:$A,0))</f>
        <v>Est</v>
      </c>
      <c r="P3373" t="str">
        <f>INDEX(Produits!$C:$C,MATCH(H3373,Produits!$A:$A,0))</f>
        <v>Mobilier</v>
      </c>
      <c r="Q3373" s="3">
        <f>I3373*INDEX(Produits!$E:$E,MATCH(H3373,Produits!$A:$A,0))</f>
        <v>28.42</v>
      </c>
      <c r="R3373" s="3">
        <f>L3373-Q3373</f>
        <v>20.58</v>
      </c>
      <c r="S3373" s="2">
        <f>NETWORKDAYS(B3373,C3373)-1</f>
        <v>5</v>
      </c>
      <c r="T3373" s="1">
        <f>WORKDAY(B3373,5)</f>
        <v>45763</v>
      </c>
      <c r="U3373" t="b">
        <f>C3373&gt;T3373</f>
        <v>0</v>
      </c>
    </row>
    <row r="3374" spans="1:21" x14ac:dyDescent="0.25">
      <c r="A3374" t="s">
        <v>2052</v>
      </c>
      <c r="B3374" s="1">
        <v>45756</v>
      </c>
      <c r="C3374" s="1">
        <v>45763</v>
      </c>
      <c r="D3374" t="s">
        <v>296</v>
      </c>
      <c r="E3374" t="s">
        <v>229</v>
      </c>
      <c r="F3374" t="s">
        <v>55</v>
      </c>
      <c r="G3374" t="s">
        <v>56</v>
      </c>
      <c r="H3374" t="s">
        <v>205</v>
      </c>
      <c r="I3374" s="2">
        <v>1</v>
      </c>
      <c r="J3374" s="3">
        <v>359</v>
      </c>
      <c r="K3374" s="4">
        <v>0</v>
      </c>
      <c r="L3374" s="3">
        <v>359</v>
      </c>
      <c r="M3374" t="b">
        <v>1</v>
      </c>
      <c r="N3374" s="2">
        <f>YEAR(B3374)</f>
        <v>2025</v>
      </c>
      <c r="O3374" t="str">
        <f>INDEX(Agences!$C:$C,MATCH(F3374,Agences!$A:$A,0))</f>
        <v>Est</v>
      </c>
      <c r="P3374" t="str">
        <f>INDEX(Produits!$C:$C,MATCH(H3374,Produits!$A:$A,0))</f>
        <v>Mobilier</v>
      </c>
      <c r="Q3374" s="3">
        <f>I3374*INDEX(Produits!$E:$E,MATCH(H3374,Produits!$A:$A,0))</f>
        <v>204.63</v>
      </c>
      <c r="R3374" s="3">
        <f>L3374-Q3374</f>
        <v>154.37</v>
      </c>
      <c r="S3374" s="2">
        <f>NETWORKDAYS(B3374,C3374)-1</f>
        <v>5</v>
      </c>
      <c r="T3374" s="1">
        <f>WORKDAY(B3374,5)</f>
        <v>45763</v>
      </c>
      <c r="U3374" t="b">
        <f>C3374&gt;T3374</f>
        <v>0</v>
      </c>
    </row>
    <row r="3375" spans="1:21" x14ac:dyDescent="0.25">
      <c r="A3375" t="s">
        <v>2052</v>
      </c>
      <c r="B3375" s="1">
        <v>45756</v>
      </c>
      <c r="C3375" s="1">
        <v>45763</v>
      </c>
      <c r="D3375" t="s">
        <v>296</v>
      </c>
      <c r="E3375" t="s">
        <v>229</v>
      </c>
      <c r="F3375" t="s">
        <v>55</v>
      </c>
      <c r="G3375" t="s">
        <v>56</v>
      </c>
      <c r="H3375" t="s">
        <v>26</v>
      </c>
      <c r="I3375" s="2">
        <v>1</v>
      </c>
      <c r="J3375" s="3">
        <v>290</v>
      </c>
      <c r="K3375" s="4">
        <v>0</v>
      </c>
      <c r="L3375" s="3">
        <v>290</v>
      </c>
      <c r="M3375" t="b">
        <v>1</v>
      </c>
      <c r="N3375" s="2">
        <f>YEAR(B3375)</f>
        <v>2025</v>
      </c>
      <c r="O3375" t="str">
        <f>INDEX(Agences!$C:$C,MATCH(F3375,Agences!$A:$A,0))</f>
        <v>Est</v>
      </c>
      <c r="P3375" t="str">
        <f>INDEX(Produits!$C:$C,MATCH(H3375,Produits!$A:$A,0))</f>
        <v>Maintenance</v>
      </c>
      <c r="Q3375" s="3">
        <f>I3375*INDEX(Produits!$E:$E,MATCH(H3375,Produits!$A:$A,0))</f>
        <v>139.2</v>
      </c>
      <c r="R3375" s="3">
        <f>L3375-Q3375</f>
        <v>150.8</v>
      </c>
      <c r="S3375" s="2">
        <f>NETWORKDAYS(B3375,C3375)-1</f>
        <v>5</v>
      </c>
      <c r="T3375" s="1">
        <f>WORKDAY(B3375,5)</f>
        <v>45763</v>
      </c>
      <c r="U3375" t="b">
        <f>C3375&gt;T3375</f>
        <v>0</v>
      </c>
    </row>
    <row r="3376" spans="1:21" x14ac:dyDescent="0.25">
      <c r="A3376" t="s">
        <v>2052</v>
      </c>
      <c r="B3376" s="1">
        <v>45756</v>
      </c>
      <c r="C3376" s="1">
        <v>45763</v>
      </c>
      <c r="D3376" t="s">
        <v>296</v>
      </c>
      <c r="E3376" t="s">
        <v>229</v>
      </c>
      <c r="F3376" t="s">
        <v>55</v>
      </c>
      <c r="G3376" t="s">
        <v>56</v>
      </c>
      <c r="H3376" t="s">
        <v>41</v>
      </c>
      <c r="I3376" s="2">
        <v>1</v>
      </c>
      <c r="J3376" s="3">
        <v>790</v>
      </c>
      <c r="K3376" s="4">
        <v>0.08</v>
      </c>
      <c r="L3376" s="3">
        <v>726.8</v>
      </c>
      <c r="M3376" t="b">
        <v>1</v>
      </c>
      <c r="N3376" s="2">
        <f>YEAR(B3376)</f>
        <v>2025</v>
      </c>
      <c r="O3376" t="str">
        <f>INDEX(Agences!$C:$C,MATCH(F3376,Agences!$A:$A,0))</f>
        <v>Est</v>
      </c>
      <c r="P3376" t="str">
        <f>INDEX(Produits!$C:$C,MATCH(H3376,Produits!$A:$A,0))</f>
        <v>Informatique</v>
      </c>
      <c r="Q3376" s="3">
        <f>I3376*INDEX(Produits!$E:$E,MATCH(H3376,Produits!$A:$A,0))</f>
        <v>576.7</v>
      </c>
      <c r="R3376" s="3">
        <f>L3376-Q3376</f>
        <v>150.0999999999999</v>
      </c>
      <c r="S3376" s="2">
        <f>NETWORKDAYS(B3376,C3376)-1</f>
        <v>5</v>
      </c>
      <c r="T3376" s="1">
        <f>WORKDAY(B3376,5)</f>
        <v>45763</v>
      </c>
      <c r="U3376" t="b">
        <f>C3376&gt;T3376</f>
        <v>0</v>
      </c>
    </row>
    <row r="3377" spans="1:21" x14ac:dyDescent="0.25">
      <c r="A3377" t="s">
        <v>2053</v>
      </c>
      <c r="B3377" s="1">
        <v>45755</v>
      </c>
      <c r="C3377" s="1">
        <v>45761</v>
      </c>
      <c r="D3377" t="s">
        <v>745</v>
      </c>
      <c r="E3377" t="s">
        <v>270</v>
      </c>
      <c r="F3377" t="s">
        <v>76</v>
      </c>
      <c r="G3377" t="s">
        <v>77</v>
      </c>
      <c r="H3377" t="s">
        <v>51</v>
      </c>
      <c r="I3377" s="2">
        <v>1</v>
      </c>
      <c r="J3377" s="3">
        <v>180</v>
      </c>
      <c r="K3377" s="4">
        <v>0</v>
      </c>
      <c r="L3377" s="3">
        <v>180</v>
      </c>
      <c r="M3377" t="b">
        <v>1</v>
      </c>
      <c r="N3377" s="2">
        <f>YEAR(B3377)</f>
        <v>2025</v>
      </c>
      <c r="O3377" t="str">
        <f>INDEX(Agences!$C:$C,MATCH(F3377,Agences!$A:$A,0))</f>
        <v>Île-de-France</v>
      </c>
      <c r="P3377" t="str">
        <f>INDEX(Produits!$C:$C,MATCH(H3377,Produits!$A:$A,0))</f>
        <v>Maintenance</v>
      </c>
      <c r="Q3377" s="3">
        <f>I3377*INDEX(Produits!$E:$E,MATCH(H3377,Produits!$A:$A,0))</f>
        <v>82.8</v>
      </c>
      <c r="R3377" s="3">
        <f>L3377-Q3377</f>
        <v>97.2</v>
      </c>
      <c r="S3377" s="2">
        <f>NETWORKDAYS(B3377,C3377)-1</f>
        <v>4</v>
      </c>
      <c r="T3377" s="1">
        <f>WORKDAY(B3377,5)</f>
        <v>45762</v>
      </c>
      <c r="U3377" t="b">
        <f>C3377&gt;T3377</f>
        <v>0</v>
      </c>
    </row>
    <row r="3378" spans="1:21" x14ac:dyDescent="0.25">
      <c r="A3378" t="s">
        <v>2053</v>
      </c>
      <c r="B3378" s="1">
        <v>45755</v>
      </c>
      <c r="C3378" s="1">
        <v>45761</v>
      </c>
      <c r="D3378" t="s">
        <v>745</v>
      </c>
      <c r="E3378" t="s">
        <v>270</v>
      </c>
      <c r="F3378" t="s">
        <v>76</v>
      </c>
      <c r="G3378" t="s">
        <v>77</v>
      </c>
      <c r="H3378" t="s">
        <v>42</v>
      </c>
      <c r="I3378" s="2">
        <v>1</v>
      </c>
      <c r="J3378" s="3">
        <v>55</v>
      </c>
      <c r="K3378" s="4">
        <v>0.08</v>
      </c>
      <c r="L3378" s="3">
        <v>50.6</v>
      </c>
      <c r="M3378" t="b">
        <v>1</v>
      </c>
      <c r="N3378" s="2">
        <f>YEAR(B3378)</f>
        <v>2025</v>
      </c>
      <c r="O3378" t="str">
        <f>INDEX(Agences!$C:$C,MATCH(F3378,Agences!$A:$A,0))</f>
        <v>Île-de-France</v>
      </c>
      <c r="P3378" t="str">
        <f>INDEX(Produits!$C:$C,MATCH(H3378,Produits!$A:$A,0))</f>
        <v>Maintenance</v>
      </c>
      <c r="Q3378" s="3">
        <f>I3378*INDEX(Produits!$E:$E,MATCH(H3378,Produits!$A:$A,0))</f>
        <v>24.75</v>
      </c>
      <c r="R3378" s="3">
        <f>L3378-Q3378</f>
        <v>25.85</v>
      </c>
      <c r="S3378" s="2">
        <f>NETWORKDAYS(B3378,C3378)-1</f>
        <v>4</v>
      </c>
      <c r="T3378" s="1">
        <f>WORKDAY(B3378,5)</f>
        <v>45762</v>
      </c>
      <c r="U3378" t="b">
        <f>C3378&gt;T3378</f>
        <v>0</v>
      </c>
    </row>
    <row r="3379" spans="1:21" x14ac:dyDescent="0.25">
      <c r="A3379" t="s">
        <v>2053</v>
      </c>
      <c r="B3379" s="1">
        <v>45755</v>
      </c>
      <c r="C3379" s="1">
        <v>45761</v>
      </c>
      <c r="D3379" t="s">
        <v>745</v>
      </c>
      <c r="E3379" t="s">
        <v>270</v>
      </c>
      <c r="F3379" t="s">
        <v>76</v>
      </c>
      <c r="G3379" t="s">
        <v>77</v>
      </c>
      <c r="H3379" t="s">
        <v>34</v>
      </c>
      <c r="I3379" s="2">
        <v>1</v>
      </c>
      <c r="J3379" s="3">
        <v>340</v>
      </c>
      <c r="K3379" s="4">
        <v>0.02</v>
      </c>
      <c r="L3379" s="3">
        <v>333.2</v>
      </c>
      <c r="M3379" t="b">
        <v>1</v>
      </c>
      <c r="N3379" s="2">
        <f>YEAR(B3379)</f>
        <v>2025</v>
      </c>
      <c r="O3379" t="str">
        <f>INDEX(Agences!$C:$C,MATCH(F3379,Agences!$A:$A,0))</f>
        <v>Île-de-France</v>
      </c>
      <c r="P3379" t="str">
        <f>INDEX(Produits!$C:$C,MATCH(H3379,Produits!$A:$A,0))</f>
        <v>Informatique</v>
      </c>
      <c r="Q3379" s="3">
        <f>I3379*INDEX(Produits!$E:$E,MATCH(H3379,Produits!$A:$A,0))</f>
        <v>275.4</v>
      </c>
      <c r="R3379" s="3">
        <f>L3379-Q3379</f>
        <v>57.80000000000001</v>
      </c>
      <c r="S3379" s="2">
        <f>NETWORKDAYS(B3379,C3379)-1</f>
        <v>4</v>
      </c>
      <c r="T3379" s="1">
        <f>WORKDAY(B3379,5)</f>
        <v>45762</v>
      </c>
      <c r="U3379" t="b">
        <f>C3379&gt;T3379</f>
        <v>0</v>
      </c>
    </row>
    <row r="3380" spans="1:21" x14ac:dyDescent="0.25">
      <c r="A3380" t="s">
        <v>2053</v>
      </c>
      <c r="B3380" s="1">
        <v>45755</v>
      </c>
      <c r="C3380" s="1">
        <v>45761</v>
      </c>
      <c r="D3380" t="s">
        <v>745</v>
      </c>
      <c r="E3380" t="s">
        <v>270</v>
      </c>
      <c r="F3380" t="s">
        <v>76</v>
      </c>
      <c r="G3380" t="s">
        <v>77</v>
      </c>
      <c r="H3380" t="s">
        <v>162</v>
      </c>
      <c r="I3380" s="2">
        <v>5</v>
      </c>
      <c r="J3380" s="3">
        <v>289</v>
      </c>
      <c r="K3380" s="4">
        <v>0</v>
      </c>
      <c r="L3380" s="3">
        <v>1445</v>
      </c>
      <c r="M3380" t="b">
        <v>1</v>
      </c>
      <c r="N3380" s="2">
        <f>YEAR(B3380)</f>
        <v>2025</v>
      </c>
      <c r="O3380" t="str">
        <f>INDEX(Agences!$C:$C,MATCH(F3380,Agences!$A:$A,0))</f>
        <v>Île-de-France</v>
      </c>
      <c r="P3380" t="str">
        <f>INDEX(Produits!$C:$C,MATCH(H3380,Produits!$A:$A,0))</f>
        <v>Mobilier</v>
      </c>
      <c r="Q3380" s="3">
        <f>I3380*INDEX(Produits!$E:$E,MATCH(H3380,Produits!$A:$A,0))</f>
        <v>968.15</v>
      </c>
      <c r="R3380" s="3">
        <f>L3380-Q3380</f>
        <v>476.85</v>
      </c>
      <c r="S3380" s="2">
        <f>NETWORKDAYS(B3380,C3380)-1</f>
        <v>4</v>
      </c>
      <c r="T3380" s="1">
        <f>WORKDAY(B3380,5)</f>
        <v>45762</v>
      </c>
      <c r="U3380" t="b">
        <f>C3380&gt;T3380</f>
        <v>0</v>
      </c>
    </row>
    <row r="3381" spans="1:21" x14ac:dyDescent="0.25">
      <c r="A3381" t="s">
        <v>2054</v>
      </c>
      <c r="B3381" s="1">
        <v>45755</v>
      </c>
      <c r="C3381" s="1">
        <v>45762</v>
      </c>
      <c r="D3381" t="s">
        <v>224</v>
      </c>
      <c r="E3381" t="s">
        <v>225</v>
      </c>
      <c r="F3381" t="s">
        <v>88</v>
      </c>
      <c r="G3381" t="s">
        <v>89</v>
      </c>
      <c r="H3381" t="s">
        <v>35</v>
      </c>
      <c r="I3381" s="2">
        <v>1</v>
      </c>
      <c r="J3381" s="3">
        <v>79</v>
      </c>
      <c r="K3381" s="4">
        <v>0.05</v>
      </c>
      <c r="L3381" s="3">
        <v>75.05</v>
      </c>
      <c r="M3381" t="b">
        <v>1</v>
      </c>
      <c r="N3381" s="2">
        <f>YEAR(B3381)</f>
        <v>2025</v>
      </c>
      <c r="O3381" t="str">
        <f>INDEX(Agences!$C:$C,MATCH(F3381,Agences!$A:$A,0))</f>
        <v>Sud-Ouest</v>
      </c>
      <c r="P3381" t="str">
        <f>INDEX(Produits!$C:$C,MATCH(H3381,Produits!$A:$A,0))</f>
        <v>Mobilier</v>
      </c>
      <c r="Q3381" s="3">
        <f>I3381*INDEX(Produits!$E:$E,MATCH(H3381,Produits!$A:$A,0))</f>
        <v>46.61</v>
      </c>
      <c r="R3381" s="3">
        <f>L3381-Q3381</f>
        <v>28.439999999999998</v>
      </c>
      <c r="S3381" s="2">
        <f>NETWORKDAYS(B3381,C3381)-1</f>
        <v>5</v>
      </c>
      <c r="T3381" s="1">
        <f>WORKDAY(B3381,5)</f>
        <v>45762</v>
      </c>
      <c r="U3381" t="b">
        <f>C3381&gt;T3381</f>
        <v>0</v>
      </c>
    </row>
    <row r="3382" spans="1:21" x14ac:dyDescent="0.25">
      <c r="A3382" t="s">
        <v>2054</v>
      </c>
      <c r="B3382" s="1">
        <v>45755</v>
      </c>
      <c r="C3382" s="1">
        <v>45762</v>
      </c>
      <c r="D3382" t="s">
        <v>224</v>
      </c>
      <c r="E3382" t="s">
        <v>225</v>
      </c>
      <c r="F3382" t="s">
        <v>88</v>
      </c>
      <c r="G3382" t="s">
        <v>89</v>
      </c>
      <c r="H3382" t="s">
        <v>64</v>
      </c>
      <c r="I3382" s="2">
        <v>15</v>
      </c>
      <c r="J3382" s="3">
        <v>16.8</v>
      </c>
      <c r="K3382" s="4">
        <v>0</v>
      </c>
      <c r="L3382" s="3">
        <v>252</v>
      </c>
      <c r="M3382" t="b">
        <v>1</v>
      </c>
      <c r="N3382" s="2">
        <f>YEAR(B3382)</f>
        <v>2025</v>
      </c>
      <c r="O3382" t="str">
        <f>INDEX(Agences!$C:$C,MATCH(F3382,Agences!$A:$A,0))</f>
        <v>Sud-Ouest</v>
      </c>
      <c r="P3382" t="str">
        <f>INDEX(Produits!$C:$C,MATCH(H3382,Produits!$A:$A,0))</f>
        <v>Fournitures</v>
      </c>
      <c r="Q3382" s="3">
        <f>I3382*INDEX(Produits!$E:$E,MATCH(H3382,Produits!$A:$A,0))</f>
        <v>131.1</v>
      </c>
      <c r="R3382" s="3">
        <f>L3382-Q3382</f>
        <v>120.9</v>
      </c>
      <c r="S3382" s="2">
        <f>NETWORKDAYS(B3382,C3382)-1</f>
        <v>5</v>
      </c>
      <c r="T3382" s="1">
        <f>WORKDAY(B3382,5)</f>
        <v>45762</v>
      </c>
      <c r="U3382" t="b">
        <f>C3382&gt;T3382</f>
        <v>0</v>
      </c>
    </row>
    <row r="3383" spans="1:21" x14ac:dyDescent="0.25">
      <c r="A3383" t="s">
        <v>2054</v>
      </c>
      <c r="B3383" s="1">
        <v>45755</v>
      </c>
      <c r="C3383" s="1">
        <v>45762</v>
      </c>
      <c r="D3383" t="s">
        <v>224</v>
      </c>
      <c r="E3383" t="s">
        <v>225</v>
      </c>
      <c r="F3383" t="s">
        <v>88</v>
      </c>
      <c r="G3383" t="s">
        <v>89</v>
      </c>
      <c r="H3383" t="s">
        <v>83</v>
      </c>
      <c r="I3383" s="2">
        <v>1</v>
      </c>
      <c r="J3383" s="3">
        <v>49</v>
      </c>
      <c r="K3383" s="4">
        <v>0.05</v>
      </c>
      <c r="L3383" s="3">
        <v>46.55</v>
      </c>
      <c r="M3383" t="b">
        <v>1</v>
      </c>
      <c r="N3383" s="2">
        <f>YEAR(B3383)</f>
        <v>2025</v>
      </c>
      <c r="O3383" t="str">
        <f>INDEX(Agences!$C:$C,MATCH(F3383,Agences!$A:$A,0))</f>
        <v>Sud-Ouest</v>
      </c>
      <c r="P3383" t="str">
        <f>INDEX(Produits!$C:$C,MATCH(H3383,Produits!$A:$A,0))</f>
        <v>Mobilier</v>
      </c>
      <c r="Q3383" s="3">
        <f>I3383*INDEX(Produits!$E:$E,MATCH(H3383,Produits!$A:$A,0))</f>
        <v>28.42</v>
      </c>
      <c r="R3383" s="3">
        <f>L3383-Q3383</f>
        <v>18.129999999999995</v>
      </c>
      <c r="S3383" s="2">
        <f>NETWORKDAYS(B3383,C3383)-1</f>
        <v>5</v>
      </c>
      <c r="T3383" s="1">
        <f>WORKDAY(B3383,5)</f>
        <v>45762</v>
      </c>
      <c r="U3383" t="b">
        <f>C3383&gt;T3383</f>
        <v>0</v>
      </c>
    </row>
    <row r="3384" spans="1:21" x14ac:dyDescent="0.25">
      <c r="A3384" t="s">
        <v>2054</v>
      </c>
      <c r="B3384" s="1">
        <v>45755</v>
      </c>
      <c r="C3384" s="1">
        <v>45762</v>
      </c>
      <c r="D3384" t="s">
        <v>224</v>
      </c>
      <c r="E3384" t="s">
        <v>225</v>
      </c>
      <c r="F3384" t="s">
        <v>88</v>
      </c>
      <c r="G3384" t="s">
        <v>89</v>
      </c>
      <c r="H3384" t="s">
        <v>49</v>
      </c>
      <c r="I3384" s="2">
        <v>2</v>
      </c>
      <c r="J3384" s="3">
        <v>120</v>
      </c>
      <c r="K3384" s="4">
        <v>0.08</v>
      </c>
      <c r="L3384" s="3">
        <v>220.8</v>
      </c>
      <c r="M3384" t="b">
        <v>1</v>
      </c>
      <c r="N3384" s="2">
        <f>YEAR(B3384)</f>
        <v>2025</v>
      </c>
      <c r="O3384" t="str">
        <f>INDEX(Agences!$C:$C,MATCH(F3384,Agences!$A:$A,0))</f>
        <v>Sud-Ouest</v>
      </c>
      <c r="P3384" t="str">
        <f>INDEX(Produits!$C:$C,MATCH(H3384,Produits!$A:$A,0))</f>
        <v>Maintenance</v>
      </c>
      <c r="Q3384" s="3">
        <f>I3384*INDEX(Produits!$E:$E,MATCH(H3384,Produits!$A:$A,0))</f>
        <v>110.4</v>
      </c>
      <c r="R3384" s="3">
        <f>L3384-Q3384</f>
        <v>110.4</v>
      </c>
      <c r="S3384" s="2">
        <f>NETWORKDAYS(B3384,C3384)-1</f>
        <v>5</v>
      </c>
      <c r="T3384" s="1">
        <f>WORKDAY(B3384,5)</f>
        <v>45762</v>
      </c>
      <c r="U3384" t="b">
        <f>C3384&gt;T3384</f>
        <v>0</v>
      </c>
    </row>
    <row r="3385" spans="1:21" x14ac:dyDescent="0.25">
      <c r="A3385" t="s">
        <v>2055</v>
      </c>
      <c r="B3385" s="1">
        <v>45754</v>
      </c>
      <c r="C3385" s="1">
        <v>45757</v>
      </c>
      <c r="D3385" t="s">
        <v>1311</v>
      </c>
      <c r="E3385" t="s">
        <v>54</v>
      </c>
      <c r="F3385" t="s">
        <v>55</v>
      </c>
      <c r="G3385" t="s">
        <v>56</v>
      </c>
      <c r="H3385" t="s">
        <v>48</v>
      </c>
      <c r="I3385" s="2">
        <v>1</v>
      </c>
      <c r="J3385" s="3">
        <v>165</v>
      </c>
      <c r="K3385" s="4">
        <v>0</v>
      </c>
      <c r="L3385" s="3">
        <v>165</v>
      </c>
      <c r="M3385" t="b">
        <v>1</v>
      </c>
      <c r="N3385" s="2">
        <f>YEAR(B3385)</f>
        <v>2025</v>
      </c>
      <c r="O3385" t="str">
        <f>INDEX(Agences!$C:$C,MATCH(F3385,Agences!$A:$A,0))</f>
        <v>Est</v>
      </c>
      <c r="P3385" t="str">
        <f>INDEX(Produits!$C:$C,MATCH(H3385,Produits!$A:$A,0))</f>
        <v>Mobilier</v>
      </c>
      <c r="Q3385" s="3">
        <f>I3385*INDEX(Produits!$E:$E,MATCH(H3385,Produits!$A:$A,0))</f>
        <v>107.25</v>
      </c>
      <c r="R3385" s="3">
        <f>L3385-Q3385</f>
        <v>57.75</v>
      </c>
      <c r="S3385" s="2">
        <f>NETWORKDAYS(B3385,C3385)-1</f>
        <v>3</v>
      </c>
      <c r="T3385" s="1">
        <f>WORKDAY(B3385,5)</f>
        <v>45761</v>
      </c>
      <c r="U3385" t="b">
        <f>C3385&gt;T3385</f>
        <v>0</v>
      </c>
    </row>
    <row r="3386" spans="1:21" x14ac:dyDescent="0.25">
      <c r="A3386" t="s">
        <v>2055</v>
      </c>
      <c r="B3386" s="1">
        <v>45754</v>
      </c>
      <c r="C3386" s="1">
        <v>45757</v>
      </c>
      <c r="D3386" t="s">
        <v>1311</v>
      </c>
      <c r="E3386" t="s">
        <v>54</v>
      </c>
      <c r="F3386" t="s">
        <v>55</v>
      </c>
      <c r="G3386" t="s">
        <v>56</v>
      </c>
      <c r="H3386" t="s">
        <v>606</v>
      </c>
      <c r="I3386" s="2">
        <v>1</v>
      </c>
      <c r="J3386" s="3">
        <v>1150</v>
      </c>
      <c r="K3386" s="4">
        <v>0.1</v>
      </c>
      <c r="L3386" s="3">
        <v>1035</v>
      </c>
      <c r="M3386" t="b">
        <v>1</v>
      </c>
      <c r="N3386" s="2">
        <f>YEAR(B3386)</f>
        <v>2025</v>
      </c>
      <c r="O3386" t="str">
        <f>INDEX(Agences!$C:$C,MATCH(F3386,Agences!$A:$A,0))</f>
        <v>Est</v>
      </c>
      <c r="P3386" t="str">
        <f>INDEX(Produits!$C:$C,MATCH(H3386,Produits!$A:$A,0))</f>
        <v>Mobilier</v>
      </c>
      <c r="Q3386" s="3">
        <f>I3386*INDEX(Produits!$E:$E,MATCH(H3386,Produits!$A:$A,0))</f>
        <v>713</v>
      </c>
      <c r="R3386" s="3">
        <f>L3386-Q3386</f>
        <v>322</v>
      </c>
      <c r="S3386" s="2">
        <f>NETWORKDAYS(B3386,C3386)-1</f>
        <v>3</v>
      </c>
      <c r="T3386" s="1">
        <f>WORKDAY(B3386,5)</f>
        <v>45761</v>
      </c>
      <c r="U3386" t="b">
        <f>C3386&gt;T3386</f>
        <v>0</v>
      </c>
    </row>
    <row r="3387" spans="1:21" x14ac:dyDescent="0.25">
      <c r="A3387" t="s">
        <v>2055</v>
      </c>
      <c r="B3387" s="1">
        <v>45754</v>
      </c>
      <c r="C3387" s="1">
        <v>45757</v>
      </c>
      <c r="D3387" t="s">
        <v>1311</v>
      </c>
      <c r="E3387" t="s">
        <v>54</v>
      </c>
      <c r="F3387" t="s">
        <v>55</v>
      </c>
      <c r="G3387" t="s">
        <v>56</v>
      </c>
      <c r="H3387" t="s">
        <v>72</v>
      </c>
      <c r="I3387" s="2">
        <v>1</v>
      </c>
      <c r="J3387" s="3">
        <v>179</v>
      </c>
      <c r="K3387" s="4">
        <v>0.05</v>
      </c>
      <c r="L3387" s="3">
        <v>170.05</v>
      </c>
      <c r="M3387" t="b">
        <v>1</v>
      </c>
      <c r="N3387" s="2">
        <f>YEAR(B3387)</f>
        <v>2025</v>
      </c>
      <c r="O3387" t="str">
        <f>INDEX(Agences!$C:$C,MATCH(F3387,Agences!$A:$A,0))</f>
        <v>Est</v>
      </c>
      <c r="P3387" t="str">
        <f>INDEX(Produits!$C:$C,MATCH(H3387,Produits!$A:$A,0))</f>
        <v>Informatique</v>
      </c>
      <c r="Q3387" s="3">
        <f>I3387*INDEX(Produits!$E:$E,MATCH(H3387,Produits!$A:$A,0))</f>
        <v>146.78</v>
      </c>
      <c r="R3387" s="3">
        <f>L3387-Q3387</f>
        <v>23.27000000000001</v>
      </c>
      <c r="S3387" s="2">
        <f>NETWORKDAYS(B3387,C3387)-1</f>
        <v>3</v>
      </c>
      <c r="T3387" s="1">
        <f>WORKDAY(B3387,5)</f>
        <v>45761</v>
      </c>
      <c r="U3387" t="b">
        <f>C3387&gt;T3387</f>
        <v>0</v>
      </c>
    </row>
    <row r="3388" spans="1:21" x14ac:dyDescent="0.25">
      <c r="A3388" t="s">
        <v>2055</v>
      </c>
      <c r="B3388" s="1">
        <v>45754</v>
      </c>
      <c r="C3388" s="1">
        <v>45757</v>
      </c>
      <c r="D3388" t="s">
        <v>1311</v>
      </c>
      <c r="E3388" t="s">
        <v>54</v>
      </c>
      <c r="F3388" t="s">
        <v>55</v>
      </c>
      <c r="G3388" t="s">
        <v>56</v>
      </c>
      <c r="H3388" t="s">
        <v>33</v>
      </c>
      <c r="I3388" s="2">
        <v>3</v>
      </c>
      <c r="J3388" s="3">
        <v>219</v>
      </c>
      <c r="K3388" s="4">
        <v>0.1</v>
      </c>
      <c r="L3388" s="3">
        <v>591.3</v>
      </c>
      <c r="M3388" t="b">
        <v>1</v>
      </c>
      <c r="N3388" s="2">
        <f>YEAR(B3388)</f>
        <v>2025</v>
      </c>
      <c r="O3388" t="str">
        <f>INDEX(Agences!$C:$C,MATCH(F3388,Agences!$A:$A,0))</f>
        <v>Est</v>
      </c>
      <c r="P3388" t="str">
        <f>INDEX(Produits!$C:$C,MATCH(H3388,Produits!$A:$A,0))</f>
        <v>Informatique</v>
      </c>
      <c r="Q3388" s="3">
        <f>I3388*INDEX(Produits!$E:$E,MATCH(H3388,Produits!$A:$A,0))</f>
        <v>538.74</v>
      </c>
      <c r="R3388" s="3">
        <f>L3388-Q3388</f>
        <v>52.559999999999945</v>
      </c>
      <c r="S3388" s="2">
        <f>NETWORKDAYS(B3388,C3388)-1</f>
        <v>3</v>
      </c>
      <c r="T3388" s="1">
        <f>WORKDAY(B3388,5)</f>
        <v>45761</v>
      </c>
      <c r="U3388" t="b">
        <f>C3388&gt;T3388</f>
        <v>0</v>
      </c>
    </row>
    <row r="3389" spans="1:21" x14ac:dyDescent="0.25">
      <c r="A3389" t="s">
        <v>2056</v>
      </c>
      <c r="B3389" s="1">
        <v>45754</v>
      </c>
      <c r="C3389" s="1">
        <v>45757</v>
      </c>
      <c r="D3389" t="s">
        <v>1368</v>
      </c>
      <c r="E3389" t="s">
        <v>229</v>
      </c>
      <c r="F3389" t="s">
        <v>55</v>
      </c>
      <c r="G3389" t="s">
        <v>71</v>
      </c>
      <c r="H3389" t="s">
        <v>83</v>
      </c>
      <c r="I3389" s="2">
        <v>2</v>
      </c>
      <c r="J3389" s="3">
        <v>49</v>
      </c>
      <c r="K3389" s="4">
        <v>0.02</v>
      </c>
      <c r="L3389" s="3">
        <v>96.04</v>
      </c>
      <c r="M3389" t="b">
        <v>1</v>
      </c>
      <c r="N3389" s="2">
        <f>YEAR(B3389)</f>
        <v>2025</v>
      </c>
      <c r="O3389" t="str">
        <f>INDEX(Agences!$C:$C,MATCH(F3389,Agences!$A:$A,0))</f>
        <v>Est</v>
      </c>
      <c r="P3389" t="str">
        <f>INDEX(Produits!$C:$C,MATCH(H3389,Produits!$A:$A,0))</f>
        <v>Mobilier</v>
      </c>
      <c r="Q3389" s="3">
        <f>I3389*INDEX(Produits!$E:$E,MATCH(H3389,Produits!$A:$A,0))</f>
        <v>56.84</v>
      </c>
      <c r="R3389" s="3">
        <f>L3389-Q3389</f>
        <v>39.2</v>
      </c>
      <c r="S3389" s="2">
        <f>NETWORKDAYS(B3389,C3389)-1</f>
        <v>3</v>
      </c>
      <c r="T3389" s="1">
        <f>WORKDAY(B3389,5)</f>
        <v>45761</v>
      </c>
      <c r="U3389" t="b">
        <f>C3389&gt;T3389</f>
        <v>0</v>
      </c>
    </row>
    <row r="3390" spans="1:21" x14ac:dyDescent="0.25">
      <c r="A3390" t="s">
        <v>2057</v>
      </c>
      <c r="B3390" s="1">
        <v>45751</v>
      </c>
      <c r="C3390" s="1">
        <v>45757</v>
      </c>
      <c r="D3390" t="s">
        <v>1585</v>
      </c>
      <c r="E3390" t="s">
        <v>165</v>
      </c>
      <c r="F3390" t="s">
        <v>166</v>
      </c>
      <c r="G3390" t="s">
        <v>167</v>
      </c>
      <c r="H3390" t="s">
        <v>103</v>
      </c>
      <c r="I3390" s="2">
        <v>1</v>
      </c>
      <c r="J3390" s="3">
        <v>245</v>
      </c>
      <c r="K3390" s="4">
        <v>0</v>
      </c>
      <c r="L3390" s="3">
        <v>245</v>
      </c>
      <c r="M3390" t="b">
        <v>1</v>
      </c>
      <c r="N3390" s="2">
        <f>YEAR(B3390)</f>
        <v>2025</v>
      </c>
      <c r="O3390" t="str">
        <f>INDEX(Agences!$C:$C,MATCH(F3390,Agences!$A:$A,0))</f>
        <v>Ouest</v>
      </c>
      <c r="P3390" t="str">
        <f>INDEX(Produits!$C:$C,MATCH(H3390,Produits!$A:$A,0))</f>
        <v>Mobilier</v>
      </c>
      <c r="Q3390" s="3">
        <f>I3390*INDEX(Produits!$E:$E,MATCH(H3390,Produits!$A:$A,0))</f>
        <v>164.15</v>
      </c>
      <c r="R3390" s="3">
        <f>L3390-Q3390</f>
        <v>80.85</v>
      </c>
      <c r="S3390" s="2">
        <f>NETWORKDAYS(B3390,C3390)-1</f>
        <v>4</v>
      </c>
      <c r="T3390" s="1">
        <f>WORKDAY(B3390,5)</f>
        <v>45758</v>
      </c>
      <c r="U3390" t="b">
        <f>C3390&gt;T3390</f>
        <v>0</v>
      </c>
    </row>
    <row r="3391" spans="1:21" x14ac:dyDescent="0.25">
      <c r="A3391" t="s">
        <v>2058</v>
      </c>
      <c r="B3391" s="1">
        <v>45751</v>
      </c>
      <c r="C3391" s="1">
        <v>45756</v>
      </c>
      <c r="D3391" t="s">
        <v>403</v>
      </c>
      <c r="E3391" t="s">
        <v>236</v>
      </c>
      <c r="F3391" t="s">
        <v>39</v>
      </c>
      <c r="G3391" t="s">
        <v>40</v>
      </c>
      <c r="H3391" t="s">
        <v>83</v>
      </c>
      <c r="I3391" s="2">
        <v>2</v>
      </c>
      <c r="J3391" s="3">
        <v>49</v>
      </c>
      <c r="K3391" s="4">
        <v>0</v>
      </c>
      <c r="L3391" s="3">
        <v>98</v>
      </c>
      <c r="M3391" t="b">
        <v>1</v>
      </c>
      <c r="N3391" s="2">
        <f>YEAR(B3391)</f>
        <v>2025</v>
      </c>
      <c r="O3391" t="str">
        <f>INDEX(Agences!$C:$C,MATCH(F3391,Agences!$A:$A,0))</f>
        <v>Sud-Ouest</v>
      </c>
      <c r="P3391" t="str">
        <f>INDEX(Produits!$C:$C,MATCH(H3391,Produits!$A:$A,0))</f>
        <v>Mobilier</v>
      </c>
      <c r="Q3391" s="3">
        <f>I3391*INDEX(Produits!$E:$E,MATCH(H3391,Produits!$A:$A,0))</f>
        <v>56.84</v>
      </c>
      <c r="R3391" s="3">
        <f>L3391-Q3391</f>
        <v>41.16</v>
      </c>
      <c r="S3391" s="2">
        <f>NETWORKDAYS(B3391,C3391)-1</f>
        <v>3</v>
      </c>
      <c r="T3391" s="1">
        <f>WORKDAY(B3391,5)</f>
        <v>45758</v>
      </c>
      <c r="U3391" t="b">
        <f>C3391&gt;T3391</f>
        <v>0</v>
      </c>
    </row>
    <row r="3392" spans="1:21" x14ac:dyDescent="0.25">
      <c r="A3392" t="s">
        <v>2059</v>
      </c>
      <c r="B3392" s="1">
        <v>45751</v>
      </c>
      <c r="C3392" s="1">
        <v>45754</v>
      </c>
      <c r="D3392" t="s">
        <v>444</v>
      </c>
      <c r="E3392" t="s">
        <v>225</v>
      </c>
      <c r="F3392" t="s">
        <v>88</v>
      </c>
      <c r="G3392" t="s">
        <v>89</v>
      </c>
      <c r="H3392" t="s">
        <v>34</v>
      </c>
      <c r="I3392" s="2">
        <v>1</v>
      </c>
      <c r="J3392" s="3">
        <v>340</v>
      </c>
      <c r="K3392" s="4">
        <v>0</v>
      </c>
      <c r="L3392" s="3">
        <v>340</v>
      </c>
      <c r="M3392" t="b">
        <v>1</v>
      </c>
      <c r="N3392" s="2">
        <f>YEAR(B3392)</f>
        <v>2025</v>
      </c>
      <c r="O3392" t="str">
        <f>INDEX(Agences!$C:$C,MATCH(F3392,Agences!$A:$A,0))</f>
        <v>Sud-Ouest</v>
      </c>
      <c r="P3392" t="str">
        <f>INDEX(Produits!$C:$C,MATCH(H3392,Produits!$A:$A,0))</f>
        <v>Informatique</v>
      </c>
      <c r="Q3392" s="3">
        <f>I3392*INDEX(Produits!$E:$E,MATCH(H3392,Produits!$A:$A,0))</f>
        <v>275.4</v>
      </c>
      <c r="R3392" s="3">
        <f>L3392-Q3392</f>
        <v>64.60000000000002</v>
      </c>
      <c r="S3392" s="2">
        <f>NETWORKDAYS(B3392,C3392)-1</f>
        <v>1</v>
      </c>
      <c r="T3392" s="1">
        <f>WORKDAY(B3392,5)</f>
        <v>45758</v>
      </c>
      <c r="U3392" t="b">
        <f>C3392&gt;T3392</f>
        <v>0</v>
      </c>
    </row>
    <row r="3393" spans="1:21" x14ac:dyDescent="0.25">
      <c r="A3393" t="s">
        <v>2059</v>
      </c>
      <c r="B3393" s="1">
        <v>45751</v>
      </c>
      <c r="C3393" s="1">
        <v>45754</v>
      </c>
      <c r="D3393" t="s">
        <v>444</v>
      </c>
      <c r="E3393" t="s">
        <v>225</v>
      </c>
      <c r="F3393" t="s">
        <v>88</v>
      </c>
      <c r="G3393" t="s">
        <v>89</v>
      </c>
      <c r="H3393" t="s">
        <v>112</v>
      </c>
      <c r="I3393" s="2">
        <v>1</v>
      </c>
      <c r="J3393" s="3">
        <v>129</v>
      </c>
      <c r="K3393" s="4">
        <v>0.05</v>
      </c>
      <c r="L3393" s="3">
        <v>122.55</v>
      </c>
      <c r="M3393" t="b">
        <v>1</v>
      </c>
      <c r="N3393" s="2">
        <f>YEAR(B3393)</f>
        <v>2025</v>
      </c>
      <c r="O3393" t="str">
        <f>INDEX(Agences!$C:$C,MATCH(F3393,Agences!$A:$A,0))</f>
        <v>Sud-Ouest</v>
      </c>
      <c r="P3393" t="str">
        <f>INDEX(Produits!$C:$C,MATCH(H3393,Produits!$A:$A,0))</f>
        <v>Mobilier</v>
      </c>
      <c r="Q3393" s="3">
        <f>I3393*INDEX(Produits!$E:$E,MATCH(H3393,Produits!$A:$A,0))</f>
        <v>86.43</v>
      </c>
      <c r="R3393" s="3">
        <f>L3393-Q3393</f>
        <v>36.11999999999999</v>
      </c>
      <c r="S3393" s="2">
        <f>NETWORKDAYS(B3393,C3393)-1</f>
        <v>1</v>
      </c>
      <c r="T3393" s="1">
        <f>WORKDAY(B3393,5)</f>
        <v>45758</v>
      </c>
      <c r="U3393" t="b">
        <f>C3393&gt;T3393</f>
        <v>0</v>
      </c>
    </row>
    <row r="3394" spans="1:21" x14ac:dyDescent="0.25">
      <c r="A3394" t="s">
        <v>2059</v>
      </c>
      <c r="B3394" s="1">
        <v>45751</v>
      </c>
      <c r="C3394" s="1">
        <v>45754</v>
      </c>
      <c r="D3394" t="s">
        <v>444</v>
      </c>
      <c r="E3394" t="s">
        <v>225</v>
      </c>
      <c r="F3394" t="s">
        <v>88</v>
      </c>
      <c r="G3394" t="s">
        <v>89</v>
      </c>
      <c r="H3394" t="s">
        <v>83</v>
      </c>
      <c r="I3394" s="2">
        <v>2</v>
      </c>
      <c r="J3394" s="3">
        <v>49</v>
      </c>
      <c r="K3394" s="4">
        <v>0.05</v>
      </c>
      <c r="L3394" s="3">
        <v>93.1</v>
      </c>
      <c r="M3394" t="b">
        <v>1</v>
      </c>
      <c r="N3394" s="2">
        <f>YEAR(B3394)</f>
        <v>2025</v>
      </c>
      <c r="O3394" t="str">
        <f>INDEX(Agences!$C:$C,MATCH(F3394,Agences!$A:$A,0))</f>
        <v>Sud-Ouest</v>
      </c>
      <c r="P3394" t="str">
        <f>INDEX(Produits!$C:$C,MATCH(H3394,Produits!$A:$A,0))</f>
        <v>Mobilier</v>
      </c>
      <c r="Q3394" s="3">
        <f>I3394*INDEX(Produits!$E:$E,MATCH(H3394,Produits!$A:$A,0))</f>
        <v>56.84</v>
      </c>
      <c r="R3394" s="3">
        <f>L3394-Q3394</f>
        <v>36.25999999999999</v>
      </c>
      <c r="S3394" s="2">
        <f>NETWORKDAYS(B3394,C3394)-1</f>
        <v>1</v>
      </c>
      <c r="T3394" s="1">
        <f>WORKDAY(B3394,5)</f>
        <v>45758</v>
      </c>
      <c r="U3394" t="b">
        <f>C3394&gt;T3394</f>
        <v>0</v>
      </c>
    </row>
    <row r="3395" spans="1:21" x14ac:dyDescent="0.25">
      <c r="A3395" t="s">
        <v>2059</v>
      </c>
      <c r="B3395" s="1">
        <v>45751</v>
      </c>
      <c r="C3395" s="1">
        <v>45754</v>
      </c>
      <c r="D3395" t="s">
        <v>444</v>
      </c>
      <c r="E3395" t="s">
        <v>225</v>
      </c>
      <c r="F3395" t="s">
        <v>88</v>
      </c>
      <c r="G3395" t="s">
        <v>89</v>
      </c>
      <c r="H3395" t="s">
        <v>161</v>
      </c>
      <c r="I3395" s="2">
        <v>10</v>
      </c>
      <c r="J3395" s="3">
        <v>32</v>
      </c>
      <c r="K3395" s="4">
        <v>0.02</v>
      </c>
      <c r="L3395" s="3">
        <v>313.6</v>
      </c>
      <c r="M3395" t="b">
        <v>1</v>
      </c>
      <c r="N3395" s="2">
        <f>YEAR(B3395)</f>
        <v>2025</v>
      </c>
      <c r="O3395" t="str">
        <f>INDEX(Agences!$C:$C,MATCH(F3395,Agences!$A:$A,0))</f>
        <v>Sud-Ouest</v>
      </c>
      <c r="P3395" t="str">
        <f>INDEX(Produits!$C:$C,MATCH(H3395,Produits!$A:$A,0))</f>
        <v>Fournitures</v>
      </c>
      <c r="Q3395" s="3">
        <f>I3395*INDEX(Produits!$E:$E,MATCH(H3395,Produits!$A:$A,0))</f>
        <v>176</v>
      </c>
      <c r="R3395" s="3">
        <f>L3395-Q3395</f>
        <v>137.60000000000002</v>
      </c>
      <c r="S3395" s="2">
        <f>NETWORKDAYS(B3395,C3395)-1</f>
        <v>1</v>
      </c>
      <c r="T3395" s="1">
        <f>WORKDAY(B3395,5)</f>
        <v>45758</v>
      </c>
      <c r="U3395" t="b">
        <f>C3395&gt;T3395</f>
        <v>0</v>
      </c>
    </row>
    <row r="3396" spans="1:21" x14ac:dyDescent="0.25">
      <c r="A3396" t="s">
        <v>2059</v>
      </c>
      <c r="B3396" s="1">
        <v>45751</v>
      </c>
      <c r="C3396" s="1">
        <v>45754</v>
      </c>
      <c r="D3396" t="s">
        <v>444</v>
      </c>
      <c r="E3396" t="s">
        <v>225</v>
      </c>
      <c r="F3396" t="s">
        <v>88</v>
      </c>
      <c r="G3396" t="s">
        <v>89</v>
      </c>
      <c r="H3396" t="s">
        <v>42</v>
      </c>
      <c r="I3396" s="2">
        <v>1</v>
      </c>
      <c r="J3396" s="3">
        <v>55</v>
      </c>
      <c r="K3396" s="4">
        <v>0.1</v>
      </c>
      <c r="L3396" s="3">
        <v>49.5</v>
      </c>
      <c r="M3396" t="b">
        <v>1</v>
      </c>
      <c r="N3396" s="2">
        <f>YEAR(B3396)</f>
        <v>2025</v>
      </c>
      <c r="O3396" t="str">
        <f>INDEX(Agences!$C:$C,MATCH(F3396,Agences!$A:$A,0))</f>
        <v>Sud-Ouest</v>
      </c>
      <c r="P3396" t="str">
        <f>INDEX(Produits!$C:$C,MATCH(H3396,Produits!$A:$A,0))</f>
        <v>Maintenance</v>
      </c>
      <c r="Q3396" s="3">
        <f>I3396*INDEX(Produits!$E:$E,MATCH(H3396,Produits!$A:$A,0))</f>
        <v>24.75</v>
      </c>
      <c r="R3396" s="3">
        <f>L3396-Q3396</f>
        <v>24.75</v>
      </c>
      <c r="S3396" s="2">
        <f>NETWORKDAYS(B3396,C3396)-1</f>
        <v>1</v>
      </c>
      <c r="T3396" s="1">
        <f>WORKDAY(B3396,5)</f>
        <v>45758</v>
      </c>
      <c r="U3396" t="b">
        <f>C3396&gt;T3396</f>
        <v>0</v>
      </c>
    </row>
    <row r="3397" spans="1:21" x14ac:dyDescent="0.25">
      <c r="A3397" t="s">
        <v>2060</v>
      </c>
      <c r="B3397" s="1">
        <v>45751</v>
      </c>
      <c r="C3397" s="1">
        <v>45756</v>
      </c>
      <c r="D3397" t="s">
        <v>704</v>
      </c>
      <c r="E3397" t="s">
        <v>67</v>
      </c>
      <c r="F3397" t="s">
        <v>62</v>
      </c>
      <c r="G3397" t="s">
        <v>63</v>
      </c>
      <c r="H3397" t="s">
        <v>58</v>
      </c>
      <c r="I3397" s="2">
        <v>1</v>
      </c>
      <c r="J3397" s="3">
        <v>649</v>
      </c>
      <c r="K3397" s="4">
        <v>0.08</v>
      </c>
      <c r="L3397" s="3">
        <v>597.08</v>
      </c>
      <c r="M3397" t="b">
        <v>1</v>
      </c>
      <c r="N3397" s="2">
        <f>YEAR(B3397)</f>
        <v>2025</v>
      </c>
      <c r="O3397" t="str">
        <f>INDEX(Agences!$C:$C,MATCH(F3397,Agences!$A:$A,0))</f>
        <v>Méditerranée</v>
      </c>
      <c r="P3397" t="str">
        <f>INDEX(Produits!$C:$C,MATCH(H3397,Produits!$A:$A,0))</f>
        <v>Mobilier</v>
      </c>
      <c r="Q3397" s="3">
        <f>I3397*INDEX(Produits!$E:$E,MATCH(H3397,Produits!$A:$A,0))</f>
        <v>408.87</v>
      </c>
      <c r="R3397" s="3">
        <f>L3397-Q3397</f>
        <v>188.21000000000004</v>
      </c>
      <c r="S3397" s="2">
        <f>NETWORKDAYS(B3397,C3397)-1</f>
        <v>3</v>
      </c>
      <c r="T3397" s="1">
        <f>WORKDAY(B3397,5)</f>
        <v>45758</v>
      </c>
      <c r="U3397" t="b">
        <f>C3397&gt;T3397</f>
        <v>0</v>
      </c>
    </row>
    <row r="3398" spans="1:21" x14ac:dyDescent="0.25">
      <c r="A3398" t="s">
        <v>2060</v>
      </c>
      <c r="B3398" s="1">
        <v>45751</v>
      </c>
      <c r="C3398" s="1">
        <v>45756</v>
      </c>
      <c r="D3398" t="s">
        <v>704</v>
      </c>
      <c r="E3398" t="s">
        <v>67</v>
      </c>
      <c r="F3398" t="s">
        <v>62</v>
      </c>
      <c r="G3398" t="s">
        <v>63</v>
      </c>
      <c r="H3398" t="s">
        <v>34</v>
      </c>
      <c r="I3398" s="2">
        <v>1</v>
      </c>
      <c r="J3398" s="3">
        <v>340</v>
      </c>
      <c r="K3398" s="4">
        <v>0</v>
      </c>
      <c r="L3398" s="3">
        <v>340</v>
      </c>
      <c r="M3398" t="b">
        <v>1</v>
      </c>
      <c r="N3398" s="2">
        <f>YEAR(B3398)</f>
        <v>2025</v>
      </c>
      <c r="O3398" t="str">
        <f>INDEX(Agences!$C:$C,MATCH(F3398,Agences!$A:$A,0))</f>
        <v>Méditerranée</v>
      </c>
      <c r="P3398" t="str">
        <f>INDEX(Produits!$C:$C,MATCH(H3398,Produits!$A:$A,0))</f>
        <v>Informatique</v>
      </c>
      <c r="Q3398" s="3">
        <f>I3398*INDEX(Produits!$E:$E,MATCH(H3398,Produits!$A:$A,0))</f>
        <v>275.4</v>
      </c>
      <c r="R3398" s="3">
        <f>L3398-Q3398</f>
        <v>64.60000000000002</v>
      </c>
      <c r="S3398" s="2">
        <f>NETWORKDAYS(B3398,C3398)-1</f>
        <v>3</v>
      </c>
      <c r="T3398" s="1">
        <f>WORKDAY(B3398,5)</f>
        <v>45758</v>
      </c>
      <c r="U3398" t="b">
        <f>C3398&gt;T3398</f>
        <v>0</v>
      </c>
    </row>
    <row r="3399" spans="1:21" x14ac:dyDescent="0.25">
      <c r="A3399" t="s">
        <v>2061</v>
      </c>
      <c r="B3399" s="1">
        <v>45750</v>
      </c>
      <c r="C3399" s="1">
        <v>45751</v>
      </c>
      <c r="D3399" t="s">
        <v>2062</v>
      </c>
      <c r="E3399" t="s">
        <v>336</v>
      </c>
      <c r="F3399" t="s">
        <v>166</v>
      </c>
      <c r="G3399" t="s">
        <v>248</v>
      </c>
      <c r="H3399" t="s">
        <v>196</v>
      </c>
      <c r="I3399" s="2">
        <v>10</v>
      </c>
      <c r="J3399" s="3">
        <v>18.5</v>
      </c>
      <c r="K3399" s="4">
        <v>0</v>
      </c>
      <c r="L3399" s="3">
        <v>185</v>
      </c>
      <c r="M3399" t="b">
        <v>1</v>
      </c>
      <c r="N3399" s="2">
        <f>YEAR(B3399)</f>
        <v>2025</v>
      </c>
      <c r="O3399" t="str">
        <f>INDEX(Agences!$C:$C,MATCH(F3399,Agences!$A:$A,0))</f>
        <v>Ouest</v>
      </c>
      <c r="P3399" t="str">
        <f>INDEX(Produits!$C:$C,MATCH(H3399,Produits!$A:$A,0))</f>
        <v>Fournitures</v>
      </c>
      <c r="Q3399" s="3">
        <f>I3399*INDEX(Produits!$E:$E,MATCH(H3399,Produits!$A:$A,0))</f>
        <v>94.39999999999999</v>
      </c>
      <c r="R3399" s="3">
        <f>L3399-Q3399</f>
        <v>90.60000000000001</v>
      </c>
      <c r="S3399" s="2">
        <f>NETWORKDAYS(B3399,C3399)-1</f>
        <v>1</v>
      </c>
      <c r="T3399" s="1">
        <f>WORKDAY(B3399,5)</f>
        <v>45757</v>
      </c>
      <c r="U3399" t="b">
        <f>C3399&gt;T3399</f>
        <v>0</v>
      </c>
    </row>
    <row r="3400" spans="1:21" x14ac:dyDescent="0.25">
      <c r="A3400" t="s">
        <v>2063</v>
      </c>
      <c r="B3400" s="1">
        <v>45750</v>
      </c>
      <c r="C3400" s="1">
        <v>45754</v>
      </c>
      <c r="D3400" t="s">
        <v>1294</v>
      </c>
      <c r="E3400" t="s">
        <v>236</v>
      </c>
      <c r="F3400" t="s">
        <v>39</v>
      </c>
      <c r="G3400" t="s">
        <v>322</v>
      </c>
      <c r="H3400" t="s">
        <v>33</v>
      </c>
      <c r="I3400" s="2">
        <v>2</v>
      </c>
      <c r="J3400" s="3">
        <v>219</v>
      </c>
      <c r="K3400" s="4">
        <v>0</v>
      </c>
      <c r="L3400" s="3">
        <v>438</v>
      </c>
      <c r="M3400" t="b">
        <v>1</v>
      </c>
      <c r="N3400" s="2">
        <f>YEAR(B3400)</f>
        <v>2025</v>
      </c>
      <c r="O3400" t="str">
        <f>INDEX(Agences!$C:$C,MATCH(F3400,Agences!$A:$A,0))</f>
        <v>Sud-Ouest</v>
      </c>
      <c r="P3400" t="str">
        <f>INDEX(Produits!$C:$C,MATCH(H3400,Produits!$A:$A,0))</f>
        <v>Informatique</v>
      </c>
      <c r="Q3400" s="3">
        <f>I3400*INDEX(Produits!$E:$E,MATCH(H3400,Produits!$A:$A,0))</f>
        <v>359.16</v>
      </c>
      <c r="R3400" s="3">
        <f>L3400-Q3400</f>
        <v>78.83999999999997</v>
      </c>
      <c r="S3400" s="2">
        <f>NETWORKDAYS(B3400,C3400)-1</f>
        <v>2</v>
      </c>
      <c r="T3400" s="1">
        <f>WORKDAY(B3400,5)</f>
        <v>45757</v>
      </c>
      <c r="U3400" t="b">
        <f>C3400&gt;T3400</f>
        <v>0</v>
      </c>
    </row>
    <row r="3401" spans="1:21" x14ac:dyDescent="0.25">
      <c r="A3401" t="s">
        <v>2063</v>
      </c>
      <c r="B3401" s="1">
        <v>45750</v>
      </c>
      <c r="C3401" s="1">
        <v>45754</v>
      </c>
      <c r="D3401" t="s">
        <v>1294</v>
      </c>
      <c r="E3401" t="s">
        <v>236</v>
      </c>
      <c r="F3401" t="s">
        <v>39</v>
      </c>
      <c r="G3401" t="s">
        <v>322</v>
      </c>
      <c r="H3401" t="s">
        <v>83</v>
      </c>
      <c r="I3401" s="2">
        <v>2</v>
      </c>
      <c r="J3401" s="3">
        <v>49</v>
      </c>
      <c r="K3401" s="4">
        <v>0</v>
      </c>
      <c r="L3401" s="3">
        <v>98</v>
      </c>
      <c r="M3401" t="b">
        <v>1</v>
      </c>
      <c r="N3401" s="2">
        <f>YEAR(B3401)</f>
        <v>2025</v>
      </c>
      <c r="O3401" t="str">
        <f>INDEX(Agences!$C:$C,MATCH(F3401,Agences!$A:$A,0))</f>
        <v>Sud-Ouest</v>
      </c>
      <c r="P3401" t="str">
        <f>INDEX(Produits!$C:$C,MATCH(H3401,Produits!$A:$A,0))</f>
        <v>Mobilier</v>
      </c>
      <c r="Q3401" s="3">
        <f>I3401*INDEX(Produits!$E:$E,MATCH(H3401,Produits!$A:$A,0))</f>
        <v>56.84</v>
      </c>
      <c r="R3401" s="3">
        <f>L3401-Q3401</f>
        <v>41.16</v>
      </c>
      <c r="S3401" s="2">
        <f>NETWORKDAYS(B3401,C3401)-1</f>
        <v>2</v>
      </c>
      <c r="T3401" s="1">
        <f>WORKDAY(B3401,5)</f>
        <v>45757</v>
      </c>
      <c r="U3401" t="b">
        <f>C3401&gt;T3401</f>
        <v>0</v>
      </c>
    </row>
    <row r="3402" spans="1:21" x14ac:dyDescent="0.25">
      <c r="A3402" t="s">
        <v>2064</v>
      </c>
      <c r="B3402" s="1">
        <v>45750</v>
      </c>
      <c r="C3402" s="1">
        <v>45754</v>
      </c>
      <c r="D3402" t="s">
        <v>1268</v>
      </c>
      <c r="E3402" t="s">
        <v>191</v>
      </c>
      <c r="F3402" t="s">
        <v>62</v>
      </c>
      <c r="G3402" t="s">
        <v>106</v>
      </c>
      <c r="H3402" t="s">
        <v>33</v>
      </c>
      <c r="I3402" s="2">
        <v>2</v>
      </c>
      <c r="J3402" s="3">
        <v>219</v>
      </c>
      <c r="K3402" s="4">
        <v>0</v>
      </c>
      <c r="L3402" s="3">
        <v>438</v>
      </c>
      <c r="M3402" t="b">
        <v>1</v>
      </c>
      <c r="N3402" s="2">
        <f>YEAR(B3402)</f>
        <v>2025</v>
      </c>
      <c r="O3402" t="str">
        <f>INDEX(Agences!$C:$C,MATCH(F3402,Agences!$A:$A,0))</f>
        <v>Méditerranée</v>
      </c>
      <c r="P3402" t="str">
        <f>INDEX(Produits!$C:$C,MATCH(H3402,Produits!$A:$A,0))</f>
        <v>Informatique</v>
      </c>
      <c r="Q3402" s="3">
        <f>I3402*INDEX(Produits!$E:$E,MATCH(H3402,Produits!$A:$A,0))</f>
        <v>359.16</v>
      </c>
      <c r="R3402" s="3">
        <f>L3402-Q3402</f>
        <v>78.83999999999997</v>
      </c>
      <c r="S3402" s="2">
        <f>NETWORKDAYS(B3402,C3402)-1</f>
        <v>2</v>
      </c>
      <c r="T3402" s="1">
        <f>WORKDAY(B3402,5)</f>
        <v>45757</v>
      </c>
      <c r="U3402" t="b">
        <f>C3402&gt;T3402</f>
        <v>0</v>
      </c>
    </row>
    <row r="3403" spans="1:21" x14ac:dyDescent="0.25">
      <c r="A3403" t="s">
        <v>2064</v>
      </c>
      <c r="B3403" s="1">
        <v>45750</v>
      </c>
      <c r="C3403" s="1">
        <v>45754</v>
      </c>
      <c r="D3403" t="s">
        <v>1268</v>
      </c>
      <c r="E3403" t="s">
        <v>191</v>
      </c>
      <c r="F3403" t="s">
        <v>62</v>
      </c>
      <c r="G3403" t="s">
        <v>106</v>
      </c>
      <c r="H3403" t="s">
        <v>233</v>
      </c>
      <c r="I3403" s="2">
        <v>20</v>
      </c>
      <c r="J3403" s="3">
        <v>27.5</v>
      </c>
      <c r="K3403" s="4">
        <v>0</v>
      </c>
      <c r="L3403" s="3">
        <v>550</v>
      </c>
      <c r="M3403" t="b">
        <v>1</v>
      </c>
      <c r="N3403" s="2">
        <f>YEAR(B3403)</f>
        <v>2025</v>
      </c>
      <c r="O3403" t="str">
        <f>INDEX(Agences!$C:$C,MATCH(F3403,Agences!$A:$A,0))</f>
        <v>Méditerranée</v>
      </c>
      <c r="P3403" t="str">
        <f>INDEX(Produits!$C:$C,MATCH(H3403,Produits!$A:$A,0))</f>
        <v>Fournitures</v>
      </c>
      <c r="Q3403" s="3">
        <f>I3403*INDEX(Produits!$E:$E,MATCH(H3403,Produits!$A:$A,0))</f>
        <v>308</v>
      </c>
      <c r="R3403" s="3">
        <f>L3403-Q3403</f>
        <v>242</v>
      </c>
      <c r="S3403" s="2">
        <f>NETWORKDAYS(B3403,C3403)-1</f>
        <v>2</v>
      </c>
      <c r="T3403" s="1">
        <f>WORKDAY(B3403,5)</f>
        <v>45757</v>
      </c>
      <c r="U3403" t="b">
        <f>C3403&gt;T3403</f>
        <v>0</v>
      </c>
    </row>
    <row r="3404" spans="1:21" x14ac:dyDescent="0.25">
      <c r="A3404" t="s">
        <v>2065</v>
      </c>
      <c r="B3404" s="1">
        <v>45750</v>
      </c>
      <c r="C3404" s="1">
        <v>45754</v>
      </c>
      <c r="D3404" t="s">
        <v>2066</v>
      </c>
      <c r="E3404" t="s">
        <v>449</v>
      </c>
      <c r="F3404" t="s">
        <v>94</v>
      </c>
      <c r="G3404" t="s">
        <v>154</v>
      </c>
      <c r="H3404" t="s">
        <v>50</v>
      </c>
      <c r="I3404" s="2">
        <v>2</v>
      </c>
      <c r="J3404" s="3">
        <v>69</v>
      </c>
      <c r="K3404" s="4">
        <v>0.08</v>
      </c>
      <c r="L3404" s="3">
        <v>126.96</v>
      </c>
      <c r="M3404" t="b">
        <v>1</v>
      </c>
      <c r="N3404" s="2">
        <f>YEAR(B3404)</f>
        <v>2025</v>
      </c>
      <c r="O3404" t="str">
        <f>INDEX(Agences!$C:$C,MATCH(F3404,Agences!$A:$A,0))</f>
        <v>Méditerranée</v>
      </c>
      <c r="P3404" t="str">
        <f>INDEX(Produits!$C:$C,MATCH(H3404,Produits!$A:$A,0))</f>
        <v>Informatique</v>
      </c>
      <c r="Q3404" s="3">
        <f>I3404*INDEX(Produits!$E:$E,MATCH(H3404,Produits!$A:$A,0))</f>
        <v>109.02</v>
      </c>
      <c r="R3404" s="3">
        <f>L3404-Q3404</f>
        <v>17.939999999999998</v>
      </c>
      <c r="S3404" s="2">
        <f>NETWORKDAYS(B3404,C3404)-1</f>
        <v>2</v>
      </c>
      <c r="T3404" s="1">
        <f>WORKDAY(B3404,5)</f>
        <v>45757</v>
      </c>
      <c r="U3404" t="b">
        <f>C3404&gt;T3404</f>
        <v>0</v>
      </c>
    </row>
    <row r="3405" spans="1:21" x14ac:dyDescent="0.25">
      <c r="A3405" t="s">
        <v>2065</v>
      </c>
      <c r="B3405" s="1">
        <v>45750</v>
      </c>
      <c r="C3405" s="1">
        <v>45754</v>
      </c>
      <c r="D3405" t="s">
        <v>2066</v>
      </c>
      <c r="E3405" t="s">
        <v>449</v>
      </c>
      <c r="F3405" t="s">
        <v>94</v>
      </c>
      <c r="G3405" t="s">
        <v>154</v>
      </c>
      <c r="H3405" t="s">
        <v>196</v>
      </c>
      <c r="I3405" s="2">
        <v>5</v>
      </c>
      <c r="J3405" s="3">
        <v>18.5</v>
      </c>
      <c r="K3405" s="4">
        <v>0</v>
      </c>
      <c r="L3405" s="3">
        <v>92.5</v>
      </c>
      <c r="M3405" t="b">
        <v>1</v>
      </c>
      <c r="N3405" s="2">
        <f>YEAR(B3405)</f>
        <v>2025</v>
      </c>
      <c r="O3405" t="str">
        <f>INDEX(Agences!$C:$C,MATCH(F3405,Agences!$A:$A,0))</f>
        <v>Méditerranée</v>
      </c>
      <c r="P3405" t="str">
        <f>INDEX(Produits!$C:$C,MATCH(H3405,Produits!$A:$A,0))</f>
        <v>Fournitures</v>
      </c>
      <c r="Q3405" s="3">
        <f>I3405*INDEX(Produits!$E:$E,MATCH(H3405,Produits!$A:$A,0))</f>
        <v>47.199999999999996</v>
      </c>
      <c r="R3405" s="3">
        <f>L3405-Q3405</f>
        <v>45.300000000000004</v>
      </c>
      <c r="S3405" s="2">
        <f>NETWORKDAYS(B3405,C3405)-1</f>
        <v>2</v>
      </c>
      <c r="T3405" s="1">
        <f>WORKDAY(B3405,5)</f>
        <v>45757</v>
      </c>
      <c r="U3405" t="b">
        <f>C3405&gt;T3405</f>
        <v>0</v>
      </c>
    </row>
    <row r="3406" spans="1:21" x14ac:dyDescent="0.25">
      <c r="A3406" t="s">
        <v>2065</v>
      </c>
      <c r="B3406" s="1">
        <v>45750</v>
      </c>
      <c r="C3406" s="1">
        <v>45754</v>
      </c>
      <c r="D3406" t="s">
        <v>2066</v>
      </c>
      <c r="E3406" t="s">
        <v>449</v>
      </c>
      <c r="F3406" t="s">
        <v>94</v>
      </c>
      <c r="G3406" t="s">
        <v>154</v>
      </c>
      <c r="H3406" t="s">
        <v>26</v>
      </c>
      <c r="I3406" s="2">
        <v>1</v>
      </c>
      <c r="J3406" s="3">
        <v>290</v>
      </c>
      <c r="K3406" s="4">
        <v>0</v>
      </c>
      <c r="L3406" s="3">
        <v>290</v>
      </c>
      <c r="M3406" t="b">
        <v>1</v>
      </c>
      <c r="N3406" s="2">
        <f>YEAR(B3406)</f>
        <v>2025</v>
      </c>
      <c r="O3406" t="str">
        <f>INDEX(Agences!$C:$C,MATCH(F3406,Agences!$A:$A,0))</f>
        <v>Méditerranée</v>
      </c>
      <c r="P3406" t="str">
        <f>INDEX(Produits!$C:$C,MATCH(H3406,Produits!$A:$A,0))</f>
        <v>Maintenance</v>
      </c>
      <c r="Q3406" s="3">
        <f>I3406*INDEX(Produits!$E:$E,MATCH(H3406,Produits!$A:$A,0))</f>
        <v>139.2</v>
      </c>
      <c r="R3406" s="3">
        <f>L3406-Q3406</f>
        <v>150.8</v>
      </c>
      <c r="S3406" s="2">
        <f>NETWORKDAYS(B3406,C3406)-1</f>
        <v>2</v>
      </c>
      <c r="T3406" s="1">
        <f>WORKDAY(B3406,5)</f>
        <v>45757</v>
      </c>
      <c r="U3406" t="b">
        <f>C3406&gt;T3406</f>
        <v>0</v>
      </c>
    </row>
    <row r="3407" spans="1:21" x14ac:dyDescent="0.25">
      <c r="A3407" t="s">
        <v>2067</v>
      </c>
      <c r="B3407" s="1">
        <v>45749</v>
      </c>
      <c r="C3407" s="1">
        <v>45751</v>
      </c>
      <c r="D3407" t="s">
        <v>1318</v>
      </c>
      <c r="E3407" t="s">
        <v>209</v>
      </c>
      <c r="F3407" t="s">
        <v>99</v>
      </c>
      <c r="G3407" t="s">
        <v>265</v>
      </c>
      <c r="H3407" t="s">
        <v>150</v>
      </c>
      <c r="I3407" s="2">
        <v>1</v>
      </c>
      <c r="J3407" s="3">
        <v>790</v>
      </c>
      <c r="K3407" s="4">
        <v>0</v>
      </c>
      <c r="L3407" s="3">
        <v>790</v>
      </c>
      <c r="M3407" t="b">
        <v>1</v>
      </c>
      <c r="N3407" s="2">
        <f>YEAR(B3407)</f>
        <v>2025</v>
      </c>
      <c r="O3407" t="str">
        <f>INDEX(Agences!$C:$C,MATCH(F3407,Agences!$A:$A,0))</f>
        <v>Nord</v>
      </c>
      <c r="P3407" t="str">
        <f>INDEX(Produits!$C:$C,MATCH(H3407,Produits!$A:$A,0))</f>
        <v>Informatique</v>
      </c>
      <c r="Q3407" s="3">
        <f>I3407*INDEX(Produits!$E:$E,MATCH(H3407,Produits!$A:$A,0))</f>
        <v>584.6</v>
      </c>
      <c r="R3407" s="3">
        <f>L3407-Q3407</f>
        <v>205.39999999999998</v>
      </c>
      <c r="S3407" s="2">
        <f>NETWORKDAYS(B3407,C3407)-1</f>
        <v>2</v>
      </c>
      <c r="T3407" s="1">
        <f>WORKDAY(B3407,5)</f>
        <v>45756</v>
      </c>
      <c r="U3407" t="b">
        <f>C3407&gt;T3407</f>
        <v>0</v>
      </c>
    </row>
    <row r="3408" spans="1:21" x14ac:dyDescent="0.25">
      <c r="A3408" t="s">
        <v>2067</v>
      </c>
      <c r="B3408" s="1">
        <v>45749</v>
      </c>
      <c r="C3408" s="1">
        <v>45751</v>
      </c>
      <c r="D3408" t="s">
        <v>1318</v>
      </c>
      <c r="E3408" t="s">
        <v>209</v>
      </c>
      <c r="F3408" t="s">
        <v>99</v>
      </c>
      <c r="G3408" t="s">
        <v>265</v>
      </c>
      <c r="H3408" t="s">
        <v>42</v>
      </c>
      <c r="I3408" s="2">
        <v>2</v>
      </c>
      <c r="J3408" s="3">
        <v>55</v>
      </c>
      <c r="K3408" s="4">
        <v>0</v>
      </c>
      <c r="L3408" s="3">
        <v>110</v>
      </c>
      <c r="M3408" t="b">
        <v>1</v>
      </c>
      <c r="N3408" s="2">
        <f>YEAR(B3408)</f>
        <v>2025</v>
      </c>
      <c r="O3408" t="str">
        <f>INDEX(Agences!$C:$C,MATCH(F3408,Agences!$A:$A,0))</f>
        <v>Nord</v>
      </c>
      <c r="P3408" t="str">
        <f>INDEX(Produits!$C:$C,MATCH(H3408,Produits!$A:$A,0))</f>
        <v>Maintenance</v>
      </c>
      <c r="Q3408" s="3">
        <f>I3408*INDEX(Produits!$E:$E,MATCH(H3408,Produits!$A:$A,0))</f>
        <v>49.5</v>
      </c>
      <c r="R3408" s="3">
        <f>L3408-Q3408</f>
        <v>60.5</v>
      </c>
      <c r="S3408" s="2">
        <f>NETWORKDAYS(B3408,C3408)-1</f>
        <v>2</v>
      </c>
      <c r="T3408" s="1">
        <f>WORKDAY(B3408,5)</f>
        <v>45756</v>
      </c>
      <c r="U3408" t="b">
        <f>C3408&gt;T3408</f>
        <v>0</v>
      </c>
    </row>
    <row r="3409" spans="1:21" x14ac:dyDescent="0.25">
      <c r="A3409" t="s">
        <v>2067</v>
      </c>
      <c r="B3409" s="1">
        <v>45749</v>
      </c>
      <c r="C3409" s="1">
        <v>45751</v>
      </c>
      <c r="D3409" t="s">
        <v>1318</v>
      </c>
      <c r="E3409" t="s">
        <v>209</v>
      </c>
      <c r="F3409" t="s">
        <v>99</v>
      </c>
      <c r="G3409" t="s">
        <v>265</v>
      </c>
      <c r="H3409" t="s">
        <v>103</v>
      </c>
      <c r="I3409" s="2">
        <v>1</v>
      </c>
      <c r="J3409" s="3">
        <v>245</v>
      </c>
      <c r="K3409" s="4">
        <v>0.05</v>
      </c>
      <c r="L3409" s="3">
        <v>232.75</v>
      </c>
      <c r="M3409" t="b">
        <v>1</v>
      </c>
      <c r="N3409" s="2">
        <f>YEAR(B3409)</f>
        <v>2025</v>
      </c>
      <c r="O3409" t="str">
        <f>INDEX(Agences!$C:$C,MATCH(F3409,Agences!$A:$A,0))</f>
        <v>Nord</v>
      </c>
      <c r="P3409" t="str">
        <f>INDEX(Produits!$C:$C,MATCH(H3409,Produits!$A:$A,0))</f>
        <v>Mobilier</v>
      </c>
      <c r="Q3409" s="3">
        <f>I3409*INDEX(Produits!$E:$E,MATCH(H3409,Produits!$A:$A,0))</f>
        <v>164.15</v>
      </c>
      <c r="R3409" s="3">
        <f>L3409-Q3409</f>
        <v>68.6</v>
      </c>
      <c r="S3409" s="2">
        <f>NETWORKDAYS(B3409,C3409)-1</f>
        <v>2</v>
      </c>
      <c r="T3409" s="1">
        <f>WORKDAY(B3409,5)</f>
        <v>45756</v>
      </c>
      <c r="U3409" t="b">
        <f>C3409&gt;T3409</f>
        <v>0</v>
      </c>
    </row>
    <row r="3410" spans="1:21" x14ac:dyDescent="0.25">
      <c r="A3410" t="s">
        <v>2067</v>
      </c>
      <c r="B3410" s="1">
        <v>45749</v>
      </c>
      <c r="C3410" s="1">
        <v>45751</v>
      </c>
      <c r="D3410" t="s">
        <v>1318</v>
      </c>
      <c r="E3410" t="s">
        <v>209</v>
      </c>
      <c r="F3410" t="s">
        <v>99</v>
      </c>
      <c r="G3410" t="s">
        <v>265</v>
      </c>
      <c r="H3410" t="s">
        <v>107</v>
      </c>
      <c r="I3410" s="2">
        <v>1</v>
      </c>
      <c r="J3410" s="3">
        <v>99</v>
      </c>
      <c r="K3410" s="4">
        <v>0.05</v>
      </c>
      <c r="L3410" s="3">
        <v>94.05</v>
      </c>
      <c r="M3410" t="b">
        <v>1</v>
      </c>
      <c r="N3410" s="2">
        <f>YEAR(B3410)</f>
        <v>2025</v>
      </c>
      <c r="O3410" t="str">
        <f>INDEX(Agences!$C:$C,MATCH(F3410,Agences!$A:$A,0))</f>
        <v>Nord</v>
      </c>
      <c r="P3410" t="str">
        <f>INDEX(Produits!$C:$C,MATCH(H3410,Produits!$A:$A,0))</f>
        <v>Informatique</v>
      </c>
      <c r="Q3410" s="3">
        <f>I3410*INDEX(Produits!$E:$E,MATCH(H3410,Produits!$A:$A,0))</f>
        <v>75.24</v>
      </c>
      <c r="R3410" s="3">
        <f>L3410-Q3410</f>
        <v>18.810000000000002</v>
      </c>
      <c r="S3410" s="2">
        <f>NETWORKDAYS(B3410,C3410)-1</f>
        <v>2</v>
      </c>
      <c r="T3410" s="1">
        <f>WORKDAY(B3410,5)</f>
        <v>45756</v>
      </c>
      <c r="U3410" t="b">
        <f>C3410&gt;T3410</f>
        <v>0</v>
      </c>
    </row>
    <row r="3411" spans="1:21" x14ac:dyDescent="0.25">
      <c r="A3411" t="s">
        <v>2068</v>
      </c>
      <c r="B3411" s="1">
        <v>45749</v>
      </c>
      <c r="C3411" s="1">
        <v>45754</v>
      </c>
      <c r="D3411" t="s">
        <v>335</v>
      </c>
      <c r="E3411" t="s">
        <v>336</v>
      </c>
      <c r="F3411" t="s">
        <v>166</v>
      </c>
      <c r="G3411" t="s">
        <v>167</v>
      </c>
      <c r="H3411" t="s">
        <v>64</v>
      </c>
      <c r="I3411" s="2">
        <v>5</v>
      </c>
      <c r="J3411" s="3">
        <v>16.8</v>
      </c>
      <c r="K3411" s="4">
        <v>0</v>
      </c>
      <c r="L3411" s="3">
        <v>84</v>
      </c>
      <c r="M3411" t="b">
        <v>1</v>
      </c>
      <c r="N3411" s="2">
        <f>YEAR(B3411)</f>
        <v>2025</v>
      </c>
      <c r="O3411" t="str">
        <f>INDEX(Agences!$C:$C,MATCH(F3411,Agences!$A:$A,0))</f>
        <v>Ouest</v>
      </c>
      <c r="P3411" t="str">
        <f>INDEX(Produits!$C:$C,MATCH(H3411,Produits!$A:$A,0))</f>
        <v>Fournitures</v>
      </c>
      <c r="Q3411" s="3">
        <f>I3411*INDEX(Produits!$E:$E,MATCH(H3411,Produits!$A:$A,0))</f>
        <v>43.7</v>
      </c>
      <c r="R3411" s="3">
        <f>L3411-Q3411</f>
        <v>40.3</v>
      </c>
      <c r="S3411" s="2">
        <f>NETWORKDAYS(B3411,C3411)-1</f>
        <v>3</v>
      </c>
      <c r="T3411" s="1">
        <f>WORKDAY(B3411,5)</f>
        <v>45756</v>
      </c>
      <c r="U3411" t="b">
        <f>C3411&gt;T3411</f>
        <v>0</v>
      </c>
    </row>
    <row r="3412" spans="1:21" x14ac:dyDescent="0.25">
      <c r="A3412" t="s">
        <v>2068</v>
      </c>
      <c r="B3412" s="1">
        <v>45749</v>
      </c>
      <c r="C3412" s="1">
        <v>45754</v>
      </c>
      <c r="D3412" t="s">
        <v>335</v>
      </c>
      <c r="E3412" t="s">
        <v>336</v>
      </c>
      <c r="F3412" t="s">
        <v>166</v>
      </c>
      <c r="G3412" t="s">
        <v>167</v>
      </c>
      <c r="H3412" t="s">
        <v>107</v>
      </c>
      <c r="I3412" s="2">
        <v>1</v>
      </c>
      <c r="J3412" s="3">
        <v>99</v>
      </c>
      <c r="K3412" s="4">
        <v>0</v>
      </c>
      <c r="L3412" s="3">
        <v>99</v>
      </c>
      <c r="M3412" t="b">
        <v>1</v>
      </c>
      <c r="N3412" s="2">
        <f>YEAR(B3412)</f>
        <v>2025</v>
      </c>
      <c r="O3412" t="str">
        <f>INDEX(Agences!$C:$C,MATCH(F3412,Agences!$A:$A,0))</f>
        <v>Ouest</v>
      </c>
      <c r="P3412" t="str">
        <f>INDEX(Produits!$C:$C,MATCH(H3412,Produits!$A:$A,0))</f>
        <v>Informatique</v>
      </c>
      <c r="Q3412" s="3">
        <f>I3412*INDEX(Produits!$E:$E,MATCH(H3412,Produits!$A:$A,0))</f>
        <v>75.24</v>
      </c>
      <c r="R3412" s="3">
        <f>L3412-Q3412</f>
        <v>23.760000000000005</v>
      </c>
      <c r="S3412" s="2">
        <f>NETWORKDAYS(B3412,C3412)-1</f>
        <v>3</v>
      </c>
      <c r="T3412" s="1">
        <f>WORKDAY(B3412,5)</f>
        <v>45756</v>
      </c>
      <c r="U3412" t="b">
        <f>C3412&gt;T3412</f>
        <v>0</v>
      </c>
    </row>
    <row r="3413" spans="1:21" x14ac:dyDescent="0.25">
      <c r="A3413" t="s">
        <v>2068</v>
      </c>
      <c r="B3413" s="1">
        <v>45749</v>
      </c>
      <c r="C3413" s="1">
        <v>45754</v>
      </c>
      <c r="D3413" t="s">
        <v>335</v>
      </c>
      <c r="E3413" t="s">
        <v>336</v>
      </c>
      <c r="F3413" t="s">
        <v>166</v>
      </c>
      <c r="G3413" t="s">
        <v>167</v>
      </c>
      <c r="H3413" t="s">
        <v>35</v>
      </c>
      <c r="I3413" s="2">
        <v>4</v>
      </c>
      <c r="J3413" s="3">
        <v>79</v>
      </c>
      <c r="K3413" s="4">
        <v>0</v>
      </c>
      <c r="L3413" s="3">
        <v>316</v>
      </c>
      <c r="M3413" t="b">
        <v>1</v>
      </c>
      <c r="N3413" s="2">
        <f>YEAR(B3413)</f>
        <v>2025</v>
      </c>
      <c r="O3413" t="str">
        <f>INDEX(Agences!$C:$C,MATCH(F3413,Agences!$A:$A,0))</f>
        <v>Ouest</v>
      </c>
      <c r="P3413" t="str">
        <f>INDEX(Produits!$C:$C,MATCH(H3413,Produits!$A:$A,0))</f>
        <v>Mobilier</v>
      </c>
      <c r="Q3413" s="3">
        <f>I3413*INDEX(Produits!$E:$E,MATCH(H3413,Produits!$A:$A,0))</f>
        <v>186.44</v>
      </c>
      <c r="R3413" s="3">
        <f>L3413-Q3413</f>
        <v>129.56</v>
      </c>
      <c r="S3413" s="2">
        <f>NETWORKDAYS(B3413,C3413)-1</f>
        <v>3</v>
      </c>
      <c r="T3413" s="1">
        <f>WORKDAY(B3413,5)</f>
        <v>45756</v>
      </c>
      <c r="U3413" t="b">
        <f>C3413&gt;T3413</f>
        <v>0</v>
      </c>
    </row>
    <row r="3414" spans="1:21" x14ac:dyDescent="0.25">
      <c r="A3414" t="s">
        <v>2068</v>
      </c>
      <c r="B3414" s="1">
        <v>45749</v>
      </c>
      <c r="C3414" s="1">
        <v>45754</v>
      </c>
      <c r="D3414" t="s">
        <v>335</v>
      </c>
      <c r="E3414" t="s">
        <v>336</v>
      </c>
      <c r="F3414" t="s">
        <v>166</v>
      </c>
      <c r="G3414" t="s">
        <v>167</v>
      </c>
      <c r="H3414" t="s">
        <v>127</v>
      </c>
      <c r="I3414" s="2">
        <v>1</v>
      </c>
      <c r="J3414" s="3">
        <v>649</v>
      </c>
      <c r="K3414" s="4">
        <v>0.05</v>
      </c>
      <c r="L3414" s="3">
        <v>616.55</v>
      </c>
      <c r="M3414" t="b">
        <v>1</v>
      </c>
      <c r="N3414" s="2">
        <f>YEAR(B3414)</f>
        <v>2025</v>
      </c>
      <c r="O3414" t="str">
        <f>INDEX(Agences!$C:$C,MATCH(F3414,Agences!$A:$A,0))</f>
        <v>Ouest</v>
      </c>
      <c r="P3414" t="str">
        <f>INDEX(Produits!$C:$C,MATCH(H3414,Produits!$A:$A,0))</f>
        <v>Informatique</v>
      </c>
      <c r="Q3414" s="3">
        <f>I3414*INDEX(Produits!$E:$E,MATCH(H3414,Produits!$A:$A,0))</f>
        <v>480.26</v>
      </c>
      <c r="R3414" s="3">
        <f>L3414-Q3414</f>
        <v>136.28999999999996</v>
      </c>
      <c r="S3414" s="2">
        <f>NETWORKDAYS(B3414,C3414)-1</f>
        <v>3</v>
      </c>
      <c r="T3414" s="1">
        <f>WORKDAY(B3414,5)</f>
        <v>45756</v>
      </c>
      <c r="U3414" t="b">
        <f>C3414&gt;T3414</f>
        <v>0</v>
      </c>
    </row>
    <row r="3415" spans="1:21" x14ac:dyDescent="0.25">
      <c r="A3415" t="s">
        <v>2068</v>
      </c>
      <c r="B3415" s="1">
        <v>45749</v>
      </c>
      <c r="C3415" s="1">
        <v>45754</v>
      </c>
      <c r="D3415" t="s">
        <v>335</v>
      </c>
      <c r="E3415" t="s">
        <v>336</v>
      </c>
      <c r="F3415" t="s">
        <v>166</v>
      </c>
      <c r="G3415" t="s">
        <v>167</v>
      </c>
      <c r="H3415" t="s">
        <v>26</v>
      </c>
      <c r="I3415" s="2">
        <v>1</v>
      </c>
      <c r="J3415" s="3">
        <v>290</v>
      </c>
      <c r="K3415" s="4">
        <v>0</v>
      </c>
      <c r="L3415" s="3">
        <v>290</v>
      </c>
      <c r="M3415" t="b">
        <v>1</v>
      </c>
      <c r="N3415" s="2">
        <f>YEAR(B3415)</f>
        <v>2025</v>
      </c>
      <c r="O3415" t="str">
        <f>INDEX(Agences!$C:$C,MATCH(F3415,Agences!$A:$A,0))</f>
        <v>Ouest</v>
      </c>
      <c r="P3415" t="str">
        <f>INDEX(Produits!$C:$C,MATCH(H3415,Produits!$A:$A,0))</f>
        <v>Maintenance</v>
      </c>
      <c r="Q3415" s="3">
        <f>I3415*INDEX(Produits!$E:$E,MATCH(H3415,Produits!$A:$A,0))</f>
        <v>139.2</v>
      </c>
      <c r="R3415" s="3">
        <f>L3415-Q3415</f>
        <v>150.8</v>
      </c>
      <c r="S3415" s="2">
        <f>NETWORKDAYS(B3415,C3415)-1</f>
        <v>3</v>
      </c>
      <c r="T3415" s="1">
        <f>WORKDAY(B3415,5)</f>
        <v>45756</v>
      </c>
      <c r="U3415" t="b">
        <f>C3415&gt;T3415</f>
        <v>0</v>
      </c>
    </row>
    <row r="3416" spans="1:21" x14ac:dyDescent="0.25">
      <c r="A3416" t="s">
        <v>2069</v>
      </c>
      <c r="B3416" s="1">
        <v>45749</v>
      </c>
      <c r="C3416" s="1">
        <v>45751</v>
      </c>
      <c r="D3416" t="s">
        <v>1660</v>
      </c>
      <c r="E3416" t="s">
        <v>185</v>
      </c>
      <c r="F3416" t="s">
        <v>31</v>
      </c>
      <c r="G3416" t="s">
        <v>375</v>
      </c>
      <c r="H3416" t="s">
        <v>42</v>
      </c>
      <c r="I3416" s="2">
        <v>1</v>
      </c>
      <c r="J3416" s="3">
        <v>55</v>
      </c>
      <c r="K3416" s="4">
        <v>0</v>
      </c>
      <c r="L3416" s="3">
        <v>55</v>
      </c>
      <c r="M3416" t="b">
        <v>1</v>
      </c>
      <c r="N3416" s="2">
        <f>YEAR(B3416)</f>
        <v>2025</v>
      </c>
      <c r="O3416" t="str">
        <f>INDEX(Agences!$C:$C,MATCH(F3416,Agences!$A:$A,0))</f>
        <v>Ouest</v>
      </c>
      <c r="P3416" t="str">
        <f>INDEX(Produits!$C:$C,MATCH(H3416,Produits!$A:$A,0))</f>
        <v>Maintenance</v>
      </c>
      <c r="Q3416" s="3">
        <f>I3416*INDEX(Produits!$E:$E,MATCH(H3416,Produits!$A:$A,0))</f>
        <v>24.75</v>
      </c>
      <c r="R3416" s="3">
        <f>L3416-Q3416</f>
        <v>30.25</v>
      </c>
      <c r="S3416" s="2">
        <f>NETWORKDAYS(B3416,C3416)-1</f>
        <v>2</v>
      </c>
      <c r="T3416" s="1">
        <f>WORKDAY(B3416,5)</f>
        <v>45756</v>
      </c>
      <c r="U3416" t="b">
        <f>C3416&gt;T3416</f>
        <v>0</v>
      </c>
    </row>
    <row r="3417" spans="1:21" x14ac:dyDescent="0.25">
      <c r="A3417" t="s">
        <v>2069</v>
      </c>
      <c r="B3417" s="1">
        <v>45749</v>
      </c>
      <c r="C3417" s="1">
        <v>45751</v>
      </c>
      <c r="D3417" t="s">
        <v>1660</v>
      </c>
      <c r="E3417" t="s">
        <v>185</v>
      </c>
      <c r="F3417" t="s">
        <v>31</v>
      </c>
      <c r="G3417" t="s">
        <v>375</v>
      </c>
      <c r="H3417" t="s">
        <v>64</v>
      </c>
      <c r="I3417" s="2">
        <v>30</v>
      </c>
      <c r="J3417" s="3">
        <v>16.8</v>
      </c>
      <c r="K3417" s="4">
        <v>0.05</v>
      </c>
      <c r="L3417" s="3">
        <v>478.8</v>
      </c>
      <c r="M3417" t="b">
        <v>1</v>
      </c>
      <c r="N3417" s="2">
        <f>YEAR(B3417)</f>
        <v>2025</v>
      </c>
      <c r="O3417" t="str">
        <f>INDEX(Agences!$C:$C,MATCH(F3417,Agences!$A:$A,0))</f>
        <v>Ouest</v>
      </c>
      <c r="P3417" t="str">
        <f>INDEX(Produits!$C:$C,MATCH(H3417,Produits!$A:$A,0))</f>
        <v>Fournitures</v>
      </c>
      <c r="Q3417" s="3">
        <f>I3417*INDEX(Produits!$E:$E,MATCH(H3417,Produits!$A:$A,0))</f>
        <v>262.2</v>
      </c>
      <c r="R3417" s="3">
        <f>L3417-Q3417</f>
        <v>216.60000000000002</v>
      </c>
      <c r="S3417" s="2">
        <f>NETWORKDAYS(B3417,C3417)-1</f>
        <v>2</v>
      </c>
      <c r="T3417" s="1">
        <f>WORKDAY(B3417,5)</f>
        <v>45756</v>
      </c>
      <c r="U3417" t="b">
        <f>C3417&gt;T3417</f>
        <v>0</v>
      </c>
    </row>
    <row r="3418" spans="1:21" x14ac:dyDescent="0.25">
      <c r="A3418" t="s">
        <v>2069</v>
      </c>
      <c r="B3418" s="1">
        <v>45749</v>
      </c>
      <c r="C3418" s="1">
        <v>45751</v>
      </c>
      <c r="D3418" t="s">
        <v>1660</v>
      </c>
      <c r="E3418" t="s">
        <v>185</v>
      </c>
      <c r="F3418" t="s">
        <v>31</v>
      </c>
      <c r="G3418" t="s">
        <v>375</v>
      </c>
      <c r="H3418" t="s">
        <v>83</v>
      </c>
      <c r="I3418" s="2">
        <v>4</v>
      </c>
      <c r="J3418" s="3">
        <v>49</v>
      </c>
      <c r="K3418" s="4">
        <v>0</v>
      </c>
      <c r="L3418" s="3">
        <v>196</v>
      </c>
      <c r="M3418" t="b">
        <v>1</v>
      </c>
      <c r="N3418" s="2">
        <f>YEAR(B3418)</f>
        <v>2025</v>
      </c>
      <c r="O3418" t="str">
        <f>INDEX(Agences!$C:$C,MATCH(F3418,Agences!$A:$A,0))</f>
        <v>Ouest</v>
      </c>
      <c r="P3418" t="str">
        <f>INDEX(Produits!$C:$C,MATCH(H3418,Produits!$A:$A,0))</f>
        <v>Mobilier</v>
      </c>
      <c r="Q3418" s="3">
        <f>I3418*INDEX(Produits!$E:$E,MATCH(H3418,Produits!$A:$A,0))</f>
        <v>113.68</v>
      </c>
      <c r="R3418" s="3">
        <f>L3418-Q3418</f>
        <v>82.32</v>
      </c>
      <c r="S3418" s="2">
        <f>NETWORKDAYS(B3418,C3418)-1</f>
        <v>2</v>
      </c>
      <c r="T3418" s="1">
        <f>WORKDAY(B3418,5)</f>
        <v>45756</v>
      </c>
      <c r="U3418" t="b">
        <f>C3418&gt;T3418</f>
        <v>0</v>
      </c>
    </row>
    <row r="3419" spans="1:21" x14ac:dyDescent="0.25">
      <c r="A3419" t="s">
        <v>2070</v>
      </c>
      <c r="B3419" s="1">
        <v>45749</v>
      </c>
      <c r="C3419" s="1">
        <v>45756</v>
      </c>
      <c r="D3419" t="s">
        <v>453</v>
      </c>
      <c r="E3419" t="s">
        <v>130</v>
      </c>
      <c r="F3419" t="s">
        <v>39</v>
      </c>
      <c r="G3419" t="s">
        <v>131</v>
      </c>
      <c r="H3419" t="s">
        <v>83</v>
      </c>
      <c r="I3419" s="2">
        <v>6</v>
      </c>
      <c r="J3419" s="3">
        <v>49</v>
      </c>
      <c r="K3419" s="4">
        <v>0</v>
      </c>
      <c r="L3419" s="3">
        <v>294</v>
      </c>
      <c r="M3419" t="b">
        <v>1</v>
      </c>
      <c r="N3419" s="2">
        <f>YEAR(B3419)</f>
        <v>2025</v>
      </c>
      <c r="O3419" t="str">
        <f>INDEX(Agences!$C:$C,MATCH(F3419,Agences!$A:$A,0))</f>
        <v>Sud-Ouest</v>
      </c>
      <c r="P3419" t="str">
        <f>INDEX(Produits!$C:$C,MATCH(H3419,Produits!$A:$A,0))</f>
        <v>Mobilier</v>
      </c>
      <c r="Q3419" s="3">
        <f>I3419*INDEX(Produits!$E:$E,MATCH(H3419,Produits!$A:$A,0))</f>
        <v>170.52</v>
      </c>
      <c r="R3419" s="3">
        <f>L3419-Q3419</f>
        <v>123.47999999999999</v>
      </c>
      <c r="S3419" s="2">
        <f>NETWORKDAYS(B3419,C3419)-1</f>
        <v>5</v>
      </c>
      <c r="T3419" s="1">
        <f>WORKDAY(B3419,5)</f>
        <v>45756</v>
      </c>
      <c r="U3419" t="b">
        <f>C3419&gt;T3419</f>
        <v>0</v>
      </c>
    </row>
    <row r="3420" spans="1:21" x14ac:dyDescent="0.25">
      <c r="A3420" t="s">
        <v>2070</v>
      </c>
      <c r="B3420" s="1">
        <v>45749</v>
      </c>
      <c r="C3420" s="1">
        <v>45756</v>
      </c>
      <c r="D3420" t="s">
        <v>453</v>
      </c>
      <c r="E3420" t="s">
        <v>130</v>
      </c>
      <c r="F3420" t="s">
        <v>39</v>
      </c>
      <c r="G3420" t="s">
        <v>131</v>
      </c>
      <c r="H3420" t="s">
        <v>112</v>
      </c>
      <c r="I3420" s="2">
        <v>1</v>
      </c>
      <c r="J3420" s="3">
        <v>129</v>
      </c>
      <c r="K3420" s="4">
        <v>0</v>
      </c>
      <c r="L3420" s="3">
        <v>129</v>
      </c>
      <c r="M3420" t="b">
        <v>1</v>
      </c>
      <c r="N3420" s="2">
        <f>YEAR(B3420)</f>
        <v>2025</v>
      </c>
      <c r="O3420" t="str">
        <f>INDEX(Agences!$C:$C,MATCH(F3420,Agences!$A:$A,0))</f>
        <v>Sud-Ouest</v>
      </c>
      <c r="P3420" t="str">
        <f>INDEX(Produits!$C:$C,MATCH(H3420,Produits!$A:$A,0))</f>
        <v>Mobilier</v>
      </c>
      <c r="Q3420" s="3">
        <f>I3420*INDEX(Produits!$E:$E,MATCH(H3420,Produits!$A:$A,0))</f>
        <v>86.43</v>
      </c>
      <c r="R3420" s="3">
        <f>L3420-Q3420</f>
        <v>42.56999999999999</v>
      </c>
      <c r="S3420" s="2">
        <f>NETWORKDAYS(B3420,C3420)-1</f>
        <v>5</v>
      </c>
      <c r="T3420" s="1">
        <f>WORKDAY(B3420,5)</f>
        <v>45756</v>
      </c>
      <c r="U3420" t="b">
        <f>C3420&gt;T3420</f>
        <v>0</v>
      </c>
    </row>
    <row r="3421" spans="1:21" x14ac:dyDescent="0.25">
      <c r="A3421" t="s">
        <v>2071</v>
      </c>
      <c r="B3421" s="1">
        <v>45749</v>
      </c>
      <c r="C3421" s="1">
        <v>45756</v>
      </c>
      <c r="D3421" t="s">
        <v>1881</v>
      </c>
      <c r="E3421" t="s">
        <v>191</v>
      </c>
      <c r="F3421" t="s">
        <v>62</v>
      </c>
      <c r="G3421" t="s">
        <v>68</v>
      </c>
      <c r="H3421" t="s">
        <v>26</v>
      </c>
      <c r="I3421" s="2">
        <v>1</v>
      </c>
      <c r="J3421" s="3">
        <v>290</v>
      </c>
      <c r="K3421" s="4">
        <v>0</v>
      </c>
      <c r="L3421" s="3">
        <v>290</v>
      </c>
      <c r="M3421" t="b">
        <v>1</v>
      </c>
      <c r="N3421" s="2">
        <f>YEAR(B3421)</f>
        <v>2025</v>
      </c>
      <c r="O3421" t="str">
        <f>INDEX(Agences!$C:$C,MATCH(F3421,Agences!$A:$A,0))</f>
        <v>Méditerranée</v>
      </c>
      <c r="P3421" t="str">
        <f>INDEX(Produits!$C:$C,MATCH(H3421,Produits!$A:$A,0))</f>
        <v>Maintenance</v>
      </c>
      <c r="Q3421" s="3">
        <f>I3421*INDEX(Produits!$E:$E,MATCH(H3421,Produits!$A:$A,0))</f>
        <v>139.2</v>
      </c>
      <c r="R3421" s="3">
        <f>L3421-Q3421</f>
        <v>150.8</v>
      </c>
      <c r="S3421" s="2">
        <f>NETWORKDAYS(B3421,C3421)-1</f>
        <v>5</v>
      </c>
      <c r="T3421" s="1">
        <f>WORKDAY(B3421,5)</f>
        <v>45756</v>
      </c>
      <c r="U3421" t="b">
        <f>C3421&gt;T3421</f>
        <v>0</v>
      </c>
    </row>
    <row r="3422" spans="1:21" x14ac:dyDescent="0.25">
      <c r="A3422" t="s">
        <v>2071</v>
      </c>
      <c r="B3422" s="1">
        <v>45749</v>
      </c>
      <c r="C3422" s="1">
        <v>45756</v>
      </c>
      <c r="D3422" t="s">
        <v>1881</v>
      </c>
      <c r="E3422" t="s">
        <v>191</v>
      </c>
      <c r="F3422" t="s">
        <v>62</v>
      </c>
      <c r="G3422" t="s">
        <v>68</v>
      </c>
      <c r="H3422" t="s">
        <v>103</v>
      </c>
      <c r="I3422" s="2">
        <v>1</v>
      </c>
      <c r="J3422" s="3">
        <v>245</v>
      </c>
      <c r="K3422" s="4">
        <v>0</v>
      </c>
      <c r="L3422" s="3">
        <v>245</v>
      </c>
      <c r="M3422" t="b">
        <v>1</v>
      </c>
      <c r="N3422" s="2">
        <f>YEAR(B3422)</f>
        <v>2025</v>
      </c>
      <c r="O3422" t="str">
        <f>INDEX(Agences!$C:$C,MATCH(F3422,Agences!$A:$A,0))</f>
        <v>Méditerranée</v>
      </c>
      <c r="P3422" t="str">
        <f>INDEX(Produits!$C:$C,MATCH(H3422,Produits!$A:$A,0))</f>
        <v>Mobilier</v>
      </c>
      <c r="Q3422" s="3">
        <f>I3422*INDEX(Produits!$E:$E,MATCH(H3422,Produits!$A:$A,0))</f>
        <v>164.15</v>
      </c>
      <c r="R3422" s="3">
        <f>L3422-Q3422</f>
        <v>80.85</v>
      </c>
      <c r="S3422" s="2">
        <f>NETWORKDAYS(B3422,C3422)-1</f>
        <v>5</v>
      </c>
      <c r="T3422" s="1">
        <f>WORKDAY(B3422,5)</f>
        <v>45756</v>
      </c>
      <c r="U3422" t="b">
        <f>C3422&gt;T3422</f>
        <v>0</v>
      </c>
    </row>
    <row r="3423" spans="1:21" x14ac:dyDescent="0.25">
      <c r="A3423" t="s">
        <v>2072</v>
      </c>
      <c r="B3423" s="1">
        <v>45748</v>
      </c>
      <c r="C3423" s="1">
        <v>45750</v>
      </c>
      <c r="D3423" t="s">
        <v>1736</v>
      </c>
      <c r="E3423" t="s">
        <v>137</v>
      </c>
      <c r="F3423" t="s">
        <v>138</v>
      </c>
      <c r="G3423" t="s">
        <v>214</v>
      </c>
      <c r="H3423" t="s">
        <v>57</v>
      </c>
      <c r="I3423" s="2">
        <v>4</v>
      </c>
      <c r="J3423" s="3">
        <v>149</v>
      </c>
      <c r="K3423" s="4">
        <v>0</v>
      </c>
      <c r="L3423" s="3">
        <v>596</v>
      </c>
      <c r="M3423" t="b">
        <v>1</v>
      </c>
      <c r="N3423" s="2">
        <f>YEAR(B3423)</f>
        <v>2025</v>
      </c>
      <c r="O3423" t="str">
        <f>INDEX(Agences!$C:$C,MATCH(F3423,Agences!$A:$A,0))</f>
        <v>Île-de-France</v>
      </c>
      <c r="P3423" t="str">
        <f>INDEX(Produits!$C:$C,MATCH(H3423,Produits!$A:$A,0))</f>
        <v>Informatique</v>
      </c>
      <c r="Q3423" s="3">
        <f>I3423*INDEX(Produits!$E:$E,MATCH(H3423,Produits!$A:$A,0))</f>
        <v>458.92</v>
      </c>
      <c r="R3423" s="3">
        <f>L3423-Q3423</f>
        <v>137.07999999999998</v>
      </c>
      <c r="S3423" s="2">
        <f>NETWORKDAYS(B3423,C3423)-1</f>
        <v>2</v>
      </c>
      <c r="T3423" s="1">
        <f>WORKDAY(B3423,5)</f>
        <v>45755</v>
      </c>
      <c r="U3423" t="b">
        <f>C3423&gt;T3423</f>
        <v>0</v>
      </c>
    </row>
    <row r="3424" spans="1:21" x14ac:dyDescent="0.25">
      <c r="A3424" t="s">
        <v>2072</v>
      </c>
      <c r="B3424" s="1">
        <v>45748</v>
      </c>
      <c r="C3424" s="1">
        <v>45750</v>
      </c>
      <c r="D3424" t="s">
        <v>1736</v>
      </c>
      <c r="E3424" t="s">
        <v>137</v>
      </c>
      <c r="F3424" t="s">
        <v>138</v>
      </c>
      <c r="G3424" t="s">
        <v>214</v>
      </c>
      <c r="H3424" t="s">
        <v>35</v>
      </c>
      <c r="I3424" s="2">
        <v>1</v>
      </c>
      <c r="J3424" s="3">
        <v>79</v>
      </c>
      <c r="K3424" s="4">
        <v>0</v>
      </c>
      <c r="L3424" s="3">
        <v>79</v>
      </c>
      <c r="M3424" t="b">
        <v>1</v>
      </c>
      <c r="N3424" s="2">
        <f>YEAR(B3424)</f>
        <v>2025</v>
      </c>
      <c r="O3424" t="str">
        <f>INDEX(Agences!$C:$C,MATCH(F3424,Agences!$A:$A,0))</f>
        <v>Île-de-France</v>
      </c>
      <c r="P3424" t="str">
        <f>INDEX(Produits!$C:$C,MATCH(H3424,Produits!$A:$A,0))</f>
        <v>Mobilier</v>
      </c>
      <c r="Q3424" s="3">
        <f>I3424*INDEX(Produits!$E:$E,MATCH(H3424,Produits!$A:$A,0))</f>
        <v>46.61</v>
      </c>
      <c r="R3424" s="3">
        <f>L3424-Q3424</f>
        <v>32.39</v>
      </c>
      <c r="S3424" s="2">
        <f>NETWORKDAYS(B3424,C3424)-1</f>
        <v>2</v>
      </c>
      <c r="T3424" s="1">
        <f>WORKDAY(B3424,5)</f>
        <v>45755</v>
      </c>
      <c r="U3424" t="b">
        <f>C3424&gt;T3424</f>
        <v>0</v>
      </c>
    </row>
    <row r="3425" spans="1:21" x14ac:dyDescent="0.25">
      <c r="A3425" t="s">
        <v>2072</v>
      </c>
      <c r="B3425" s="1">
        <v>45748</v>
      </c>
      <c r="C3425" s="1">
        <v>45750</v>
      </c>
      <c r="D3425" t="s">
        <v>1736</v>
      </c>
      <c r="E3425" t="s">
        <v>137</v>
      </c>
      <c r="F3425" t="s">
        <v>138</v>
      </c>
      <c r="G3425" t="s">
        <v>214</v>
      </c>
      <c r="H3425" t="s">
        <v>42</v>
      </c>
      <c r="I3425" s="2">
        <v>1</v>
      </c>
      <c r="J3425" s="3">
        <v>55</v>
      </c>
      <c r="K3425" s="4">
        <v>0</v>
      </c>
      <c r="L3425" s="3">
        <v>55</v>
      </c>
      <c r="M3425" t="b">
        <v>1</v>
      </c>
      <c r="N3425" s="2">
        <f>YEAR(B3425)</f>
        <v>2025</v>
      </c>
      <c r="O3425" t="str">
        <f>INDEX(Agences!$C:$C,MATCH(F3425,Agences!$A:$A,0))</f>
        <v>Île-de-France</v>
      </c>
      <c r="P3425" t="str">
        <f>INDEX(Produits!$C:$C,MATCH(H3425,Produits!$A:$A,0))</f>
        <v>Maintenance</v>
      </c>
      <c r="Q3425" s="3">
        <f>I3425*INDEX(Produits!$E:$E,MATCH(H3425,Produits!$A:$A,0))</f>
        <v>24.75</v>
      </c>
      <c r="R3425" s="3">
        <f>L3425-Q3425</f>
        <v>30.25</v>
      </c>
      <c r="S3425" s="2">
        <f>NETWORKDAYS(B3425,C3425)-1</f>
        <v>2</v>
      </c>
      <c r="T3425" s="1">
        <f>WORKDAY(B3425,5)</f>
        <v>45755</v>
      </c>
      <c r="U3425" t="b">
        <f>C3425&gt;T3425</f>
        <v>0</v>
      </c>
    </row>
    <row r="3426" spans="1:21" x14ac:dyDescent="0.25">
      <c r="A3426" t="s">
        <v>2073</v>
      </c>
      <c r="B3426" s="1">
        <v>45748</v>
      </c>
      <c r="C3426" s="1">
        <v>45750</v>
      </c>
      <c r="D3426" t="s">
        <v>1064</v>
      </c>
      <c r="E3426" t="s">
        <v>242</v>
      </c>
      <c r="F3426" t="s">
        <v>94</v>
      </c>
      <c r="G3426" t="s">
        <v>182</v>
      </c>
      <c r="H3426" t="s">
        <v>162</v>
      </c>
      <c r="I3426" s="2">
        <v>1</v>
      </c>
      <c r="J3426" s="3">
        <v>289</v>
      </c>
      <c r="K3426" s="4">
        <v>0.02</v>
      </c>
      <c r="L3426" s="3">
        <v>283.22</v>
      </c>
      <c r="M3426" t="b">
        <v>1</v>
      </c>
      <c r="N3426" s="2">
        <f>YEAR(B3426)</f>
        <v>2025</v>
      </c>
      <c r="O3426" t="str">
        <f>INDEX(Agences!$C:$C,MATCH(F3426,Agences!$A:$A,0))</f>
        <v>Méditerranée</v>
      </c>
      <c r="P3426" t="str">
        <f>INDEX(Produits!$C:$C,MATCH(H3426,Produits!$A:$A,0))</f>
        <v>Mobilier</v>
      </c>
      <c r="Q3426" s="3">
        <f>I3426*INDEX(Produits!$E:$E,MATCH(H3426,Produits!$A:$A,0))</f>
        <v>193.63</v>
      </c>
      <c r="R3426" s="3">
        <f>L3426-Q3426</f>
        <v>89.59000000000003</v>
      </c>
      <c r="S3426" s="2">
        <f>NETWORKDAYS(B3426,C3426)-1</f>
        <v>2</v>
      </c>
      <c r="T3426" s="1">
        <f>WORKDAY(B3426,5)</f>
        <v>45755</v>
      </c>
      <c r="U3426" t="b">
        <f>C3426&gt;T3426</f>
        <v>0</v>
      </c>
    </row>
    <row r="3427" spans="1:21" x14ac:dyDescent="0.25">
      <c r="A3427" t="s">
        <v>2073</v>
      </c>
      <c r="B3427" s="1">
        <v>45748</v>
      </c>
      <c r="C3427" s="1">
        <v>45750</v>
      </c>
      <c r="D3427" t="s">
        <v>1064</v>
      </c>
      <c r="E3427" t="s">
        <v>242</v>
      </c>
      <c r="F3427" t="s">
        <v>94</v>
      </c>
      <c r="G3427" t="s">
        <v>182</v>
      </c>
      <c r="H3427" t="s">
        <v>42</v>
      </c>
      <c r="I3427" s="2">
        <v>3</v>
      </c>
      <c r="J3427" s="3">
        <v>55</v>
      </c>
      <c r="K3427" s="4">
        <v>0.02</v>
      </c>
      <c r="L3427" s="3">
        <v>161.7</v>
      </c>
      <c r="M3427" t="b">
        <v>1</v>
      </c>
      <c r="N3427" s="2">
        <f>YEAR(B3427)</f>
        <v>2025</v>
      </c>
      <c r="O3427" t="str">
        <f>INDEX(Agences!$C:$C,MATCH(F3427,Agences!$A:$A,0))</f>
        <v>Méditerranée</v>
      </c>
      <c r="P3427" t="str">
        <f>INDEX(Produits!$C:$C,MATCH(H3427,Produits!$A:$A,0))</f>
        <v>Maintenance</v>
      </c>
      <c r="Q3427" s="3">
        <f>I3427*INDEX(Produits!$E:$E,MATCH(H3427,Produits!$A:$A,0))</f>
        <v>74.25</v>
      </c>
      <c r="R3427" s="3">
        <f>L3427-Q3427</f>
        <v>87.44999999999999</v>
      </c>
      <c r="S3427" s="2">
        <f>NETWORKDAYS(B3427,C3427)-1</f>
        <v>2</v>
      </c>
      <c r="T3427" s="1">
        <f>WORKDAY(B3427,5)</f>
        <v>45755</v>
      </c>
      <c r="U3427" t="b">
        <f>C3427&gt;T3427</f>
        <v>0</v>
      </c>
    </row>
    <row r="3428" spans="1:21" x14ac:dyDescent="0.25">
      <c r="A3428" t="s">
        <v>2073</v>
      </c>
      <c r="B3428" s="1">
        <v>45748</v>
      </c>
      <c r="C3428" s="1">
        <v>45750</v>
      </c>
      <c r="D3428" t="s">
        <v>1064</v>
      </c>
      <c r="E3428" t="s">
        <v>242</v>
      </c>
      <c r="F3428" t="s">
        <v>94</v>
      </c>
      <c r="G3428" t="s">
        <v>182</v>
      </c>
      <c r="H3428" t="s">
        <v>35</v>
      </c>
      <c r="I3428" s="2">
        <v>3</v>
      </c>
      <c r="J3428" s="3">
        <v>79</v>
      </c>
      <c r="K3428" s="4">
        <v>0</v>
      </c>
      <c r="L3428" s="3">
        <v>237</v>
      </c>
      <c r="M3428" t="b">
        <v>1</v>
      </c>
      <c r="N3428" s="2">
        <f>YEAR(B3428)</f>
        <v>2025</v>
      </c>
      <c r="O3428" t="str">
        <f>INDEX(Agences!$C:$C,MATCH(F3428,Agences!$A:$A,0))</f>
        <v>Méditerranée</v>
      </c>
      <c r="P3428" t="str">
        <f>INDEX(Produits!$C:$C,MATCH(H3428,Produits!$A:$A,0))</f>
        <v>Mobilier</v>
      </c>
      <c r="Q3428" s="3">
        <f>I3428*INDEX(Produits!$E:$E,MATCH(H3428,Produits!$A:$A,0))</f>
        <v>139.82999999999998</v>
      </c>
      <c r="R3428" s="3">
        <f>L3428-Q3428</f>
        <v>97.17000000000002</v>
      </c>
      <c r="S3428" s="2">
        <f>NETWORKDAYS(B3428,C3428)-1</f>
        <v>2</v>
      </c>
      <c r="T3428" s="1">
        <f>WORKDAY(B3428,5)</f>
        <v>45755</v>
      </c>
      <c r="U3428" t="b">
        <f>C3428&gt;T3428</f>
        <v>0</v>
      </c>
    </row>
    <row r="3429" spans="1:21" x14ac:dyDescent="0.25">
      <c r="A3429" t="s">
        <v>2074</v>
      </c>
      <c r="B3429" s="1">
        <v>45747</v>
      </c>
      <c r="C3429" s="1">
        <v>45754</v>
      </c>
      <c r="D3429" t="s">
        <v>1374</v>
      </c>
      <c r="E3429" t="s">
        <v>82</v>
      </c>
      <c r="F3429" t="s">
        <v>39</v>
      </c>
      <c r="G3429" t="s">
        <v>131</v>
      </c>
      <c r="H3429" t="s">
        <v>127</v>
      </c>
      <c r="I3429" s="2">
        <v>1</v>
      </c>
      <c r="J3429" s="3">
        <v>649</v>
      </c>
      <c r="K3429" s="4">
        <v>0</v>
      </c>
      <c r="L3429" s="3">
        <v>649</v>
      </c>
      <c r="M3429" t="b">
        <v>1</v>
      </c>
      <c r="N3429" s="2">
        <f>YEAR(B3429)</f>
        <v>2025</v>
      </c>
      <c r="O3429" t="str">
        <f>INDEX(Agences!$C:$C,MATCH(F3429,Agences!$A:$A,0))</f>
        <v>Sud-Ouest</v>
      </c>
      <c r="P3429" t="str">
        <f>INDEX(Produits!$C:$C,MATCH(H3429,Produits!$A:$A,0))</f>
        <v>Informatique</v>
      </c>
      <c r="Q3429" s="3">
        <f>I3429*INDEX(Produits!$E:$E,MATCH(H3429,Produits!$A:$A,0))</f>
        <v>480.26</v>
      </c>
      <c r="R3429" s="3">
        <f>L3429-Q3429</f>
        <v>168.74</v>
      </c>
      <c r="S3429" s="2">
        <f>NETWORKDAYS(B3429,C3429)-1</f>
        <v>5</v>
      </c>
      <c r="T3429" s="1">
        <f>WORKDAY(B3429,5)</f>
        <v>45754</v>
      </c>
      <c r="U3429" t="b">
        <f>C3429&gt;T3429</f>
        <v>0</v>
      </c>
    </row>
    <row r="3430" spans="1:21" x14ac:dyDescent="0.25">
      <c r="A3430" t="s">
        <v>2074</v>
      </c>
      <c r="B3430" s="1">
        <v>45747</v>
      </c>
      <c r="C3430" s="1">
        <v>45754</v>
      </c>
      <c r="D3430" t="s">
        <v>1374</v>
      </c>
      <c r="E3430" t="s">
        <v>82</v>
      </c>
      <c r="F3430" t="s">
        <v>39</v>
      </c>
      <c r="G3430" t="s">
        <v>131</v>
      </c>
      <c r="H3430" t="s">
        <v>42</v>
      </c>
      <c r="I3430" s="2">
        <v>2</v>
      </c>
      <c r="J3430" s="3">
        <v>55</v>
      </c>
      <c r="K3430" s="4">
        <v>0.08</v>
      </c>
      <c r="L3430" s="3">
        <v>101.2</v>
      </c>
      <c r="M3430" t="b">
        <v>1</v>
      </c>
      <c r="N3430" s="2">
        <f>YEAR(B3430)</f>
        <v>2025</v>
      </c>
      <c r="O3430" t="str">
        <f>INDEX(Agences!$C:$C,MATCH(F3430,Agences!$A:$A,0))</f>
        <v>Sud-Ouest</v>
      </c>
      <c r="P3430" t="str">
        <f>INDEX(Produits!$C:$C,MATCH(H3430,Produits!$A:$A,0))</f>
        <v>Maintenance</v>
      </c>
      <c r="Q3430" s="3">
        <f>I3430*INDEX(Produits!$E:$E,MATCH(H3430,Produits!$A:$A,0))</f>
        <v>49.5</v>
      </c>
      <c r="R3430" s="3">
        <f>L3430-Q3430</f>
        <v>51.7</v>
      </c>
      <c r="S3430" s="2">
        <f>NETWORKDAYS(B3430,C3430)-1</f>
        <v>5</v>
      </c>
      <c r="T3430" s="1">
        <f>WORKDAY(B3430,5)</f>
        <v>45754</v>
      </c>
      <c r="U3430" t="b">
        <f>C3430&gt;T3430</f>
        <v>0</v>
      </c>
    </row>
    <row r="3431" spans="1:21" x14ac:dyDescent="0.25">
      <c r="A3431" t="s">
        <v>2074</v>
      </c>
      <c r="B3431" s="1">
        <v>45747</v>
      </c>
      <c r="C3431" s="1">
        <v>45754</v>
      </c>
      <c r="D3431" t="s">
        <v>1374</v>
      </c>
      <c r="E3431" t="s">
        <v>82</v>
      </c>
      <c r="F3431" t="s">
        <v>39</v>
      </c>
      <c r="G3431" t="s">
        <v>131</v>
      </c>
      <c r="H3431" t="s">
        <v>26</v>
      </c>
      <c r="I3431" s="2">
        <v>1</v>
      </c>
      <c r="J3431" s="3">
        <v>290</v>
      </c>
      <c r="K3431" s="4">
        <v>0</v>
      </c>
      <c r="L3431" s="3">
        <v>290</v>
      </c>
      <c r="M3431" t="b">
        <v>1</v>
      </c>
      <c r="N3431" s="2">
        <f>YEAR(B3431)</f>
        <v>2025</v>
      </c>
      <c r="O3431" t="str">
        <f>INDEX(Agences!$C:$C,MATCH(F3431,Agences!$A:$A,0))</f>
        <v>Sud-Ouest</v>
      </c>
      <c r="P3431" t="str">
        <f>INDEX(Produits!$C:$C,MATCH(H3431,Produits!$A:$A,0))</f>
        <v>Maintenance</v>
      </c>
      <c r="Q3431" s="3">
        <f>I3431*INDEX(Produits!$E:$E,MATCH(H3431,Produits!$A:$A,0))</f>
        <v>139.2</v>
      </c>
      <c r="R3431" s="3">
        <f>L3431-Q3431</f>
        <v>150.8</v>
      </c>
      <c r="S3431" s="2">
        <f>NETWORKDAYS(B3431,C3431)-1</f>
        <v>5</v>
      </c>
      <c r="T3431" s="1">
        <f>WORKDAY(B3431,5)</f>
        <v>45754</v>
      </c>
      <c r="U3431" t="b">
        <f>C3431&gt;T3431</f>
        <v>0</v>
      </c>
    </row>
    <row r="3432" spans="1:21" x14ac:dyDescent="0.25">
      <c r="A3432" t="s">
        <v>2074</v>
      </c>
      <c r="B3432" s="1">
        <v>45747</v>
      </c>
      <c r="C3432" s="1">
        <v>45754</v>
      </c>
      <c r="D3432" t="s">
        <v>1374</v>
      </c>
      <c r="E3432" t="s">
        <v>82</v>
      </c>
      <c r="F3432" t="s">
        <v>39</v>
      </c>
      <c r="G3432" t="s">
        <v>131</v>
      </c>
      <c r="H3432" t="s">
        <v>50</v>
      </c>
      <c r="I3432" s="2">
        <v>2</v>
      </c>
      <c r="J3432" s="3">
        <v>69</v>
      </c>
      <c r="K3432" s="4">
        <v>0</v>
      </c>
      <c r="L3432" s="3">
        <v>138</v>
      </c>
      <c r="M3432" t="b">
        <v>1</v>
      </c>
      <c r="N3432" s="2">
        <f>YEAR(B3432)</f>
        <v>2025</v>
      </c>
      <c r="O3432" t="str">
        <f>INDEX(Agences!$C:$C,MATCH(F3432,Agences!$A:$A,0))</f>
        <v>Sud-Ouest</v>
      </c>
      <c r="P3432" t="str">
        <f>INDEX(Produits!$C:$C,MATCH(H3432,Produits!$A:$A,0))</f>
        <v>Informatique</v>
      </c>
      <c r="Q3432" s="3">
        <f>I3432*INDEX(Produits!$E:$E,MATCH(H3432,Produits!$A:$A,0))</f>
        <v>109.02</v>
      </c>
      <c r="R3432" s="3">
        <f>L3432-Q3432</f>
        <v>28.980000000000004</v>
      </c>
      <c r="S3432" s="2">
        <f>NETWORKDAYS(B3432,C3432)-1</f>
        <v>5</v>
      </c>
      <c r="T3432" s="1">
        <f>WORKDAY(B3432,5)</f>
        <v>45754</v>
      </c>
      <c r="U3432" t="b">
        <f>C3432&gt;T3432</f>
        <v>0</v>
      </c>
    </row>
    <row r="3433" spans="1:21" x14ac:dyDescent="0.25">
      <c r="A3433" t="s">
        <v>2074</v>
      </c>
      <c r="B3433" s="1">
        <v>45747</v>
      </c>
      <c r="C3433" s="1">
        <v>45754</v>
      </c>
      <c r="D3433" t="s">
        <v>1374</v>
      </c>
      <c r="E3433" t="s">
        <v>82</v>
      </c>
      <c r="F3433" t="s">
        <v>39</v>
      </c>
      <c r="G3433" t="s">
        <v>131</v>
      </c>
      <c r="H3433" t="s">
        <v>103</v>
      </c>
      <c r="I3433" s="2">
        <v>3</v>
      </c>
      <c r="J3433" s="3">
        <v>245</v>
      </c>
      <c r="K3433" s="4">
        <v>0</v>
      </c>
      <c r="L3433" s="3">
        <v>735</v>
      </c>
      <c r="M3433" t="b">
        <v>1</v>
      </c>
      <c r="N3433" s="2">
        <f>YEAR(B3433)</f>
        <v>2025</v>
      </c>
      <c r="O3433" t="str">
        <f>INDEX(Agences!$C:$C,MATCH(F3433,Agences!$A:$A,0))</f>
        <v>Sud-Ouest</v>
      </c>
      <c r="P3433" t="str">
        <f>INDEX(Produits!$C:$C,MATCH(H3433,Produits!$A:$A,0))</f>
        <v>Mobilier</v>
      </c>
      <c r="Q3433" s="3">
        <f>I3433*INDEX(Produits!$E:$E,MATCH(H3433,Produits!$A:$A,0))</f>
        <v>492.45000000000005</v>
      </c>
      <c r="R3433" s="3">
        <f>L3433-Q3433</f>
        <v>242.54999999999995</v>
      </c>
      <c r="S3433" s="2">
        <f>NETWORKDAYS(B3433,C3433)-1</f>
        <v>5</v>
      </c>
      <c r="T3433" s="1">
        <f>WORKDAY(B3433,5)</f>
        <v>45754</v>
      </c>
      <c r="U3433" t="b">
        <f>C3433&gt;T3433</f>
        <v>0</v>
      </c>
    </row>
    <row r="3434" spans="1:21" x14ac:dyDescent="0.25">
      <c r="A3434" t="s">
        <v>2075</v>
      </c>
      <c r="B3434" s="1">
        <v>45747</v>
      </c>
      <c r="C3434" s="1">
        <v>45750</v>
      </c>
      <c r="D3434" t="s">
        <v>1021</v>
      </c>
      <c r="E3434" t="s">
        <v>242</v>
      </c>
      <c r="F3434" t="s">
        <v>94</v>
      </c>
      <c r="G3434" t="s">
        <v>154</v>
      </c>
      <c r="H3434" t="s">
        <v>206</v>
      </c>
      <c r="I3434" s="2">
        <v>15</v>
      </c>
      <c r="J3434" s="3">
        <v>34</v>
      </c>
      <c r="K3434" s="4">
        <v>0.1</v>
      </c>
      <c r="L3434" s="3">
        <v>459</v>
      </c>
      <c r="M3434" t="b">
        <v>1</v>
      </c>
      <c r="N3434" s="2">
        <f>YEAR(B3434)</f>
        <v>2025</v>
      </c>
      <c r="O3434" t="str">
        <f>INDEX(Agences!$C:$C,MATCH(F3434,Agences!$A:$A,0))</f>
        <v>Méditerranée</v>
      </c>
      <c r="P3434" t="str">
        <f>INDEX(Produits!$C:$C,MATCH(H3434,Produits!$A:$A,0))</f>
        <v>Fournitures</v>
      </c>
      <c r="Q3434" s="3">
        <f>I3434*INDEX(Produits!$E:$E,MATCH(H3434,Produits!$A:$A,0))</f>
        <v>290.7</v>
      </c>
      <c r="R3434" s="3">
        <f>L3434-Q3434</f>
        <v>168.3</v>
      </c>
      <c r="S3434" s="2">
        <f>NETWORKDAYS(B3434,C3434)-1</f>
        <v>3</v>
      </c>
      <c r="T3434" s="1">
        <f>WORKDAY(B3434,5)</f>
        <v>45754</v>
      </c>
      <c r="U3434" t="b">
        <f>C3434&gt;T3434</f>
        <v>0</v>
      </c>
    </row>
    <row r="3435" spans="1:21" x14ac:dyDescent="0.25">
      <c r="A3435" t="s">
        <v>2075</v>
      </c>
      <c r="B3435" s="1">
        <v>45747</v>
      </c>
      <c r="C3435" s="1">
        <v>45750</v>
      </c>
      <c r="D3435" t="s">
        <v>1021</v>
      </c>
      <c r="E3435" t="s">
        <v>242</v>
      </c>
      <c r="F3435" t="s">
        <v>94</v>
      </c>
      <c r="G3435" t="s">
        <v>154</v>
      </c>
      <c r="H3435" t="s">
        <v>34</v>
      </c>
      <c r="I3435" s="2">
        <v>1</v>
      </c>
      <c r="J3435" s="3">
        <v>340</v>
      </c>
      <c r="K3435" s="4">
        <v>0</v>
      </c>
      <c r="L3435" s="3">
        <v>340</v>
      </c>
      <c r="M3435" t="b">
        <v>1</v>
      </c>
      <c r="N3435" s="2">
        <f>YEAR(B3435)</f>
        <v>2025</v>
      </c>
      <c r="O3435" t="str">
        <f>INDEX(Agences!$C:$C,MATCH(F3435,Agences!$A:$A,0))</f>
        <v>Méditerranée</v>
      </c>
      <c r="P3435" t="str">
        <f>INDEX(Produits!$C:$C,MATCH(H3435,Produits!$A:$A,0))</f>
        <v>Informatique</v>
      </c>
      <c r="Q3435" s="3">
        <f>I3435*INDEX(Produits!$E:$E,MATCH(H3435,Produits!$A:$A,0))</f>
        <v>275.4</v>
      </c>
      <c r="R3435" s="3">
        <f>L3435-Q3435</f>
        <v>64.60000000000002</v>
      </c>
      <c r="S3435" s="2">
        <f>NETWORKDAYS(B3435,C3435)-1</f>
        <v>3</v>
      </c>
      <c r="T3435" s="1">
        <f>WORKDAY(B3435,5)</f>
        <v>45754</v>
      </c>
      <c r="U3435" t="b">
        <f>C3435&gt;T3435</f>
        <v>0</v>
      </c>
    </row>
    <row r="3436" spans="1:21" x14ac:dyDescent="0.25">
      <c r="A3436" t="s">
        <v>2076</v>
      </c>
      <c r="B3436" s="1">
        <v>45744</v>
      </c>
      <c r="C3436" s="1">
        <v>45747</v>
      </c>
      <c r="D3436" t="s">
        <v>675</v>
      </c>
      <c r="E3436" t="s">
        <v>98</v>
      </c>
      <c r="F3436" t="s">
        <v>99</v>
      </c>
      <c r="G3436" t="s">
        <v>210</v>
      </c>
      <c r="H3436" t="s">
        <v>35</v>
      </c>
      <c r="I3436" s="2">
        <v>7</v>
      </c>
      <c r="J3436" s="3">
        <v>79</v>
      </c>
      <c r="K3436" s="4">
        <v>0</v>
      </c>
      <c r="L3436" s="3">
        <v>553</v>
      </c>
      <c r="M3436" t="b">
        <v>1</v>
      </c>
      <c r="N3436" s="2">
        <f>YEAR(B3436)</f>
        <v>2025</v>
      </c>
      <c r="O3436" t="str">
        <f>INDEX(Agences!$C:$C,MATCH(F3436,Agences!$A:$A,0))</f>
        <v>Nord</v>
      </c>
      <c r="P3436" t="str">
        <f>INDEX(Produits!$C:$C,MATCH(H3436,Produits!$A:$A,0))</f>
        <v>Mobilier</v>
      </c>
      <c r="Q3436" s="3">
        <f>I3436*INDEX(Produits!$E:$E,MATCH(H3436,Produits!$A:$A,0))</f>
        <v>326.27</v>
      </c>
      <c r="R3436" s="3">
        <f>L3436-Q3436</f>
        <v>226.73000000000002</v>
      </c>
      <c r="S3436" s="2">
        <f>NETWORKDAYS(B3436,C3436)-1</f>
        <v>1</v>
      </c>
      <c r="T3436" s="1">
        <f>WORKDAY(B3436,5)</f>
        <v>45751</v>
      </c>
      <c r="U3436" t="b">
        <f>C3436&gt;T3436</f>
        <v>0</v>
      </c>
    </row>
    <row r="3437" spans="1:21" x14ac:dyDescent="0.25">
      <c r="A3437" t="s">
        <v>2077</v>
      </c>
      <c r="B3437" s="1">
        <v>45744</v>
      </c>
      <c r="C3437" s="1">
        <v>45748</v>
      </c>
      <c r="D3437" t="s">
        <v>1722</v>
      </c>
      <c r="E3437" t="s">
        <v>202</v>
      </c>
      <c r="F3437" t="s">
        <v>138</v>
      </c>
      <c r="G3437" t="s">
        <v>139</v>
      </c>
      <c r="H3437" t="s">
        <v>27</v>
      </c>
      <c r="I3437" s="2">
        <v>1</v>
      </c>
      <c r="J3437" s="3">
        <v>310</v>
      </c>
      <c r="K3437" s="4">
        <v>0</v>
      </c>
      <c r="L3437" s="3">
        <v>310</v>
      </c>
      <c r="M3437" t="b">
        <v>1</v>
      </c>
      <c r="N3437" s="2">
        <f>YEAR(B3437)</f>
        <v>2025</v>
      </c>
      <c r="O3437" t="str">
        <f>INDEX(Agences!$C:$C,MATCH(F3437,Agences!$A:$A,0))</f>
        <v>Île-de-France</v>
      </c>
      <c r="P3437" t="str">
        <f>INDEX(Produits!$C:$C,MATCH(H3437,Produits!$A:$A,0))</f>
        <v>Mobilier</v>
      </c>
      <c r="Q3437" s="3">
        <f>I3437*INDEX(Produits!$E:$E,MATCH(H3437,Produits!$A:$A,0))</f>
        <v>186</v>
      </c>
      <c r="R3437" s="3">
        <f>L3437-Q3437</f>
        <v>124</v>
      </c>
      <c r="S3437" s="2">
        <f>NETWORKDAYS(B3437,C3437)-1</f>
        <v>2</v>
      </c>
      <c r="T3437" s="1">
        <f>WORKDAY(B3437,5)</f>
        <v>45751</v>
      </c>
      <c r="U3437" t="b">
        <f>C3437&gt;T3437</f>
        <v>0</v>
      </c>
    </row>
    <row r="3438" spans="1:21" x14ac:dyDescent="0.25">
      <c r="A3438" t="s">
        <v>2077</v>
      </c>
      <c r="B3438" s="1">
        <v>45744</v>
      </c>
      <c r="C3438" s="1">
        <v>45748</v>
      </c>
      <c r="D3438" t="s">
        <v>1722</v>
      </c>
      <c r="E3438" t="s">
        <v>202</v>
      </c>
      <c r="F3438" t="s">
        <v>138</v>
      </c>
      <c r="G3438" t="s">
        <v>139</v>
      </c>
      <c r="H3438" t="s">
        <v>83</v>
      </c>
      <c r="I3438" s="2">
        <v>1</v>
      </c>
      <c r="J3438" s="3">
        <v>49</v>
      </c>
      <c r="K3438" s="4">
        <v>0.08</v>
      </c>
      <c r="L3438" s="3">
        <v>45.08</v>
      </c>
      <c r="M3438" t="b">
        <v>1</v>
      </c>
      <c r="N3438" s="2">
        <f>YEAR(B3438)</f>
        <v>2025</v>
      </c>
      <c r="O3438" t="str">
        <f>INDEX(Agences!$C:$C,MATCH(F3438,Agences!$A:$A,0))</f>
        <v>Île-de-France</v>
      </c>
      <c r="P3438" t="str">
        <f>INDEX(Produits!$C:$C,MATCH(H3438,Produits!$A:$A,0))</f>
        <v>Mobilier</v>
      </c>
      <c r="Q3438" s="3">
        <f>I3438*INDEX(Produits!$E:$E,MATCH(H3438,Produits!$A:$A,0))</f>
        <v>28.42</v>
      </c>
      <c r="R3438" s="3">
        <f>L3438-Q3438</f>
        <v>16.659999999999997</v>
      </c>
      <c r="S3438" s="2">
        <f>NETWORKDAYS(B3438,C3438)-1</f>
        <v>2</v>
      </c>
      <c r="T3438" s="1">
        <f>WORKDAY(B3438,5)</f>
        <v>45751</v>
      </c>
      <c r="U3438" t="b">
        <f>C3438&gt;T3438</f>
        <v>0</v>
      </c>
    </row>
    <row r="3439" spans="1:21" x14ac:dyDescent="0.25">
      <c r="A3439" t="s">
        <v>2077</v>
      </c>
      <c r="B3439" s="1">
        <v>45744</v>
      </c>
      <c r="C3439" s="1">
        <v>45748</v>
      </c>
      <c r="D3439" t="s">
        <v>1722</v>
      </c>
      <c r="E3439" t="s">
        <v>202</v>
      </c>
      <c r="F3439" t="s">
        <v>138</v>
      </c>
      <c r="G3439" t="s">
        <v>139</v>
      </c>
      <c r="H3439" t="s">
        <v>49</v>
      </c>
      <c r="I3439" s="2">
        <v>1</v>
      </c>
      <c r="J3439" s="3">
        <v>120</v>
      </c>
      <c r="K3439" s="4">
        <v>0</v>
      </c>
      <c r="L3439" s="3">
        <v>120</v>
      </c>
      <c r="M3439" t="b">
        <v>1</v>
      </c>
      <c r="N3439" s="2">
        <f>YEAR(B3439)</f>
        <v>2025</v>
      </c>
      <c r="O3439" t="str">
        <f>INDEX(Agences!$C:$C,MATCH(F3439,Agences!$A:$A,0))</f>
        <v>Île-de-France</v>
      </c>
      <c r="P3439" t="str">
        <f>INDEX(Produits!$C:$C,MATCH(H3439,Produits!$A:$A,0))</f>
        <v>Maintenance</v>
      </c>
      <c r="Q3439" s="3">
        <f>I3439*INDEX(Produits!$E:$E,MATCH(H3439,Produits!$A:$A,0))</f>
        <v>55.2</v>
      </c>
      <c r="R3439" s="3">
        <f>L3439-Q3439</f>
        <v>64.8</v>
      </c>
      <c r="S3439" s="2">
        <f>NETWORKDAYS(B3439,C3439)-1</f>
        <v>2</v>
      </c>
      <c r="T3439" s="1">
        <f>WORKDAY(B3439,5)</f>
        <v>45751</v>
      </c>
      <c r="U3439" t="b">
        <f>C3439&gt;T3439</f>
        <v>0</v>
      </c>
    </row>
    <row r="3440" spans="1:21" x14ac:dyDescent="0.25">
      <c r="A3440" t="s">
        <v>2077</v>
      </c>
      <c r="B3440" s="1">
        <v>45744</v>
      </c>
      <c r="C3440" s="1">
        <v>45748</v>
      </c>
      <c r="D3440" t="s">
        <v>1722</v>
      </c>
      <c r="E3440" t="s">
        <v>202</v>
      </c>
      <c r="F3440" t="s">
        <v>138</v>
      </c>
      <c r="G3440" t="s">
        <v>139</v>
      </c>
      <c r="H3440" t="s">
        <v>64</v>
      </c>
      <c r="I3440" s="2">
        <v>20</v>
      </c>
      <c r="J3440" s="3">
        <v>16.8</v>
      </c>
      <c r="K3440" s="4">
        <v>0</v>
      </c>
      <c r="L3440" s="3">
        <v>336</v>
      </c>
      <c r="M3440" t="b">
        <v>1</v>
      </c>
      <c r="N3440" s="2">
        <f>YEAR(B3440)</f>
        <v>2025</v>
      </c>
      <c r="O3440" t="str">
        <f>INDEX(Agences!$C:$C,MATCH(F3440,Agences!$A:$A,0))</f>
        <v>Île-de-France</v>
      </c>
      <c r="P3440" t="str">
        <f>INDEX(Produits!$C:$C,MATCH(H3440,Produits!$A:$A,0))</f>
        <v>Fournitures</v>
      </c>
      <c r="Q3440" s="3">
        <f>I3440*INDEX(Produits!$E:$E,MATCH(H3440,Produits!$A:$A,0))</f>
        <v>174.8</v>
      </c>
      <c r="R3440" s="3">
        <f>L3440-Q3440</f>
        <v>161.2</v>
      </c>
      <c r="S3440" s="2">
        <f>NETWORKDAYS(B3440,C3440)-1</f>
        <v>2</v>
      </c>
      <c r="T3440" s="1">
        <f>WORKDAY(B3440,5)</f>
        <v>45751</v>
      </c>
      <c r="U3440" t="b">
        <f>C3440&gt;T3440</f>
        <v>0</v>
      </c>
    </row>
    <row r="3441" spans="1:21" x14ac:dyDescent="0.25">
      <c r="A3441" t="s">
        <v>2077</v>
      </c>
      <c r="B3441" s="1">
        <v>45744</v>
      </c>
      <c r="C3441" s="1">
        <v>45748</v>
      </c>
      <c r="D3441" t="s">
        <v>1722</v>
      </c>
      <c r="E3441" t="s">
        <v>202</v>
      </c>
      <c r="F3441" t="s">
        <v>138</v>
      </c>
      <c r="G3441" t="s">
        <v>139</v>
      </c>
      <c r="H3441" t="s">
        <v>161</v>
      </c>
      <c r="I3441" s="2">
        <v>5</v>
      </c>
      <c r="J3441" s="3">
        <v>32</v>
      </c>
      <c r="K3441" s="4">
        <v>0.05</v>
      </c>
      <c r="L3441" s="3">
        <v>152</v>
      </c>
      <c r="M3441" t="b">
        <v>1</v>
      </c>
      <c r="N3441" s="2">
        <f>YEAR(B3441)</f>
        <v>2025</v>
      </c>
      <c r="O3441" t="str">
        <f>INDEX(Agences!$C:$C,MATCH(F3441,Agences!$A:$A,0))</f>
        <v>Île-de-France</v>
      </c>
      <c r="P3441" t="str">
        <f>INDEX(Produits!$C:$C,MATCH(H3441,Produits!$A:$A,0))</f>
        <v>Fournitures</v>
      </c>
      <c r="Q3441" s="3">
        <f>I3441*INDEX(Produits!$E:$E,MATCH(H3441,Produits!$A:$A,0))</f>
        <v>88</v>
      </c>
      <c r="R3441" s="3">
        <f>L3441-Q3441</f>
        <v>64</v>
      </c>
      <c r="S3441" s="2">
        <f>NETWORKDAYS(B3441,C3441)-1</f>
        <v>2</v>
      </c>
      <c r="T3441" s="1">
        <f>WORKDAY(B3441,5)</f>
        <v>45751</v>
      </c>
      <c r="U3441" t="b">
        <f>C3441&gt;T3441</f>
        <v>0</v>
      </c>
    </row>
    <row r="3442" spans="1:21" x14ac:dyDescent="0.25">
      <c r="A3442" t="s">
        <v>2078</v>
      </c>
      <c r="B3442" s="1">
        <v>45744</v>
      </c>
      <c r="C3442" s="1">
        <v>45749</v>
      </c>
      <c r="D3442" t="s">
        <v>219</v>
      </c>
      <c r="E3442" t="s">
        <v>213</v>
      </c>
      <c r="F3442" t="s">
        <v>138</v>
      </c>
      <c r="G3442" t="s">
        <v>214</v>
      </c>
      <c r="H3442" t="s">
        <v>50</v>
      </c>
      <c r="I3442" s="2">
        <v>2</v>
      </c>
      <c r="J3442" s="3">
        <v>69</v>
      </c>
      <c r="K3442" s="4">
        <v>0</v>
      </c>
      <c r="L3442" s="3">
        <v>138</v>
      </c>
      <c r="M3442" t="b">
        <v>1</v>
      </c>
      <c r="N3442" s="2">
        <f>YEAR(B3442)</f>
        <v>2025</v>
      </c>
      <c r="O3442" t="str">
        <f>INDEX(Agences!$C:$C,MATCH(F3442,Agences!$A:$A,0))</f>
        <v>Île-de-France</v>
      </c>
      <c r="P3442" t="str">
        <f>INDEX(Produits!$C:$C,MATCH(H3442,Produits!$A:$A,0))</f>
        <v>Informatique</v>
      </c>
      <c r="Q3442" s="3">
        <f>I3442*INDEX(Produits!$E:$E,MATCH(H3442,Produits!$A:$A,0))</f>
        <v>109.02</v>
      </c>
      <c r="R3442" s="3">
        <f>L3442-Q3442</f>
        <v>28.980000000000004</v>
      </c>
      <c r="S3442" s="2">
        <f>NETWORKDAYS(B3442,C3442)-1</f>
        <v>3</v>
      </c>
      <c r="T3442" s="1">
        <f>WORKDAY(B3442,5)</f>
        <v>45751</v>
      </c>
      <c r="U3442" t="b">
        <f>C3442&gt;T3442</f>
        <v>0</v>
      </c>
    </row>
    <row r="3443" spans="1:21" x14ac:dyDescent="0.25">
      <c r="A3443" t="s">
        <v>2078</v>
      </c>
      <c r="B3443" s="1">
        <v>45744</v>
      </c>
      <c r="C3443" s="1">
        <v>45749</v>
      </c>
      <c r="D3443" t="s">
        <v>219</v>
      </c>
      <c r="E3443" t="s">
        <v>213</v>
      </c>
      <c r="F3443" t="s">
        <v>138</v>
      </c>
      <c r="G3443" t="s">
        <v>214</v>
      </c>
      <c r="H3443" t="s">
        <v>79</v>
      </c>
      <c r="I3443" s="2">
        <v>5</v>
      </c>
      <c r="J3443" s="3">
        <v>14.9</v>
      </c>
      <c r="K3443" s="4">
        <v>0.05</v>
      </c>
      <c r="L3443" s="3">
        <v>70.78</v>
      </c>
      <c r="M3443" t="b">
        <v>1</v>
      </c>
      <c r="N3443" s="2">
        <f>YEAR(B3443)</f>
        <v>2025</v>
      </c>
      <c r="O3443" t="str">
        <f>INDEX(Agences!$C:$C,MATCH(F3443,Agences!$A:$A,0))</f>
        <v>Île-de-France</v>
      </c>
      <c r="P3443" t="str">
        <f>INDEX(Produits!$C:$C,MATCH(H3443,Produits!$A:$A,0))</f>
        <v>Fournitures</v>
      </c>
      <c r="Q3443" s="3">
        <f>I3443*INDEX(Produits!$E:$E,MATCH(H3443,Produits!$A:$A,0))</f>
        <v>40.25</v>
      </c>
      <c r="R3443" s="3">
        <f>L3443-Q3443</f>
        <v>30.53</v>
      </c>
      <c r="S3443" s="2">
        <f>NETWORKDAYS(B3443,C3443)-1</f>
        <v>3</v>
      </c>
      <c r="T3443" s="1">
        <f>WORKDAY(B3443,5)</f>
        <v>45751</v>
      </c>
      <c r="U3443" t="b">
        <f>C3443&gt;T3443</f>
        <v>0</v>
      </c>
    </row>
    <row r="3444" spans="1:21" x14ac:dyDescent="0.25">
      <c r="A3444" t="s">
        <v>2078</v>
      </c>
      <c r="B3444" s="1">
        <v>45744</v>
      </c>
      <c r="C3444" s="1">
        <v>45749</v>
      </c>
      <c r="D3444" t="s">
        <v>219</v>
      </c>
      <c r="E3444" t="s">
        <v>213</v>
      </c>
      <c r="F3444" t="s">
        <v>138</v>
      </c>
      <c r="G3444" t="s">
        <v>214</v>
      </c>
      <c r="H3444" t="s">
        <v>83</v>
      </c>
      <c r="I3444" s="2">
        <v>1</v>
      </c>
      <c r="J3444" s="3">
        <v>49</v>
      </c>
      <c r="K3444" s="4">
        <v>0</v>
      </c>
      <c r="L3444" s="3">
        <v>49</v>
      </c>
      <c r="M3444" t="b">
        <v>1</v>
      </c>
      <c r="N3444" s="2">
        <f>YEAR(B3444)</f>
        <v>2025</v>
      </c>
      <c r="O3444" t="str">
        <f>INDEX(Agences!$C:$C,MATCH(F3444,Agences!$A:$A,0))</f>
        <v>Île-de-France</v>
      </c>
      <c r="P3444" t="str">
        <f>INDEX(Produits!$C:$C,MATCH(H3444,Produits!$A:$A,0))</f>
        <v>Mobilier</v>
      </c>
      <c r="Q3444" s="3">
        <f>I3444*INDEX(Produits!$E:$E,MATCH(H3444,Produits!$A:$A,0))</f>
        <v>28.42</v>
      </c>
      <c r="R3444" s="3">
        <f>L3444-Q3444</f>
        <v>20.58</v>
      </c>
      <c r="S3444" s="2">
        <f>NETWORKDAYS(B3444,C3444)-1</f>
        <v>3</v>
      </c>
      <c r="T3444" s="1">
        <f>WORKDAY(B3444,5)</f>
        <v>45751</v>
      </c>
      <c r="U3444" t="b">
        <f>C3444&gt;T3444</f>
        <v>0</v>
      </c>
    </row>
    <row r="3445" spans="1:21" x14ac:dyDescent="0.25">
      <c r="A3445" t="s">
        <v>2079</v>
      </c>
      <c r="B3445" s="1">
        <v>45744</v>
      </c>
      <c r="C3445" s="1">
        <v>45751</v>
      </c>
      <c r="D3445" t="s">
        <v>1271</v>
      </c>
      <c r="E3445" t="s">
        <v>185</v>
      </c>
      <c r="F3445" t="s">
        <v>31</v>
      </c>
      <c r="G3445" t="s">
        <v>186</v>
      </c>
      <c r="H3445" t="s">
        <v>27</v>
      </c>
      <c r="I3445" s="2">
        <v>1</v>
      </c>
      <c r="J3445" s="3">
        <v>310</v>
      </c>
      <c r="K3445" s="4">
        <v>0</v>
      </c>
      <c r="L3445" s="3">
        <v>310</v>
      </c>
      <c r="M3445" t="b">
        <v>1</v>
      </c>
      <c r="N3445" s="2">
        <f>YEAR(B3445)</f>
        <v>2025</v>
      </c>
      <c r="O3445" t="str">
        <f>INDEX(Agences!$C:$C,MATCH(F3445,Agences!$A:$A,0))</f>
        <v>Ouest</v>
      </c>
      <c r="P3445" t="str">
        <f>INDEX(Produits!$C:$C,MATCH(H3445,Produits!$A:$A,0))</f>
        <v>Mobilier</v>
      </c>
      <c r="Q3445" s="3">
        <f>I3445*INDEX(Produits!$E:$E,MATCH(H3445,Produits!$A:$A,0))</f>
        <v>186</v>
      </c>
      <c r="R3445" s="3">
        <f>L3445-Q3445</f>
        <v>124</v>
      </c>
      <c r="S3445" s="2">
        <f>NETWORKDAYS(B3445,C3445)-1</f>
        <v>5</v>
      </c>
      <c r="T3445" s="1">
        <f>WORKDAY(B3445,5)</f>
        <v>45751</v>
      </c>
      <c r="U3445" t="b">
        <f>C3445&gt;T3445</f>
        <v>0</v>
      </c>
    </row>
    <row r="3446" spans="1:21" x14ac:dyDescent="0.25">
      <c r="A3446" t="s">
        <v>2079</v>
      </c>
      <c r="B3446" s="1">
        <v>45744</v>
      </c>
      <c r="C3446" s="1">
        <v>45751</v>
      </c>
      <c r="D3446" t="s">
        <v>1271</v>
      </c>
      <c r="E3446" t="s">
        <v>185</v>
      </c>
      <c r="F3446" t="s">
        <v>31</v>
      </c>
      <c r="G3446" t="s">
        <v>186</v>
      </c>
      <c r="H3446" t="s">
        <v>34</v>
      </c>
      <c r="I3446" s="2">
        <v>1</v>
      </c>
      <c r="J3446" s="3">
        <v>340</v>
      </c>
      <c r="K3446" s="4">
        <v>0.1</v>
      </c>
      <c r="L3446" s="3">
        <v>306</v>
      </c>
      <c r="M3446" t="b">
        <v>1</v>
      </c>
      <c r="N3446" s="2">
        <f>YEAR(B3446)</f>
        <v>2025</v>
      </c>
      <c r="O3446" t="str">
        <f>INDEX(Agences!$C:$C,MATCH(F3446,Agences!$A:$A,0))</f>
        <v>Ouest</v>
      </c>
      <c r="P3446" t="str">
        <f>INDEX(Produits!$C:$C,MATCH(H3446,Produits!$A:$A,0))</f>
        <v>Informatique</v>
      </c>
      <c r="Q3446" s="3">
        <f>I3446*INDEX(Produits!$E:$E,MATCH(H3446,Produits!$A:$A,0))</f>
        <v>275.4</v>
      </c>
      <c r="R3446" s="3">
        <f>L3446-Q3446</f>
        <v>30.600000000000023</v>
      </c>
      <c r="S3446" s="2">
        <f>NETWORKDAYS(B3446,C3446)-1</f>
        <v>5</v>
      </c>
      <c r="T3446" s="1">
        <f>WORKDAY(B3446,5)</f>
        <v>45751</v>
      </c>
      <c r="U3446" t="b">
        <f>C3446&gt;T3446</f>
        <v>0</v>
      </c>
    </row>
    <row r="3447" spans="1:21" x14ac:dyDescent="0.25">
      <c r="A3447" t="s">
        <v>2079</v>
      </c>
      <c r="B3447" s="1">
        <v>45744</v>
      </c>
      <c r="C3447" s="1">
        <v>45751</v>
      </c>
      <c r="D3447" t="s">
        <v>1271</v>
      </c>
      <c r="E3447" t="s">
        <v>185</v>
      </c>
      <c r="F3447" t="s">
        <v>31</v>
      </c>
      <c r="G3447" t="s">
        <v>186</v>
      </c>
      <c r="H3447" t="s">
        <v>50</v>
      </c>
      <c r="I3447" s="2">
        <v>1</v>
      </c>
      <c r="J3447" s="3">
        <v>69</v>
      </c>
      <c r="K3447" s="4">
        <v>0.08</v>
      </c>
      <c r="L3447" s="3">
        <v>63.48</v>
      </c>
      <c r="M3447" t="b">
        <v>1</v>
      </c>
      <c r="N3447" s="2">
        <f>YEAR(B3447)</f>
        <v>2025</v>
      </c>
      <c r="O3447" t="str">
        <f>INDEX(Agences!$C:$C,MATCH(F3447,Agences!$A:$A,0))</f>
        <v>Ouest</v>
      </c>
      <c r="P3447" t="str">
        <f>INDEX(Produits!$C:$C,MATCH(H3447,Produits!$A:$A,0))</f>
        <v>Informatique</v>
      </c>
      <c r="Q3447" s="3">
        <f>I3447*INDEX(Produits!$E:$E,MATCH(H3447,Produits!$A:$A,0))</f>
        <v>54.51</v>
      </c>
      <c r="R3447" s="3">
        <f>L3447-Q3447</f>
        <v>8.969999999999999</v>
      </c>
      <c r="S3447" s="2">
        <f>NETWORKDAYS(B3447,C3447)-1</f>
        <v>5</v>
      </c>
      <c r="T3447" s="1">
        <f>WORKDAY(B3447,5)</f>
        <v>45751</v>
      </c>
      <c r="U3447" t="b">
        <f>C3447&gt;T3447</f>
        <v>0</v>
      </c>
    </row>
    <row r="3448" spans="1:21" x14ac:dyDescent="0.25">
      <c r="A3448" t="s">
        <v>2079</v>
      </c>
      <c r="B3448" s="1">
        <v>45744</v>
      </c>
      <c r="C3448" s="1">
        <v>45751</v>
      </c>
      <c r="D3448" t="s">
        <v>1271</v>
      </c>
      <c r="E3448" t="s">
        <v>185</v>
      </c>
      <c r="F3448" t="s">
        <v>31</v>
      </c>
      <c r="G3448" t="s">
        <v>186</v>
      </c>
      <c r="H3448" t="s">
        <v>26</v>
      </c>
      <c r="I3448" s="2">
        <v>1</v>
      </c>
      <c r="J3448" s="3">
        <v>290</v>
      </c>
      <c r="K3448" s="4">
        <v>0.08</v>
      </c>
      <c r="L3448" s="3">
        <v>266.8</v>
      </c>
      <c r="M3448" t="b">
        <v>1</v>
      </c>
      <c r="N3448" s="2">
        <f>YEAR(B3448)</f>
        <v>2025</v>
      </c>
      <c r="O3448" t="str">
        <f>INDEX(Agences!$C:$C,MATCH(F3448,Agences!$A:$A,0))</f>
        <v>Ouest</v>
      </c>
      <c r="P3448" t="str">
        <f>INDEX(Produits!$C:$C,MATCH(H3448,Produits!$A:$A,0))</f>
        <v>Maintenance</v>
      </c>
      <c r="Q3448" s="3">
        <f>I3448*INDEX(Produits!$E:$E,MATCH(H3448,Produits!$A:$A,0))</f>
        <v>139.2</v>
      </c>
      <c r="R3448" s="3">
        <f>L3448-Q3448</f>
        <v>127.60000000000002</v>
      </c>
      <c r="S3448" s="2">
        <f>NETWORKDAYS(B3448,C3448)-1</f>
        <v>5</v>
      </c>
      <c r="T3448" s="1">
        <f>WORKDAY(B3448,5)</f>
        <v>45751</v>
      </c>
      <c r="U3448" t="b">
        <f>C3448&gt;T3448</f>
        <v>0</v>
      </c>
    </row>
    <row r="3449" spans="1:21" x14ac:dyDescent="0.25">
      <c r="A3449" t="s">
        <v>2079</v>
      </c>
      <c r="B3449" s="1">
        <v>45744</v>
      </c>
      <c r="C3449" s="1">
        <v>45751</v>
      </c>
      <c r="D3449" t="s">
        <v>1271</v>
      </c>
      <c r="E3449" t="s">
        <v>185</v>
      </c>
      <c r="F3449" t="s">
        <v>31</v>
      </c>
      <c r="G3449" t="s">
        <v>186</v>
      </c>
      <c r="H3449" t="s">
        <v>196</v>
      </c>
      <c r="I3449" s="2">
        <v>5</v>
      </c>
      <c r="J3449" s="3">
        <v>18.5</v>
      </c>
      <c r="K3449" s="4">
        <v>0</v>
      </c>
      <c r="L3449" s="3">
        <v>92.5</v>
      </c>
      <c r="M3449" t="b">
        <v>1</v>
      </c>
      <c r="N3449" s="2">
        <f>YEAR(B3449)</f>
        <v>2025</v>
      </c>
      <c r="O3449" t="str">
        <f>INDEX(Agences!$C:$C,MATCH(F3449,Agences!$A:$A,0))</f>
        <v>Ouest</v>
      </c>
      <c r="P3449" t="str">
        <f>INDEX(Produits!$C:$C,MATCH(H3449,Produits!$A:$A,0))</f>
        <v>Fournitures</v>
      </c>
      <c r="Q3449" s="3">
        <f>I3449*INDEX(Produits!$E:$E,MATCH(H3449,Produits!$A:$A,0))</f>
        <v>47.199999999999996</v>
      </c>
      <c r="R3449" s="3">
        <f>L3449-Q3449</f>
        <v>45.300000000000004</v>
      </c>
      <c r="S3449" s="2">
        <f>NETWORKDAYS(B3449,C3449)-1</f>
        <v>5</v>
      </c>
      <c r="T3449" s="1">
        <f>WORKDAY(B3449,5)</f>
        <v>45751</v>
      </c>
      <c r="U3449" t="b">
        <f>C3449&gt;T3449</f>
        <v>0</v>
      </c>
    </row>
    <row r="3450" spans="1:21" x14ac:dyDescent="0.25">
      <c r="A3450" t="s">
        <v>2080</v>
      </c>
      <c r="B3450" s="1">
        <v>45743</v>
      </c>
      <c r="C3450" s="1">
        <v>45748</v>
      </c>
      <c r="D3450" t="s">
        <v>875</v>
      </c>
      <c r="E3450" t="s">
        <v>137</v>
      </c>
      <c r="F3450" t="s">
        <v>138</v>
      </c>
      <c r="G3450" t="s">
        <v>214</v>
      </c>
      <c r="H3450" t="s">
        <v>83</v>
      </c>
      <c r="I3450" s="2">
        <v>2</v>
      </c>
      <c r="J3450" s="3">
        <v>49</v>
      </c>
      <c r="K3450" s="4">
        <v>0.05</v>
      </c>
      <c r="L3450" s="3">
        <v>93.1</v>
      </c>
      <c r="M3450" t="b">
        <v>1</v>
      </c>
      <c r="N3450" s="2">
        <f>YEAR(B3450)</f>
        <v>2025</v>
      </c>
      <c r="O3450" t="str">
        <f>INDEX(Agences!$C:$C,MATCH(F3450,Agences!$A:$A,0))</f>
        <v>Île-de-France</v>
      </c>
      <c r="P3450" t="str">
        <f>INDEX(Produits!$C:$C,MATCH(H3450,Produits!$A:$A,0))</f>
        <v>Mobilier</v>
      </c>
      <c r="Q3450" s="3">
        <f>I3450*INDEX(Produits!$E:$E,MATCH(H3450,Produits!$A:$A,0))</f>
        <v>56.84</v>
      </c>
      <c r="R3450" s="3">
        <f>L3450-Q3450</f>
        <v>36.25999999999999</v>
      </c>
      <c r="S3450" s="2">
        <f>NETWORKDAYS(B3450,C3450)-1</f>
        <v>3</v>
      </c>
      <c r="T3450" s="1">
        <f>WORKDAY(B3450,5)</f>
        <v>45750</v>
      </c>
      <c r="U3450" t="b">
        <f>C3450&gt;T3450</f>
        <v>0</v>
      </c>
    </row>
    <row r="3451" spans="1:21" x14ac:dyDescent="0.25">
      <c r="A3451" t="s">
        <v>2080</v>
      </c>
      <c r="B3451" s="1">
        <v>45743</v>
      </c>
      <c r="C3451" s="1">
        <v>45748</v>
      </c>
      <c r="D3451" t="s">
        <v>875</v>
      </c>
      <c r="E3451" t="s">
        <v>137</v>
      </c>
      <c r="F3451" t="s">
        <v>138</v>
      </c>
      <c r="G3451" t="s">
        <v>214</v>
      </c>
      <c r="H3451" t="s">
        <v>196</v>
      </c>
      <c r="I3451" s="2">
        <v>10</v>
      </c>
      <c r="J3451" s="3">
        <v>18.5</v>
      </c>
      <c r="K3451" s="4">
        <v>0</v>
      </c>
      <c r="L3451" s="3">
        <v>185</v>
      </c>
      <c r="M3451" t="b">
        <v>1</v>
      </c>
      <c r="N3451" s="2">
        <f>YEAR(B3451)</f>
        <v>2025</v>
      </c>
      <c r="O3451" t="str">
        <f>INDEX(Agences!$C:$C,MATCH(F3451,Agences!$A:$A,0))</f>
        <v>Île-de-France</v>
      </c>
      <c r="P3451" t="str">
        <f>INDEX(Produits!$C:$C,MATCH(H3451,Produits!$A:$A,0))</f>
        <v>Fournitures</v>
      </c>
      <c r="Q3451" s="3">
        <f>I3451*INDEX(Produits!$E:$E,MATCH(H3451,Produits!$A:$A,0))</f>
        <v>94.39999999999999</v>
      </c>
      <c r="R3451" s="3">
        <f>L3451-Q3451</f>
        <v>90.60000000000001</v>
      </c>
      <c r="S3451" s="2">
        <f>NETWORKDAYS(B3451,C3451)-1</f>
        <v>3</v>
      </c>
      <c r="T3451" s="1">
        <f>WORKDAY(B3451,5)</f>
        <v>45750</v>
      </c>
      <c r="U3451" t="b">
        <f>C3451&gt;T3451</f>
        <v>0</v>
      </c>
    </row>
    <row r="3452" spans="1:21" x14ac:dyDescent="0.25">
      <c r="A3452" t="s">
        <v>2080</v>
      </c>
      <c r="B3452" s="1">
        <v>45743</v>
      </c>
      <c r="C3452" s="1">
        <v>45748</v>
      </c>
      <c r="D3452" t="s">
        <v>875</v>
      </c>
      <c r="E3452" t="s">
        <v>137</v>
      </c>
      <c r="F3452" t="s">
        <v>138</v>
      </c>
      <c r="G3452" t="s">
        <v>214</v>
      </c>
      <c r="H3452" t="s">
        <v>205</v>
      </c>
      <c r="I3452" s="2">
        <v>2</v>
      </c>
      <c r="J3452" s="3">
        <v>359</v>
      </c>
      <c r="K3452" s="4">
        <v>0.02</v>
      </c>
      <c r="L3452" s="3">
        <v>703.64</v>
      </c>
      <c r="M3452" t="b">
        <v>1</v>
      </c>
      <c r="N3452" s="2">
        <f>YEAR(B3452)</f>
        <v>2025</v>
      </c>
      <c r="O3452" t="str">
        <f>INDEX(Agences!$C:$C,MATCH(F3452,Agences!$A:$A,0))</f>
        <v>Île-de-France</v>
      </c>
      <c r="P3452" t="str">
        <f>INDEX(Produits!$C:$C,MATCH(H3452,Produits!$A:$A,0))</f>
        <v>Mobilier</v>
      </c>
      <c r="Q3452" s="3">
        <f>I3452*INDEX(Produits!$E:$E,MATCH(H3452,Produits!$A:$A,0))</f>
        <v>409.26</v>
      </c>
      <c r="R3452" s="3">
        <f>L3452-Q3452</f>
        <v>294.38</v>
      </c>
      <c r="S3452" s="2">
        <f>NETWORKDAYS(B3452,C3452)-1</f>
        <v>3</v>
      </c>
      <c r="T3452" s="1">
        <f>WORKDAY(B3452,5)</f>
        <v>45750</v>
      </c>
      <c r="U3452" t="b">
        <f>C3452&gt;T3452</f>
        <v>0</v>
      </c>
    </row>
    <row r="3453" spans="1:21" x14ac:dyDescent="0.25">
      <c r="A3453" t="s">
        <v>2081</v>
      </c>
      <c r="B3453" s="1">
        <v>45743</v>
      </c>
      <c r="C3453" s="1">
        <v>45749</v>
      </c>
      <c r="D3453" t="s">
        <v>994</v>
      </c>
      <c r="E3453" t="s">
        <v>75</v>
      </c>
      <c r="F3453" t="s">
        <v>76</v>
      </c>
      <c r="G3453" t="s">
        <v>232</v>
      </c>
      <c r="H3453" t="s">
        <v>33</v>
      </c>
      <c r="I3453" s="2">
        <v>3</v>
      </c>
      <c r="J3453" s="3">
        <v>219</v>
      </c>
      <c r="K3453" s="4">
        <v>0.02</v>
      </c>
      <c r="L3453" s="3">
        <v>643.86</v>
      </c>
      <c r="M3453" t="b">
        <v>1</v>
      </c>
      <c r="N3453" s="2">
        <f>YEAR(B3453)</f>
        <v>2025</v>
      </c>
      <c r="O3453" t="str">
        <f>INDEX(Agences!$C:$C,MATCH(F3453,Agences!$A:$A,0))</f>
        <v>Île-de-France</v>
      </c>
      <c r="P3453" t="str">
        <f>INDEX(Produits!$C:$C,MATCH(H3453,Produits!$A:$A,0))</f>
        <v>Informatique</v>
      </c>
      <c r="Q3453" s="3">
        <f>I3453*INDEX(Produits!$E:$E,MATCH(H3453,Produits!$A:$A,0))</f>
        <v>538.74</v>
      </c>
      <c r="R3453" s="3">
        <f>L3453-Q3453</f>
        <v>105.12</v>
      </c>
      <c r="S3453" s="2">
        <f>NETWORKDAYS(B3453,C3453)-1</f>
        <v>4</v>
      </c>
      <c r="T3453" s="1">
        <f>WORKDAY(B3453,5)</f>
        <v>45750</v>
      </c>
      <c r="U3453" t="b">
        <f>C3453&gt;T3453</f>
        <v>0</v>
      </c>
    </row>
    <row r="3454" spans="1:21" x14ac:dyDescent="0.25">
      <c r="A3454" t="s">
        <v>2081</v>
      </c>
      <c r="B3454" s="1">
        <v>45743</v>
      </c>
      <c r="C3454" s="1">
        <v>45749</v>
      </c>
      <c r="D3454" t="s">
        <v>994</v>
      </c>
      <c r="E3454" t="s">
        <v>75</v>
      </c>
      <c r="F3454" t="s">
        <v>76</v>
      </c>
      <c r="G3454" t="s">
        <v>232</v>
      </c>
      <c r="H3454" t="s">
        <v>319</v>
      </c>
      <c r="I3454" s="2">
        <v>2</v>
      </c>
      <c r="J3454" s="3">
        <v>289</v>
      </c>
      <c r="K3454" s="4">
        <v>0.08</v>
      </c>
      <c r="L3454" s="3">
        <v>531.76</v>
      </c>
      <c r="M3454" t="b">
        <v>1</v>
      </c>
      <c r="N3454" s="2">
        <f>YEAR(B3454)</f>
        <v>2025</v>
      </c>
      <c r="O3454" t="str">
        <f>INDEX(Agences!$C:$C,MATCH(F3454,Agences!$A:$A,0))</f>
        <v>Île-de-France</v>
      </c>
      <c r="P3454" t="str">
        <f>INDEX(Produits!$C:$C,MATCH(H3454,Produits!$A:$A,0))</f>
        <v>Informatique</v>
      </c>
      <c r="Q3454" s="3">
        <f>I3454*INDEX(Produits!$E:$E,MATCH(H3454,Produits!$A:$A,0))</f>
        <v>427.72</v>
      </c>
      <c r="R3454" s="3">
        <f>L3454-Q3454</f>
        <v>104.03999999999996</v>
      </c>
      <c r="S3454" s="2">
        <f>NETWORKDAYS(B3454,C3454)-1</f>
        <v>4</v>
      </c>
      <c r="T3454" s="1">
        <f>WORKDAY(B3454,5)</f>
        <v>45750</v>
      </c>
      <c r="U3454" t="b">
        <f>C3454&gt;T3454</f>
        <v>0</v>
      </c>
    </row>
    <row r="3455" spans="1:21" x14ac:dyDescent="0.25">
      <c r="A3455" t="s">
        <v>2082</v>
      </c>
      <c r="B3455" s="1">
        <v>45743</v>
      </c>
      <c r="C3455" s="1">
        <v>45744</v>
      </c>
      <c r="D3455" t="s">
        <v>2083</v>
      </c>
      <c r="E3455" t="s">
        <v>165</v>
      </c>
      <c r="F3455" t="s">
        <v>166</v>
      </c>
      <c r="G3455" t="s">
        <v>179</v>
      </c>
      <c r="H3455" t="s">
        <v>49</v>
      </c>
      <c r="I3455" s="2">
        <v>1</v>
      </c>
      <c r="J3455" s="3">
        <v>120</v>
      </c>
      <c r="K3455" s="4">
        <v>0</v>
      </c>
      <c r="L3455" s="3">
        <v>120</v>
      </c>
      <c r="M3455" t="b">
        <v>1</v>
      </c>
      <c r="N3455" s="2">
        <f>YEAR(B3455)</f>
        <v>2025</v>
      </c>
      <c r="O3455" t="str">
        <f>INDEX(Agences!$C:$C,MATCH(F3455,Agences!$A:$A,0))</f>
        <v>Ouest</v>
      </c>
      <c r="P3455" t="str">
        <f>INDEX(Produits!$C:$C,MATCH(H3455,Produits!$A:$A,0))</f>
        <v>Maintenance</v>
      </c>
      <c r="Q3455" s="3">
        <f>I3455*INDEX(Produits!$E:$E,MATCH(H3455,Produits!$A:$A,0))</f>
        <v>55.2</v>
      </c>
      <c r="R3455" s="3">
        <f>L3455-Q3455</f>
        <v>64.8</v>
      </c>
      <c r="S3455" s="2">
        <f>NETWORKDAYS(B3455,C3455)-1</f>
        <v>1</v>
      </c>
      <c r="T3455" s="1">
        <f>WORKDAY(B3455,5)</f>
        <v>45750</v>
      </c>
      <c r="U3455" t="b">
        <f>C3455&gt;T3455</f>
        <v>0</v>
      </c>
    </row>
    <row r="3456" spans="1:21" x14ac:dyDescent="0.25">
      <c r="A3456" t="s">
        <v>2082</v>
      </c>
      <c r="B3456" s="1">
        <v>45743</v>
      </c>
      <c r="C3456" s="1">
        <v>45744</v>
      </c>
      <c r="D3456" t="s">
        <v>2083</v>
      </c>
      <c r="E3456" t="s">
        <v>165</v>
      </c>
      <c r="F3456" t="s">
        <v>166</v>
      </c>
      <c r="G3456" t="s">
        <v>179</v>
      </c>
      <c r="H3456" t="s">
        <v>33</v>
      </c>
      <c r="I3456" s="2">
        <v>1</v>
      </c>
      <c r="J3456" s="3">
        <v>219</v>
      </c>
      <c r="K3456" s="4">
        <v>0.1</v>
      </c>
      <c r="L3456" s="3">
        <v>197.1</v>
      </c>
      <c r="M3456" t="b">
        <v>1</v>
      </c>
      <c r="N3456" s="2">
        <f>YEAR(B3456)</f>
        <v>2025</v>
      </c>
      <c r="O3456" t="str">
        <f>INDEX(Agences!$C:$C,MATCH(F3456,Agences!$A:$A,0))</f>
        <v>Ouest</v>
      </c>
      <c r="P3456" t="str">
        <f>INDEX(Produits!$C:$C,MATCH(H3456,Produits!$A:$A,0))</f>
        <v>Informatique</v>
      </c>
      <c r="Q3456" s="3">
        <f>I3456*INDEX(Produits!$E:$E,MATCH(H3456,Produits!$A:$A,0))</f>
        <v>179.58</v>
      </c>
      <c r="R3456" s="3">
        <f>L3456-Q3456</f>
        <v>17.519999999999982</v>
      </c>
      <c r="S3456" s="2">
        <f>NETWORKDAYS(B3456,C3456)-1</f>
        <v>1</v>
      </c>
      <c r="T3456" s="1">
        <f>WORKDAY(B3456,5)</f>
        <v>45750</v>
      </c>
      <c r="U3456" t="b">
        <f>C3456&gt;T3456</f>
        <v>0</v>
      </c>
    </row>
    <row r="3457" spans="1:21" x14ac:dyDescent="0.25">
      <c r="A3457" t="s">
        <v>2082</v>
      </c>
      <c r="B3457" s="1">
        <v>45743</v>
      </c>
      <c r="C3457" s="1">
        <v>45744</v>
      </c>
      <c r="D3457" t="s">
        <v>2083</v>
      </c>
      <c r="E3457" t="s">
        <v>165</v>
      </c>
      <c r="F3457" t="s">
        <v>166</v>
      </c>
      <c r="G3457" t="s">
        <v>179</v>
      </c>
      <c r="H3457" t="s">
        <v>58</v>
      </c>
      <c r="I3457" s="2">
        <v>1</v>
      </c>
      <c r="J3457" s="3">
        <v>649</v>
      </c>
      <c r="K3457" s="4">
        <v>0.05</v>
      </c>
      <c r="L3457" s="3">
        <v>616.55</v>
      </c>
      <c r="M3457" t="b">
        <v>1</v>
      </c>
      <c r="N3457" s="2">
        <f>YEAR(B3457)</f>
        <v>2025</v>
      </c>
      <c r="O3457" t="str">
        <f>INDEX(Agences!$C:$C,MATCH(F3457,Agences!$A:$A,0))</f>
        <v>Ouest</v>
      </c>
      <c r="P3457" t="str">
        <f>INDEX(Produits!$C:$C,MATCH(H3457,Produits!$A:$A,0))</f>
        <v>Mobilier</v>
      </c>
      <c r="Q3457" s="3">
        <f>I3457*INDEX(Produits!$E:$E,MATCH(H3457,Produits!$A:$A,0))</f>
        <v>408.87</v>
      </c>
      <c r="R3457" s="3">
        <f>L3457-Q3457</f>
        <v>207.67999999999995</v>
      </c>
      <c r="S3457" s="2">
        <f>NETWORKDAYS(B3457,C3457)-1</f>
        <v>1</v>
      </c>
      <c r="T3457" s="1">
        <f>WORKDAY(B3457,5)</f>
        <v>45750</v>
      </c>
      <c r="U3457" t="b">
        <f>C3457&gt;T3457</f>
        <v>0</v>
      </c>
    </row>
    <row r="3458" spans="1:21" x14ac:dyDescent="0.25">
      <c r="A3458" t="s">
        <v>2082</v>
      </c>
      <c r="B3458" s="1">
        <v>45743</v>
      </c>
      <c r="C3458" s="1">
        <v>45744</v>
      </c>
      <c r="D3458" t="s">
        <v>2083</v>
      </c>
      <c r="E3458" t="s">
        <v>165</v>
      </c>
      <c r="F3458" t="s">
        <v>166</v>
      </c>
      <c r="G3458" t="s">
        <v>179</v>
      </c>
      <c r="H3458" t="s">
        <v>48</v>
      </c>
      <c r="I3458" s="2">
        <v>7</v>
      </c>
      <c r="J3458" s="3">
        <v>165</v>
      </c>
      <c r="K3458" s="4">
        <v>0</v>
      </c>
      <c r="L3458" s="3">
        <v>1155</v>
      </c>
      <c r="M3458" t="b">
        <v>1</v>
      </c>
      <c r="N3458" s="2">
        <f>YEAR(B3458)</f>
        <v>2025</v>
      </c>
      <c r="O3458" t="str">
        <f>INDEX(Agences!$C:$C,MATCH(F3458,Agences!$A:$A,0))</f>
        <v>Ouest</v>
      </c>
      <c r="P3458" t="str">
        <f>INDEX(Produits!$C:$C,MATCH(H3458,Produits!$A:$A,0))</f>
        <v>Mobilier</v>
      </c>
      <c r="Q3458" s="3">
        <f>I3458*INDEX(Produits!$E:$E,MATCH(H3458,Produits!$A:$A,0))</f>
        <v>750.75</v>
      </c>
      <c r="R3458" s="3">
        <f>L3458-Q3458</f>
        <v>404.25</v>
      </c>
      <c r="S3458" s="2">
        <f>NETWORKDAYS(B3458,C3458)-1</f>
        <v>1</v>
      </c>
      <c r="T3458" s="1">
        <f>WORKDAY(B3458,5)</f>
        <v>45750</v>
      </c>
      <c r="U3458" t="b">
        <f>C3458&gt;T3458</f>
        <v>0</v>
      </c>
    </row>
    <row r="3459" spans="1:21" x14ac:dyDescent="0.25">
      <c r="A3459" t="s">
        <v>2084</v>
      </c>
      <c r="B3459" s="1">
        <v>45743</v>
      </c>
      <c r="C3459" s="1">
        <v>45749</v>
      </c>
      <c r="D3459" t="s">
        <v>543</v>
      </c>
      <c r="E3459" t="s">
        <v>130</v>
      </c>
      <c r="F3459" t="s">
        <v>39</v>
      </c>
      <c r="G3459" t="s">
        <v>322</v>
      </c>
      <c r="H3459" t="s">
        <v>83</v>
      </c>
      <c r="I3459" s="2">
        <v>1</v>
      </c>
      <c r="J3459" s="3">
        <v>49</v>
      </c>
      <c r="K3459" s="4">
        <v>0</v>
      </c>
      <c r="L3459" s="3">
        <v>49</v>
      </c>
      <c r="M3459" t="b">
        <v>1</v>
      </c>
      <c r="N3459" s="2">
        <f>YEAR(B3459)</f>
        <v>2025</v>
      </c>
      <c r="O3459" t="str">
        <f>INDEX(Agences!$C:$C,MATCH(F3459,Agences!$A:$A,0))</f>
        <v>Sud-Ouest</v>
      </c>
      <c r="P3459" t="str">
        <f>INDEX(Produits!$C:$C,MATCH(H3459,Produits!$A:$A,0))</f>
        <v>Mobilier</v>
      </c>
      <c r="Q3459" s="3">
        <f>I3459*INDEX(Produits!$E:$E,MATCH(H3459,Produits!$A:$A,0))</f>
        <v>28.42</v>
      </c>
      <c r="R3459" s="3">
        <f>L3459-Q3459</f>
        <v>20.58</v>
      </c>
      <c r="S3459" s="2">
        <f>NETWORKDAYS(B3459,C3459)-1</f>
        <v>4</v>
      </c>
      <c r="T3459" s="1">
        <f>WORKDAY(B3459,5)</f>
        <v>45750</v>
      </c>
      <c r="U3459" t="b">
        <f>C3459&gt;T3459</f>
        <v>0</v>
      </c>
    </row>
    <row r="3460" spans="1:21" x14ac:dyDescent="0.25">
      <c r="A3460" t="s">
        <v>2084</v>
      </c>
      <c r="B3460" s="1">
        <v>45743</v>
      </c>
      <c r="C3460" s="1">
        <v>45749</v>
      </c>
      <c r="D3460" t="s">
        <v>543</v>
      </c>
      <c r="E3460" t="s">
        <v>130</v>
      </c>
      <c r="F3460" t="s">
        <v>39</v>
      </c>
      <c r="G3460" t="s">
        <v>322</v>
      </c>
      <c r="H3460" t="s">
        <v>206</v>
      </c>
      <c r="I3460" s="2">
        <v>10</v>
      </c>
      <c r="J3460" s="3">
        <v>34</v>
      </c>
      <c r="K3460" s="4">
        <v>0.05</v>
      </c>
      <c r="L3460" s="3">
        <v>323</v>
      </c>
      <c r="M3460" t="b">
        <v>1</v>
      </c>
      <c r="N3460" s="2">
        <f>YEAR(B3460)</f>
        <v>2025</v>
      </c>
      <c r="O3460" t="str">
        <f>INDEX(Agences!$C:$C,MATCH(F3460,Agences!$A:$A,0))</f>
        <v>Sud-Ouest</v>
      </c>
      <c r="P3460" t="str">
        <f>INDEX(Produits!$C:$C,MATCH(H3460,Produits!$A:$A,0))</f>
        <v>Fournitures</v>
      </c>
      <c r="Q3460" s="3">
        <f>I3460*INDEX(Produits!$E:$E,MATCH(H3460,Produits!$A:$A,0))</f>
        <v>193.79999999999998</v>
      </c>
      <c r="R3460" s="3">
        <f>L3460-Q3460</f>
        <v>129.20000000000002</v>
      </c>
      <c r="S3460" s="2">
        <f>NETWORKDAYS(B3460,C3460)-1</f>
        <v>4</v>
      </c>
      <c r="T3460" s="1">
        <f>WORKDAY(B3460,5)</f>
        <v>45750</v>
      </c>
      <c r="U3460" t="b">
        <f>C3460&gt;T3460</f>
        <v>0</v>
      </c>
    </row>
    <row r="3461" spans="1:21" x14ac:dyDescent="0.25">
      <c r="A3461" t="s">
        <v>2084</v>
      </c>
      <c r="B3461" s="1">
        <v>45743</v>
      </c>
      <c r="C3461" s="1">
        <v>45749</v>
      </c>
      <c r="D3461" t="s">
        <v>543</v>
      </c>
      <c r="E3461" t="s">
        <v>130</v>
      </c>
      <c r="F3461" t="s">
        <v>39</v>
      </c>
      <c r="G3461" t="s">
        <v>322</v>
      </c>
      <c r="H3461" t="s">
        <v>205</v>
      </c>
      <c r="I3461" s="2">
        <v>1</v>
      </c>
      <c r="J3461" s="3">
        <v>359</v>
      </c>
      <c r="K3461" s="4">
        <v>0.02</v>
      </c>
      <c r="L3461" s="3">
        <v>351.82</v>
      </c>
      <c r="M3461" t="b">
        <v>1</v>
      </c>
      <c r="N3461" s="2">
        <f>YEAR(B3461)</f>
        <v>2025</v>
      </c>
      <c r="O3461" t="str">
        <f>INDEX(Agences!$C:$C,MATCH(F3461,Agences!$A:$A,0))</f>
        <v>Sud-Ouest</v>
      </c>
      <c r="P3461" t="str">
        <f>INDEX(Produits!$C:$C,MATCH(H3461,Produits!$A:$A,0))</f>
        <v>Mobilier</v>
      </c>
      <c r="Q3461" s="3">
        <f>I3461*INDEX(Produits!$E:$E,MATCH(H3461,Produits!$A:$A,0))</f>
        <v>204.63</v>
      </c>
      <c r="R3461" s="3">
        <f>L3461-Q3461</f>
        <v>147.19</v>
      </c>
      <c r="S3461" s="2">
        <f>NETWORKDAYS(B3461,C3461)-1</f>
        <v>4</v>
      </c>
      <c r="T3461" s="1">
        <f>WORKDAY(B3461,5)</f>
        <v>45750</v>
      </c>
      <c r="U3461" t="b">
        <f>C3461&gt;T3461</f>
        <v>0</v>
      </c>
    </row>
    <row r="3462" spans="1:21" x14ac:dyDescent="0.25">
      <c r="A3462" t="s">
        <v>2085</v>
      </c>
      <c r="B3462" s="1">
        <v>45743</v>
      </c>
      <c r="C3462" s="1">
        <v>45749</v>
      </c>
      <c r="D3462" t="s">
        <v>1316</v>
      </c>
      <c r="E3462" t="s">
        <v>316</v>
      </c>
      <c r="F3462" t="s">
        <v>46</v>
      </c>
      <c r="G3462" t="s">
        <v>47</v>
      </c>
      <c r="H3462" t="s">
        <v>50</v>
      </c>
      <c r="I3462" s="2">
        <v>1</v>
      </c>
      <c r="J3462" s="3">
        <v>69</v>
      </c>
      <c r="K3462" s="4">
        <v>0.05</v>
      </c>
      <c r="L3462" s="3">
        <v>65.55</v>
      </c>
      <c r="M3462" t="b">
        <v>1</v>
      </c>
      <c r="N3462" s="2">
        <f>YEAR(B3462)</f>
        <v>2025</v>
      </c>
      <c r="O3462" t="str">
        <f>INDEX(Agences!$C:$C,MATCH(F3462,Agences!$A:$A,0))</f>
        <v>Est</v>
      </c>
      <c r="P3462" t="str">
        <f>INDEX(Produits!$C:$C,MATCH(H3462,Produits!$A:$A,0))</f>
        <v>Informatique</v>
      </c>
      <c r="Q3462" s="3">
        <f>I3462*INDEX(Produits!$E:$E,MATCH(H3462,Produits!$A:$A,0))</f>
        <v>54.51</v>
      </c>
      <c r="R3462" s="3">
        <f>L3462-Q3462</f>
        <v>11.04</v>
      </c>
      <c r="S3462" s="2">
        <f>NETWORKDAYS(B3462,C3462)-1</f>
        <v>4</v>
      </c>
      <c r="T3462" s="1">
        <f>WORKDAY(B3462,5)</f>
        <v>45750</v>
      </c>
      <c r="U3462" t="b">
        <f>C3462&gt;T3462</f>
        <v>0</v>
      </c>
    </row>
    <row r="3463" spans="1:21" x14ac:dyDescent="0.25">
      <c r="A3463" t="s">
        <v>2085</v>
      </c>
      <c r="B3463" s="1">
        <v>45743</v>
      </c>
      <c r="C3463" s="1">
        <v>45749</v>
      </c>
      <c r="D3463" t="s">
        <v>1316</v>
      </c>
      <c r="E3463" t="s">
        <v>316</v>
      </c>
      <c r="F3463" t="s">
        <v>46</v>
      </c>
      <c r="G3463" t="s">
        <v>47</v>
      </c>
      <c r="H3463" t="s">
        <v>51</v>
      </c>
      <c r="I3463" s="2">
        <v>1</v>
      </c>
      <c r="J3463" s="3">
        <v>180</v>
      </c>
      <c r="K3463" s="4">
        <v>0</v>
      </c>
      <c r="L3463" s="3">
        <v>180</v>
      </c>
      <c r="M3463" t="b">
        <v>1</v>
      </c>
      <c r="N3463" s="2">
        <f>YEAR(B3463)</f>
        <v>2025</v>
      </c>
      <c r="O3463" t="str">
        <f>INDEX(Agences!$C:$C,MATCH(F3463,Agences!$A:$A,0))</f>
        <v>Est</v>
      </c>
      <c r="P3463" t="str">
        <f>INDEX(Produits!$C:$C,MATCH(H3463,Produits!$A:$A,0))</f>
        <v>Maintenance</v>
      </c>
      <c r="Q3463" s="3">
        <f>I3463*INDEX(Produits!$E:$E,MATCH(H3463,Produits!$A:$A,0))</f>
        <v>82.8</v>
      </c>
      <c r="R3463" s="3">
        <f>L3463-Q3463</f>
        <v>97.2</v>
      </c>
      <c r="S3463" s="2">
        <f>NETWORKDAYS(B3463,C3463)-1</f>
        <v>4</v>
      </c>
      <c r="T3463" s="1">
        <f>WORKDAY(B3463,5)</f>
        <v>45750</v>
      </c>
      <c r="U3463" t="b">
        <f>C3463&gt;T3463</f>
        <v>0</v>
      </c>
    </row>
    <row r="3464" spans="1:21" x14ac:dyDescent="0.25">
      <c r="A3464" t="s">
        <v>2085</v>
      </c>
      <c r="B3464" s="1">
        <v>45743</v>
      </c>
      <c r="C3464" s="1">
        <v>45749</v>
      </c>
      <c r="D3464" t="s">
        <v>1316</v>
      </c>
      <c r="E3464" t="s">
        <v>316</v>
      </c>
      <c r="F3464" t="s">
        <v>46</v>
      </c>
      <c r="G3464" t="s">
        <v>47</v>
      </c>
      <c r="H3464" t="s">
        <v>107</v>
      </c>
      <c r="I3464" s="2">
        <v>3</v>
      </c>
      <c r="J3464" s="3">
        <v>99</v>
      </c>
      <c r="K3464" s="4">
        <v>0.05</v>
      </c>
      <c r="L3464" s="3">
        <v>282.15</v>
      </c>
      <c r="M3464" t="b">
        <v>1</v>
      </c>
      <c r="N3464" s="2">
        <f>YEAR(B3464)</f>
        <v>2025</v>
      </c>
      <c r="O3464" t="str">
        <f>INDEX(Agences!$C:$C,MATCH(F3464,Agences!$A:$A,0))</f>
        <v>Est</v>
      </c>
      <c r="P3464" t="str">
        <f>INDEX(Produits!$C:$C,MATCH(H3464,Produits!$A:$A,0))</f>
        <v>Informatique</v>
      </c>
      <c r="Q3464" s="3">
        <f>I3464*INDEX(Produits!$E:$E,MATCH(H3464,Produits!$A:$A,0))</f>
        <v>225.71999999999997</v>
      </c>
      <c r="R3464" s="3">
        <f>L3464-Q3464</f>
        <v>56.43000000000001</v>
      </c>
      <c r="S3464" s="2">
        <f>NETWORKDAYS(B3464,C3464)-1</f>
        <v>4</v>
      </c>
      <c r="T3464" s="1">
        <f>WORKDAY(B3464,5)</f>
        <v>45750</v>
      </c>
      <c r="U3464" t="b">
        <f>C3464&gt;T3464</f>
        <v>0</v>
      </c>
    </row>
    <row r="3465" spans="1:21" x14ac:dyDescent="0.25">
      <c r="A3465" t="s">
        <v>2085</v>
      </c>
      <c r="B3465" s="1">
        <v>45743</v>
      </c>
      <c r="C3465" s="1">
        <v>45749</v>
      </c>
      <c r="D3465" t="s">
        <v>1316</v>
      </c>
      <c r="E3465" t="s">
        <v>316</v>
      </c>
      <c r="F3465" t="s">
        <v>46</v>
      </c>
      <c r="G3465" t="s">
        <v>47</v>
      </c>
      <c r="H3465" t="s">
        <v>319</v>
      </c>
      <c r="I3465" s="2">
        <v>2</v>
      </c>
      <c r="J3465" s="3">
        <v>289</v>
      </c>
      <c r="K3465" s="4">
        <v>0</v>
      </c>
      <c r="L3465" s="3">
        <v>578</v>
      </c>
      <c r="M3465" t="b">
        <v>1</v>
      </c>
      <c r="N3465" s="2">
        <f>YEAR(B3465)</f>
        <v>2025</v>
      </c>
      <c r="O3465" t="str">
        <f>INDEX(Agences!$C:$C,MATCH(F3465,Agences!$A:$A,0))</f>
        <v>Est</v>
      </c>
      <c r="P3465" t="str">
        <f>INDEX(Produits!$C:$C,MATCH(H3465,Produits!$A:$A,0))</f>
        <v>Informatique</v>
      </c>
      <c r="Q3465" s="3">
        <f>I3465*INDEX(Produits!$E:$E,MATCH(H3465,Produits!$A:$A,0))</f>
        <v>427.72</v>
      </c>
      <c r="R3465" s="3">
        <f>L3465-Q3465</f>
        <v>150.27999999999997</v>
      </c>
      <c r="S3465" s="2">
        <f>NETWORKDAYS(B3465,C3465)-1</f>
        <v>4</v>
      </c>
      <c r="T3465" s="1">
        <f>WORKDAY(B3465,5)</f>
        <v>45750</v>
      </c>
      <c r="U3465" t="b">
        <f>C3465&gt;T3465</f>
        <v>0</v>
      </c>
    </row>
    <row r="3466" spans="1:21" x14ac:dyDescent="0.25">
      <c r="A3466" t="s">
        <v>2085</v>
      </c>
      <c r="B3466" s="1">
        <v>45743</v>
      </c>
      <c r="C3466" s="1">
        <v>45749</v>
      </c>
      <c r="D3466" t="s">
        <v>1316</v>
      </c>
      <c r="E3466" t="s">
        <v>316</v>
      </c>
      <c r="F3466" t="s">
        <v>46</v>
      </c>
      <c r="G3466" t="s">
        <v>47</v>
      </c>
      <c r="H3466" t="s">
        <v>26</v>
      </c>
      <c r="I3466" s="2">
        <v>2</v>
      </c>
      <c r="J3466" s="3">
        <v>290</v>
      </c>
      <c r="K3466" s="4">
        <v>0</v>
      </c>
      <c r="L3466" s="3">
        <v>580</v>
      </c>
      <c r="M3466" t="b">
        <v>1</v>
      </c>
      <c r="N3466" s="2">
        <f>YEAR(B3466)</f>
        <v>2025</v>
      </c>
      <c r="O3466" t="str">
        <f>INDEX(Agences!$C:$C,MATCH(F3466,Agences!$A:$A,0))</f>
        <v>Est</v>
      </c>
      <c r="P3466" t="str">
        <f>INDEX(Produits!$C:$C,MATCH(H3466,Produits!$A:$A,0))</f>
        <v>Maintenance</v>
      </c>
      <c r="Q3466" s="3">
        <f>I3466*INDEX(Produits!$E:$E,MATCH(H3466,Produits!$A:$A,0))</f>
        <v>278.4</v>
      </c>
      <c r="R3466" s="3">
        <f>L3466-Q3466</f>
        <v>301.6</v>
      </c>
      <c r="S3466" s="2">
        <f>NETWORKDAYS(B3466,C3466)-1</f>
        <v>4</v>
      </c>
      <c r="T3466" s="1">
        <f>WORKDAY(B3466,5)</f>
        <v>45750</v>
      </c>
      <c r="U3466" t="b">
        <f>C3466&gt;T3466</f>
        <v>0</v>
      </c>
    </row>
    <row r="3467" spans="1:21" x14ac:dyDescent="0.25">
      <c r="A3467" t="s">
        <v>2086</v>
      </c>
      <c r="B3467" s="1">
        <v>45742</v>
      </c>
      <c r="C3467" s="1">
        <v>45744</v>
      </c>
      <c r="D3467" t="s">
        <v>171</v>
      </c>
      <c r="E3467" t="s">
        <v>172</v>
      </c>
      <c r="F3467" t="s">
        <v>99</v>
      </c>
      <c r="G3467" t="s">
        <v>210</v>
      </c>
      <c r="H3467" t="s">
        <v>90</v>
      </c>
      <c r="I3467" s="2">
        <v>10</v>
      </c>
      <c r="J3467" s="3">
        <v>22.9</v>
      </c>
      <c r="K3467" s="4">
        <v>0</v>
      </c>
      <c r="L3467" s="3">
        <v>229</v>
      </c>
      <c r="M3467" t="b">
        <v>1</v>
      </c>
      <c r="N3467" s="2">
        <f>YEAR(B3467)</f>
        <v>2025</v>
      </c>
      <c r="O3467" t="str">
        <f>INDEX(Agences!$C:$C,MATCH(F3467,Agences!$A:$A,0))</f>
        <v>Nord</v>
      </c>
      <c r="P3467" t="str">
        <f>INDEX(Produits!$C:$C,MATCH(H3467,Produits!$A:$A,0))</f>
        <v>Fournitures</v>
      </c>
      <c r="Q3467" s="3">
        <f>I3467*INDEX(Produits!$E:$E,MATCH(H3467,Produits!$A:$A,0))</f>
        <v>128.2</v>
      </c>
      <c r="R3467" s="3">
        <f>L3467-Q3467</f>
        <v>100.80000000000001</v>
      </c>
      <c r="S3467" s="2">
        <f>NETWORKDAYS(B3467,C3467)-1</f>
        <v>2</v>
      </c>
      <c r="T3467" s="1">
        <f>WORKDAY(B3467,5)</f>
        <v>45749</v>
      </c>
      <c r="U3467" t="b">
        <f>C3467&gt;T3467</f>
        <v>0</v>
      </c>
    </row>
    <row r="3468" spans="1:21" x14ac:dyDescent="0.25">
      <c r="A3468" t="s">
        <v>2086</v>
      </c>
      <c r="B3468" s="1">
        <v>45742</v>
      </c>
      <c r="C3468" s="1">
        <v>45744</v>
      </c>
      <c r="D3468" t="s">
        <v>171</v>
      </c>
      <c r="E3468" t="s">
        <v>172</v>
      </c>
      <c r="F3468" t="s">
        <v>99</v>
      </c>
      <c r="G3468" t="s">
        <v>210</v>
      </c>
      <c r="H3468" t="s">
        <v>206</v>
      </c>
      <c r="I3468" s="2">
        <v>5</v>
      </c>
      <c r="J3468" s="3">
        <v>34</v>
      </c>
      <c r="K3468" s="4">
        <v>0</v>
      </c>
      <c r="L3468" s="3">
        <v>170</v>
      </c>
      <c r="M3468" t="b">
        <v>1</v>
      </c>
      <c r="N3468" s="2">
        <f>YEAR(B3468)</f>
        <v>2025</v>
      </c>
      <c r="O3468" t="str">
        <f>INDEX(Agences!$C:$C,MATCH(F3468,Agences!$A:$A,0))</f>
        <v>Nord</v>
      </c>
      <c r="P3468" t="str">
        <f>INDEX(Produits!$C:$C,MATCH(H3468,Produits!$A:$A,0))</f>
        <v>Fournitures</v>
      </c>
      <c r="Q3468" s="3">
        <f>I3468*INDEX(Produits!$E:$E,MATCH(H3468,Produits!$A:$A,0))</f>
        <v>96.89999999999999</v>
      </c>
      <c r="R3468" s="3">
        <f>L3468-Q3468</f>
        <v>73.10000000000001</v>
      </c>
      <c r="S3468" s="2">
        <f>NETWORKDAYS(B3468,C3468)-1</f>
        <v>2</v>
      </c>
      <c r="T3468" s="1">
        <f>WORKDAY(B3468,5)</f>
        <v>45749</v>
      </c>
      <c r="U3468" t="b">
        <f>C3468&gt;T3468</f>
        <v>0</v>
      </c>
    </row>
    <row r="3469" spans="1:21" x14ac:dyDescent="0.25">
      <c r="A3469" t="s">
        <v>2087</v>
      </c>
      <c r="B3469" s="1">
        <v>45742</v>
      </c>
      <c r="C3469" s="1">
        <v>45747</v>
      </c>
      <c r="D3469" t="s">
        <v>2088</v>
      </c>
      <c r="E3469" t="s">
        <v>175</v>
      </c>
      <c r="F3469" t="s">
        <v>76</v>
      </c>
      <c r="G3469" t="s">
        <v>232</v>
      </c>
      <c r="H3469" t="s">
        <v>112</v>
      </c>
      <c r="I3469" s="2">
        <v>2</v>
      </c>
      <c r="J3469" s="3">
        <v>129</v>
      </c>
      <c r="K3469" s="4">
        <v>0</v>
      </c>
      <c r="L3469" s="3">
        <v>258</v>
      </c>
      <c r="M3469" t="b">
        <v>1</v>
      </c>
      <c r="N3469" s="2">
        <f>YEAR(B3469)</f>
        <v>2025</v>
      </c>
      <c r="O3469" t="str">
        <f>INDEX(Agences!$C:$C,MATCH(F3469,Agences!$A:$A,0))</f>
        <v>Île-de-France</v>
      </c>
      <c r="P3469" t="str">
        <f>INDEX(Produits!$C:$C,MATCH(H3469,Produits!$A:$A,0))</f>
        <v>Mobilier</v>
      </c>
      <c r="Q3469" s="3">
        <f>I3469*INDEX(Produits!$E:$E,MATCH(H3469,Produits!$A:$A,0))</f>
        <v>172.86</v>
      </c>
      <c r="R3469" s="3">
        <f>L3469-Q3469</f>
        <v>85.13999999999999</v>
      </c>
      <c r="S3469" s="2">
        <f>NETWORKDAYS(B3469,C3469)-1</f>
        <v>3</v>
      </c>
      <c r="T3469" s="1">
        <f>WORKDAY(B3469,5)</f>
        <v>45749</v>
      </c>
      <c r="U3469" t="b">
        <f>C3469&gt;T3469</f>
        <v>0</v>
      </c>
    </row>
    <row r="3470" spans="1:21" x14ac:dyDescent="0.25">
      <c r="A3470" t="s">
        <v>2087</v>
      </c>
      <c r="B3470" s="1">
        <v>45742</v>
      </c>
      <c r="C3470" s="1">
        <v>45747</v>
      </c>
      <c r="D3470" t="s">
        <v>2088</v>
      </c>
      <c r="E3470" t="s">
        <v>175</v>
      </c>
      <c r="F3470" t="s">
        <v>76</v>
      </c>
      <c r="G3470" t="s">
        <v>232</v>
      </c>
      <c r="H3470" t="s">
        <v>233</v>
      </c>
      <c r="I3470" s="2">
        <v>5</v>
      </c>
      <c r="J3470" s="3">
        <v>27.5</v>
      </c>
      <c r="K3470" s="4">
        <v>0</v>
      </c>
      <c r="L3470" s="3">
        <v>137.5</v>
      </c>
      <c r="M3470" t="b">
        <v>1</v>
      </c>
      <c r="N3470" s="2">
        <f>YEAR(B3470)</f>
        <v>2025</v>
      </c>
      <c r="O3470" t="str">
        <f>INDEX(Agences!$C:$C,MATCH(F3470,Agences!$A:$A,0))</f>
        <v>Île-de-France</v>
      </c>
      <c r="P3470" t="str">
        <f>INDEX(Produits!$C:$C,MATCH(H3470,Produits!$A:$A,0))</f>
        <v>Fournitures</v>
      </c>
      <c r="Q3470" s="3">
        <f>I3470*INDEX(Produits!$E:$E,MATCH(H3470,Produits!$A:$A,0))</f>
        <v>77</v>
      </c>
      <c r="R3470" s="3">
        <f>L3470-Q3470</f>
        <v>60.5</v>
      </c>
      <c r="S3470" s="2">
        <f>NETWORKDAYS(B3470,C3470)-1</f>
        <v>3</v>
      </c>
      <c r="T3470" s="1">
        <f>WORKDAY(B3470,5)</f>
        <v>45749</v>
      </c>
      <c r="U3470" t="b">
        <f>C3470&gt;T3470</f>
        <v>0</v>
      </c>
    </row>
    <row r="3471" spans="1:21" x14ac:dyDescent="0.25">
      <c r="A3471" t="s">
        <v>2089</v>
      </c>
      <c r="B3471" s="1">
        <v>45742</v>
      </c>
      <c r="C3471" s="1">
        <v>45744</v>
      </c>
      <c r="D3471" t="s">
        <v>235</v>
      </c>
      <c r="E3471" t="s">
        <v>236</v>
      </c>
      <c r="F3471" t="s">
        <v>39</v>
      </c>
      <c r="G3471" t="s">
        <v>322</v>
      </c>
      <c r="H3471" t="s">
        <v>83</v>
      </c>
      <c r="I3471" s="2">
        <v>2</v>
      </c>
      <c r="J3471" s="3">
        <v>49</v>
      </c>
      <c r="K3471" s="4">
        <v>0</v>
      </c>
      <c r="L3471" s="3">
        <v>98</v>
      </c>
      <c r="M3471" t="b">
        <v>1</v>
      </c>
      <c r="N3471" s="2">
        <f>YEAR(B3471)</f>
        <v>2025</v>
      </c>
      <c r="O3471" t="str">
        <f>INDEX(Agences!$C:$C,MATCH(F3471,Agences!$A:$A,0))</f>
        <v>Sud-Ouest</v>
      </c>
      <c r="P3471" t="str">
        <f>INDEX(Produits!$C:$C,MATCH(H3471,Produits!$A:$A,0))</f>
        <v>Mobilier</v>
      </c>
      <c r="Q3471" s="3">
        <f>I3471*INDEX(Produits!$E:$E,MATCH(H3471,Produits!$A:$A,0))</f>
        <v>56.84</v>
      </c>
      <c r="R3471" s="3">
        <f>L3471-Q3471</f>
        <v>41.16</v>
      </c>
      <c r="S3471" s="2">
        <f>NETWORKDAYS(B3471,C3471)-1</f>
        <v>2</v>
      </c>
      <c r="T3471" s="1">
        <f>WORKDAY(B3471,5)</f>
        <v>45749</v>
      </c>
      <c r="U3471" t="b">
        <f>C3471&gt;T3471</f>
        <v>0</v>
      </c>
    </row>
    <row r="3472" spans="1:21" x14ac:dyDescent="0.25">
      <c r="A3472" t="s">
        <v>2089</v>
      </c>
      <c r="B3472" s="1">
        <v>45742</v>
      </c>
      <c r="C3472" s="1">
        <v>45744</v>
      </c>
      <c r="D3472" t="s">
        <v>235</v>
      </c>
      <c r="E3472" t="s">
        <v>236</v>
      </c>
      <c r="F3472" t="s">
        <v>39</v>
      </c>
      <c r="G3472" t="s">
        <v>322</v>
      </c>
      <c r="H3472" t="s">
        <v>33</v>
      </c>
      <c r="I3472" s="2">
        <v>1</v>
      </c>
      <c r="J3472" s="3">
        <v>219</v>
      </c>
      <c r="K3472" s="4">
        <v>0</v>
      </c>
      <c r="L3472" s="3">
        <v>219</v>
      </c>
      <c r="M3472" t="b">
        <v>1</v>
      </c>
      <c r="N3472" s="2">
        <f>YEAR(B3472)</f>
        <v>2025</v>
      </c>
      <c r="O3472" t="str">
        <f>INDEX(Agences!$C:$C,MATCH(F3472,Agences!$A:$A,0))</f>
        <v>Sud-Ouest</v>
      </c>
      <c r="P3472" t="str">
        <f>INDEX(Produits!$C:$C,MATCH(H3472,Produits!$A:$A,0))</f>
        <v>Informatique</v>
      </c>
      <c r="Q3472" s="3">
        <f>I3472*INDEX(Produits!$E:$E,MATCH(H3472,Produits!$A:$A,0))</f>
        <v>179.58</v>
      </c>
      <c r="R3472" s="3">
        <f>L3472-Q3472</f>
        <v>39.41999999999999</v>
      </c>
      <c r="S3472" s="2">
        <f>NETWORKDAYS(B3472,C3472)-1</f>
        <v>2</v>
      </c>
      <c r="T3472" s="1">
        <f>WORKDAY(B3472,5)</f>
        <v>45749</v>
      </c>
      <c r="U3472" t="b">
        <f>C3472&gt;T3472</f>
        <v>0</v>
      </c>
    </row>
    <row r="3473" spans="1:21" x14ac:dyDescent="0.25">
      <c r="A3473" t="s">
        <v>2090</v>
      </c>
      <c r="B3473" s="1">
        <v>45742</v>
      </c>
      <c r="C3473" s="1">
        <v>45743</v>
      </c>
      <c r="D3473" t="s">
        <v>290</v>
      </c>
      <c r="E3473" t="s">
        <v>191</v>
      </c>
      <c r="F3473" t="s">
        <v>62</v>
      </c>
      <c r="G3473" t="s">
        <v>106</v>
      </c>
      <c r="H3473" t="s">
        <v>162</v>
      </c>
      <c r="I3473" s="2">
        <v>2</v>
      </c>
      <c r="J3473" s="3">
        <v>289</v>
      </c>
      <c r="K3473" s="4">
        <v>0</v>
      </c>
      <c r="L3473" s="3">
        <v>578</v>
      </c>
      <c r="M3473" t="b">
        <v>1</v>
      </c>
      <c r="N3473" s="2">
        <f>YEAR(B3473)</f>
        <v>2025</v>
      </c>
      <c r="O3473" t="str">
        <f>INDEX(Agences!$C:$C,MATCH(F3473,Agences!$A:$A,0))</f>
        <v>Méditerranée</v>
      </c>
      <c r="P3473" t="str">
        <f>INDEX(Produits!$C:$C,MATCH(H3473,Produits!$A:$A,0))</f>
        <v>Mobilier</v>
      </c>
      <c r="Q3473" s="3">
        <f>I3473*INDEX(Produits!$E:$E,MATCH(H3473,Produits!$A:$A,0))</f>
        <v>387.26</v>
      </c>
      <c r="R3473" s="3">
        <f>L3473-Q3473</f>
        <v>190.74</v>
      </c>
      <c r="S3473" s="2">
        <f>NETWORKDAYS(B3473,C3473)-1</f>
        <v>1</v>
      </c>
      <c r="T3473" s="1">
        <f>WORKDAY(B3473,5)</f>
        <v>45749</v>
      </c>
      <c r="U3473" t="b">
        <f>C3473&gt;T3473</f>
        <v>0</v>
      </c>
    </row>
    <row r="3474" spans="1:21" x14ac:dyDescent="0.25">
      <c r="A3474" t="s">
        <v>2091</v>
      </c>
      <c r="B3474" s="1">
        <v>45741</v>
      </c>
      <c r="C3474" s="1">
        <v>45742</v>
      </c>
      <c r="D3474" t="s">
        <v>1284</v>
      </c>
      <c r="E3474" t="s">
        <v>119</v>
      </c>
      <c r="F3474" t="s">
        <v>24</v>
      </c>
      <c r="G3474" t="s">
        <v>199</v>
      </c>
      <c r="H3474" t="s">
        <v>42</v>
      </c>
      <c r="I3474" s="2">
        <v>2</v>
      </c>
      <c r="J3474" s="3">
        <v>55</v>
      </c>
      <c r="K3474" s="4">
        <v>0</v>
      </c>
      <c r="L3474" s="3">
        <v>110</v>
      </c>
      <c r="M3474" t="b">
        <v>1</v>
      </c>
      <c r="N3474" s="2">
        <f>YEAR(B3474)</f>
        <v>2025</v>
      </c>
      <c r="O3474" t="str">
        <f>INDEX(Agences!$C:$C,MATCH(F3474,Agences!$A:$A,0))</f>
        <v>Nord</v>
      </c>
      <c r="P3474" t="str">
        <f>INDEX(Produits!$C:$C,MATCH(H3474,Produits!$A:$A,0))</f>
        <v>Maintenance</v>
      </c>
      <c r="Q3474" s="3">
        <f>I3474*INDEX(Produits!$E:$E,MATCH(H3474,Produits!$A:$A,0))</f>
        <v>49.5</v>
      </c>
      <c r="R3474" s="3">
        <f>L3474-Q3474</f>
        <v>60.5</v>
      </c>
      <c r="S3474" s="2">
        <f>NETWORKDAYS(B3474,C3474)-1</f>
        <v>1</v>
      </c>
      <c r="T3474" s="1">
        <f>WORKDAY(B3474,5)</f>
        <v>45748</v>
      </c>
      <c r="U3474" t="b">
        <f>C3474&gt;T3474</f>
        <v>0</v>
      </c>
    </row>
    <row r="3475" spans="1:21" x14ac:dyDescent="0.25">
      <c r="A3475" t="s">
        <v>2091</v>
      </c>
      <c r="B3475" s="1">
        <v>45741</v>
      </c>
      <c r="C3475" s="1">
        <v>45742</v>
      </c>
      <c r="D3475" t="s">
        <v>1284</v>
      </c>
      <c r="E3475" t="s">
        <v>119</v>
      </c>
      <c r="F3475" t="s">
        <v>24</v>
      </c>
      <c r="G3475" t="s">
        <v>199</v>
      </c>
      <c r="H3475" t="s">
        <v>64</v>
      </c>
      <c r="I3475" s="2">
        <v>30</v>
      </c>
      <c r="J3475" s="3">
        <v>16.8</v>
      </c>
      <c r="K3475" s="4">
        <v>0</v>
      </c>
      <c r="L3475" s="3">
        <v>504</v>
      </c>
      <c r="M3475" t="b">
        <v>1</v>
      </c>
      <c r="N3475" s="2">
        <f>YEAR(B3475)</f>
        <v>2025</v>
      </c>
      <c r="O3475" t="str">
        <f>INDEX(Agences!$C:$C,MATCH(F3475,Agences!$A:$A,0))</f>
        <v>Nord</v>
      </c>
      <c r="P3475" t="str">
        <f>INDEX(Produits!$C:$C,MATCH(H3475,Produits!$A:$A,0))</f>
        <v>Fournitures</v>
      </c>
      <c r="Q3475" s="3">
        <f>I3475*INDEX(Produits!$E:$E,MATCH(H3475,Produits!$A:$A,0))</f>
        <v>262.2</v>
      </c>
      <c r="R3475" s="3">
        <f>L3475-Q3475</f>
        <v>241.8</v>
      </c>
      <c r="S3475" s="2">
        <f>NETWORKDAYS(B3475,C3475)-1</f>
        <v>1</v>
      </c>
      <c r="T3475" s="1">
        <f>WORKDAY(B3475,5)</f>
        <v>45748</v>
      </c>
      <c r="U3475" t="b">
        <f>C3475&gt;T3475</f>
        <v>0</v>
      </c>
    </row>
    <row r="3476" spans="1:21" x14ac:dyDescent="0.25">
      <c r="A3476" t="s">
        <v>2091</v>
      </c>
      <c r="B3476" s="1">
        <v>45741</v>
      </c>
      <c r="C3476" s="1">
        <v>45742</v>
      </c>
      <c r="D3476" t="s">
        <v>1284</v>
      </c>
      <c r="E3476" t="s">
        <v>119</v>
      </c>
      <c r="F3476" t="s">
        <v>24</v>
      </c>
      <c r="G3476" t="s">
        <v>199</v>
      </c>
      <c r="H3476" t="s">
        <v>112</v>
      </c>
      <c r="I3476" s="2">
        <v>2</v>
      </c>
      <c r="J3476" s="3">
        <v>129</v>
      </c>
      <c r="K3476" s="4">
        <v>0</v>
      </c>
      <c r="L3476" s="3">
        <v>258</v>
      </c>
      <c r="M3476" t="b">
        <v>1</v>
      </c>
      <c r="N3476" s="2">
        <f>YEAR(B3476)</f>
        <v>2025</v>
      </c>
      <c r="O3476" t="str">
        <f>INDEX(Agences!$C:$C,MATCH(F3476,Agences!$A:$A,0))</f>
        <v>Nord</v>
      </c>
      <c r="P3476" t="str">
        <f>INDEX(Produits!$C:$C,MATCH(H3476,Produits!$A:$A,0))</f>
        <v>Mobilier</v>
      </c>
      <c r="Q3476" s="3">
        <f>I3476*INDEX(Produits!$E:$E,MATCH(H3476,Produits!$A:$A,0))</f>
        <v>172.86</v>
      </c>
      <c r="R3476" s="3">
        <f>L3476-Q3476</f>
        <v>85.13999999999999</v>
      </c>
      <c r="S3476" s="2">
        <f>NETWORKDAYS(B3476,C3476)-1</f>
        <v>1</v>
      </c>
      <c r="T3476" s="1">
        <f>WORKDAY(B3476,5)</f>
        <v>45748</v>
      </c>
      <c r="U3476" t="b">
        <f>C3476&gt;T3476</f>
        <v>0</v>
      </c>
    </row>
    <row r="3477" spans="1:21" x14ac:dyDescent="0.25">
      <c r="A3477" t="s">
        <v>2092</v>
      </c>
      <c r="B3477" s="1">
        <v>45741</v>
      </c>
      <c r="C3477" s="1">
        <v>45742</v>
      </c>
      <c r="D3477" t="s">
        <v>1049</v>
      </c>
      <c r="E3477" t="s">
        <v>23</v>
      </c>
      <c r="F3477" t="s">
        <v>24</v>
      </c>
      <c r="G3477" t="s">
        <v>199</v>
      </c>
      <c r="H3477" t="s">
        <v>83</v>
      </c>
      <c r="I3477" s="2">
        <v>3</v>
      </c>
      <c r="J3477" s="3">
        <v>49</v>
      </c>
      <c r="K3477" s="4">
        <v>0</v>
      </c>
      <c r="L3477" s="3">
        <v>147</v>
      </c>
      <c r="M3477" t="b">
        <v>1</v>
      </c>
      <c r="N3477" s="2">
        <f>YEAR(B3477)</f>
        <v>2025</v>
      </c>
      <c r="O3477" t="str">
        <f>INDEX(Agences!$C:$C,MATCH(F3477,Agences!$A:$A,0))</f>
        <v>Nord</v>
      </c>
      <c r="P3477" t="str">
        <f>INDEX(Produits!$C:$C,MATCH(H3477,Produits!$A:$A,0))</f>
        <v>Mobilier</v>
      </c>
      <c r="Q3477" s="3">
        <f>I3477*INDEX(Produits!$E:$E,MATCH(H3477,Produits!$A:$A,0))</f>
        <v>85.26</v>
      </c>
      <c r="R3477" s="3">
        <f>L3477-Q3477</f>
        <v>61.739999999999995</v>
      </c>
      <c r="S3477" s="2">
        <f>NETWORKDAYS(B3477,C3477)-1</f>
        <v>1</v>
      </c>
      <c r="T3477" s="1">
        <f>WORKDAY(B3477,5)</f>
        <v>45748</v>
      </c>
      <c r="U3477" t="b">
        <f>C3477&gt;T3477</f>
        <v>0</v>
      </c>
    </row>
    <row r="3478" spans="1:21" x14ac:dyDescent="0.25">
      <c r="A3478" t="s">
        <v>2093</v>
      </c>
      <c r="B3478" s="1">
        <v>45741</v>
      </c>
      <c r="C3478" s="1">
        <v>45744</v>
      </c>
      <c r="D3478" t="s">
        <v>964</v>
      </c>
      <c r="E3478" t="s">
        <v>122</v>
      </c>
      <c r="F3478" t="s">
        <v>24</v>
      </c>
      <c r="G3478" t="s">
        <v>25</v>
      </c>
      <c r="H3478" t="s">
        <v>51</v>
      </c>
      <c r="I3478" s="2">
        <v>1</v>
      </c>
      <c r="J3478" s="3">
        <v>180</v>
      </c>
      <c r="K3478" s="4">
        <v>0</v>
      </c>
      <c r="L3478" s="3">
        <v>180</v>
      </c>
      <c r="M3478" t="b">
        <v>1</v>
      </c>
      <c r="N3478" s="2">
        <f>YEAR(B3478)</f>
        <v>2025</v>
      </c>
      <c r="O3478" t="str">
        <f>INDEX(Agences!$C:$C,MATCH(F3478,Agences!$A:$A,0))</f>
        <v>Nord</v>
      </c>
      <c r="P3478" t="str">
        <f>INDEX(Produits!$C:$C,MATCH(H3478,Produits!$A:$A,0))</f>
        <v>Maintenance</v>
      </c>
      <c r="Q3478" s="3">
        <f>I3478*INDEX(Produits!$E:$E,MATCH(H3478,Produits!$A:$A,0))</f>
        <v>82.8</v>
      </c>
      <c r="R3478" s="3">
        <f>L3478-Q3478</f>
        <v>97.2</v>
      </c>
      <c r="S3478" s="2">
        <f>NETWORKDAYS(B3478,C3478)-1</f>
        <v>3</v>
      </c>
      <c r="T3478" s="1">
        <f>WORKDAY(B3478,5)</f>
        <v>45748</v>
      </c>
      <c r="U3478" t="b">
        <f>C3478&gt;T3478</f>
        <v>0</v>
      </c>
    </row>
    <row r="3479" spans="1:21" x14ac:dyDescent="0.25">
      <c r="A3479" t="s">
        <v>2093</v>
      </c>
      <c r="B3479" s="1">
        <v>45741</v>
      </c>
      <c r="C3479" s="1">
        <v>45744</v>
      </c>
      <c r="D3479" t="s">
        <v>964</v>
      </c>
      <c r="E3479" t="s">
        <v>122</v>
      </c>
      <c r="F3479" t="s">
        <v>24</v>
      </c>
      <c r="G3479" t="s">
        <v>25</v>
      </c>
      <c r="H3479" t="s">
        <v>42</v>
      </c>
      <c r="I3479" s="2">
        <v>1</v>
      </c>
      <c r="J3479" s="3">
        <v>55</v>
      </c>
      <c r="K3479" s="4">
        <v>0</v>
      </c>
      <c r="L3479" s="3">
        <v>55</v>
      </c>
      <c r="M3479" t="b">
        <v>1</v>
      </c>
      <c r="N3479" s="2">
        <f>YEAR(B3479)</f>
        <v>2025</v>
      </c>
      <c r="O3479" t="str">
        <f>INDEX(Agences!$C:$C,MATCH(F3479,Agences!$A:$A,0))</f>
        <v>Nord</v>
      </c>
      <c r="P3479" t="str">
        <f>INDEX(Produits!$C:$C,MATCH(H3479,Produits!$A:$A,0))</f>
        <v>Maintenance</v>
      </c>
      <c r="Q3479" s="3">
        <f>I3479*INDEX(Produits!$E:$E,MATCH(H3479,Produits!$A:$A,0))</f>
        <v>24.75</v>
      </c>
      <c r="R3479" s="3">
        <f>L3479-Q3479</f>
        <v>30.25</v>
      </c>
      <c r="S3479" s="2">
        <f>NETWORKDAYS(B3479,C3479)-1</f>
        <v>3</v>
      </c>
      <c r="T3479" s="1">
        <f>WORKDAY(B3479,5)</f>
        <v>45748</v>
      </c>
      <c r="U3479" t="b">
        <f>C3479&gt;T3479</f>
        <v>0</v>
      </c>
    </row>
    <row r="3480" spans="1:21" x14ac:dyDescent="0.25">
      <c r="A3480" t="s">
        <v>2093</v>
      </c>
      <c r="B3480" s="1">
        <v>45741</v>
      </c>
      <c r="C3480" s="1">
        <v>45744</v>
      </c>
      <c r="D3480" t="s">
        <v>964</v>
      </c>
      <c r="E3480" t="s">
        <v>122</v>
      </c>
      <c r="F3480" t="s">
        <v>24</v>
      </c>
      <c r="G3480" t="s">
        <v>25</v>
      </c>
      <c r="H3480" t="s">
        <v>27</v>
      </c>
      <c r="I3480" s="2">
        <v>2</v>
      </c>
      <c r="J3480" s="3">
        <v>310</v>
      </c>
      <c r="K3480" s="4">
        <v>0.08</v>
      </c>
      <c r="L3480" s="3">
        <v>570.4</v>
      </c>
      <c r="M3480" t="b">
        <v>1</v>
      </c>
      <c r="N3480" s="2">
        <f>YEAR(B3480)</f>
        <v>2025</v>
      </c>
      <c r="O3480" t="str">
        <f>INDEX(Agences!$C:$C,MATCH(F3480,Agences!$A:$A,0))</f>
        <v>Nord</v>
      </c>
      <c r="P3480" t="str">
        <f>INDEX(Produits!$C:$C,MATCH(H3480,Produits!$A:$A,0))</f>
        <v>Mobilier</v>
      </c>
      <c r="Q3480" s="3">
        <f>I3480*INDEX(Produits!$E:$E,MATCH(H3480,Produits!$A:$A,0))</f>
        <v>372</v>
      </c>
      <c r="R3480" s="3">
        <f>L3480-Q3480</f>
        <v>198.39999999999998</v>
      </c>
      <c r="S3480" s="2">
        <f>NETWORKDAYS(B3480,C3480)-1</f>
        <v>3</v>
      </c>
      <c r="T3480" s="1">
        <f>WORKDAY(B3480,5)</f>
        <v>45748</v>
      </c>
      <c r="U3480" t="b">
        <f>C3480&gt;T3480</f>
        <v>0</v>
      </c>
    </row>
    <row r="3481" spans="1:21" x14ac:dyDescent="0.25">
      <c r="A3481" t="s">
        <v>2093</v>
      </c>
      <c r="B3481" s="1">
        <v>45741</v>
      </c>
      <c r="C3481" s="1">
        <v>45744</v>
      </c>
      <c r="D3481" t="s">
        <v>964</v>
      </c>
      <c r="E3481" t="s">
        <v>122</v>
      </c>
      <c r="F3481" t="s">
        <v>24</v>
      </c>
      <c r="G3481" t="s">
        <v>25</v>
      </c>
      <c r="H3481" t="s">
        <v>107</v>
      </c>
      <c r="I3481" s="2">
        <v>4</v>
      </c>
      <c r="J3481" s="3">
        <v>99</v>
      </c>
      <c r="K3481" s="4">
        <v>0</v>
      </c>
      <c r="L3481" s="3">
        <v>396</v>
      </c>
      <c r="M3481" t="b">
        <v>1</v>
      </c>
      <c r="N3481" s="2">
        <f>YEAR(B3481)</f>
        <v>2025</v>
      </c>
      <c r="O3481" t="str">
        <f>INDEX(Agences!$C:$C,MATCH(F3481,Agences!$A:$A,0))</f>
        <v>Nord</v>
      </c>
      <c r="P3481" t="str">
        <f>INDEX(Produits!$C:$C,MATCH(H3481,Produits!$A:$A,0))</f>
        <v>Informatique</v>
      </c>
      <c r="Q3481" s="3">
        <f>I3481*INDEX(Produits!$E:$E,MATCH(H3481,Produits!$A:$A,0))</f>
        <v>300.96</v>
      </c>
      <c r="R3481" s="3">
        <f>L3481-Q3481</f>
        <v>95.04000000000002</v>
      </c>
      <c r="S3481" s="2">
        <f>NETWORKDAYS(B3481,C3481)-1</f>
        <v>3</v>
      </c>
      <c r="T3481" s="1">
        <f>WORKDAY(B3481,5)</f>
        <v>45748</v>
      </c>
      <c r="U3481" t="b">
        <f>C3481&gt;T3481</f>
        <v>0</v>
      </c>
    </row>
    <row r="3482" spans="1:21" x14ac:dyDescent="0.25">
      <c r="A3482" t="s">
        <v>2094</v>
      </c>
      <c r="B3482" s="1">
        <v>45741</v>
      </c>
      <c r="C3482" s="1">
        <v>45742</v>
      </c>
      <c r="D3482" t="s">
        <v>2095</v>
      </c>
      <c r="E3482" t="s">
        <v>137</v>
      </c>
      <c r="F3482" t="s">
        <v>138</v>
      </c>
      <c r="G3482" t="s">
        <v>214</v>
      </c>
      <c r="H3482" t="s">
        <v>26</v>
      </c>
      <c r="I3482" s="2">
        <v>1</v>
      </c>
      <c r="J3482" s="3">
        <v>290</v>
      </c>
      <c r="K3482" s="4">
        <v>0.08</v>
      </c>
      <c r="L3482" s="3">
        <v>266.8</v>
      </c>
      <c r="M3482" t="b">
        <v>1</v>
      </c>
      <c r="N3482" s="2">
        <f>YEAR(B3482)</f>
        <v>2025</v>
      </c>
      <c r="O3482" t="str">
        <f>INDEX(Agences!$C:$C,MATCH(F3482,Agences!$A:$A,0))</f>
        <v>Île-de-France</v>
      </c>
      <c r="P3482" t="str">
        <f>INDEX(Produits!$C:$C,MATCH(H3482,Produits!$A:$A,0))</f>
        <v>Maintenance</v>
      </c>
      <c r="Q3482" s="3">
        <f>I3482*INDEX(Produits!$E:$E,MATCH(H3482,Produits!$A:$A,0))</f>
        <v>139.2</v>
      </c>
      <c r="R3482" s="3">
        <f>L3482-Q3482</f>
        <v>127.60000000000002</v>
      </c>
      <c r="S3482" s="2">
        <f>NETWORKDAYS(B3482,C3482)-1</f>
        <v>1</v>
      </c>
      <c r="T3482" s="1">
        <f>WORKDAY(B3482,5)</f>
        <v>45748</v>
      </c>
      <c r="U3482" t="b">
        <f>C3482&gt;T3482</f>
        <v>0</v>
      </c>
    </row>
    <row r="3483" spans="1:21" x14ac:dyDescent="0.25">
      <c r="A3483" t="s">
        <v>2094</v>
      </c>
      <c r="B3483" s="1">
        <v>45741</v>
      </c>
      <c r="C3483" s="1">
        <v>45742</v>
      </c>
      <c r="D3483" t="s">
        <v>2095</v>
      </c>
      <c r="E3483" t="s">
        <v>137</v>
      </c>
      <c r="F3483" t="s">
        <v>138</v>
      </c>
      <c r="G3483" t="s">
        <v>214</v>
      </c>
      <c r="H3483" t="s">
        <v>49</v>
      </c>
      <c r="I3483" s="2">
        <v>1</v>
      </c>
      <c r="J3483" s="3">
        <v>120</v>
      </c>
      <c r="K3483" s="4">
        <v>0</v>
      </c>
      <c r="L3483" s="3">
        <v>120</v>
      </c>
      <c r="M3483" t="b">
        <v>1</v>
      </c>
      <c r="N3483" s="2">
        <f>YEAR(B3483)</f>
        <v>2025</v>
      </c>
      <c r="O3483" t="str">
        <f>INDEX(Agences!$C:$C,MATCH(F3483,Agences!$A:$A,0))</f>
        <v>Île-de-France</v>
      </c>
      <c r="P3483" t="str">
        <f>INDEX(Produits!$C:$C,MATCH(H3483,Produits!$A:$A,0))</f>
        <v>Maintenance</v>
      </c>
      <c r="Q3483" s="3">
        <f>I3483*INDEX(Produits!$E:$E,MATCH(H3483,Produits!$A:$A,0))</f>
        <v>55.2</v>
      </c>
      <c r="R3483" s="3">
        <f>L3483-Q3483</f>
        <v>64.8</v>
      </c>
      <c r="S3483" s="2">
        <f>NETWORKDAYS(B3483,C3483)-1</f>
        <v>1</v>
      </c>
      <c r="T3483" s="1">
        <f>WORKDAY(B3483,5)</f>
        <v>45748</v>
      </c>
      <c r="U3483" t="b">
        <f>C3483&gt;T3483</f>
        <v>0</v>
      </c>
    </row>
    <row r="3484" spans="1:21" x14ac:dyDescent="0.25">
      <c r="A3484" t="s">
        <v>2094</v>
      </c>
      <c r="B3484" s="1">
        <v>45741</v>
      </c>
      <c r="C3484" s="1">
        <v>45742</v>
      </c>
      <c r="D3484" t="s">
        <v>2095</v>
      </c>
      <c r="E3484" t="s">
        <v>137</v>
      </c>
      <c r="F3484" t="s">
        <v>138</v>
      </c>
      <c r="G3484" t="s">
        <v>214</v>
      </c>
      <c r="H3484" t="s">
        <v>107</v>
      </c>
      <c r="I3484" s="2">
        <v>3</v>
      </c>
      <c r="J3484" s="3">
        <v>99</v>
      </c>
      <c r="K3484" s="4">
        <v>0.02</v>
      </c>
      <c r="L3484" s="3">
        <v>291.06</v>
      </c>
      <c r="M3484" t="b">
        <v>1</v>
      </c>
      <c r="N3484" s="2">
        <f>YEAR(B3484)</f>
        <v>2025</v>
      </c>
      <c r="O3484" t="str">
        <f>INDEX(Agences!$C:$C,MATCH(F3484,Agences!$A:$A,0))</f>
        <v>Île-de-France</v>
      </c>
      <c r="P3484" t="str">
        <f>INDEX(Produits!$C:$C,MATCH(H3484,Produits!$A:$A,0))</f>
        <v>Informatique</v>
      </c>
      <c r="Q3484" s="3">
        <f>I3484*INDEX(Produits!$E:$E,MATCH(H3484,Produits!$A:$A,0))</f>
        <v>225.71999999999997</v>
      </c>
      <c r="R3484" s="3">
        <f>L3484-Q3484</f>
        <v>65.34000000000003</v>
      </c>
      <c r="S3484" s="2">
        <f>NETWORKDAYS(B3484,C3484)-1</f>
        <v>1</v>
      </c>
      <c r="T3484" s="1">
        <f>WORKDAY(B3484,5)</f>
        <v>45748</v>
      </c>
      <c r="U3484" t="b">
        <f>C3484&gt;T3484</f>
        <v>0</v>
      </c>
    </row>
    <row r="3485" spans="1:21" x14ac:dyDescent="0.25">
      <c r="A3485" t="s">
        <v>2096</v>
      </c>
      <c r="B3485" s="1">
        <v>45741</v>
      </c>
      <c r="C3485" s="1">
        <v>45743</v>
      </c>
      <c r="D3485" t="s">
        <v>44</v>
      </c>
      <c r="E3485" t="s">
        <v>45</v>
      </c>
      <c r="F3485" t="s">
        <v>46</v>
      </c>
      <c r="G3485" t="s">
        <v>111</v>
      </c>
      <c r="H3485" t="s">
        <v>34</v>
      </c>
      <c r="I3485" s="2">
        <v>2</v>
      </c>
      <c r="J3485" s="3">
        <v>340</v>
      </c>
      <c r="K3485" s="4">
        <v>0.02</v>
      </c>
      <c r="L3485" s="3">
        <v>666.4</v>
      </c>
      <c r="M3485" t="b">
        <v>1</v>
      </c>
      <c r="N3485" s="2">
        <f>YEAR(B3485)</f>
        <v>2025</v>
      </c>
      <c r="O3485" t="str">
        <f>INDEX(Agences!$C:$C,MATCH(F3485,Agences!$A:$A,0))</f>
        <v>Est</v>
      </c>
      <c r="P3485" t="str">
        <f>INDEX(Produits!$C:$C,MATCH(H3485,Produits!$A:$A,0))</f>
        <v>Informatique</v>
      </c>
      <c r="Q3485" s="3">
        <f>I3485*INDEX(Produits!$E:$E,MATCH(H3485,Produits!$A:$A,0))</f>
        <v>550.8</v>
      </c>
      <c r="R3485" s="3">
        <f>L3485-Q3485</f>
        <v>115.60000000000002</v>
      </c>
      <c r="S3485" s="2">
        <f>NETWORKDAYS(B3485,C3485)-1</f>
        <v>2</v>
      </c>
      <c r="T3485" s="1">
        <f>WORKDAY(B3485,5)</f>
        <v>45748</v>
      </c>
      <c r="U3485" t="b">
        <f>C3485&gt;T3485</f>
        <v>0</v>
      </c>
    </row>
    <row r="3486" spans="1:21" x14ac:dyDescent="0.25">
      <c r="A3486" t="s">
        <v>2096</v>
      </c>
      <c r="B3486" s="1">
        <v>45741</v>
      </c>
      <c r="C3486" s="1">
        <v>45743</v>
      </c>
      <c r="D3486" t="s">
        <v>44</v>
      </c>
      <c r="E3486" t="s">
        <v>45</v>
      </c>
      <c r="F3486" t="s">
        <v>46</v>
      </c>
      <c r="G3486" t="s">
        <v>111</v>
      </c>
      <c r="H3486" t="s">
        <v>83</v>
      </c>
      <c r="I3486" s="2">
        <v>1</v>
      </c>
      <c r="J3486" s="3">
        <v>49</v>
      </c>
      <c r="K3486" s="4">
        <v>0</v>
      </c>
      <c r="L3486" s="3">
        <v>49</v>
      </c>
      <c r="M3486" t="b">
        <v>1</v>
      </c>
      <c r="N3486" s="2">
        <f>YEAR(B3486)</f>
        <v>2025</v>
      </c>
      <c r="O3486" t="str">
        <f>INDEX(Agences!$C:$C,MATCH(F3486,Agences!$A:$A,0))</f>
        <v>Est</v>
      </c>
      <c r="P3486" t="str">
        <f>INDEX(Produits!$C:$C,MATCH(H3486,Produits!$A:$A,0))</f>
        <v>Mobilier</v>
      </c>
      <c r="Q3486" s="3">
        <f>I3486*INDEX(Produits!$E:$E,MATCH(H3486,Produits!$A:$A,0))</f>
        <v>28.42</v>
      </c>
      <c r="R3486" s="3">
        <f>L3486-Q3486</f>
        <v>20.58</v>
      </c>
      <c r="S3486" s="2">
        <f>NETWORKDAYS(B3486,C3486)-1</f>
        <v>2</v>
      </c>
      <c r="T3486" s="1">
        <f>WORKDAY(B3486,5)</f>
        <v>45748</v>
      </c>
      <c r="U3486" t="b">
        <f>C3486&gt;T3486</f>
        <v>0</v>
      </c>
    </row>
    <row r="3487" spans="1:21" x14ac:dyDescent="0.25">
      <c r="A3487" t="s">
        <v>2097</v>
      </c>
      <c r="B3487" s="1">
        <v>45741</v>
      </c>
      <c r="C3487" s="1">
        <v>45742</v>
      </c>
      <c r="D3487" t="s">
        <v>1613</v>
      </c>
      <c r="E3487" t="s">
        <v>316</v>
      </c>
      <c r="F3487" t="s">
        <v>46</v>
      </c>
      <c r="G3487" t="s">
        <v>158</v>
      </c>
      <c r="H3487" t="s">
        <v>72</v>
      </c>
      <c r="I3487" s="2">
        <v>3</v>
      </c>
      <c r="J3487" s="3">
        <v>179</v>
      </c>
      <c r="K3487" s="4">
        <v>0</v>
      </c>
      <c r="L3487" s="3">
        <v>537</v>
      </c>
      <c r="M3487" t="b">
        <v>1</v>
      </c>
      <c r="N3487" s="2">
        <f>YEAR(B3487)</f>
        <v>2025</v>
      </c>
      <c r="O3487" t="str">
        <f>INDEX(Agences!$C:$C,MATCH(F3487,Agences!$A:$A,0))</f>
        <v>Est</v>
      </c>
      <c r="P3487" t="str">
        <f>INDEX(Produits!$C:$C,MATCH(H3487,Produits!$A:$A,0))</f>
        <v>Informatique</v>
      </c>
      <c r="Q3487" s="3">
        <f>I3487*INDEX(Produits!$E:$E,MATCH(H3487,Produits!$A:$A,0))</f>
        <v>440.34000000000003</v>
      </c>
      <c r="R3487" s="3">
        <f>L3487-Q3487</f>
        <v>96.65999999999997</v>
      </c>
      <c r="S3487" s="2">
        <f>NETWORKDAYS(B3487,C3487)-1</f>
        <v>1</v>
      </c>
      <c r="T3487" s="1">
        <f>WORKDAY(B3487,5)</f>
        <v>45748</v>
      </c>
      <c r="U3487" t="b">
        <f>C3487&gt;T3487</f>
        <v>0</v>
      </c>
    </row>
    <row r="3488" spans="1:21" x14ac:dyDescent="0.25">
      <c r="A3488" t="s">
        <v>2097</v>
      </c>
      <c r="B3488" s="1">
        <v>45741</v>
      </c>
      <c r="C3488" s="1">
        <v>45742</v>
      </c>
      <c r="D3488" t="s">
        <v>1613</v>
      </c>
      <c r="E3488" t="s">
        <v>316</v>
      </c>
      <c r="F3488" t="s">
        <v>46</v>
      </c>
      <c r="G3488" t="s">
        <v>158</v>
      </c>
      <c r="H3488" t="s">
        <v>107</v>
      </c>
      <c r="I3488" s="2">
        <v>1</v>
      </c>
      <c r="J3488" s="3">
        <v>99</v>
      </c>
      <c r="K3488" s="4">
        <v>0.08</v>
      </c>
      <c r="L3488" s="3">
        <v>91.08</v>
      </c>
      <c r="M3488" t="b">
        <v>1</v>
      </c>
      <c r="N3488" s="2">
        <f>YEAR(B3488)</f>
        <v>2025</v>
      </c>
      <c r="O3488" t="str">
        <f>INDEX(Agences!$C:$C,MATCH(F3488,Agences!$A:$A,0))</f>
        <v>Est</v>
      </c>
      <c r="P3488" t="str">
        <f>INDEX(Produits!$C:$C,MATCH(H3488,Produits!$A:$A,0))</f>
        <v>Informatique</v>
      </c>
      <c r="Q3488" s="3">
        <f>I3488*INDEX(Produits!$E:$E,MATCH(H3488,Produits!$A:$A,0))</f>
        <v>75.24</v>
      </c>
      <c r="R3488" s="3">
        <f>L3488-Q3488</f>
        <v>15.840000000000003</v>
      </c>
      <c r="S3488" s="2">
        <f>NETWORKDAYS(B3488,C3488)-1</f>
        <v>1</v>
      </c>
      <c r="T3488" s="1">
        <f>WORKDAY(B3488,5)</f>
        <v>45748</v>
      </c>
      <c r="U3488" t="b">
        <f>C3488&gt;T3488</f>
        <v>0</v>
      </c>
    </row>
    <row r="3489" spans="1:21" x14ac:dyDescent="0.25">
      <c r="A3489" t="s">
        <v>2098</v>
      </c>
      <c r="B3489" s="1">
        <v>45741</v>
      </c>
      <c r="C3489" s="1">
        <v>45747</v>
      </c>
      <c r="D3489" t="s">
        <v>134</v>
      </c>
      <c r="E3489" t="s">
        <v>45</v>
      </c>
      <c r="F3489" t="s">
        <v>46</v>
      </c>
      <c r="G3489" t="s">
        <v>158</v>
      </c>
      <c r="H3489" t="s">
        <v>112</v>
      </c>
      <c r="I3489" s="2">
        <v>2</v>
      </c>
      <c r="J3489" s="3">
        <v>129</v>
      </c>
      <c r="K3489" s="4">
        <v>0.1</v>
      </c>
      <c r="L3489" s="3">
        <v>232.2</v>
      </c>
      <c r="M3489" t="b">
        <v>1</v>
      </c>
      <c r="N3489" s="2">
        <f>YEAR(B3489)</f>
        <v>2025</v>
      </c>
      <c r="O3489" t="str">
        <f>INDEX(Agences!$C:$C,MATCH(F3489,Agences!$A:$A,0))</f>
        <v>Est</v>
      </c>
      <c r="P3489" t="str">
        <f>INDEX(Produits!$C:$C,MATCH(H3489,Produits!$A:$A,0))</f>
        <v>Mobilier</v>
      </c>
      <c r="Q3489" s="3">
        <f>I3489*INDEX(Produits!$E:$E,MATCH(H3489,Produits!$A:$A,0))</f>
        <v>172.86</v>
      </c>
      <c r="R3489" s="3">
        <f>L3489-Q3489</f>
        <v>59.339999999999975</v>
      </c>
      <c r="S3489" s="2">
        <f>NETWORKDAYS(B3489,C3489)-1</f>
        <v>4</v>
      </c>
      <c r="T3489" s="1">
        <f>WORKDAY(B3489,5)</f>
        <v>45748</v>
      </c>
      <c r="U3489" t="b">
        <f>C3489&gt;T3489</f>
        <v>0</v>
      </c>
    </row>
    <row r="3490" spans="1:21" x14ac:dyDescent="0.25">
      <c r="A3490" t="s">
        <v>2098</v>
      </c>
      <c r="B3490" s="1">
        <v>45741</v>
      </c>
      <c r="C3490" s="1">
        <v>45747</v>
      </c>
      <c r="D3490" t="s">
        <v>134</v>
      </c>
      <c r="E3490" t="s">
        <v>45</v>
      </c>
      <c r="F3490" t="s">
        <v>46</v>
      </c>
      <c r="G3490" t="s">
        <v>158</v>
      </c>
      <c r="H3490" t="s">
        <v>205</v>
      </c>
      <c r="I3490" s="2">
        <v>1</v>
      </c>
      <c r="J3490" s="3">
        <v>359</v>
      </c>
      <c r="K3490" s="4">
        <v>0</v>
      </c>
      <c r="L3490" s="3">
        <v>359</v>
      </c>
      <c r="M3490" t="b">
        <v>1</v>
      </c>
      <c r="N3490" s="2">
        <f>YEAR(B3490)</f>
        <v>2025</v>
      </c>
      <c r="O3490" t="str">
        <f>INDEX(Agences!$C:$C,MATCH(F3490,Agences!$A:$A,0))</f>
        <v>Est</v>
      </c>
      <c r="P3490" t="str">
        <f>INDEX(Produits!$C:$C,MATCH(H3490,Produits!$A:$A,0))</f>
        <v>Mobilier</v>
      </c>
      <c r="Q3490" s="3">
        <f>I3490*INDEX(Produits!$E:$E,MATCH(H3490,Produits!$A:$A,0))</f>
        <v>204.63</v>
      </c>
      <c r="R3490" s="3">
        <f>L3490-Q3490</f>
        <v>154.37</v>
      </c>
      <c r="S3490" s="2">
        <f>NETWORKDAYS(B3490,C3490)-1</f>
        <v>4</v>
      </c>
      <c r="T3490" s="1">
        <f>WORKDAY(B3490,5)</f>
        <v>45748</v>
      </c>
      <c r="U3490" t="b">
        <f>C3490&gt;T3490</f>
        <v>0</v>
      </c>
    </row>
    <row r="3491" spans="1:21" x14ac:dyDescent="0.25">
      <c r="A3491" t="s">
        <v>2099</v>
      </c>
      <c r="B3491" s="1">
        <v>45740</v>
      </c>
      <c r="C3491" s="1">
        <v>45741</v>
      </c>
      <c r="D3491" t="s">
        <v>721</v>
      </c>
      <c r="E3491" t="s">
        <v>307</v>
      </c>
      <c r="F3491" t="s">
        <v>76</v>
      </c>
      <c r="G3491" t="s">
        <v>176</v>
      </c>
      <c r="H3491" t="s">
        <v>64</v>
      </c>
      <c r="I3491" s="2">
        <v>5</v>
      </c>
      <c r="J3491" s="3">
        <v>16.8</v>
      </c>
      <c r="K3491" s="4">
        <v>0</v>
      </c>
      <c r="L3491" s="3">
        <v>84</v>
      </c>
      <c r="M3491" t="b">
        <v>1</v>
      </c>
      <c r="N3491" s="2">
        <f>YEAR(B3491)</f>
        <v>2025</v>
      </c>
      <c r="O3491" t="str">
        <f>INDEX(Agences!$C:$C,MATCH(F3491,Agences!$A:$A,0))</f>
        <v>Île-de-France</v>
      </c>
      <c r="P3491" t="str">
        <f>INDEX(Produits!$C:$C,MATCH(H3491,Produits!$A:$A,0))</f>
        <v>Fournitures</v>
      </c>
      <c r="Q3491" s="3">
        <f>I3491*INDEX(Produits!$E:$E,MATCH(H3491,Produits!$A:$A,0))</f>
        <v>43.7</v>
      </c>
      <c r="R3491" s="3">
        <f>L3491-Q3491</f>
        <v>40.3</v>
      </c>
      <c r="S3491" s="2">
        <f>NETWORKDAYS(B3491,C3491)-1</f>
        <v>1</v>
      </c>
      <c r="T3491" s="1">
        <f>WORKDAY(B3491,5)</f>
        <v>45747</v>
      </c>
      <c r="U3491" t="b">
        <f>C3491&gt;T3491</f>
        <v>0</v>
      </c>
    </row>
    <row r="3492" spans="1:21" x14ac:dyDescent="0.25">
      <c r="A3492" t="s">
        <v>2099</v>
      </c>
      <c r="B3492" s="1">
        <v>45740</v>
      </c>
      <c r="C3492" s="1">
        <v>45741</v>
      </c>
      <c r="D3492" t="s">
        <v>721</v>
      </c>
      <c r="E3492" t="s">
        <v>307</v>
      </c>
      <c r="F3492" t="s">
        <v>76</v>
      </c>
      <c r="G3492" t="s">
        <v>176</v>
      </c>
      <c r="H3492" t="s">
        <v>107</v>
      </c>
      <c r="I3492" s="2">
        <v>5</v>
      </c>
      <c r="J3492" s="3">
        <v>99</v>
      </c>
      <c r="K3492" s="4">
        <v>0</v>
      </c>
      <c r="L3492" s="3">
        <v>495</v>
      </c>
      <c r="M3492" t="b">
        <v>1</v>
      </c>
      <c r="N3492" s="2">
        <f>YEAR(B3492)</f>
        <v>2025</v>
      </c>
      <c r="O3492" t="str">
        <f>INDEX(Agences!$C:$C,MATCH(F3492,Agences!$A:$A,0))</f>
        <v>Île-de-France</v>
      </c>
      <c r="P3492" t="str">
        <f>INDEX(Produits!$C:$C,MATCH(H3492,Produits!$A:$A,0))</f>
        <v>Informatique</v>
      </c>
      <c r="Q3492" s="3">
        <f>I3492*INDEX(Produits!$E:$E,MATCH(H3492,Produits!$A:$A,0))</f>
        <v>376.2</v>
      </c>
      <c r="R3492" s="3">
        <f>L3492-Q3492</f>
        <v>118.80000000000001</v>
      </c>
      <c r="S3492" s="2">
        <f>NETWORKDAYS(B3492,C3492)-1</f>
        <v>1</v>
      </c>
      <c r="T3492" s="1">
        <f>WORKDAY(B3492,5)</f>
        <v>45747</v>
      </c>
      <c r="U3492" t="b">
        <f>C3492&gt;T3492</f>
        <v>0</v>
      </c>
    </row>
    <row r="3493" spans="1:21" x14ac:dyDescent="0.25">
      <c r="A3493" t="s">
        <v>2100</v>
      </c>
      <c r="B3493" s="1">
        <v>45740</v>
      </c>
      <c r="C3493" s="1">
        <v>45747</v>
      </c>
      <c r="D3493" t="s">
        <v>343</v>
      </c>
      <c r="E3493" t="s">
        <v>185</v>
      </c>
      <c r="F3493" t="s">
        <v>31</v>
      </c>
      <c r="G3493" t="s">
        <v>32</v>
      </c>
      <c r="H3493" t="s">
        <v>90</v>
      </c>
      <c r="I3493" s="2">
        <v>5</v>
      </c>
      <c r="J3493" s="3">
        <v>22.9</v>
      </c>
      <c r="K3493" s="4">
        <v>0.05</v>
      </c>
      <c r="L3493" s="3">
        <v>108.78</v>
      </c>
      <c r="M3493" t="b">
        <v>1</v>
      </c>
      <c r="N3493" s="2">
        <f>YEAR(B3493)</f>
        <v>2025</v>
      </c>
      <c r="O3493" t="str">
        <f>INDEX(Agences!$C:$C,MATCH(F3493,Agences!$A:$A,0))</f>
        <v>Ouest</v>
      </c>
      <c r="P3493" t="str">
        <f>INDEX(Produits!$C:$C,MATCH(H3493,Produits!$A:$A,0))</f>
        <v>Fournitures</v>
      </c>
      <c r="Q3493" s="3">
        <f>I3493*INDEX(Produits!$E:$E,MATCH(H3493,Produits!$A:$A,0))</f>
        <v>64.1</v>
      </c>
      <c r="R3493" s="3">
        <f>L3493-Q3493</f>
        <v>44.68000000000001</v>
      </c>
      <c r="S3493" s="2">
        <f>NETWORKDAYS(B3493,C3493)-1</f>
        <v>5</v>
      </c>
      <c r="T3493" s="1">
        <f>WORKDAY(B3493,5)</f>
        <v>45747</v>
      </c>
      <c r="U3493" t="b">
        <f>C3493&gt;T3493</f>
        <v>0</v>
      </c>
    </row>
    <row r="3494" spans="1:21" x14ac:dyDescent="0.25">
      <c r="A3494" t="s">
        <v>2100</v>
      </c>
      <c r="B3494" s="1">
        <v>45740</v>
      </c>
      <c r="C3494" s="1">
        <v>45747</v>
      </c>
      <c r="D3494" t="s">
        <v>343</v>
      </c>
      <c r="E3494" t="s">
        <v>185</v>
      </c>
      <c r="F3494" t="s">
        <v>31</v>
      </c>
      <c r="G3494" t="s">
        <v>32</v>
      </c>
      <c r="H3494" t="s">
        <v>107</v>
      </c>
      <c r="I3494" s="2">
        <v>3</v>
      </c>
      <c r="J3494" s="3">
        <v>99</v>
      </c>
      <c r="K3494" s="4">
        <v>0.1</v>
      </c>
      <c r="L3494" s="3">
        <v>267.3</v>
      </c>
      <c r="M3494" t="b">
        <v>1</v>
      </c>
      <c r="N3494" s="2">
        <f>YEAR(B3494)</f>
        <v>2025</v>
      </c>
      <c r="O3494" t="str">
        <f>INDEX(Agences!$C:$C,MATCH(F3494,Agences!$A:$A,0))</f>
        <v>Ouest</v>
      </c>
      <c r="P3494" t="str">
        <f>INDEX(Produits!$C:$C,MATCH(H3494,Produits!$A:$A,0))</f>
        <v>Informatique</v>
      </c>
      <c r="Q3494" s="3">
        <f>I3494*INDEX(Produits!$E:$E,MATCH(H3494,Produits!$A:$A,0))</f>
        <v>225.71999999999997</v>
      </c>
      <c r="R3494" s="3">
        <f>L3494-Q3494</f>
        <v>41.58000000000004</v>
      </c>
      <c r="S3494" s="2">
        <f>NETWORKDAYS(B3494,C3494)-1</f>
        <v>5</v>
      </c>
      <c r="T3494" s="1">
        <f>WORKDAY(B3494,5)</f>
        <v>45747</v>
      </c>
      <c r="U3494" t="b">
        <f>C3494&gt;T3494</f>
        <v>0</v>
      </c>
    </row>
    <row r="3495" spans="1:21" x14ac:dyDescent="0.25">
      <c r="A3495" t="s">
        <v>2100</v>
      </c>
      <c r="B3495" s="1">
        <v>45740</v>
      </c>
      <c r="C3495" s="1">
        <v>45747</v>
      </c>
      <c r="D3495" t="s">
        <v>343</v>
      </c>
      <c r="E3495" t="s">
        <v>185</v>
      </c>
      <c r="F3495" t="s">
        <v>31</v>
      </c>
      <c r="G3495" t="s">
        <v>32</v>
      </c>
      <c r="H3495" t="s">
        <v>50</v>
      </c>
      <c r="I3495" s="2">
        <v>1</v>
      </c>
      <c r="J3495" s="3">
        <v>69</v>
      </c>
      <c r="K3495" s="4">
        <v>0</v>
      </c>
      <c r="L3495" s="3">
        <v>69</v>
      </c>
      <c r="M3495" t="b">
        <v>1</v>
      </c>
      <c r="N3495" s="2">
        <f>YEAR(B3495)</f>
        <v>2025</v>
      </c>
      <c r="O3495" t="str">
        <f>INDEX(Agences!$C:$C,MATCH(F3495,Agences!$A:$A,0))</f>
        <v>Ouest</v>
      </c>
      <c r="P3495" t="str">
        <f>INDEX(Produits!$C:$C,MATCH(H3495,Produits!$A:$A,0))</f>
        <v>Informatique</v>
      </c>
      <c r="Q3495" s="3">
        <f>I3495*INDEX(Produits!$E:$E,MATCH(H3495,Produits!$A:$A,0))</f>
        <v>54.51</v>
      </c>
      <c r="R3495" s="3">
        <f>L3495-Q3495</f>
        <v>14.490000000000002</v>
      </c>
      <c r="S3495" s="2">
        <f>NETWORKDAYS(B3495,C3495)-1</f>
        <v>5</v>
      </c>
      <c r="T3495" s="1">
        <f>WORKDAY(B3495,5)</f>
        <v>45747</v>
      </c>
      <c r="U3495" t="b">
        <f>C3495&gt;T3495</f>
        <v>0</v>
      </c>
    </row>
    <row r="3496" spans="1:21" x14ac:dyDescent="0.25">
      <c r="A3496" t="s">
        <v>2101</v>
      </c>
      <c r="B3496" s="1">
        <v>45740</v>
      </c>
      <c r="C3496" s="1">
        <v>45747</v>
      </c>
      <c r="D3496" t="s">
        <v>1026</v>
      </c>
      <c r="E3496" t="s">
        <v>225</v>
      </c>
      <c r="F3496" t="s">
        <v>88</v>
      </c>
      <c r="G3496" t="s">
        <v>142</v>
      </c>
      <c r="H3496" t="s">
        <v>72</v>
      </c>
      <c r="I3496" s="2">
        <v>5</v>
      </c>
      <c r="J3496" s="3">
        <v>179</v>
      </c>
      <c r="K3496" s="4">
        <v>0.02</v>
      </c>
      <c r="L3496" s="3">
        <v>877.1</v>
      </c>
      <c r="M3496" t="b">
        <v>1</v>
      </c>
      <c r="N3496" s="2">
        <f>YEAR(B3496)</f>
        <v>2025</v>
      </c>
      <c r="O3496" t="str">
        <f>INDEX(Agences!$C:$C,MATCH(F3496,Agences!$A:$A,0))</f>
        <v>Sud-Ouest</v>
      </c>
      <c r="P3496" t="str">
        <f>INDEX(Produits!$C:$C,MATCH(H3496,Produits!$A:$A,0))</f>
        <v>Informatique</v>
      </c>
      <c r="Q3496" s="3">
        <f>I3496*INDEX(Produits!$E:$E,MATCH(H3496,Produits!$A:$A,0))</f>
        <v>733.9</v>
      </c>
      <c r="R3496" s="3">
        <f>L3496-Q3496</f>
        <v>143.20000000000005</v>
      </c>
      <c r="S3496" s="2">
        <f>NETWORKDAYS(B3496,C3496)-1</f>
        <v>5</v>
      </c>
      <c r="T3496" s="1">
        <f>WORKDAY(B3496,5)</f>
        <v>45747</v>
      </c>
      <c r="U3496" t="b">
        <f>C3496&gt;T3496</f>
        <v>0</v>
      </c>
    </row>
    <row r="3497" spans="1:21" x14ac:dyDescent="0.25">
      <c r="A3497" t="s">
        <v>2102</v>
      </c>
      <c r="B3497" s="1">
        <v>45737</v>
      </c>
      <c r="C3497" s="1">
        <v>45740</v>
      </c>
      <c r="D3497" t="s">
        <v>696</v>
      </c>
      <c r="E3497" t="s">
        <v>202</v>
      </c>
      <c r="F3497" t="s">
        <v>138</v>
      </c>
      <c r="G3497" t="s">
        <v>139</v>
      </c>
      <c r="H3497" t="s">
        <v>319</v>
      </c>
      <c r="I3497" s="2">
        <v>1</v>
      </c>
      <c r="J3497" s="3">
        <v>289</v>
      </c>
      <c r="K3497" s="4">
        <v>0.08</v>
      </c>
      <c r="L3497" s="3">
        <v>265.88</v>
      </c>
      <c r="M3497" t="b">
        <v>1</v>
      </c>
      <c r="N3497" s="2">
        <f>YEAR(B3497)</f>
        <v>2025</v>
      </c>
      <c r="O3497" t="str">
        <f>INDEX(Agences!$C:$C,MATCH(F3497,Agences!$A:$A,0))</f>
        <v>Île-de-France</v>
      </c>
      <c r="P3497" t="str">
        <f>INDEX(Produits!$C:$C,MATCH(H3497,Produits!$A:$A,0))</f>
        <v>Informatique</v>
      </c>
      <c r="Q3497" s="3">
        <f>I3497*INDEX(Produits!$E:$E,MATCH(H3497,Produits!$A:$A,0))</f>
        <v>213.86</v>
      </c>
      <c r="R3497" s="3">
        <f>L3497-Q3497</f>
        <v>52.01999999999998</v>
      </c>
      <c r="S3497" s="2">
        <f>NETWORKDAYS(B3497,C3497)-1</f>
        <v>1</v>
      </c>
      <c r="T3497" s="1">
        <f>WORKDAY(B3497,5)</f>
        <v>45744</v>
      </c>
      <c r="U3497" t="b">
        <f>C3497&gt;T3497</f>
        <v>0</v>
      </c>
    </row>
    <row r="3498" spans="1:21" x14ac:dyDescent="0.25">
      <c r="A3498" t="s">
        <v>2102</v>
      </c>
      <c r="B3498" s="1">
        <v>45737</v>
      </c>
      <c r="C3498" s="1">
        <v>45740</v>
      </c>
      <c r="D3498" t="s">
        <v>696</v>
      </c>
      <c r="E3498" t="s">
        <v>202</v>
      </c>
      <c r="F3498" t="s">
        <v>138</v>
      </c>
      <c r="G3498" t="s">
        <v>139</v>
      </c>
      <c r="H3498" t="s">
        <v>205</v>
      </c>
      <c r="I3498" s="2">
        <v>1</v>
      </c>
      <c r="J3498" s="3">
        <v>359</v>
      </c>
      <c r="K3498" s="4">
        <v>0.05</v>
      </c>
      <c r="L3498" s="3">
        <v>341.05</v>
      </c>
      <c r="M3498" t="b">
        <v>1</v>
      </c>
      <c r="N3498" s="2">
        <f>YEAR(B3498)</f>
        <v>2025</v>
      </c>
      <c r="O3498" t="str">
        <f>INDEX(Agences!$C:$C,MATCH(F3498,Agences!$A:$A,0))</f>
        <v>Île-de-France</v>
      </c>
      <c r="P3498" t="str">
        <f>INDEX(Produits!$C:$C,MATCH(H3498,Produits!$A:$A,0))</f>
        <v>Mobilier</v>
      </c>
      <c r="Q3498" s="3">
        <f>I3498*INDEX(Produits!$E:$E,MATCH(H3498,Produits!$A:$A,0))</f>
        <v>204.63</v>
      </c>
      <c r="R3498" s="3">
        <f>L3498-Q3498</f>
        <v>136.42000000000002</v>
      </c>
      <c r="S3498" s="2">
        <f>NETWORKDAYS(B3498,C3498)-1</f>
        <v>1</v>
      </c>
      <c r="T3498" s="1">
        <f>WORKDAY(B3498,5)</f>
        <v>45744</v>
      </c>
      <c r="U3498" t="b">
        <f>C3498&gt;T3498</f>
        <v>0</v>
      </c>
    </row>
    <row r="3499" spans="1:21" x14ac:dyDescent="0.25">
      <c r="A3499" t="s">
        <v>2103</v>
      </c>
      <c r="B3499" s="1">
        <v>45737</v>
      </c>
      <c r="C3499" s="1">
        <v>45741</v>
      </c>
      <c r="D3499" t="s">
        <v>856</v>
      </c>
      <c r="E3499" t="s">
        <v>175</v>
      </c>
      <c r="F3499" t="s">
        <v>76</v>
      </c>
      <c r="G3499" t="s">
        <v>232</v>
      </c>
      <c r="H3499" t="s">
        <v>162</v>
      </c>
      <c r="I3499" s="2">
        <v>3</v>
      </c>
      <c r="J3499" s="3">
        <v>289</v>
      </c>
      <c r="K3499" s="4">
        <v>0</v>
      </c>
      <c r="L3499" s="3">
        <v>867</v>
      </c>
      <c r="M3499" t="b">
        <v>1</v>
      </c>
      <c r="N3499" s="2">
        <f>YEAR(B3499)</f>
        <v>2025</v>
      </c>
      <c r="O3499" t="str">
        <f>INDEX(Agences!$C:$C,MATCH(F3499,Agences!$A:$A,0))</f>
        <v>Île-de-France</v>
      </c>
      <c r="P3499" t="str">
        <f>INDEX(Produits!$C:$C,MATCH(H3499,Produits!$A:$A,0))</f>
        <v>Mobilier</v>
      </c>
      <c r="Q3499" s="3">
        <f>I3499*INDEX(Produits!$E:$E,MATCH(H3499,Produits!$A:$A,0))</f>
        <v>580.89</v>
      </c>
      <c r="R3499" s="3">
        <f>L3499-Q3499</f>
        <v>286.11</v>
      </c>
      <c r="S3499" s="2">
        <f>NETWORKDAYS(B3499,C3499)-1</f>
        <v>2</v>
      </c>
      <c r="T3499" s="1">
        <f>WORKDAY(B3499,5)</f>
        <v>45744</v>
      </c>
      <c r="U3499" t="b">
        <f>C3499&gt;T3499</f>
        <v>0</v>
      </c>
    </row>
    <row r="3500" spans="1:21" x14ac:dyDescent="0.25">
      <c r="A3500" t="s">
        <v>2103</v>
      </c>
      <c r="B3500" s="1">
        <v>45737</v>
      </c>
      <c r="C3500" s="1">
        <v>45741</v>
      </c>
      <c r="D3500" t="s">
        <v>856</v>
      </c>
      <c r="E3500" t="s">
        <v>175</v>
      </c>
      <c r="F3500" t="s">
        <v>76</v>
      </c>
      <c r="G3500" t="s">
        <v>232</v>
      </c>
      <c r="H3500" t="s">
        <v>107</v>
      </c>
      <c r="I3500" s="2">
        <v>3</v>
      </c>
      <c r="J3500" s="3">
        <v>99</v>
      </c>
      <c r="K3500" s="4">
        <v>0.1</v>
      </c>
      <c r="L3500" s="3">
        <v>267.3</v>
      </c>
      <c r="M3500" t="b">
        <v>1</v>
      </c>
      <c r="N3500" s="2">
        <f>YEAR(B3500)</f>
        <v>2025</v>
      </c>
      <c r="O3500" t="str">
        <f>INDEX(Agences!$C:$C,MATCH(F3500,Agences!$A:$A,0))</f>
        <v>Île-de-France</v>
      </c>
      <c r="P3500" t="str">
        <f>INDEX(Produits!$C:$C,MATCH(H3500,Produits!$A:$A,0))</f>
        <v>Informatique</v>
      </c>
      <c r="Q3500" s="3">
        <f>I3500*INDEX(Produits!$E:$E,MATCH(H3500,Produits!$A:$A,0))</f>
        <v>225.71999999999997</v>
      </c>
      <c r="R3500" s="3">
        <f>L3500-Q3500</f>
        <v>41.58000000000004</v>
      </c>
      <c r="S3500" s="2">
        <f>NETWORKDAYS(B3500,C3500)-1</f>
        <v>2</v>
      </c>
      <c r="T3500" s="1">
        <f>WORKDAY(B3500,5)</f>
        <v>45744</v>
      </c>
      <c r="U3500" t="b">
        <f>C3500&gt;T3500</f>
        <v>0</v>
      </c>
    </row>
    <row r="3501" spans="1:21" x14ac:dyDescent="0.25">
      <c r="A3501" t="s">
        <v>2104</v>
      </c>
      <c r="B3501" s="1">
        <v>45737</v>
      </c>
      <c r="C3501" s="1">
        <v>45741</v>
      </c>
      <c r="D3501" t="s">
        <v>666</v>
      </c>
      <c r="E3501" t="s">
        <v>225</v>
      </c>
      <c r="F3501" t="s">
        <v>88</v>
      </c>
      <c r="G3501" t="s">
        <v>142</v>
      </c>
      <c r="H3501" t="s">
        <v>112</v>
      </c>
      <c r="I3501" s="2">
        <v>1</v>
      </c>
      <c r="J3501" s="3">
        <v>129</v>
      </c>
      <c r="K3501" s="4">
        <v>0.02</v>
      </c>
      <c r="L3501" s="3">
        <v>126.42</v>
      </c>
      <c r="M3501" t="b">
        <v>1</v>
      </c>
      <c r="N3501" s="2">
        <f>YEAR(B3501)</f>
        <v>2025</v>
      </c>
      <c r="O3501" t="str">
        <f>INDEX(Agences!$C:$C,MATCH(F3501,Agences!$A:$A,0))</f>
        <v>Sud-Ouest</v>
      </c>
      <c r="P3501" t="str">
        <f>INDEX(Produits!$C:$C,MATCH(H3501,Produits!$A:$A,0))</f>
        <v>Mobilier</v>
      </c>
      <c r="Q3501" s="3">
        <f>I3501*INDEX(Produits!$E:$E,MATCH(H3501,Produits!$A:$A,0))</f>
        <v>86.43</v>
      </c>
      <c r="R3501" s="3">
        <f>L3501-Q3501</f>
        <v>39.989999999999995</v>
      </c>
      <c r="S3501" s="2">
        <f>NETWORKDAYS(B3501,C3501)-1</f>
        <v>2</v>
      </c>
      <c r="T3501" s="1">
        <f>WORKDAY(B3501,5)</f>
        <v>45744</v>
      </c>
      <c r="U3501" t="b">
        <f>C3501&gt;T3501</f>
        <v>0</v>
      </c>
    </row>
    <row r="3502" spans="1:21" x14ac:dyDescent="0.25">
      <c r="A3502" t="s">
        <v>2104</v>
      </c>
      <c r="B3502" s="1">
        <v>45737</v>
      </c>
      <c r="C3502" s="1">
        <v>45741</v>
      </c>
      <c r="D3502" t="s">
        <v>666</v>
      </c>
      <c r="E3502" t="s">
        <v>225</v>
      </c>
      <c r="F3502" t="s">
        <v>88</v>
      </c>
      <c r="G3502" t="s">
        <v>142</v>
      </c>
      <c r="H3502" t="s">
        <v>35</v>
      </c>
      <c r="I3502" s="2">
        <v>1</v>
      </c>
      <c r="J3502" s="3">
        <v>79</v>
      </c>
      <c r="K3502" s="4">
        <v>0.08</v>
      </c>
      <c r="L3502" s="3">
        <v>72.68</v>
      </c>
      <c r="M3502" t="b">
        <v>1</v>
      </c>
      <c r="N3502" s="2">
        <f>YEAR(B3502)</f>
        <v>2025</v>
      </c>
      <c r="O3502" t="str">
        <f>INDEX(Agences!$C:$C,MATCH(F3502,Agences!$A:$A,0))</f>
        <v>Sud-Ouest</v>
      </c>
      <c r="P3502" t="str">
        <f>INDEX(Produits!$C:$C,MATCH(H3502,Produits!$A:$A,0))</f>
        <v>Mobilier</v>
      </c>
      <c r="Q3502" s="3">
        <f>I3502*INDEX(Produits!$E:$E,MATCH(H3502,Produits!$A:$A,0))</f>
        <v>46.61</v>
      </c>
      <c r="R3502" s="3">
        <f>L3502-Q3502</f>
        <v>26.070000000000007</v>
      </c>
      <c r="S3502" s="2">
        <f>NETWORKDAYS(B3502,C3502)-1</f>
        <v>2</v>
      </c>
      <c r="T3502" s="1">
        <f>WORKDAY(B3502,5)</f>
        <v>45744</v>
      </c>
      <c r="U3502" t="b">
        <f>C3502&gt;T3502</f>
        <v>0</v>
      </c>
    </row>
    <row r="3503" spans="1:21" x14ac:dyDescent="0.25">
      <c r="A3503" t="s">
        <v>2104</v>
      </c>
      <c r="B3503" s="1">
        <v>45737</v>
      </c>
      <c r="C3503" s="1">
        <v>45741</v>
      </c>
      <c r="D3503" t="s">
        <v>666</v>
      </c>
      <c r="E3503" t="s">
        <v>225</v>
      </c>
      <c r="F3503" t="s">
        <v>88</v>
      </c>
      <c r="G3503" t="s">
        <v>142</v>
      </c>
      <c r="H3503" t="s">
        <v>33</v>
      </c>
      <c r="I3503" s="2">
        <v>5</v>
      </c>
      <c r="J3503" s="3">
        <v>219</v>
      </c>
      <c r="K3503" s="4">
        <v>0.02</v>
      </c>
      <c r="L3503" s="3">
        <v>1073.1</v>
      </c>
      <c r="M3503" t="b">
        <v>1</v>
      </c>
      <c r="N3503" s="2">
        <f>YEAR(B3503)</f>
        <v>2025</v>
      </c>
      <c r="O3503" t="str">
        <f>INDEX(Agences!$C:$C,MATCH(F3503,Agences!$A:$A,0))</f>
        <v>Sud-Ouest</v>
      </c>
      <c r="P3503" t="str">
        <f>INDEX(Produits!$C:$C,MATCH(H3503,Produits!$A:$A,0))</f>
        <v>Informatique</v>
      </c>
      <c r="Q3503" s="3">
        <f>I3503*INDEX(Produits!$E:$E,MATCH(H3503,Produits!$A:$A,0))</f>
        <v>897.9000000000001</v>
      </c>
      <c r="R3503" s="3">
        <f>L3503-Q3503</f>
        <v>175.19999999999982</v>
      </c>
      <c r="S3503" s="2">
        <f>NETWORKDAYS(B3503,C3503)-1</f>
        <v>2</v>
      </c>
      <c r="T3503" s="1">
        <f>WORKDAY(B3503,5)</f>
        <v>45744</v>
      </c>
      <c r="U3503" t="b">
        <f>C3503&gt;T3503</f>
        <v>0</v>
      </c>
    </row>
    <row r="3504" spans="1:21" x14ac:dyDescent="0.25">
      <c r="A3504" t="s">
        <v>2104</v>
      </c>
      <c r="B3504" s="1">
        <v>45737</v>
      </c>
      <c r="C3504" s="1">
        <v>45741</v>
      </c>
      <c r="D3504" t="s">
        <v>666</v>
      </c>
      <c r="E3504" t="s">
        <v>225</v>
      </c>
      <c r="F3504" t="s">
        <v>88</v>
      </c>
      <c r="G3504" t="s">
        <v>142</v>
      </c>
      <c r="H3504" t="s">
        <v>206</v>
      </c>
      <c r="I3504" s="2">
        <v>10</v>
      </c>
      <c r="J3504" s="3">
        <v>34</v>
      </c>
      <c r="K3504" s="4">
        <v>0</v>
      </c>
      <c r="L3504" s="3">
        <v>340</v>
      </c>
      <c r="M3504" t="b">
        <v>1</v>
      </c>
      <c r="N3504" s="2">
        <f>YEAR(B3504)</f>
        <v>2025</v>
      </c>
      <c r="O3504" t="str">
        <f>INDEX(Agences!$C:$C,MATCH(F3504,Agences!$A:$A,0))</f>
        <v>Sud-Ouest</v>
      </c>
      <c r="P3504" t="str">
        <f>INDEX(Produits!$C:$C,MATCH(H3504,Produits!$A:$A,0))</f>
        <v>Fournitures</v>
      </c>
      <c r="Q3504" s="3">
        <f>I3504*INDEX(Produits!$E:$E,MATCH(H3504,Produits!$A:$A,0))</f>
        <v>193.79999999999998</v>
      </c>
      <c r="R3504" s="3">
        <f>L3504-Q3504</f>
        <v>146.20000000000002</v>
      </c>
      <c r="S3504" s="2">
        <f>NETWORKDAYS(B3504,C3504)-1</f>
        <v>2</v>
      </c>
      <c r="T3504" s="1">
        <f>WORKDAY(B3504,5)</f>
        <v>45744</v>
      </c>
      <c r="U3504" t="b">
        <f>C3504&gt;T3504</f>
        <v>0</v>
      </c>
    </row>
    <row r="3505" spans="1:21" x14ac:dyDescent="0.25">
      <c r="A3505" t="s">
        <v>2105</v>
      </c>
      <c r="B3505" s="1">
        <v>45737</v>
      </c>
      <c r="C3505" s="1">
        <v>45742</v>
      </c>
      <c r="D3505" t="s">
        <v>461</v>
      </c>
      <c r="E3505" t="s">
        <v>61</v>
      </c>
      <c r="F3505" t="s">
        <v>62</v>
      </c>
      <c r="G3505" t="s">
        <v>106</v>
      </c>
      <c r="H3505" t="s">
        <v>26</v>
      </c>
      <c r="I3505" s="2">
        <v>1</v>
      </c>
      <c r="J3505" s="3">
        <v>290</v>
      </c>
      <c r="K3505" s="4">
        <v>0</v>
      </c>
      <c r="L3505" s="3">
        <v>290</v>
      </c>
      <c r="M3505" t="b">
        <v>1</v>
      </c>
      <c r="N3505" s="2">
        <f>YEAR(B3505)</f>
        <v>2025</v>
      </c>
      <c r="O3505" t="str">
        <f>INDEX(Agences!$C:$C,MATCH(F3505,Agences!$A:$A,0))</f>
        <v>Méditerranée</v>
      </c>
      <c r="P3505" t="str">
        <f>INDEX(Produits!$C:$C,MATCH(H3505,Produits!$A:$A,0))</f>
        <v>Maintenance</v>
      </c>
      <c r="Q3505" s="3">
        <f>I3505*INDEX(Produits!$E:$E,MATCH(H3505,Produits!$A:$A,0))</f>
        <v>139.2</v>
      </c>
      <c r="R3505" s="3">
        <f>L3505-Q3505</f>
        <v>150.8</v>
      </c>
      <c r="S3505" s="2">
        <f>NETWORKDAYS(B3505,C3505)-1</f>
        <v>3</v>
      </c>
      <c r="T3505" s="1">
        <f>WORKDAY(B3505,5)</f>
        <v>45744</v>
      </c>
      <c r="U3505" t="b">
        <f>C3505&gt;T3505</f>
        <v>0</v>
      </c>
    </row>
    <row r="3506" spans="1:21" x14ac:dyDescent="0.25">
      <c r="A3506" t="s">
        <v>2105</v>
      </c>
      <c r="B3506" s="1">
        <v>45737</v>
      </c>
      <c r="C3506" s="1">
        <v>45742</v>
      </c>
      <c r="D3506" t="s">
        <v>461</v>
      </c>
      <c r="E3506" t="s">
        <v>61</v>
      </c>
      <c r="F3506" t="s">
        <v>62</v>
      </c>
      <c r="G3506" t="s">
        <v>106</v>
      </c>
      <c r="H3506" t="s">
        <v>103</v>
      </c>
      <c r="I3506" s="2">
        <v>1</v>
      </c>
      <c r="J3506" s="3">
        <v>245</v>
      </c>
      <c r="K3506" s="4">
        <v>0</v>
      </c>
      <c r="L3506" s="3">
        <v>245</v>
      </c>
      <c r="M3506" t="b">
        <v>1</v>
      </c>
      <c r="N3506" s="2">
        <f>YEAR(B3506)</f>
        <v>2025</v>
      </c>
      <c r="O3506" t="str">
        <f>INDEX(Agences!$C:$C,MATCH(F3506,Agences!$A:$A,0))</f>
        <v>Méditerranée</v>
      </c>
      <c r="P3506" t="str">
        <f>INDEX(Produits!$C:$C,MATCH(H3506,Produits!$A:$A,0))</f>
        <v>Mobilier</v>
      </c>
      <c r="Q3506" s="3">
        <f>I3506*INDEX(Produits!$E:$E,MATCH(H3506,Produits!$A:$A,0))</f>
        <v>164.15</v>
      </c>
      <c r="R3506" s="3">
        <f>L3506-Q3506</f>
        <v>80.85</v>
      </c>
      <c r="S3506" s="2">
        <f>NETWORKDAYS(B3506,C3506)-1</f>
        <v>3</v>
      </c>
      <c r="T3506" s="1">
        <f>WORKDAY(B3506,5)</f>
        <v>45744</v>
      </c>
      <c r="U3506" t="b">
        <f>C3506&gt;T3506</f>
        <v>0</v>
      </c>
    </row>
    <row r="3507" spans="1:21" x14ac:dyDescent="0.25">
      <c r="A3507" t="s">
        <v>2105</v>
      </c>
      <c r="B3507" s="1">
        <v>45737</v>
      </c>
      <c r="C3507" s="1">
        <v>45742</v>
      </c>
      <c r="D3507" t="s">
        <v>461</v>
      </c>
      <c r="E3507" t="s">
        <v>61</v>
      </c>
      <c r="F3507" t="s">
        <v>62</v>
      </c>
      <c r="G3507" t="s">
        <v>106</v>
      </c>
      <c r="H3507" t="s">
        <v>49</v>
      </c>
      <c r="I3507" s="2">
        <v>2</v>
      </c>
      <c r="J3507" s="3">
        <v>120</v>
      </c>
      <c r="K3507" s="4">
        <v>0</v>
      </c>
      <c r="L3507" s="3">
        <v>240</v>
      </c>
      <c r="M3507" t="b">
        <v>1</v>
      </c>
      <c r="N3507" s="2">
        <f>YEAR(B3507)</f>
        <v>2025</v>
      </c>
      <c r="O3507" t="str">
        <f>INDEX(Agences!$C:$C,MATCH(F3507,Agences!$A:$A,0))</f>
        <v>Méditerranée</v>
      </c>
      <c r="P3507" t="str">
        <f>INDEX(Produits!$C:$C,MATCH(H3507,Produits!$A:$A,0))</f>
        <v>Maintenance</v>
      </c>
      <c r="Q3507" s="3">
        <f>I3507*INDEX(Produits!$E:$E,MATCH(H3507,Produits!$A:$A,0))</f>
        <v>110.4</v>
      </c>
      <c r="R3507" s="3">
        <f>L3507-Q3507</f>
        <v>129.6</v>
      </c>
      <c r="S3507" s="2">
        <f>NETWORKDAYS(B3507,C3507)-1</f>
        <v>3</v>
      </c>
      <c r="T3507" s="1">
        <f>WORKDAY(B3507,5)</f>
        <v>45744</v>
      </c>
      <c r="U3507" t="b">
        <f>C3507&gt;T3507</f>
        <v>0</v>
      </c>
    </row>
    <row r="3508" spans="1:21" x14ac:dyDescent="0.25">
      <c r="A3508" t="s">
        <v>2106</v>
      </c>
      <c r="B3508" s="1">
        <v>45736</v>
      </c>
      <c r="C3508" s="1">
        <v>45740</v>
      </c>
      <c r="D3508" t="s">
        <v>2107</v>
      </c>
      <c r="E3508" t="s">
        <v>209</v>
      </c>
      <c r="F3508" t="s">
        <v>99</v>
      </c>
      <c r="G3508" t="s">
        <v>210</v>
      </c>
      <c r="H3508" t="s">
        <v>90</v>
      </c>
      <c r="I3508" s="2">
        <v>5</v>
      </c>
      <c r="J3508" s="3">
        <v>22.9</v>
      </c>
      <c r="K3508" s="4">
        <v>0</v>
      </c>
      <c r="L3508" s="3">
        <v>114.5</v>
      </c>
      <c r="M3508" t="b">
        <v>1</v>
      </c>
      <c r="N3508" s="2">
        <f>YEAR(B3508)</f>
        <v>2025</v>
      </c>
      <c r="O3508" t="str">
        <f>INDEX(Agences!$C:$C,MATCH(F3508,Agences!$A:$A,0))</f>
        <v>Nord</v>
      </c>
      <c r="P3508" t="str">
        <f>INDEX(Produits!$C:$C,MATCH(H3508,Produits!$A:$A,0))</f>
        <v>Fournitures</v>
      </c>
      <c r="Q3508" s="3">
        <f>I3508*INDEX(Produits!$E:$E,MATCH(H3508,Produits!$A:$A,0))</f>
        <v>64.1</v>
      </c>
      <c r="R3508" s="3">
        <f>L3508-Q3508</f>
        <v>50.400000000000006</v>
      </c>
      <c r="S3508" s="2">
        <f>NETWORKDAYS(B3508,C3508)-1</f>
        <v>2</v>
      </c>
      <c r="T3508" s="1">
        <f>WORKDAY(B3508,5)</f>
        <v>45743</v>
      </c>
      <c r="U3508" t="b">
        <f>C3508&gt;T3508</f>
        <v>0</v>
      </c>
    </row>
    <row r="3509" spans="1:21" x14ac:dyDescent="0.25">
      <c r="A3509" t="s">
        <v>2106</v>
      </c>
      <c r="B3509" s="1">
        <v>45736</v>
      </c>
      <c r="C3509" s="1">
        <v>45740</v>
      </c>
      <c r="D3509" t="s">
        <v>2107</v>
      </c>
      <c r="E3509" t="s">
        <v>209</v>
      </c>
      <c r="F3509" t="s">
        <v>99</v>
      </c>
      <c r="G3509" t="s">
        <v>210</v>
      </c>
      <c r="H3509" t="s">
        <v>83</v>
      </c>
      <c r="I3509" s="2">
        <v>2</v>
      </c>
      <c r="J3509" s="3">
        <v>49</v>
      </c>
      <c r="K3509" s="4">
        <v>0</v>
      </c>
      <c r="L3509" s="3">
        <v>98</v>
      </c>
      <c r="M3509" t="b">
        <v>1</v>
      </c>
      <c r="N3509" s="2">
        <f>YEAR(B3509)</f>
        <v>2025</v>
      </c>
      <c r="O3509" t="str">
        <f>INDEX(Agences!$C:$C,MATCH(F3509,Agences!$A:$A,0))</f>
        <v>Nord</v>
      </c>
      <c r="P3509" t="str">
        <f>INDEX(Produits!$C:$C,MATCH(H3509,Produits!$A:$A,0))</f>
        <v>Mobilier</v>
      </c>
      <c r="Q3509" s="3">
        <f>I3509*INDEX(Produits!$E:$E,MATCH(H3509,Produits!$A:$A,0))</f>
        <v>56.84</v>
      </c>
      <c r="R3509" s="3">
        <f>L3509-Q3509</f>
        <v>41.16</v>
      </c>
      <c r="S3509" s="2">
        <f>NETWORKDAYS(B3509,C3509)-1</f>
        <v>2</v>
      </c>
      <c r="T3509" s="1">
        <f>WORKDAY(B3509,5)</f>
        <v>45743</v>
      </c>
      <c r="U3509" t="b">
        <f>C3509&gt;T3509</f>
        <v>0</v>
      </c>
    </row>
    <row r="3510" spans="1:21" x14ac:dyDescent="0.25">
      <c r="A3510" t="s">
        <v>2108</v>
      </c>
      <c r="B3510" s="1">
        <v>45736</v>
      </c>
      <c r="C3510" s="1">
        <v>45740</v>
      </c>
      <c r="D3510" t="s">
        <v>1366</v>
      </c>
      <c r="E3510" t="s">
        <v>307</v>
      </c>
      <c r="F3510" t="s">
        <v>76</v>
      </c>
      <c r="G3510" t="s">
        <v>176</v>
      </c>
      <c r="H3510" t="s">
        <v>35</v>
      </c>
      <c r="I3510" s="2">
        <v>1</v>
      </c>
      <c r="J3510" s="3">
        <v>79</v>
      </c>
      <c r="K3510" s="4">
        <v>0</v>
      </c>
      <c r="L3510" s="3">
        <v>79</v>
      </c>
      <c r="M3510" t="b">
        <v>1</v>
      </c>
      <c r="N3510" s="2">
        <f>YEAR(B3510)</f>
        <v>2025</v>
      </c>
      <c r="O3510" t="str">
        <f>INDEX(Agences!$C:$C,MATCH(F3510,Agences!$A:$A,0))</f>
        <v>Île-de-France</v>
      </c>
      <c r="P3510" t="str">
        <f>INDEX(Produits!$C:$C,MATCH(H3510,Produits!$A:$A,0))</f>
        <v>Mobilier</v>
      </c>
      <c r="Q3510" s="3">
        <f>I3510*INDEX(Produits!$E:$E,MATCH(H3510,Produits!$A:$A,0))</f>
        <v>46.61</v>
      </c>
      <c r="R3510" s="3">
        <f>L3510-Q3510</f>
        <v>32.39</v>
      </c>
      <c r="S3510" s="2">
        <f>NETWORKDAYS(B3510,C3510)-1</f>
        <v>2</v>
      </c>
      <c r="T3510" s="1">
        <f>WORKDAY(B3510,5)</f>
        <v>45743</v>
      </c>
      <c r="U3510" t="b">
        <f>C3510&gt;T3510</f>
        <v>0</v>
      </c>
    </row>
    <row r="3511" spans="1:21" x14ac:dyDescent="0.25">
      <c r="A3511" t="s">
        <v>2108</v>
      </c>
      <c r="B3511" s="1">
        <v>45736</v>
      </c>
      <c r="C3511" s="1">
        <v>45740</v>
      </c>
      <c r="D3511" t="s">
        <v>1366</v>
      </c>
      <c r="E3511" t="s">
        <v>307</v>
      </c>
      <c r="F3511" t="s">
        <v>76</v>
      </c>
      <c r="G3511" t="s">
        <v>176</v>
      </c>
      <c r="H3511" t="s">
        <v>33</v>
      </c>
      <c r="I3511" s="2">
        <v>1</v>
      </c>
      <c r="J3511" s="3">
        <v>219</v>
      </c>
      <c r="K3511" s="4">
        <v>0</v>
      </c>
      <c r="L3511" s="3">
        <v>219</v>
      </c>
      <c r="M3511" t="b">
        <v>1</v>
      </c>
      <c r="N3511" s="2">
        <f>YEAR(B3511)</f>
        <v>2025</v>
      </c>
      <c r="O3511" t="str">
        <f>INDEX(Agences!$C:$C,MATCH(F3511,Agences!$A:$A,0))</f>
        <v>Île-de-France</v>
      </c>
      <c r="P3511" t="str">
        <f>INDEX(Produits!$C:$C,MATCH(H3511,Produits!$A:$A,0))</f>
        <v>Informatique</v>
      </c>
      <c r="Q3511" s="3">
        <f>I3511*INDEX(Produits!$E:$E,MATCH(H3511,Produits!$A:$A,0))</f>
        <v>179.58</v>
      </c>
      <c r="R3511" s="3">
        <f>L3511-Q3511</f>
        <v>39.41999999999999</v>
      </c>
      <c r="S3511" s="2">
        <f>NETWORKDAYS(B3511,C3511)-1</f>
        <v>2</v>
      </c>
      <c r="T3511" s="1">
        <f>WORKDAY(B3511,5)</f>
        <v>45743</v>
      </c>
      <c r="U3511" t="b">
        <f>C3511&gt;T3511</f>
        <v>0</v>
      </c>
    </row>
    <row r="3512" spans="1:21" x14ac:dyDescent="0.25">
      <c r="A3512" t="s">
        <v>2108</v>
      </c>
      <c r="B3512" s="1">
        <v>45736</v>
      </c>
      <c r="C3512" s="1">
        <v>45740</v>
      </c>
      <c r="D3512" t="s">
        <v>1366</v>
      </c>
      <c r="E3512" t="s">
        <v>307</v>
      </c>
      <c r="F3512" t="s">
        <v>76</v>
      </c>
      <c r="G3512" t="s">
        <v>176</v>
      </c>
      <c r="H3512" t="s">
        <v>132</v>
      </c>
      <c r="I3512" s="2">
        <v>1</v>
      </c>
      <c r="J3512" s="3">
        <v>650</v>
      </c>
      <c r="K3512" s="4">
        <v>0.02</v>
      </c>
      <c r="L3512" s="3">
        <v>637</v>
      </c>
      <c r="M3512" t="b">
        <v>1</v>
      </c>
      <c r="N3512" s="2">
        <f>YEAR(B3512)</f>
        <v>2025</v>
      </c>
      <c r="O3512" t="str">
        <f>INDEX(Agences!$C:$C,MATCH(F3512,Agences!$A:$A,0))</f>
        <v>Île-de-France</v>
      </c>
      <c r="P3512" t="str">
        <f>INDEX(Produits!$C:$C,MATCH(H3512,Produits!$A:$A,0))</f>
        <v>Maintenance</v>
      </c>
      <c r="Q3512" s="3">
        <f>I3512*INDEX(Produits!$E:$E,MATCH(H3512,Produits!$A:$A,0))</f>
        <v>273</v>
      </c>
      <c r="R3512" s="3">
        <f>L3512-Q3512</f>
        <v>364</v>
      </c>
      <c r="S3512" s="2">
        <f>NETWORKDAYS(B3512,C3512)-1</f>
        <v>2</v>
      </c>
      <c r="T3512" s="1">
        <f>WORKDAY(B3512,5)</f>
        <v>45743</v>
      </c>
      <c r="U3512" t="b">
        <f>C3512&gt;T3512</f>
        <v>0</v>
      </c>
    </row>
    <row r="3513" spans="1:21" x14ac:dyDescent="0.25">
      <c r="A3513" t="s">
        <v>2108</v>
      </c>
      <c r="B3513" s="1">
        <v>45736</v>
      </c>
      <c r="C3513" s="1">
        <v>45740</v>
      </c>
      <c r="D3513" t="s">
        <v>1366</v>
      </c>
      <c r="E3513" t="s">
        <v>307</v>
      </c>
      <c r="F3513" t="s">
        <v>76</v>
      </c>
      <c r="G3513" t="s">
        <v>176</v>
      </c>
      <c r="H3513" t="s">
        <v>107</v>
      </c>
      <c r="I3513" s="2">
        <v>3</v>
      </c>
      <c r="J3513" s="3">
        <v>99</v>
      </c>
      <c r="K3513" s="4">
        <v>0</v>
      </c>
      <c r="L3513" s="3">
        <v>297</v>
      </c>
      <c r="M3513" t="b">
        <v>1</v>
      </c>
      <c r="N3513" s="2">
        <f>YEAR(B3513)</f>
        <v>2025</v>
      </c>
      <c r="O3513" t="str">
        <f>INDEX(Agences!$C:$C,MATCH(F3513,Agences!$A:$A,0))</f>
        <v>Île-de-France</v>
      </c>
      <c r="P3513" t="str">
        <f>INDEX(Produits!$C:$C,MATCH(H3513,Produits!$A:$A,0))</f>
        <v>Informatique</v>
      </c>
      <c r="Q3513" s="3">
        <f>I3513*INDEX(Produits!$E:$E,MATCH(H3513,Produits!$A:$A,0))</f>
        <v>225.71999999999997</v>
      </c>
      <c r="R3513" s="3">
        <f>L3513-Q3513</f>
        <v>71.28000000000003</v>
      </c>
      <c r="S3513" s="2">
        <f>NETWORKDAYS(B3513,C3513)-1</f>
        <v>2</v>
      </c>
      <c r="T3513" s="1">
        <f>WORKDAY(B3513,5)</f>
        <v>45743</v>
      </c>
      <c r="U3513" t="b">
        <f>C3513&gt;T3513</f>
        <v>0</v>
      </c>
    </row>
    <row r="3514" spans="1:21" x14ac:dyDescent="0.25">
      <c r="A3514" t="s">
        <v>2108</v>
      </c>
      <c r="B3514" s="1">
        <v>45736</v>
      </c>
      <c r="C3514" s="1">
        <v>45740</v>
      </c>
      <c r="D3514" t="s">
        <v>1366</v>
      </c>
      <c r="E3514" t="s">
        <v>307</v>
      </c>
      <c r="F3514" t="s">
        <v>76</v>
      </c>
      <c r="G3514" t="s">
        <v>176</v>
      </c>
      <c r="H3514" t="s">
        <v>64</v>
      </c>
      <c r="I3514" s="2">
        <v>10</v>
      </c>
      <c r="J3514" s="3">
        <v>16.8</v>
      </c>
      <c r="K3514" s="4">
        <v>0.08</v>
      </c>
      <c r="L3514" s="3">
        <v>154.56</v>
      </c>
      <c r="M3514" t="b">
        <v>1</v>
      </c>
      <c r="N3514" s="2">
        <f>YEAR(B3514)</f>
        <v>2025</v>
      </c>
      <c r="O3514" t="str">
        <f>INDEX(Agences!$C:$C,MATCH(F3514,Agences!$A:$A,0))</f>
        <v>Île-de-France</v>
      </c>
      <c r="P3514" t="str">
        <f>INDEX(Produits!$C:$C,MATCH(H3514,Produits!$A:$A,0))</f>
        <v>Fournitures</v>
      </c>
      <c r="Q3514" s="3">
        <f>I3514*INDEX(Produits!$E:$E,MATCH(H3514,Produits!$A:$A,0))</f>
        <v>87.4</v>
      </c>
      <c r="R3514" s="3">
        <f>L3514-Q3514</f>
        <v>67.16</v>
      </c>
      <c r="S3514" s="2">
        <f>NETWORKDAYS(B3514,C3514)-1</f>
        <v>2</v>
      </c>
      <c r="T3514" s="1">
        <f>WORKDAY(B3514,5)</f>
        <v>45743</v>
      </c>
      <c r="U3514" t="b">
        <f>C3514&gt;T3514</f>
        <v>0</v>
      </c>
    </row>
    <row r="3515" spans="1:21" x14ac:dyDescent="0.25">
      <c r="A3515" t="s">
        <v>2109</v>
      </c>
      <c r="B3515" s="1">
        <v>45736</v>
      </c>
      <c r="C3515" s="1">
        <v>45741</v>
      </c>
      <c r="D3515" t="s">
        <v>2110</v>
      </c>
      <c r="E3515" t="s">
        <v>242</v>
      </c>
      <c r="F3515" t="s">
        <v>94</v>
      </c>
      <c r="G3515" t="s">
        <v>154</v>
      </c>
      <c r="H3515" t="s">
        <v>35</v>
      </c>
      <c r="I3515" s="2">
        <v>1</v>
      </c>
      <c r="J3515" s="3">
        <v>79</v>
      </c>
      <c r="K3515" s="4">
        <v>0.05</v>
      </c>
      <c r="L3515" s="3">
        <v>75.05</v>
      </c>
      <c r="M3515" t="b">
        <v>1</v>
      </c>
      <c r="N3515" s="2">
        <f>YEAR(B3515)</f>
        <v>2025</v>
      </c>
      <c r="O3515" t="str">
        <f>INDEX(Agences!$C:$C,MATCH(F3515,Agences!$A:$A,0))</f>
        <v>Méditerranée</v>
      </c>
      <c r="P3515" t="str">
        <f>INDEX(Produits!$C:$C,MATCH(H3515,Produits!$A:$A,0))</f>
        <v>Mobilier</v>
      </c>
      <c r="Q3515" s="3">
        <f>I3515*INDEX(Produits!$E:$E,MATCH(H3515,Produits!$A:$A,0))</f>
        <v>46.61</v>
      </c>
      <c r="R3515" s="3">
        <f>L3515-Q3515</f>
        <v>28.439999999999998</v>
      </c>
      <c r="S3515" s="2">
        <f>NETWORKDAYS(B3515,C3515)-1</f>
        <v>3</v>
      </c>
      <c r="T3515" s="1">
        <f>WORKDAY(B3515,5)</f>
        <v>45743</v>
      </c>
      <c r="U3515" t="b">
        <f>C3515&gt;T3515</f>
        <v>0</v>
      </c>
    </row>
    <row r="3516" spans="1:21" x14ac:dyDescent="0.25">
      <c r="A3516" t="s">
        <v>2109</v>
      </c>
      <c r="B3516" s="1">
        <v>45736</v>
      </c>
      <c r="C3516" s="1">
        <v>45741</v>
      </c>
      <c r="D3516" t="s">
        <v>2110</v>
      </c>
      <c r="E3516" t="s">
        <v>242</v>
      </c>
      <c r="F3516" t="s">
        <v>94</v>
      </c>
      <c r="G3516" t="s">
        <v>154</v>
      </c>
      <c r="H3516" t="s">
        <v>51</v>
      </c>
      <c r="I3516" s="2">
        <v>1</v>
      </c>
      <c r="J3516" s="3">
        <v>180</v>
      </c>
      <c r="K3516" s="4">
        <v>0</v>
      </c>
      <c r="L3516" s="3">
        <v>180</v>
      </c>
      <c r="M3516" t="b">
        <v>1</v>
      </c>
      <c r="N3516" s="2">
        <f>YEAR(B3516)</f>
        <v>2025</v>
      </c>
      <c r="O3516" t="str">
        <f>INDEX(Agences!$C:$C,MATCH(F3516,Agences!$A:$A,0))</f>
        <v>Méditerranée</v>
      </c>
      <c r="P3516" t="str">
        <f>INDEX(Produits!$C:$C,MATCH(H3516,Produits!$A:$A,0))</f>
        <v>Maintenance</v>
      </c>
      <c r="Q3516" s="3">
        <f>I3516*INDEX(Produits!$E:$E,MATCH(H3516,Produits!$A:$A,0))</f>
        <v>82.8</v>
      </c>
      <c r="R3516" s="3">
        <f>L3516-Q3516</f>
        <v>97.2</v>
      </c>
      <c r="S3516" s="2">
        <f>NETWORKDAYS(B3516,C3516)-1</f>
        <v>3</v>
      </c>
      <c r="T3516" s="1">
        <f>WORKDAY(B3516,5)</f>
        <v>45743</v>
      </c>
      <c r="U3516" t="b">
        <f>C3516&gt;T3516</f>
        <v>0</v>
      </c>
    </row>
    <row r="3517" spans="1:21" x14ac:dyDescent="0.25">
      <c r="A3517" t="s">
        <v>2111</v>
      </c>
      <c r="B3517" s="1">
        <v>45736</v>
      </c>
      <c r="C3517" s="1">
        <v>45743</v>
      </c>
      <c r="D3517" t="s">
        <v>507</v>
      </c>
      <c r="E3517" t="s">
        <v>157</v>
      </c>
      <c r="F3517" t="s">
        <v>46</v>
      </c>
      <c r="G3517" t="s">
        <v>111</v>
      </c>
      <c r="H3517" t="s">
        <v>64</v>
      </c>
      <c r="I3517" s="2">
        <v>5</v>
      </c>
      <c r="J3517" s="3">
        <v>16.8</v>
      </c>
      <c r="K3517" s="4">
        <v>0</v>
      </c>
      <c r="L3517" s="3">
        <v>84</v>
      </c>
      <c r="M3517" t="b">
        <v>1</v>
      </c>
      <c r="N3517" s="2">
        <f>YEAR(B3517)</f>
        <v>2025</v>
      </c>
      <c r="O3517" t="str">
        <f>INDEX(Agences!$C:$C,MATCH(F3517,Agences!$A:$A,0))</f>
        <v>Est</v>
      </c>
      <c r="P3517" t="str">
        <f>INDEX(Produits!$C:$C,MATCH(H3517,Produits!$A:$A,0))</f>
        <v>Fournitures</v>
      </c>
      <c r="Q3517" s="3">
        <f>I3517*INDEX(Produits!$E:$E,MATCH(H3517,Produits!$A:$A,0))</f>
        <v>43.7</v>
      </c>
      <c r="R3517" s="3">
        <f>L3517-Q3517</f>
        <v>40.3</v>
      </c>
      <c r="S3517" s="2">
        <f>NETWORKDAYS(B3517,C3517)-1</f>
        <v>5</v>
      </c>
      <c r="T3517" s="1">
        <f>WORKDAY(B3517,5)</f>
        <v>45743</v>
      </c>
      <c r="U3517" t="b">
        <f>C3517&gt;T3517</f>
        <v>0</v>
      </c>
    </row>
    <row r="3518" spans="1:21" x14ac:dyDescent="0.25">
      <c r="A3518" t="s">
        <v>2112</v>
      </c>
      <c r="B3518" s="1">
        <v>45736</v>
      </c>
      <c r="C3518" s="1">
        <v>45737</v>
      </c>
      <c r="D3518" t="s">
        <v>1163</v>
      </c>
      <c r="E3518" t="s">
        <v>54</v>
      </c>
      <c r="F3518" t="s">
        <v>55</v>
      </c>
      <c r="G3518" t="s">
        <v>71</v>
      </c>
      <c r="H3518" t="s">
        <v>112</v>
      </c>
      <c r="I3518" s="2">
        <v>3</v>
      </c>
      <c r="J3518" s="3">
        <v>129</v>
      </c>
      <c r="K3518" s="4">
        <v>0</v>
      </c>
      <c r="L3518" s="3">
        <v>387</v>
      </c>
      <c r="M3518" t="b">
        <v>1</v>
      </c>
      <c r="N3518" s="2">
        <f>YEAR(B3518)</f>
        <v>2025</v>
      </c>
      <c r="O3518" t="str">
        <f>INDEX(Agences!$C:$C,MATCH(F3518,Agences!$A:$A,0))</f>
        <v>Est</v>
      </c>
      <c r="P3518" t="str">
        <f>INDEX(Produits!$C:$C,MATCH(H3518,Produits!$A:$A,0))</f>
        <v>Mobilier</v>
      </c>
      <c r="Q3518" s="3">
        <f>I3518*INDEX(Produits!$E:$E,MATCH(H3518,Produits!$A:$A,0))</f>
        <v>259.29</v>
      </c>
      <c r="R3518" s="3">
        <f>L3518-Q3518</f>
        <v>127.70999999999998</v>
      </c>
      <c r="S3518" s="2">
        <f>NETWORKDAYS(B3518,C3518)-1</f>
        <v>1</v>
      </c>
      <c r="T3518" s="1">
        <f>WORKDAY(B3518,5)</f>
        <v>45743</v>
      </c>
      <c r="U3518" t="b">
        <f>C3518&gt;T3518</f>
        <v>0</v>
      </c>
    </row>
    <row r="3519" spans="1:21" x14ac:dyDescent="0.25">
      <c r="A3519" t="s">
        <v>2112</v>
      </c>
      <c r="B3519" s="1">
        <v>45736</v>
      </c>
      <c r="C3519" s="1">
        <v>45737</v>
      </c>
      <c r="D3519" t="s">
        <v>1163</v>
      </c>
      <c r="E3519" t="s">
        <v>54</v>
      </c>
      <c r="F3519" t="s">
        <v>55</v>
      </c>
      <c r="G3519" t="s">
        <v>71</v>
      </c>
      <c r="H3519" t="s">
        <v>83</v>
      </c>
      <c r="I3519" s="2">
        <v>1</v>
      </c>
      <c r="J3519" s="3">
        <v>49</v>
      </c>
      <c r="K3519" s="4">
        <v>0</v>
      </c>
      <c r="L3519" s="3">
        <v>49</v>
      </c>
      <c r="M3519" t="b">
        <v>1</v>
      </c>
      <c r="N3519" s="2">
        <f>YEAR(B3519)</f>
        <v>2025</v>
      </c>
      <c r="O3519" t="str">
        <f>INDEX(Agences!$C:$C,MATCH(F3519,Agences!$A:$A,0))</f>
        <v>Est</v>
      </c>
      <c r="P3519" t="str">
        <f>INDEX(Produits!$C:$C,MATCH(H3519,Produits!$A:$A,0))</f>
        <v>Mobilier</v>
      </c>
      <c r="Q3519" s="3">
        <f>I3519*INDEX(Produits!$E:$E,MATCH(H3519,Produits!$A:$A,0))</f>
        <v>28.42</v>
      </c>
      <c r="R3519" s="3">
        <f>L3519-Q3519</f>
        <v>20.58</v>
      </c>
      <c r="S3519" s="2">
        <f>NETWORKDAYS(B3519,C3519)-1</f>
        <v>1</v>
      </c>
      <c r="T3519" s="1">
        <f>WORKDAY(B3519,5)</f>
        <v>45743</v>
      </c>
      <c r="U3519" t="b">
        <f>C3519&gt;T3519</f>
        <v>0</v>
      </c>
    </row>
    <row r="3520" spans="1:21" x14ac:dyDescent="0.25">
      <c r="A3520" t="s">
        <v>2113</v>
      </c>
      <c r="B3520" s="1">
        <v>45735</v>
      </c>
      <c r="C3520" s="1">
        <v>45737</v>
      </c>
      <c r="D3520" t="s">
        <v>817</v>
      </c>
      <c r="E3520" t="s">
        <v>165</v>
      </c>
      <c r="F3520" t="s">
        <v>166</v>
      </c>
      <c r="G3520" t="s">
        <v>167</v>
      </c>
      <c r="H3520" t="s">
        <v>33</v>
      </c>
      <c r="I3520" s="2">
        <v>1</v>
      </c>
      <c r="J3520" s="3">
        <v>219</v>
      </c>
      <c r="K3520" s="4">
        <v>0.08</v>
      </c>
      <c r="L3520" s="3">
        <v>201.48</v>
      </c>
      <c r="M3520" t="b">
        <v>1</v>
      </c>
      <c r="N3520" s="2">
        <f>YEAR(B3520)</f>
        <v>2025</v>
      </c>
      <c r="O3520" t="str">
        <f>INDEX(Agences!$C:$C,MATCH(F3520,Agences!$A:$A,0))</f>
        <v>Ouest</v>
      </c>
      <c r="P3520" t="str">
        <f>INDEX(Produits!$C:$C,MATCH(H3520,Produits!$A:$A,0))</f>
        <v>Informatique</v>
      </c>
      <c r="Q3520" s="3">
        <f>I3520*INDEX(Produits!$E:$E,MATCH(H3520,Produits!$A:$A,0))</f>
        <v>179.58</v>
      </c>
      <c r="R3520" s="3">
        <f>L3520-Q3520</f>
        <v>21.899999999999977</v>
      </c>
      <c r="S3520" s="2">
        <f>NETWORKDAYS(B3520,C3520)-1</f>
        <v>2</v>
      </c>
      <c r="T3520" s="1">
        <f>WORKDAY(B3520,5)</f>
        <v>45742</v>
      </c>
      <c r="U3520" t="b">
        <f>C3520&gt;T3520</f>
        <v>0</v>
      </c>
    </row>
    <row r="3521" spans="1:21" x14ac:dyDescent="0.25">
      <c r="A3521" t="s">
        <v>2113</v>
      </c>
      <c r="B3521" s="1">
        <v>45735</v>
      </c>
      <c r="C3521" s="1">
        <v>45737</v>
      </c>
      <c r="D3521" t="s">
        <v>817</v>
      </c>
      <c r="E3521" t="s">
        <v>165</v>
      </c>
      <c r="F3521" t="s">
        <v>166</v>
      </c>
      <c r="G3521" t="s">
        <v>167</v>
      </c>
      <c r="H3521" t="s">
        <v>90</v>
      </c>
      <c r="I3521" s="2">
        <v>25</v>
      </c>
      <c r="J3521" s="3">
        <v>22.9</v>
      </c>
      <c r="K3521" s="4">
        <v>0.08</v>
      </c>
      <c r="L3521" s="3">
        <v>526.7</v>
      </c>
      <c r="M3521" t="b">
        <v>1</v>
      </c>
      <c r="N3521" s="2">
        <f>YEAR(B3521)</f>
        <v>2025</v>
      </c>
      <c r="O3521" t="str">
        <f>INDEX(Agences!$C:$C,MATCH(F3521,Agences!$A:$A,0))</f>
        <v>Ouest</v>
      </c>
      <c r="P3521" t="str">
        <f>INDEX(Produits!$C:$C,MATCH(H3521,Produits!$A:$A,0))</f>
        <v>Fournitures</v>
      </c>
      <c r="Q3521" s="3">
        <f>I3521*INDEX(Produits!$E:$E,MATCH(H3521,Produits!$A:$A,0))</f>
        <v>320.5</v>
      </c>
      <c r="R3521" s="3">
        <f>L3521-Q3521</f>
        <v>206.20000000000005</v>
      </c>
      <c r="S3521" s="2">
        <f>NETWORKDAYS(B3521,C3521)-1</f>
        <v>2</v>
      </c>
      <c r="T3521" s="1">
        <f>WORKDAY(B3521,5)</f>
        <v>45742</v>
      </c>
      <c r="U3521" t="b">
        <f>C3521&gt;T3521</f>
        <v>0</v>
      </c>
    </row>
    <row r="3522" spans="1:21" x14ac:dyDescent="0.25">
      <c r="A3522" t="s">
        <v>2113</v>
      </c>
      <c r="B3522" s="1">
        <v>45735</v>
      </c>
      <c r="C3522" s="1">
        <v>45737</v>
      </c>
      <c r="D3522" t="s">
        <v>817</v>
      </c>
      <c r="E3522" t="s">
        <v>165</v>
      </c>
      <c r="F3522" t="s">
        <v>166</v>
      </c>
      <c r="G3522" t="s">
        <v>167</v>
      </c>
      <c r="H3522" t="s">
        <v>34</v>
      </c>
      <c r="I3522" s="2">
        <v>2</v>
      </c>
      <c r="J3522" s="3">
        <v>340</v>
      </c>
      <c r="K3522" s="4">
        <v>0.02</v>
      </c>
      <c r="L3522" s="3">
        <v>666.4</v>
      </c>
      <c r="M3522" t="b">
        <v>1</v>
      </c>
      <c r="N3522" s="2">
        <f>YEAR(B3522)</f>
        <v>2025</v>
      </c>
      <c r="O3522" t="str">
        <f>INDEX(Agences!$C:$C,MATCH(F3522,Agences!$A:$A,0))</f>
        <v>Ouest</v>
      </c>
      <c r="P3522" t="str">
        <f>INDEX(Produits!$C:$C,MATCH(H3522,Produits!$A:$A,0))</f>
        <v>Informatique</v>
      </c>
      <c r="Q3522" s="3">
        <f>I3522*INDEX(Produits!$E:$E,MATCH(H3522,Produits!$A:$A,0))</f>
        <v>550.8</v>
      </c>
      <c r="R3522" s="3">
        <f>L3522-Q3522</f>
        <v>115.60000000000002</v>
      </c>
      <c r="S3522" s="2">
        <f>NETWORKDAYS(B3522,C3522)-1</f>
        <v>2</v>
      </c>
      <c r="T3522" s="1">
        <f>WORKDAY(B3522,5)</f>
        <v>45742</v>
      </c>
      <c r="U3522" t="b">
        <f>C3522&gt;T3522</f>
        <v>0</v>
      </c>
    </row>
    <row r="3523" spans="1:21" x14ac:dyDescent="0.25">
      <c r="A3523" t="s">
        <v>2113</v>
      </c>
      <c r="B3523" s="1">
        <v>45735</v>
      </c>
      <c r="C3523" s="1">
        <v>45737</v>
      </c>
      <c r="D3523" t="s">
        <v>817</v>
      </c>
      <c r="E3523" t="s">
        <v>165</v>
      </c>
      <c r="F3523" t="s">
        <v>166</v>
      </c>
      <c r="G3523" t="s">
        <v>167</v>
      </c>
      <c r="H3523" t="s">
        <v>26</v>
      </c>
      <c r="I3523" s="2">
        <v>1</v>
      </c>
      <c r="J3523" s="3">
        <v>290</v>
      </c>
      <c r="K3523" s="4">
        <v>0</v>
      </c>
      <c r="L3523" s="3">
        <v>290</v>
      </c>
      <c r="M3523" t="b">
        <v>1</v>
      </c>
      <c r="N3523" s="2">
        <f>YEAR(B3523)</f>
        <v>2025</v>
      </c>
      <c r="O3523" t="str">
        <f>INDEX(Agences!$C:$C,MATCH(F3523,Agences!$A:$A,0))</f>
        <v>Ouest</v>
      </c>
      <c r="P3523" t="str">
        <f>INDEX(Produits!$C:$C,MATCH(H3523,Produits!$A:$A,0))</f>
        <v>Maintenance</v>
      </c>
      <c r="Q3523" s="3">
        <f>I3523*INDEX(Produits!$E:$E,MATCH(H3523,Produits!$A:$A,0))</f>
        <v>139.2</v>
      </c>
      <c r="R3523" s="3">
        <f>L3523-Q3523</f>
        <v>150.8</v>
      </c>
      <c r="S3523" s="2">
        <f>NETWORKDAYS(B3523,C3523)-1</f>
        <v>2</v>
      </c>
      <c r="T3523" s="1">
        <f>WORKDAY(B3523,5)</f>
        <v>45742</v>
      </c>
      <c r="U3523" t="b">
        <f>C3523&gt;T3523</f>
        <v>0</v>
      </c>
    </row>
    <row r="3524" spans="1:21" x14ac:dyDescent="0.25">
      <c r="A3524" t="s">
        <v>2114</v>
      </c>
      <c r="B3524" s="1">
        <v>45735</v>
      </c>
      <c r="C3524" s="1">
        <v>45737</v>
      </c>
      <c r="D3524" t="s">
        <v>924</v>
      </c>
      <c r="E3524" t="s">
        <v>67</v>
      </c>
      <c r="F3524" t="s">
        <v>62</v>
      </c>
      <c r="G3524" t="s">
        <v>68</v>
      </c>
      <c r="H3524" t="s">
        <v>108</v>
      </c>
      <c r="I3524" s="2">
        <v>5</v>
      </c>
      <c r="J3524" s="3">
        <v>24.5</v>
      </c>
      <c r="K3524" s="4">
        <v>0.05</v>
      </c>
      <c r="L3524" s="3">
        <v>116.38</v>
      </c>
      <c r="M3524" t="b">
        <v>1</v>
      </c>
      <c r="N3524" s="2">
        <f>YEAR(B3524)</f>
        <v>2025</v>
      </c>
      <c r="O3524" t="str">
        <f>INDEX(Agences!$C:$C,MATCH(F3524,Agences!$A:$A,0))</f>
        <v>Méditerranée</v>
      </c>
      <c r="P3524" t="str">
        <f>INDEX(Produits!$C:$C,MATCH(H3524,Produits!$A:$A,0))</f>
        <v>Fournitures</v>
      </c>
      <c r="Q3524" s="3">
        <f>I3524*INDEX(Produits!$E:$E,MATCH(H3524,Produits!$A:$A,0))</f>
        <v>73.5</v>
      </c>
      <c r="R3524" s="3">
        <f>L3524-Q3524</f>
        <v>42.879999999999995</v>
      </c>
      <c r="S3524" s="2">
        <f>NETWORKDAYS(B3524,C3524)-1</f>
        <v>2</v>
      </c>
      <c r="T3524" s="1">
        <f>WORKDAY(B3524,5)</f>
        <v>45742</v>
      </c>
      <c r="U3524" t="b">
        <f>C3524&gt;T3524</f>
        <v>0</v>
      </c>
    </row>
    <row r="3525" spans="1:21" x14ac:dyDescent="0.25">
      <c r="A3525" t="s">
        <v>2114</v>
      </c>
      <c r="B3525" s="1">
        <v>45735</v>
      </c>
      <c r="C3525" s="1">
        <v>45737</v>
      </c>
      <c r="D3525" t="s">
        <v>924</v>
      </c>
      <c r="E3525" t="s">
        <v>67</v>
      </c>
      <c r="F3525" t="s">
        <v>62</v>
      </c>
      <c r="G3525" t="s">
        <v>68</v>
      </c>
      <c r="H3525" t="s">
        <v>33</v>
      </c>
      <c r="I3525" s="2">
        <v>2</v>
      </c>
      <c r="J3525" s="3">
        <v>219</v>
      </c>
      <c r="K3525" s="4">
        <v>0.08</v>
      </c>
      <c r="L3525" s="3">
        <v>402.96</v>
      </c>
      <c r="M3525" t="b">
        <v>1</v>
      </c>
      <c r="N3525" s="2">
        <f>YEAR(B3525)</f>
        <v>2025</v>
      </c>
      <c r="O3525" t="str">
        <f>INDEX(Agences!$C:$C,MATCH(F3525,Agences!$A:$A,0))</f>
        <v>Méditerranée</v>
      </c>
      <c r="P3525" t="str">
        <f>INDEX(Produits!$C:$C,MATCH(H3525,Produits!$A:$A,0))</f>
        <v>Informatique</v>
      </c>
      <c r="Q3525" s="3">
        <f>I3525*INDEX(Produits!$E:$E,MATCH(H3525,Produits!$A:$A,0))</f>
        <v>359.16</v>
      </c>
      <c r="R3525" s="3">
        <f>L3525-Q3525</f>
        <v>43.799999999999955</v>
      </c>
      <c r="S3525" s="2">
        <f>NETWORKDAYS(B3525,C3525)-1</f>
        <v>2</v>
      </c>
      <c r="T3525" s="1">
        <f>WORKDAY(B3525,5)</f>
        <v>45742</v>
      </c>
      <c r="U3525" t="b">
        <f>C3525&gt;T3525</f>
        <v>0</v>
      </c>
    </row>
    <row r="3526" spans="1:21" x14ac:dyDescent="0.25">
      <c r="A3526" t="s">
        <v>2114</v>
      </c>
      <c r="B3526" s="1">
        <v>45735</v>
      </c>
      <c r="C3526" s="1">
        <v>45737</v>
      </c>
      <c r="D3526" t="s">
        <v>924</v>
      </c>
      <c r="E3526" t="s">
        <v>67</v>
      </c>
      <c r="F3526" t="s">
        <v>62</v>
      </c>
      <c r="G3526" t="s">
        <v>68</v>
      </c>
      <c r="H3526" t="s">
        <v>319</v>
      </c>
      <c r="I3526" s="2">
        <v>2</v>
      </c>
      <c r="J3526" s="3">
        <v>289</v>
      </c>
      <c r="K3526" s="4">
        <v>0</v>
      </c>
      <c r="L3526" s="3">
        <v>578</v>
      </c>
      <c r="M3526" t="b">
        <v>1</v>
      </c>
      <c r="N3526" s="2">
        <f>YEAR(B3526)</f>
        <v>2025</v>
      </c>
      <c r="O3526" t="str">
        <f>INDEX(Agences!$C:$C,MATCH(F3526,Agences!$A:$A,0))</f>
        <v>Méditerranée</v>
      </c>
      <c r="P3526" t="str">
        <f>INDEX(Produits!$C:$C,MATCH(H3526,Produits!$A:$A,0))</f>
        <v>Informatique</v>
      </c>
      <c r="Q3526" s="3">
        <f>I3526*INDEX(Produits!$E:$E,MATCH(H3526,Produits!$A:$A,0))</f>
        <v>427.72</v>
      </c>
      <c r="R3526" s="3">
        <f>L3526-Q3526</f>
        <v>150.27999999999997</v>
      </c>
      <c r="S3526" s="2">
        <f>NETWORKDAYS(B3526,C3526)-1</f>
        <v>2</v>
      </c>
      <c r="T3526" s="1">
        <f>WORKDAY(B3526,5)</f>
        <v>45742</v>
      </c>
      <c r="U3526" t="b">
        <f>C3526&gt;T3526</f>
        <v>0</v>
      </c>
    </row>
    <row r="3527" spans="1:21" x14ac:dyDescent="0.25">
      <c r="A3527" t="s">
        <v>2114</v>
      </c>
      <c r="B3527" s="1">
        <v>45735</v>
      </c>
      <c r="C3527" s="1">
        <v>45737</v>
      </c>
      <c r="D3527" t="s">
        <v>924</v>
      </c>
      <c r="E3527" t="s">
        <v>67</v>
      </c>
      <c r="F3527" t="s">
        <v>62</v>
      </c>
      <c r="G3527" t="s">
        <v>68</v>
      </c>
      <c r="H3527" t="s">
        <v>50</v>
      </c>
      <c r="I3527" s="2">
        <v>4</v>
      </c>
      <c r="J3527" s="3">
        <v>69</v>
      </c>
      <c r="K3527" s="4">
        <v>0</v>
      </c>
      <c r="L3527" s="3">
        <v>276</v>
      </c>
      <c r="M3527" t="b">
        <v>1</v>
      </c>
      <c r="N3527" s="2">
        <f>YEAR(B3527)</f>
        <v>2025</v>
      </c>
      <c r="O3527" t="str">
        <f>INDEX(Agences!$C:$C,MATCH(F3527,Agences!$A:$A,0))</f>
        <v>Méditerranée</v>
      </c>
      <c r="P3527" t="str">
        <f>INDEX(Produits!$C:$C,MATCH(H3527,Produits!$A:$A,0))</f>
        <v>Informatique</v>
      </c>
      <c r="Q3527" s="3">
        <f>I3527*INDEX(Produits!$E:$E,MATCH(H3527,Produits!$A:$A,0))</f>
        <v>218.04</v>
      </c>
      <c r="R3527" s="3">
        <f>L3527-Q3527</f>
        <v>57.96000000000001</v>
      </c>
      <c r="S3527" s="2">
        <f>NETWORKDAYS(B3527,C3527)-1</f>
        <v>2</v>
      </c>
      <c r="T3527" s="1">
        <f>WORKDAY(B3527,5)</f>
        <v>45742</v>
      </c>
      <c r="U3527" t="b">
        <f>C3527&gt;T3527</f>
        <v>0</v>
      </c>
    </row>
    <row r="3528" spans="1:21" x14ac:dyDescent="0.25">
      <c r="A3528" t="s">
        <v>2114</v>
      </c>
      <c r="B3528" s="1">
        <v>45735</v>
      </c>
      <c r="C3528" s="1">
        <v>45737</v>
      </c>
      <c r="D3528" t="s">
        <v>924</v>
      </c>
      <c r="E3528" t="s">
        <v>67</v>
      </c>
      <c r="F3528" t="s">
        <v>62</v>
      </c>
      <c r="G3528" t="s">
        <v>68</v>
      </c>
      <c r="H3528" t="s">
        <v>42</v>
      </c>
      <c r="I3528" s="2">
        <v>1</v>
      </c>
      <c r="J3528" s="3">
        <v>55</v>
      </c>
      <c r="K3528" s="4">
        <v>0.05</v>
      </c>
      <c r="L3528" s="3">
        <v>52.25</v>
      </c>
      <c r="M3528" t="b">
        <v>1</v>
      </c>
      <c r="N3528" s="2">
        <f>YEAR(B3528)</f>
        <v>2025</v>
      </c>
      <c r="O3528" t="str">
        <f>INDEX(Agences!$C:$C,MATCH(F3528,Agences!$A:$A,0))</f>
        <v>Méditerranée</v>
      </c>
      <c r="P3528" t="str">
        <f>INDEX(Produits!$C:$C,MATCH(H3528,Produits!$A:$A,0))</f>
        <v>Maintenance</v>
      </c>
      <c r="Q3528" s="3">
        <f>I3528*INDEX(Produits!$E:$E,MATCH(H3528,Produits!$A:$A,0))</f>
        <v>24.75</v>
      </c>
      <c r="R3528" s="3">
        <f>L3528-Q3528</f>
        <v>27.5</v>
      </c>
      <c r="S3528" s="2">
        <f>NETWORKDAYS(B3528,C3528)-1</f>
        <v>2</v>
      </c>
      <c r="T3528" s="1">
        <f>WORKDAY(B3528,5)</f>
        <v>45742</v>
      </c>
      <c r="U3528" t="b">
        <f>C3528&gt;T3528</f>
        <v>0</v>
      </c>
    </row>
    <row r="3529" spans="1:21" x14ac:dyDescent="0.25">
      <c r="A3529" t="s">
        <v>2115</v>
      </c>
      <c r="B3529" s="1">
        <v>45735</v>
      </c>
      <c r="C3529" s="1">
        <v>45737</v>
      </c>
      <c r="D3529" t="s">
        <v>1331</v>
      </c>
      <c r="E3529" t="s">
        <v>449</v>
      </c>
      <c r="F3529" t="s">
        <v>94</v>
      </c>
      <c r="G3529" t="s">
        <v>182</v>
      </c>
      <c r="H3529" t="s">
        <v>42</v>
      </c>
      <c r="I3529" s="2">
        <v>1</v>
      </c>
      <c r="J3529" s="3">
        <v>55</v>
      </c>
      <c r="K3529" s="4">
        <v>0.05</v>
      </c>
      <c r="L3529" s="3">
        <v>52.25</v>
      </c>
      <c r="M3529" t="b">
        <v>1</v>
      </c>
      <c r="N3529" s="2">
        <f>YEAR(B3529)</f>
        <v>2025</v>
      </c>
      <c r="O3529" t="str">
        <f>INDEX(Agences!$C:$C,MATCH(F3529,Agences!$A:$A,0))</f>
        <v>Méditerranée</v>
      </c>
      <c r="P3529" t="str">
        <f>INDEX(Produits!$C:$C,MATCH(H3529,Produits!$A:$A,0))</f>
        <v>Maintenance</v>
      </c>
      <c r="Q3529" s="3">
        <f>I3529*INDEX(Produits!$E:$E,MATCH(H3529,Produits!$A:$A,0))</f>
        <v>24.75</v>
      </c>
      <c r="R3529" s="3">
        <f>L3529-Q3529</f>
        <v>27.5</v>
      </c>
      <c r="S3529" s="2">
        <f>NETWORKDAYS(B3529,C3529)-1</f>
        <v>2</v>
      </c>
      <c r="T3529" s="1">
        <f>WORKDAY(B3529,5)</f>
        <v>45742</v>
      </c>
      <c r="U3529" t="b">
        <f>C3529&gt;T3529</f>
        <v>0</v>
      </c>
    </row>
    <row r="3530" spans="1:21" x14ac:dyDescent="0.25">
      <c r="A3530" t="s">
        <v>2116</v>
      </c>
      <c r="B3530" s="1">
        <v>45734</v>
      </c>
      <c r="C3530" s="1">
        <v>45735</v>
      </c>
      <c r="D3530" t="s">
        <v>1190</v>
      </c>
      <c r="E3530" t="s">
        <v>165</v>
      </c>
      <c r="F3530" t="s">
        <v>166</v>
      </c>
      <c r="G3530" t="s">
        <v>179</v>
      </c>
      <c r="H3530" t="s">
        <v>84</v>
      </c>
      <c r="I3530" s="2">
        <v>1</v>
      </c>
      <c r="J3530" s="3">
        <v>420</v>
      </c>
      <c r="K3530" s="4">
        <v>0</v>
      </c>
      <c r="L3530" s="3">
        <v>420</v>
      </c>
      <c r="M3530" t="b">
        <v>1</v>
      </c>
      <c r="N3530" s="2">
        <f>YEAR(B3530)</f>
        <v>2025</v>
      </c>
      <c r="O3530" t="str">
        <f>INDEX(Agences!$C:$C,MATCH(F3530,Agences!$A:$A,0))</f>
        <v>Ouest</v>
      </c>
      <c r="P3530" t="str">
        <f>INDEX(Produits!$C:$C,MATCH(H3530,Produits!$A:$A,0))</f>
        <v>Mobilier</v>
      </c>
      <c r="Q3530" s="3">
        <f>I3530*INDEX(Produits!$E:$E,MATCH(H3530,Produits!$A:$A,0))</f>
        <v>243.6</v>
      </c>
      <c r="R3530" s="3">
        <f>L3530-Q3530</f>
        <v>176.4</v>
      </c>
      <c r="S3530" s="2">
        <f>NETWORKDAYS(B3530,C3530)-1</f>
        <v>1</v>
      </c>
      <c r="T3530" s="1">
        <f>WORKDAY(B3530,5)</f>
        <v>45741</v>
      </c>
      <c r="U3530" t="b">
        <f>C3530&gt;T3530</f>
        <v>0</v>
      </c>
    </row>
    <row r="3531" spans="1:21" x14ac:dyDescent="0.25">
      <c r="A3531" t="s">
        <v>2116</v>
      </c>
      <c r="B3531" s="1">
        <v>45734</v>
      </c>
      <c r="C3531" s="1">
        <v>45735</v>
      </c>
      <c r="D3531" t="s">
        <v>1190</v>
      </c>
      <c r="E3531" t="s">
        <v>165</v>
      </c>
      <c r="F3531" t="s">
        <v>166</v>
      </c>
      <c r="G3531" t="s">
        <v>179</v>
      </c>
      <c r="H3531" t="s">
        <v>51</v>
      </c>
      <c r="I3531" s="2">
        <v>1</v>
      </c>
      <c r="J3531" s="3">
        <v>180</v>
      </c>
      <c r="K3531" s="4">
        <v>0.05</v>
      </c>
      <c r="L3531" s="3">
        <v>171</v>
      </c>
      <c r="M3531" t="b">
        <v>1</v>
      </c>
      <c r="N3531" s="2">
        <f>YEAR(B3531)</f>
        <v>2025</v>
      </c>
      <c r="O3531" t="str">
        <f>INDEX(Agences!$C:$C,MATCH(F3531,Agences!$A:$A,0))</f>
        <v>Ouest</v>
      </c>
      <c r="P3531" t="str">
        <f>INDEX(Produits!$C:$C,MATCH(H3531,Produits!$A:$A,0))</f>
        <v>Maintenance</v>
      </c>
      <c r="Q3531" s="3">
        <f>I3531*INDEX(Produits!$E:$E,MATCH(H3531,Produits!$A:$A,0))</f>
        <v>82.8</v>
      </c>
      <c r="R3531" s="3">
        <f>L3531-Q3531</f>
        <v>88.2</v>
      </c>
      <c r="S3531" s="2">
        <f>NETWORKDAYS(B3531,C3531)-1</f>
        <v>1</v>
      </c>
      <c r="T3531" s="1">
        <f>WORKDAY(B3531,5)</f>
        <v>45741</v>
      </c>
      <c r="U3531" t="b">
        <f>C3531&gt;T3531</f>
        <v>0</v>
      </c>
    </row>
    <row r="3532" spans="1:21" x14ac:dyDescent="0.25">
      <c r="A3532" t="s">
        <v>2116</v>
      </c>
      <c r="B3532" s="1">
        <v>45734</v>
      </c>
      <c r="C3532" s="1">
        <v>45735</v>
      </c>
      <c r="D3532" t="s">
        <v>1190</v>
      </c>
      <c r="E3532" t="s">
        <v>165</v>
      </c>
      <c r="F3532" t="s">
        <v>166</v>
      </c>
      <c r="G3532" t="s">
        <v>179</v>
      </c>
      <c r="H3532" t="s">
        <v>57</v>
      </c>
      <c r="I3532" s="2">
        <v>1</v>
      </c>
      <c r="J3532" s="3">
        <v>149</v>
      </c>
      <c r="K3532" s="4">
        <v>0.08</v>
      </c>
      <c r="L3532" s="3">
        <v>137.08</v>
      </c>
      <c r="M3532" t="b">
        <v>1</v>
      </c>
      <c r="N3532" s="2">
        <f>YEAR(B3532)</f>
        <v>2025</v>
      </c>
      <c r="O3532" t="str">
        <f>INDEX(Agences!$C:$C,MATCH(F3532,Agences!$A:$A,0))</f>
        <v>Ouest</v>
      </c>
      <c r="P3532" t="str">
        <f>INDEX(Produits!$C:$C,MATCH(H3532,Produits!$A:$A,0))</f>
        <v>Informatique</v>
      </c>
      <c r="Q3532" s="3">
        <f>I3532*INDEX(Produits!$E:$E,MATCH(H3532,Produits!$A:$A,0))</f>
        <v>114.73</v>
      </c>
      <c r="R3532" s="3">
        <f>L3532-Q3532</f>
        <v>22.35000000000001</v>
      </c>
      <c r="S3532" s="2">
        <f>NETWORKDAYS(B3532,C3532)-1</f>
        <v>1</v>
      </c>
      <c r="T3532" s="1">
        <f>WORKDAY(B3532,5)</f>
        <v>45741</v>
      </c>
      <c r="U3532" t="b">
        <f>C3532&gt;T3532</f>
        <v>0</v>
      </c>
    </row>
    <row r="3533" spans="1:21" x14ac:dyDescent="0.25">
      <c r="A3533" t="s">
        <v>2117</v>
      </c>
      <c r="B3533" s="1">
        <v>45734</v>
      </c>
      <c r="C3533" s="1">
        <v>45740</v>
      </c>
      <c r="D3533" t="s">
        <v>686</v>
      </c>
      <c r="E3533" t="s">
        <v>256</v>
      </c>
      <c r="F3533" t="s">
        <v>88</v>
      </c>
      <c r="G3533" t="s">
        <v>89</v>
      </c>
      <c r="H3533" t="s">
        <v>112</v>
      </c>
      <c r="I3533" s="2">
        <v>5</v>
      </c>
      <c r="J3533" s="3">
        <v>129</v>
      </c>
      <c r="K3533" s="4">
        <v>0</v>
      </c>
      <c r="L3533" s="3">
        <v>645</v>
      </c>
      <c r="M3533" t="b">
        <v>1</v>
      </c>
      <c r="N3533" s="2">
        <f>YEAR(B3533)</f>
        <v>2025</v>
      </c>
      <c r="O3533" t="str">
        <f>INDEX(Agences!$C:$C,MATCH(F3533,Agences!$A:$A,0))</f>
        <v>Sud-Ouest</v>
      </c>
      <c r="P3533" t="str">
        <f>INDEX(Produits!$C:$C,MATCH(H3533,Produits!$A:$A,0))</f>
        <v>Mobilier</v>
      </c>
      <c r="Q3533" s="3">
        <f>I3533*INDEX(Produits!$E:$E,MATCH(H3533,Produits!$A:$A,0))</f>
        <v>432.15000000000003</v>
      </c>
      <c r="R3533" s="3">
        <f>L3533-Q3533</f>
        <v>212.84999999999997</v>
      </c>
      <c r="S3533" s="2">
        <f>NETWORKDAYS(B3533,C3533)-1</f>
        <v>4</v>
      </c>
      <c r="T3533" s="1">
        <f>WORKDAY(B3533,5)</f>
        <v>45741</v>
      </c>
      <c r="U3533" t="b">
        <f>C3533&gt;T3533</f>
        <v>0</v>
      </c>
    </row>
    <row r="3534" spans="1:21" x14ac:dyDescent="0.25">
      <c r="A3534" t="s">
        <v>2118</v>
      </c>
      <c r="B3534" s="1">
        <v>45733</v>
      </c>
      <c r="C3534" s="1">
        <v>45736</v>
      </c>
      <c r="D3534" t="s">
        <v>2119</v>
      </c>
      <c r="E3534" t="s">
        <v>333</v>
      </c>
      <c r="F3534" t="s">
        <v>138</v>
      </c>
      <c r="G3534" t="s">
        <v>139</v>
      </c>
      <c r="H3534" t="s">
        <v>26</v>
      </c>
      <c r="I3534" s="2">
        <v>1</v>
      </c>
      <c r="J3534" s="3">
        <v>290</v>
      </c>
      <c r="K3534" s="4">
        <v>0</v>
      </c>
      <c r="L3534" s="3">
        <v>290</v>
      </c>
      <c r="M3534" t="b">
        <v>1</v>
      </c>
      <c r="N3534" s="2">
        <f>YEAR(B3534)</f>
        <v>2025</v>
      </c>
      <c r="O3534" t="str">
        <f>INDEX(Agences!$C:$C,MATCH(F3534,Agences!$A:$A,0))</f>
        <v>Île-de-France</v>
      </c>
      <c r="P3534" t="str">
        <f>INDEX(Produits!$C:$C,MATCH(H3534,Produits!$A:$A,0))</f>
        <v>Maintenance</v>
      </c>
      <c r="Q3534" s="3">
        <f>I3534*INDEX(Produits!$E:$E,MATCH(H3534,Produits!$A:$A,0))</f>
        <v>139.2</v>
      </c>
      <c r="R3534" s="3">
        <f>L3534-Q3534</f>
        <v>150.8</v>
      </c>
      <c r="S3534" s="2">
        <f>NETWORKDAYS(B3534,C3534)-1</f>
        <v>3</v>
      </c>
      <c r="T3534" s="1">
        <f>WORKDAY(B3534,5)</f>
        <v>45740</v>
      </c>
      <c r="U3534" t="b">
        <f>C3534&gt;T3534</f>
        <v>0</v>
      </c>
    </row>
    <row r="3535" spans="1:21" x14ac:dyDescent="0.25">
      <c r="A3535" t="s">
        <v>2120</v>
      </c>
      <c r="B3535" s="1">
        <v>45733</v>
      </c>
      <c r="C3535" s="1">
        <v>45737</v>
      </c>
      <c r="D3535" t="s">
        <v>1397</v>
      </c>
      <c r="E3535" t="s">
        <v>137</v>
      </c>
      <c r="F3535" t="s">
        <v>138</v>
      </c>
      <c r="G3535" t="s">
        <v>214</v>
      </c>
      <c r="H3535" t="s">
        <v>83</v>
      </c>
      <c r="I3535" s="2">
        <v>6</v>
      </c>
      <c r="J3535" s="3">
        <v>49</v>
      </c>
      <c r="K3535" s="4">
        <v>0</v>
      </c>
      <c r="L3535" s="3">
        <v>294</v>
      </c>
      <c r="M3535" t="b">
        <v>1</v>
      </c>
      <c r="N3535" s="2">
        <f>YEAR(B3535)</f>
        <v>2025</v>
      </c>
      <c r="O3535" t="str">
        <f>INDEX(Agences!$C:$C,MATCH(F3535,Agences!$A:$A,0))</f>
        <v>Île-de-France</v>
      </c>
      <c r="P3535" t="str">
        <f>INDEX(Produits!$C:$C,MATCH(H3535,Produits!$A:$A,0))</f>
        <v>Mobilier</v>
      </c>
      <c r="Q3535" s="3">
        <f>I3535*INDEX(Produits!$E:$E,MATCH(H3535,Produits!$A:$A,0))</f>
        <v>170.52</v>
      </c>
      <c r="R3535" s="3">
        <f>L3535-Q3535</f>
        <v>123.47999999999999</v>
      </c>
      <c r="S3535" s="2">
        <f>NETWORKDAYS(B3535,C3535)-1</f>
        <v>4</v>
      </c>
      <c r="T3535" s="1">
        <f>WORKDAY(B3535,5)</f>
        <v>45740</v>
      </c>
      <c r="U3535" t="b">
        <f>C3535&gt;T3535</f>
        <v>0</v>
      </c>
    </row>
    <row r="3536" spans="1:21" x14ac:dyDescent="0.25">
      <c r="A3536" t="s">
        <v>2120</v>
      </c>
      <c r="B3536" s="1">
        <v>45733</v>
      </c>
      <c r="C3536" s="1">
        <v>45737</v>
      </c>
      <c r="D3536" t="s">
        <v>1397</v>
      </c>
      <c r="E3536" t="s">
        <v>137</v>
      </c>
      <c r="F3536" t="s">
        <v>138</v>
      </c>
      <c r="G3536" t="s">
        <v>214</v>
      </c>
      <c r="H3536" t="s">
        <v>84</v>
      </c>
      <c r="I3536" s="2">
        <v>1</v>
      </c>
      <c r="J3536" s="3">
        <v>420</v>
      </c>
      <c r="K3536" s="4">
        <v>0.02</v>
      </c>
      <c r="L3536" s="3">
        <v>411.6</v>
      </c>
      <c r="M3536" t="b">
        <v>1</v>
      </c>
      <c r="N3536" s="2">
        <f>YEAR(B3536)</f>
        <v>2025</v>
      </c>
      <c r="O3536" t="str">
        <f>INDEX(Agences!$C:$C,MATCH(F3536,Agences!$A:$A,0))</f>
        <v>Île-de-France</v>
      </c>
      <c r="P3536" t="str">
        <f>INDEX(Produits!$C:$C,MATCH(H3536,Produits!$A:$A,0))</f>
        <v>Mobilier</v>
      </c>
      <c r="Q3536" s="3">
        <f>I3536*INDEX(Produits!$E:$E,MATCH(H3536,Produits!$A:$A,0))</f>
        <v>243.6</v>
      </c>
      <c r="R3536" s="3">
        <f>L3536-Q3536</f>
        <v>168.00000000000003</v>
      </c>
      <c r="S3536" s="2">
        <f>NETWORKDAYS(B3536,C3536)-1</f>
        <v>4</v>
      </c>
      <c r="T3536" s="1">
        <f>WORKDAY(B3536,5)</f>
        <v>45740</v>
      </c>
      <c r="U3536" t="b">
        <f>C3536&gt;T3536</f>
        <v>0</v>
      </c>
    </row>
    <row r="3537" spans="1:21" x14ac:dyDescent="0.25">
      <c r="A3537" t="s">
        <v>2121</v>
      </c>
      <c r="B3537" s="1">
        <v>45733</v>
      </c>
      <c r="C3537" s="1">
        <v>45735</v>
      </c>
      <c r="D3537" t="s">
        <v>1233</v>
      </c>
      <c r="E3537" t="s">
        <v>270</v>
      </c>
      <c r="F3537" t="s">
        <v>76</v>
      </c>
      <c r="G3537" t="s">
        <v>176</v>
      </c>
      <c r="H3537" t="s">
        <v>35</v>
      </c>
      <c r="I3537" s="2">
        <v>4</v>
      </c>
      <c r="J3537" s="3">
        <v>79</v>
      </c>
      <c r="K3537" s="4">
        <v>0</v>
      </c>
      <c r="L3537" s="3">
        <v>316</v>
      </c>
      <c r="M3537" t="b">
        <v>1</v>
      </c>
      <c r="N3537" s="2">
        <f>YEAR(B3537)</f>
        <v>2025</v>
      </c>
      <c r="O3537" t="str">
        <f>INDEX(Agences!$C:$C,MATCH(F3537,Agences!$A:$A,0))</f>
        <v>Île-de-France</v>
      </c>
      <c r="P3537" t="str">
        <f>INDEX(Produits!$C:$C,MATCH(H3537,Produits!$A:$A,0))</f>
        <v>Mobilier</v>
      </c>
      <c r="Q3537" s="3">
        <f>I3537*INDEX(Produits!$E:$E,MATCH(H3537,Produits!$A:$A,0))</f>
        <v>186.44</v>
      </c>
      <c r="R3537" s="3">
        <f>L3537-Q3537</f>
        <v>129.56</v>
      </c>
      <c r="S3537" s="2">
        <f>NETWORKDAYS(B3537,C3537)-1</f>
        <v>2</v>
      </c>
      <c r="T3537" s="1">
        <f>WORKDAY(B3537,5)</f>
        <v>45740</v>
      </c>
      <c r="U3537" t="b">
        <f>C3537&gt;T3537</f>
        <v>0</v>
      </c>
    </row>
    <row r="3538" spans="1:21" x14ac:dyDescent="0.25">
      <c r="A3538" t="s">
        <v>2121</v>
      </c>
      <c r="B3538" s="1">
        <v>45733</v>
      </c>
      <c r="C3538" s="1">
        <v>45735</v>
      </c>
      <c r="D3538" t="s">
        <v>1233</v>
      </c>
      <c r="E3538" t="s">
        <v>270</v>
      </c>
      <c r="F3538" t="s">
        <v>76</v>
      </c>
      <c r="G3538" t="s">
        <v>176</v>
      </c>
      <c r="H3538" t="s">
        <v>112</v>
      </c>
      <c r="I3538" s="2">
        <v>3</v>
      </c>
      <c r="J3538" s="3">
        <v>129</v>
      </c>
      <c r="K3538" s="4">
        <v>0.05</v>
      </c>
      <c r="L3538" s="3">
        <v>367.65</v>
      </c>
      <c r="M3538" t="b">
        <v>1</v>
      </c>
      <c r="N3538" s="2">
        <f>YEAR(B3538)</f>
        <v>2025</v>
      </c>
      <c r="O3538" t="str">
        <f>INDEX(Agences!$C:$C,MATCH(F3538,Agences!$A:$A,0))</f>
        <v>Île-de-France</v>
      </c>
      <c r="P3538" t="str">
        <f>INDEX(Produits!$C:$C,MATCH(H3538,Produits!$A:$A,0))</f>
        <v>Mobilier</v>
      </c>
      <c r="Q3538" s="3">
        <f>I3538*INDEX(Produits!$E:$E,MATCH(H3538,Produits!$A:$A,0))</f>
        <v>259.29</v>
      </c>
      <c r="R3538" s="3">
        <f>L3538-Q3538</f>
        <v>108.35999999999996</v>
      </c>
      <c r="S3538" s="2">
        <f>NETWORKDAYS(B3538,C3538)-1</f>
        <v>2</v>
      </c>
      <c r="T3538" s="1">
        <f>WORKDAY(B3538,5)</f>
        <v>45740</v>
      </c>
      <c r="U3538" t="b">
        <f>C3538&gt;T3538</f>
        <v>0</v>
      </c>
    </row>
    <row r="3539" spans="1:21" x14ac:dyDescent="0.25">
      <c r="A3539" t="s">
        <v>2122</v>
      </c>
      <c r="B3539" s="1">
        <v>45733</v>
      </c>
      <c r="C3539" s="1">
        <v>45735</v>
      </c>
      <c r="D3539" t="s">
        <v>2123</v>
      </c>
      <c r="E3539" t="s">
        <v>225</v>
      </c>
      <c r="F3539" t="s">
        <v>88</v>
      </c>
      <c r="G3539" t="s">
        <v>89</v>
      </c>
      <c r="H3539" t="s">
        <v>35</v>
      </c>
      <c r="I3539" s="2">
        <v>3</v>
      </c>
      <c r="J3539" s="3">
        <v>79</v>
      </c>
      <c r="K3539" s="4">
        <v>0.1</v>
      </c>
      <c r="L3539" s="3">
        <v>213.3</v>
      </c>
      <c r="M3539" t="b">
        <v>1</v>
      </c>
      <c r="N3539" s="2">
        <f>YEAR(B3539)</f>
        <v>2025</v>
      </c>
      <c r="O3539" t="str">
        <f>INDEX(Agences!$C:$C,MATCH(F3539,Agences!$A:$A,0))</f>
        <v>Sud-Ouest</v>
      </c>
      <c r="P3539" t="str">
        <f>INDEX(Produits!$C:$C,MATCH(H3539,Produits!$A:$A,0))</f>
        <v>Mobilier</v>
      </c>
      <c r="Q3539" s="3">
        <f>I3539*INDEX(Produits!$E:$E,MATCH(H3539,Produits!$A:$A,0))</f>
        <v>139.82999999999998</v>
      </c>
      <c r="R3539" s="3">
        <f>L3539-Q3539</f>
        <v>73.47000000000003</v>
      </c>
      <c r="S3539" s="2">
        <f>NETWORKDAYS(B3539,C3539)-1</f>
        <v>2</v>
      </c>
      <c r="T3539" s="1">
        <f>WORKDAY(B3539,5)</f>
        <v>45740</v>
      </c>
      <c r="U3539" t="b">
        <f>C3539&gt;T3539</f>
        <v>0</v>
      </c>
    </row>
    <row r="3540" spans="1:21" x14ac:dyDescent="0.25">
      <c r="A3540" t="s">
        <v>2122</v>
      </c>
      <c r="B3540" s="1">
        <v>45733</v>
      </c>
      <c r="C3540" s="1">
        <v>45735</v>
      </c>
      <c r="D3540" t="s">
        <v>2123</v>
      </c>
      <c r="E3540" t="s">
        <v>225</v>
      </c>
      <c r="F3540" t="s">
        <v>88</v>
      </c>
      <c r="G3540" t="s">
        <v>89</v>
      </c>
      <c r="H3540" t="s">
        <v>51</v>
      </c>
      <c r="I3540" s="2">
        <v>2</v>
      </c>
      <c r="J3540" s="3">
        <v>180</v>
      </c>
      <c r="K3540" s="4">
        <v>0</v>
      </c>
      <c r="L3540" s="3">
        <v>360</v>
      </c>
      <c r="M3540" t="b">
        <v>1</v>
      </c>
      <c r="N3540" s="2">
        <f>YEAR(B3540)</f>
        <v>2025</v>
      </c>
      <c r="O3540" t="str">
        <f>INDEX(Agences!$C:$C,MATCH(F3540,Agences!$A:$A,0))</f>
        <v>Sud-Ouest</v>
      </c>
      <c r="P3540" t="str">
        <f>INDEX(Produits!$C:$C,MATCH(H3540,Produits!$A:$A,0))</f>
        <v>Maintenance</v>
      </c>
      <c r="Q3540" s="3">
        <f>I3540*INDEX(Produits!$E:$E,MATCH(H3540,Produits!$A:$A,0))</f>
        <v>165.6</v>
      </c>
      <c r="R3540" s="3">
        <f>L3540-Q3540</f>
        <v>194.4</v>
      </c>
      <c r="S3540" s="2">
        <f>NETWORKDAYS(B3540,C3540)-1</f>
        <v>2</v>
      </c>
      <c r="T3540" s="1">
        <f>WORKDAY(B3540,5)</f>
        <v>45740</v>
      </c>
      <c r="U3540" t="b">
        <f>C3540&gt;T3540</f>
        <v>0</v>
      </c>
    </row>
    <row r="3541" spans="1:21" x14ac:dyDescent="0.25">
      <c r="A3541" t="s">
        <v>2122</v>
      </c>
      <c r="B3541" s="1">
        <v>45733</v>
      </c>
      <c r="C3541" s="1">
        <v>45735</v>
      </c>
      <c r="D3541" t="s">
        <v>2123</v>
      </c>
      <c r="E3541" t="s">
        <v>225</v>
      </c>
      <c r="F3541" t="s">
        <v>88</v>
      </c>
      <c r="G3541" t="s">
        <v>89</v>
      </c>
      <c r="H3541" t="s">
        <v>64</v>
      </c>
      <c r="I3541" s="2">
        <v>15</v>
      </c>
      <c r="J3541" s="3">
        <v>16.8</v>
      </c>
      <c r="K3541" s="4">
        <v>0</v>
      </c>
      <c r="L3541" s="3">
        <v>252</v>
      </c>
      <c r="M3541" t="b">
        <v>1</v>
      </c>
      <c r="N3541" s="2">
        <f>YEAR(B3541)</f>
        <v>2025</v>
      </c>
      <c r="O3541" t="str">
        <f>INDEX(Agences!$C:$C,MATCH(F3541,Agences!$A:$A,0))</f>
        <v>Sud-Ouest</v>
      </c>
      <c r="P3541" t="str">
        <f>INDEX(Produits!$C:$C,MATCH(H3541,Produits!$A:$A,0))</f>
        <v>Fournitures</v>
      </c>
      <c r="Q3541" s="3">
        <f>I3541*INDEX(Produits!$E:$E,MATCH(H3541,Produits!$A:$A,0))</f>
        <v>131.1</v>
      </c>
      <c r="R3541" s="3">
        <f>L3541-Q3541</f>
        <v>120.9</v>
      </c>
      <c r="S3541" s="2">
        <f>NETWORKDAYS(B3541,C3541)-1</f>
        <v>2</v>
      </c>
      <c r="T3541" s="1">
        <f>WORKDAY(B3541,5)</f>
        <v>45740</v>
      </c>
      <c r="U3541" t="b">
        <f>C3541&gt;T3541</f>
        <v>0</v>
      </c>
    </row>
    <row r="3542" spans="1:21" x14ac:dyDescent="0.25">
      <c r="A3542" t="s">
        <v>2124</v>
      </c>
      <c r="B3542" s="1">
        <v>45733</v>
      </c>
      <c r="C3542" s="1">
        <v>45736</v>
      </c>
      <c r="D3542" t="s">
        <v>328</v>
      </c>
      <c r="E3542" t="s">
        <v>153</v>
      </c>
      <c r="F3542" t="s">
        <v>94</v>
      </c>
      <c r="G3542" t="s">
        <v>154</v>
      </c>
      <c r="H3542" t="s">
        <v>162</v>
      </c>
      <c r="I3542" s="2">
        <v>3</v>
      </c>
      <c r="J3542" s="3">
        <v>289</v>
      </c>
      <c r="K3542" s="4">
        <v>0.08</v>
      </c>
      <c r="L3542" s="3">
        <v>797.64</v>
      </c>
      <c r="M3542" t="b">
        <v>1</v>
      </c>
      <c r="N3542" s="2">
        <f>YEAR(B3542)</f>
        <v>2025</v>
      </c>
      <c r="O3542" t="str">
        <f>INDEX(Agences!$C:$C,MATCH(F3542,Agences!$A:$A,0))</f>
        <v>Méditerranée</v>
      </c>
      <c r="P3542" t="str">
        <f>INDEX(Produits!$C:$C,MATCH(H3542,Produits!$A:$A,0))</f>
        <v>Mobilier</v>
      </c>
      <c r="Q3542" s="3">
        <f>I3542*INDEX(Produits!$E:$E,MATCH(H3542,Produits!$A:$A,0))</f>
        <v>580.89</v>
      </c>
      <c r="R3542" s="3">
        <f>L3542-Q3542</f>
        <v>216.75</v>
      </c>
      <c r="S3542" s="2">
        <f>NETWORKDAYS(B3542,C3542)-1</f>
        <v>3</v>
      </c>
      <c r="T3542" s="1">
        <f>WORKDAY(B3542,5)</f>
        <v>45740</v>
      </c>
      <c r="U3542" t="b">
        <f>C3542&gt;T3542</f>
        <v>0</v>
      </c>
    </row>
    <row r="3543" spans="1:21" x14ac:dyDescent="0.25">
      <c r="A3543" t="s">
        <v>2124</v>
      </c>
      <c r="B3543" s="1">
        <v>45733</v>
      </c>
      <c r="C3543" s="1">
        <v>45736</v>
      </c>
      <c r="D3543" t="s">
        <v>328</v>
      </c>
      <c r="E3543" t="s">
        <v>153</v>
      </c>
      <c r="F3543" t="s">
        <v>94</v>
      </c>
      <c r="G3543" t="s">
        <v>154</v>
      </c>
      <c r="H3543" t="s">
        <v>72</v>
      </c>
      <c r="I3543" s="2">
        <v>4</v>
      </c>
      <c r="J3543" s="3">
        <v>179</v>
      </c>
      <c r="K3543" s="4">
        <v>0</v>
      </c>
      <c r="L3543" s="3">
        <v>716</v>
      </c>
      <c r="M3543" t="b">
        <v>1</v>
      </c>
      <c r="N3543" s="2">
        <f>YEAR(B3543)</f>
        <v>2025</v>
      </c>
      <c r="O3543" t="str">
        <f>INDEX(Agences!$C:$C,MATCH(F3543,Agences!$A:$A,0))</f>
        <v>Méditerranée</v>
      </c>
      <c r="P3543" t="str">
        <f>INDEX(Produits!$C:$C,MATCH(H3543,Produits!$A:$A,0))</f>
        <v>Informatique</v>
      </c>
      <c r="Q3543" s="3">
        <f>I3543*INDEX(Produits!$E:$E,MATCH(H3543,Produits!$A:$A,0))</f>
        <v>587.12</v>
      </c>
      <c r="R3543" s="3">
        <f>L3543-Q3543</f>
        <v>128.88</v>
      </c>
      <c r="S3543" s="2">
        <f>NETWORKDAYS(B3543,C3543)-1</f>
        <v>3</v>
      </c>
      <c r="T3543" s="1">
        <f>WORKDAY(B3543,5)</f>
        <v>45740</v>
      </c>
      <c r="U3543" t="b">
        <f>C3543&gt;T3543</f>
        <v>0</v>
      </c>
    </row>
    <row r="3544" spans="1:21" x14ac:dyDescent="0.25">
      <c r="A3544" t="s">
        <v>2124</v>
      </c>
      <c r="B3544" s="1">
        <v>45733</v>
      </c>
      <c r="C3544" s="1">
        <v>45736</v>
      </c>
      <c r="D3544" t="s">
        <v>328</v>
      </c>
      <c r="E3544" t="s">
        <v>153</v>
      </c>
      <c r="F3544" t="s">
        <v>94</v>
      </c>
      <c r="G3544" t="s">
        <v>154</v>
      </c>
      <c r="H3544" t="s">
        <v>319</v>
      </c>
      <c r="I3544" s="2">
        <v>2</v>
      </c>
      <c r="J3544" s="3">
        <v>289</v>
      </c>
      <c r="K3544" s="4">
        <v>0.08</v>
      </c>
      <c r="L3544" s="3">
        <v>531.76</v>
      </c>
      <c r="M3544" t="b">
        <v>1</v>
      </c>
      <c r="N3544" s="2">
        <f>YEAR(B3544)</f>
        <v>2025</v>
      </c>
      <c r="O3544" t="str">
        <f>INDEX(Agences!$C:$C,MATCH(F3544,Agences!$A:$A,0))</f>
        <v>Méditerranée</v>
      </c>
      <c r="P3544" t="str">
        <f>INDEX(Produits!$C:$C,MATCH(H3544,Produits!$A:$A,0))</f>
        <v>Informatique</v>
      </c>
      <c r="Q3544" s="3">
        <f>I3544*INDEX(Produits!$E:$E,MATCH(H3544,Produits!$A:$A,0))</f>
        <v>427.72</v>
      </c>
      <c r="R3544" s="3">
        <f>L3544-Q3544</f>
        <v>104.03999999999996</v>
      </c>
      <c r="S3544" s="2">
        <f>NETWORKDAYS(B3544,C3544)-1</f>
        <v>3</v>
      </c>
      <c r="T3544" s="1">
        <f>WORKDAY(B3544,5)</f>
        <v>45740</v>
      </c>
      <c r="U3544" t="b">
        <f>C3544&gt;T3544</f>
        <v>0</v>
      </c>
    </row>
    <row r="3545" spans="1:21" x14ac:dyDescent="0.25">
      <c r="A3545" t="s">
        <v>2125</v>
      </c>
      <c r="B3545" s="1">
        <v>45730</v>
      </c>
      <c r="C3545" s="1">
        <v>45735</v>
      </c>
      <c r="D3545" t="s">
        <v>2126</v>
      </c>
      <c r="E3545" t="s">
        <v>122</v>
      </c>
      <c r="F3545" t="s">
        <v>24</v>
      </c>
      <c r="G3545" t="s">
        <v>25</v>
      </c>
      <c r="H3545" t="s">
        <v>107</v>
      </c>
      <c r="I3545" s="2">
        <v>1</v>
      </c>
      <c r="J3545" s="3">
        <v>99</v>
      </c>
      <c r="K3545" s="4">
        <v>0.1</v>
      </c>
      <c r="L3545" s="3">
        <v>89.1</v>
      </c>
      <c r="M3545" t="b">
        <v>1</v>
      </c>
      <c r="N3545" s="2">
        <f>YEAR(B3545)</f>
        <v>2025</v>
      </c>
      <c r="O3545" t="str">
        <f>INDEX(Agences!$C:$C,MATCH(F3545,Agences!$A:$A,0))</f>
        <v>Nord</v>
      </c>
      <c r="P3545" t="str">
        <f>INDEX(Produits!$C:$C,MATCH(H3545,Produits!$A:$A,0))</f>
        <v>Informatique</v>
      </c>
      <c r="Q3545" s="3">
        <f>I3545*INDEX(Produits!$E:$E,MATCH(H3545,Produits!$A:$A,0))</f>
        <v>75.24</v>
      </c>
      <c r="R3545" s="3">
        <f>L3545-Q3545</f>
        <v>13.86</v>
      </c>
      <c r="S3545" s="2">
        <f>NETWORKDAYS(B3545,C3545)-1</f>
        <v>3</v>
      </c>
      <c r="T3545" s="1">
        <f>WORKDAY(B3545,5)</f>
        <v>45737</v>
      </c>
      <c r="U3545" t="b">
        <f>C3545&gt;T3545</f>
        <v>0</v>
      </c>
    </row>
    <row r="3546" spans="1:21" x14ac:dyDescent="0.25">
      <c r="A3546" t="s">
        <v>2125</v>
      </c>
      <c r="B3546" s="1">
        <v>45730</v>
      </c>
      <c r="C3546" s="1">
        <v>45735</v>
      </c>
      <c r="D3546" t="s">
        <v>2126</v>
      </c>
      <c r="E3546" t="s">
        <v>122</v>
      </c>
      <c r="F3546" t="s">
        <v>24</v>
      </c>
      <c r="G3546" t="s">
        <v>25</v>
      </c>
      <c r="H3546" t="s">
        <v>42</v>
      </c>
      <c r="I3546" s="2">
        <v>2</v>
      </c>
      <c r="J3546" s="3">
        <v>55</v>
      </c>
      <c r="K3546" s="4">
        <v>0</v>
      </c>
      <c r="L3546" s="3">
        <v>110</v>
      </c>
      <c r="M3546" t="b">
        <v>1</v>
      </c>
      <c r="N3546" s="2">
        <f>YEAR(B3546)</f>
        <v>2025</v>
      </c>
      <c r="O3546" t="str">
        <f>INDEX(Agences!$C:$C,MATCH(F3546,Agences!$A:$A,0))</f>
        <v>Nord</v>
      </c>
      <c r="P3546" t="str">
        <f>INDEX(Produits!$C:$C,MATCH(H3546,Produits!$A:$A,0))</f>
        <v>Maintenance</v>
      </c>
      <c r="Q3546" s="3">
        <f>I3546*INDEX(Produits!$E:$E,MATCH(H3546,Produits!$A:$A,0))</f>
        <v>49.5</v>
      </c>
      <c r="R3546" s="3">
        <f>L3546-Q3546</f>
        <v>60.5</v>
      </c>
      <c r="S3546" s="2">
        <f>NETWORKDAYS(B3546,C3546)-1</f>
        <v>3</v>
      </c>
      <c r="T3546" s="1">
        <f>WORKDAY(B3546,5)</f>
        <v>45737</v>
      </c>
      <c r="U3546" t="b">
        <f>C3546&gt;T3546</f>
        <v>0</v>
      </c>
    </row>
    <row r="3547" spans="1:21" x14ac:dyDescent="0.25">
      <c r="A3547" t="s">
        <v>2125</v>
      </c>
      <c r="B3547" s="1">
        <v>45730</v>
      </c>
      <c r="C3547" s="1">
        <v>45735</v>
      </c>
      <c r="D3547" t="s">
        <v>2126</v>
      </c>
      <c r="E3547" t="s">
        <v>122</v>
      </c>
      <c r="F3547" t="s">
        <v>24</v>
      </c>
      <c r="G3547" t="s">
        <v>25</v>
      </c>
      <c r="H3547" t="s">
        <v>33</v>
      </c>
      <c r="I3547" s="2">
        <v>5</v>
      </c>
      <c r="J3547" s="3">
        <v>219</v>
      </c>
      <c r="K3547" s="4">
        <v>0</v>
      </c>
      <c r="L3547" s="3">
        <v>1095</v>
      </c>
      <c r="M3547" t="b">
        <v>1</v>
      </c>
      <c r="N3547" s="2">
        <f>YEAR(B3547)</f>
        <v>2025</v>
      </c>
      <c r="O3547" t="str">
        <f>INDEX(Agences!$C:$C,MATCH(F3547,Agences!$A:$A,0))</f>
        <v>Nord</v>
      </c>
      <c r="P3547" t="str">
        <f>INDEX(Produits!$C:$C,MATCH(H3547,Produits!$A:$A,0))</f>
        <v>Informatique</v>
      </c>
      <c r="Q3547" s="3">
        <f>I3547*INDEX(Produits!$E:$E,MATCH(H3547,Produits!$A:$A,0))</f>
        <v>897.9000000000001</v>
      </c>
      <c r="R3547" s="3">
        <f>L3547-Q3547</f>
        <v>197.0999999999999</v>
      </c>
      <c r="S3547" s="2">
        <f>NETWORKDAYS(B3547,C3547)-1</f>
        <v>3</v>
      </c>
      <c r="T3547" s="1">
        <f>WORKDAY(B3547,5)</f>
        <v>45737</v>
      </c>
      <c r="U3547" t="b">
        <f>C3547&gt;T3547</f>
        <v>0</v>
      </c>
    </row>
    <row r="3548" spans="1:21" x14ac:dyDescent="0.25">
      <c r="A3548" t="s">
        <v>2125</v>
      </c>
      <c r="B3548" s="1">
        <v>45730</v>
      </c>
      <c r="C3548" s="1">
        <v>45735</v>
      </c>
      <c r="D3548" t="s">
        <v>2126</v>
      </c>
      <c r="E3548" t="s">
        <v>122</v>
      </c>
      <c r="F3548" t="s">
        <v>24</v>
      </c>
      <c r="G3548" t="s">
        <v>25</v>
      </c>
      <c r="H3548" t="s">
        <v>57</v>
      </c>
      <c r="I3548" s="2">
        <v>1</v>
      </c>
      <c r="J3548" s="3">
        <v>149</v>
      </c>
      <c r="K3548" s="4">
        <v>0</v>
      </c>
      <c r="L3548" s="3">
        <v>149</v>
      </c>
      <c r="M3548" t="b">
        <v>1</v>
      </c>
      <c r="N3548" s="2">
        <f>YEAR(B3548)</f>
        <v>2025</v>
      </c>
      <c r="O3548" t="str">
        <f>INDEX(Agences!$C:$C,MATCH(F3548,Agences!$A:$A,0))</f>
        <v>Nord</v>
      </c>
      <c r="P3548" t="str">
        <f>INDEX(Produits!$C:$C,MATCH(H3548,Produits!$A:$A,0))</f>
        <v>Informatique</v>
      </c>
      <c r="Q3548" s="3">
        <f>I3548*INDEX(Produits!$E:$E,MATCH(H3548,Produits!$A:$A,0))</f>
        <v>114.73</v>
      </c>
      <c r="R3548" s="3">
        <f>L3548-Q3548</f>
        <v>34.269999999999996</v>
      </c>
      <c r="S3548" s="2">
        <f>NETWORKDAYS(B3548,C3548)-1</f>
        <v>3</v>
      </c>
      <c r="T3548" s="1">
        <f>WORKDAY(B3548,5)</f>
        <v>45737</v>
      </c>
      <c r="U3548" t="b">
        <f>C3548&gt;T3548</f>
        <v>0</v>
      </c>
    </row>
    <row r="3549" spans="1:21" x14ac:dyDescent="0.25">
      <c r="A3549" t="s">
        <v>2127</v>
      </c>
      <c r="B3549" s="1">
        <v>45730</v>
      </c>
      <c r="C3549" s="1">
        <v>45736</v>
      </c>
      <c r="D3549" t="s">
        <v>955</v>
      </c>
      <c r="E3549" t="s">
        <v>185</v>
      </c>
      <c r="F3549" t="s">
        <v>31</v>
      </c>
      <c r="G3549" t="s">
        <v>375</v>
      </c>
      <c r="H3549" t="s">
        <v>112</v>
      </c>
      <c r="I3549" s="2">
        <v>7</v>
      </c>
      <c r="J3549" s="3">
        <v>129</v>
      </c>
      <c r="K3549" s="4">
        <v>0</v>
      </c>
      <c r="L3549" s="3">
        <v>903</v>
      </c>
      <c r="M3549" t="b">
        <v>1</v>
      </c>
      <c r="N3549" s="2">
        <f>YEAR(B3549)</f>
        <v>2025</v>
      </c>
      <c r="O3549" t="str">
        <f>INDEX(Agences!$C:$C,MATCH(F3549,Agences!$A:$A,0))</f>
        <v>Ouest</v>
      </c>
      <c r="P3549" t="str">
        <f>INDEX(Produits!$C:$C,MATCH(H3549,Produits!$A:$A,0))</f>
        <v>Mobilier</v>
      </c>
      <c r="Q3549" s="3">
        <f>I3549*INDEX(Produits!$E:$E,MATCH(H3549,Produits!$A:$A,0))</f>
        <v>605.01</v>
      </c>
      <c r="R3549" s="3">
        <f>L3549-Q3549</f>
        <v>297.99</v>
      </c>
      <c r="S3549" s="2">
        <f>NETWORKDAYS(B3549,C3549)-1</f>
        <v>4</v>
      </c>
      <c r="T3549" s="1">
        <f>WORKDAY(B3549,5)</f>
        <v>45737</v>
      </c>
      <c r="U3549" t="b">
        <f>C3549&gt;T3549</f>
        <v>0</v>
      </c>
    </row>
    <row r="3550" spans="1:21" x14ac:dyDescent="0.25">
      <c r="A3550" t="s">
        <v>2127</v>
      </c>
      <c r="B3550" s="1">
        <v>45730</v>
      </c>
      <c r="C3550" s="1">
        <v>45736</v>
      </c>
      <c r="D3550" t="s">
        <v>955</v>
      </c>
      <c r="E3550" t="s">
        <v>185</v>
      </c>
      <c r="F3550" t="s">
        <v>31</v>
      </c>
      <c r="G3550" t="s">
        <v>375</v>
      </c>
      <c r="H3550" t="s">
        <v>49</v>
      </c>
      <c r="I3550" s="2">
        <v>1</v>
      </c>
      <c r="J3550" s="3">
        <v>120</v>
      </c>
      <c r="K3550" s="4">
        <v>0</v>
      </c>
      <c r="L3550" s="3">
        <v>120</v>
      </c>
      <c r="M3550" t="b">
        <v>1</v>
      </c>
      <c r="N3550" s="2">
        <f>YEAR(B3550)</f>
        <v>2025</v>
      </c>
      <c r="O3550" t="str">
        <f>INDEX(Agences!$C:$C,MATCH(F3550,Agences!$A:$A,0))</f>
        <v>Ouest</v>
      </c>
      <c r="P3550" t="str">
        <f>INDEX(Produits!$C:$C,MATCH(H3550,Produits!$A:$A,0))</f>
        <v>Maintenance</v>
      </c>
      <c r="Q3550" s="3">
        <f>I3550*INDEX(Produits!$E:$E,MATCH(H3550,Produits!$A:$A,0))</f>
        <v>55.2</v>
      </c>
      <c r="R3550" s="3">
        <f>L3550-Q3550</f>
        <v>64.8</v>
      </c>
      <c r="S3550" s="2">
        <f>NETWORKDAYS(B3550,C3550)-1</f>
        <v>4</v>
      </c>
      <c r="T3550" s="1">
        <f>WORKDAY(B3550,5)</f>
        <v>45737</v>
      </c>
      <c r="U3550" t="b">
        <f>C3550&gt;T3550</f>
        <v>0</v>
      </c>
    </row>
    <row r="3551" spans="1:21" x14ac:dyDescent="0.25">
      <c r="A3551" t="s">
        <v>2127</v>
      </c>
      <c r="B3551" s="1">
        <v>45730</v>
      </c>
      <c r="C3551" s="1">
        <v>45736</v>
      </c>
      <c r="D3551" t="s">
        <v>955</v>
      </c>
      <c r="E3551" t="s">
        <v>185</v>
      </c>
      <c r="F3551" t="s">
        <v>31</v>
      </c>
      <c r="G3551" t="s">
        <v>375</v>
      </c>
      <c r="H3551" t="s">
        <v>206</v>
      </c>
      <c r="I3551" s="2">
        <v>5</v>
      </c>
      <c r="J3551" s="3">
        <v>34</v>
      </c>
      <c r="K3551" s="4">
        <v>0.02</v>
      </c>
      <c r="L3551" s="3">
        <v>166.6</v>
      </c>
      <c r="M3551" t="b">
        <v>1</v>
      </c>
      <c r="N3551" s="2">
        <f>YEAR(B3551)</f>
        <v>2025</v>
      </c>
      <c r="O3551" t="str">
        <f>INDEX(Agences!$C:$C,MATCH(F3551,Agences!$A:$A,0))</f>
        <v>Ouest</v>
      </c>
      <c r="P3551" t="str">
        <f>INDEX(Produits!$C:$C,MATCH(H3551,Produits!$A:$A,0))</f>
        <v>Fournitures</v>
      </c>
      <c r="Q3551" s="3">
        <f>I3551*INDEX(Produits!$E:$E,MATCH(H3551,Produits!$A:$A,0))</f>
        <v>96.89999999999999</v>
      </c>
      <c r="R3551" s="3">
        <f>L3551-Q3551</f>
        <v>69.7</v>
      </c>
      <c r="S3551" s="2">
        <f>NETWORKDAYS(B3551,C3551)-1</f>
        <v>4</v>
      </c>
      <c r="T3551" s="1">
        <f>WORKDAY(B3551,5)</f>
        <v>45737</v>
      </c>
      <c r="U3551" t="b">
        <f>C3551&gt;T3551</f>
        <v>0</v>
      </c>
    </row>
    <row r="3552" spans="1:21" x14ac:dyDescent="0.25">
      <c r="A3552" t="s">
        <v>2127</v>
      </c>
      <c r="B3552" s="1">
        <v>45730</v>
      </c>
      <c r="C3552" s="1">
        <v>45736</v>
      </c>
      <c r="D3552" t="s">
        <v>955</v>
      </c>
      <c r="E3552" t="s">
        <v>185</v>
      </c>
      <c r="F3552" t="s">
        <v>31</v>
      </c>
      <c r="G3552" t="s">
        <v>375</v>
      </c>
      <c r="H3552" t="s">
        <v>42</v>
      </c>
      <c r="I3552" s="2">
        <v>2</v>
      </c>
      <c r="J3552" s="3">
        <v>55</v>
      </c>
      <c r="K3552" s="4">
        <v>0.02</v>
      </c>
      <c r="L3552" s="3">
        <v>107.8</v>
      </c>
      <c r="M3552" t="b">
        <v>1</v>
      </c>
      <c r="N3552" s="2">
        <f>YEAR(B3552)</f>
        <v>2025</v>
      </c>
      <c r="O3552" t="str">
        <f>INDEX(Agences!$C:$C,MATCH(F3552,Agences!$A:$A,0))</f>
        <v>Ouest</v>
      </c>
      <c r="P3552" t="str">
        <f>INDEX(Produits!$C:$C,MATCH(H3552,Produits!$A:$A,0))</f>
        <v>Maintenance</v>
      </c>
      <c r="Q3552" s="3">
        <f>I3552*INDEX(Produits!$E:$E,MATCH(H3552,Produits!$A:$A,0))</f>
        <v>49.5</v>
      </c>
      <c r="R3552" s="3">
        <f>L3552-Q3552</f>
        <v>58.3</v>
      </c>
      <c r="S3552" s="2">
        <f>NETWORKDAYS(B3552,C3552)-1</f>
        <v>4</v>
      </c>
      <c r="T3552" s="1">
        <f>WORKDAY(B3552,5)</f>
        <v>45737</v>
      </c>
      <c r="U3552" t="b">
        <f>C3552&gt;T3552</f>
        <v>0</v>
      </c>
    </row>
    <row r="3553" spans="1:21" x14ac:dyDescent="0.25">
      <c r="A3553" t="s">
        <v>2128</v>
      </c>
      <c r="B3553" s="1">
        <v>45730</v>
      </c>
      <c r="C3553" s="1">
        <v>45734</v>
      </c>
      <c r="D3553" t="s">
        <v>2129</v>
      </c>
      <c r="E3553" t="s">
        <v>256</v>
      </c>
      <c r="F3553" t="s">
        <v>88</v>
      </c>
      <c r="G3553" t="s">
        <v>142</v>
      </c>
      <c r="H3553" t="s">
        <v>83</v>
      </c>
      <c r="I3553" s="2">
        <v>1</v>
      </c>
      <c r="J3553" s="3">
        <v>49</v>
      </c>
      <c r="K3553" s="4">
        <v>0.1</v>
      </c>
      <c r="L3553" s="3">
        <v>44.1</v>
      </c>
      <c r="M3553" t="b">
        <v>1</v>
      </c>
      <c r="N3553" s="2">
        <f>YEAR(B3553)</f>
        <v>2025</v>
      </c>
      <c r="O3553" t="str">
        <f>INDEX(Agences!$C:$C,MATCH(F3553,Agences!$A:$A,0))</f>
        <v>Sud-Ouest</v>
      </c>
      <c r="P3553" t="str">
        <f>INDEX(Produits!$C:$C,MATCH(H3553,Produits!$A:$A,0))</f>
        <v>Mobilier</v>
      </c>
      <c r="Q3553" s="3">
        <f>I3553*INDEX(Produits!$E:$E,MATCH(H3553,Produits!$A:$A,0))</f>
        <v>28.42</v>
      </c>
      <c r="R3553" s="3">
        <f>L3553-Q3553</f>
        <v>15.68</v>
      </c>
      <c r="S3553" s="2">
        <f>NETWORKDAYS(B3553,C3553)-1</f>
        <v>2</v>
      </c>
      <c r="T3553" s="1">
        <f>WORKDAY(B3553,5)</f>
        <v>45737</v>
      </c>
      <c r="U3553" t="b">
        <f>C3553&gt;T3553</f>
        <v>0</v>
      </c>
    </row>
    <row r="3554" spans="1:21" x14ac:dyDescent="0.25">
      <c r="A3554" t="s">
        <v>2130</v>
      </c>
      <c r="B3554" s="1">
        <v>45730</v>
      </c>
      <c r="C3554" s="1">
        <v>45735</v>
      </c>
      <c r="D3554" t="s">
        <v>60</v>
      </c>
      <c r="E3554" t="s">
        <v>61</v>
      </c>
      <c r="F3554" t="s">
        <v>62</v>
      </c>
      <c r="G3554" t="s">
        <v>68</v>
      </c>
      <c r="H3554" t="s">
        <v>205</v>
      </c>
      <c r="I3554" s="2">
        <v>3</v>
      </c>
      <c r="J3554" s="3">
        <v>359</v>
      </c>
      <c r="K3554" s="4">
        <v>0</v>
      </c>
      <c r="L3554" s="3">
        <v>1077</v>
      </c>
      <c r="M3554" t="b">
        <v>1</v>
      </c>
      <c r="N3554" s="2">
        <f>YEAR(B3554)</f>
        <v>2025</v>
      </c>
      <c r="O3554" t="str">
        <f>INDEX(Agences!$C:$C,MATCH(F3554,Agences!$A:$A,0))</f>
        <v>Méditerranée</v>
      </c>
      <c r="P3554" t="str">
        <f>INDEX(Produits!$C:$C,MATCH(H3554,Produits!$A:$A,0))</f>
        <v>Mobilier</v>
      </c>
      <c r="Q3554" s="3">
        <f>I3554*INDEX(Produits!$E:$E,MATCH(H3554,Produits!$A:$A,0))</f>
        <v>613.89</v>
      </c>
      <c r="R3554" s="3">
        <f>L3554-Q3554</f>
        <v>463.11</v>
      </c>
      <c r="S3554" s="2">
        <f>NETWORKDAYS(B3554,C3554)-1</f>
        <v>3</v>
      </c>
      <c r="T3554" s="1">
        <f>WORKDAY(B3554,5)</f>
        <v>45737</v>
      </c>
      <c r="U3554" t="b">
        <f>C3554&gt;T3554</f>
        <v>0</v>
      </c>
    </row>
    <row r="3555" spans="1:21" x14ac:dyDescent="0.25">
      <c r="A3555" t="s">
        <v>2130</v>
      </c>
      <c r="B3555" s="1">
        <v>45730</v>
      </c>
      <c r="C3555" s="1">
        <v>45735</v>
      </c>
      <c r="D3555" t="s">
        <v>60</v>
      </c>
      <c r="E3555" t="s">
        <v>61</v>
      </c>
      <c r="F3555" t="s">
        <v>62</v>
      </c>
      <c r="G3555" t="s">
        <v>68</v>
      </c>
      <c r="H3555" t="s">
        <v>83</v>
      </c>
      <c r="I3555" s="2">
        <v>1</v>
      </c>
      <c r="J3555" s="3">
        <v>49</v>
      </c>
      <c r="K3555" s="4">
        <v>0.02</v>
      </c>
      <c r="L3555" s="3">
        <v>48.02</v>
      </c>
      <c r="M3555" t="b">
        <v>1</v>
      </c>
      <c r="N3555" s="2">
        <f>YEAR(B3555)</f>
        <v>2025</v>
      </c>
      <c r="O3555" t="str">
        <f>INDEX(Agences!$C:$C,MATCH(F3555,Agences!$A:$A,0))</f>
        <v>Méditerranée</v>
      </c>
      <c r="P3555" t="str">
        <f>INDEX(Produits!$C:$C,MATCH(H3555,Produits!$A:$A,0))</f>
        <v>Mobilier</v>
      </c>
      <c r="Q3555" s="3">
        <f>I3555*INDEX(Produits!$E:$E,MATCH(H3555,Produits!$A:$A,0))</f>
        <v>28.42</v>
      </c>
      <c r="R3555" s="3">
        <f>L3555-Q3555</f>
        <v>19.6</v>
      </c>
      <c r="S3555" s="2">
        <f>NETWORKDAYS(B3555,C3555)-1</f>
        <v>3</v>
      </c>
      <c r="T3555" s="1">
        <f>WORKDAY(B3555,5)</f>
        <v>45737</v>
      </c>
      <c r="U3555" t="b">
        <f>C3555&gt;T3555</f>
        <v>0</v>
      </c>
    </row>
    <row r="3556" spans="1:21" x14ac:dyDescent="0.25">
      <c r="A3556" t="s">
        <v>2130</v>
      </c>
      <c r="B3556" s="1">
        <v>45730</v>
      </c>
      <c r="C3556" s="1">
        <v>45735</v>
      </c>
      <c r="D3556" t="s">
        <v>60</v>
      </c>
      <c r="E3556" t="s">
        <v>61</v>
      </c>
      <c r="F3556" t="s">
        <v>62</v>
      </c>
      <c r="G3556" t="s">
        <v>68</v>
      </c>
      <c r="H3556" t="s">
        <v>103</v>
      </c>
      <c r="I3556" s="2">
        <v>1</v>
      </c>
      <c r="J3556" s="3">
        <v>245</v>
      </c>
      <c r="K3556" s="4">
        <v>0</v>
      </c>
      <c r="L3556" s="3">
        <v>245</v>
      </c>
      <c r="M3556" t="b">
        <v>1</v>
      </c>
      <c r="N3556" s="2">
        <f>YEAR(B3556)</f>
        <v>2025</v>
      </c>
      <c r="O3556" t="str">
        <f>INDEX(Agences!$C:$C,MATCH(F3556,Agences!$A:$A,0))</f>
        <v>Méditerranée</v>
      </c>
      <c r="P3556" t="str">
        <f>INDEX(Produits!$C:$C,MATCH(H3556,Produits!$A:$A,0))</f>
        <v>Mobilier</v>
      </c>
      <c r="Q3556" s="3">
        <f>I3556*INDEX(Produits!$E:$E,MATCH(H3556,Produits!$A:$A,0))</f>
        <v>164.15</v>
      </c>
      <c r="R3556" s="3">
        <f>L3556-Q3556</f>
        <v>80.85</v>
      </c>
      <c r="S3556" s="2">
        <f>NETWORKDAYS(B3556,C3556)-1</f>
        <v>3</v>
      </c>
      <c r="T3556" s="1">
        <f>WORKDAY(B3556,5)</f>
        <v>45737</v>
      </c>
      <c r="U3556" t="b">
        <f>C3556&gt;T3556</f>
        <v>0</v>
      </c>
    </row>
    <row r="3557" spans="1:21" x14ac:dyDescent="0.25">
      <c r="A3557" t="s">
        <v>2131</v>
      </c>
      <c r="B3557" s="1">
        <v>45730</v>
      </c>
      <c r="C3557" s="1">
        <v>45733</v>
      </c>
      <c r="D3557" t="s">
        <v>349</v>
      </c>
      <c r="E3557" t="s">
        <v>194</v>
      </c>
      <c r="F3557" t="s">
        <v>55</v>
      </c>
      <c r="G3557" t="s">
        <v>195</v>
      </c>
      <c r="H3557" t="s">
        <v>26</v>
      </c>
      <c r="I3557" s="2">
        <v>1</v>
      </c>
      <c r="J3557" s="3">
        <v>290</v>
      </c>
      <c r="K3557" s="4">
        <v>0.1</v>
      </c>
      <c r="L3557" s="3">
        <v>261</v>
      </c>
      <c r="M3557" t="b">
        <v>1</v>
      </c>
      <c r="N3557" s="2">
        <f>YEAR(B3557)</f>
        <v>2025</v>
      </c>
      <c r="O3557" t="str">
        <f>INDEX(Agences!$C:$C,MATCH(F3557,Agences!$A:$A,0))</f>
        <v>Est</v>
      </c>
      <c r="P3557" t="str">
        <f>INDEX(Produits!$C:$C,MATCH(H3557,Produits!$A:$A,0))</f>
        <v>Maintenance</v>
      </c>
      <c r="Q3557" s="3">
        <f>I3557*INDEX(Produits!$E:$E,MATCH(H3557,Produits!$A:$A,0))</f>
        <v>139.2</v>
      </c>
      <c r="R3557" s="3">
        <f>L3557-Q3557</f>
        <v>121.80000000000001</v>
      </c>
      <c r="S3557" s="2">
        <f>NETWORKDAYS(B3557,C3557)-1</f>
        <v>1</v>
      </c>
      <c r="T3557" s="1">
        <f>WORKDAY(B3557,5)</f>
        <v>45737</v>
      </c>
      <c r="U3557" t="b">
        <f>C3557&gt;T3557</f>
        <v>0</v>
      </c>
    </row>
    <row r="3558" spans="1:21" x14ac:dyDescent="0.25">
      <c r="A3558" t="s">
        <v>2131</v>
      </c>
      <c r="B3558" s="1">
        <v>45730</v>
      </c>
      <c r="C3558" s="1">
        <v>45733</v>
      </c>
      <c r="D3558" t="s">
        <v>349</v>
      </c>
      <c r="E3558" t="s">
        <v>194</v>
      </c>
      <c r="F3558" t="s">
        <v>55</v>
      </c>
      <c r="G3558" t="s">
        <v>195</v>
      </c>
      <c r="H3558" t="s">
        <v>42</v>
      </c>
      <c r="I3558" s="2">
        <v>2</v>
      </c>
      <c r="J3558" s="3">
        <v>55</v>
      </c>
      <c r="K3558" s="4">
        <v>0</v>
      </c>
      <c r="L3558" s="3">
        <v>110</v>
      </c>
      <c r="M3558" t="b">
        <v>1</v>
      </c>
      <c r="N3558" s="2">
        <f>YEAR(B3558)</f>
        <v>2025</v>
      </c>
      <c r="O3558" t="str">
        <f>INDEX(Agences!$C:$C,MATCH(F3558,Agences!$A:$A,0))</f>
        <v>Est</v>
      </c>
      <c r="P3558" t="str">
        <f>INDEX(Produits!$C:$C,MATCH(H3558,Produits!$A:$A,0))</f>
        <v>Maintenance</v>
      </c>
      <c r="Q3558" s="3">
        <f>I3558*INDEX(Produits!$E:$E,MATCH(H3558,Produits!$A:$A,0))</f>
        <v>49.5</v>
      </c>
      <c r="R3558" s="3">
        <f>L3558-Q3558</f>
        <v>60.5</v>
      </c>
      <c r="S3558" s="2">
        <f>NETWORKDAYS(B3558,C3558)-1</f>
        <v>1</v>
      </c>
      <c r="T3558" s="1">
        <f>WORKDAY(B3558,5)</f>
        <v>45737</v>
      </c>
      <c r="U3558" t="b">
        <f>C3558&gt;T3558</f>
        <v>0</v>
      </c>
    </row>
    <row r="3559" spans="1:21" x14ac:dyDescent="0.25">
      <c r="A3559" t="s">
        <v>2131</v>
      </c>
      <c r="B3559" s="1">
        <v>45730</v>
      </c>
      <c r="C3559" s="1">
        <v>45733</v>
      </c>
      <c r="D3559" t="s">
        <v>349</v>
      </c>
      <c r="E3559" t="s">
        <v>194</v>
      </c>
      <c r="F3559" t="s">
        <v>55</v>
      </c>
      <c r="G3559" t="s">
        <v>195</v>
      </c>
      <c r="H3559" t="s">
        <v>27</v>
      </c>
      <c r="I3559" s="2">
        <v>1</v>
      </c>
      <c r="J3559" s="3">
        <v>310</v>
      </c>
      <c r="K3559" s="4">
        <v>0</v>
      </c>
      <c r="L3559" s="3">
        <v>310</v>
      </c>
      <c r="M3559" t="b">
        <v>1</v>
      </c>
      <c r="N3559" s="2">
        <f>YEAR(B3559)</f>
        <v>2025</v>
      </c>
      <c r="O3559" t="str">
        <f>INDEX(Agences!$C:$C,MATCH(F3559,Agences!$A:$A,0))</f>
        <v>Est</v>
      </c>
      <c r="P3559" t="str">
        <f>INDEX(Produits!$C:$C,MATCH(H3559,Produits!$A:$A,0))</f>
        <v>Mobilier</v>
      </c>
      <c r="Q3559" s="3">
        <f>I3559*INDEX(Produits!$E:$E,MATCH(H3559,Produits!$A:$A,0))</f>
        <v>186</v>
      </c>
      <c r="R3559" s="3">
        <f>L3559-Q3559</f>
        <v>124</v>
      </c>
      <c r="S3559" s="2">
        <f>NETWORKDAYS(B3559,C3559)-1</f>
        <v>1</v>
      </c>
      <c r="T3559" s="1">
        <f>WORKDAY(B3559,5)</f>
        <v>45737</v>
      </c>
      <c r="U3559" t="b">
        <f>C3559&gt;T3559</f>
        <v>0</v>
      </c>
    </row>
    <row r="3560" spans="1:21" x14ac:dyDescent="0.25">
      <c r="A3560" t="s">
        <v>2131</v>
      </c>
      <c r="B3560" s="1">
        <v>45730</v>
      </c>
      <c r="C3560" s="1">
        <v>45733</v>
      </c>
      <c r="D3560" t="s">
        <v>349</v>
      </c>
      <c r="E3560" t="s">
        <v>194</v>
      </c>
      <c r="F3560" t="s">
        <v>55</v>
      </c>
      <c r="G3560" t="s">
        <v>195</v>
      </c>
      <c r="H3560" t="s">
        <v>233</v>
      </c>
      <c r="I3560" s="2">
        <v>10</v>
      </c>
      <c r="J3560" s="3">
        <v>27.5</v>
      </c>
      <c r="K3560" s="4">
        <v>0.02</v>
      </c>
      <c r="L3560" s="3">
        <v>269.5</v>
      </c>
      <c r="M3560" t="b">
        <v>1</v>
      </c>
      <c r="N3560" s="2">
        <f>YEAR(B3560)</f>
        <v>2025</v>
      </c>
      <c r="O3560" t="str">
        <f>INDEX(Agences!$C:$C,MATCH(F3560,Agences!$A:$A,0))</f>
        <v>Est</v>
      </c>
      <c r="P3560" t="str">
        <f>INDEX(Produits!$C:$C,MATCH(H3560,Produits!$A:$A,0))</f>
        <v>Fournitures</v>
      </c>
      <c r="Q3560" s="3">
        <f>I3560*INDEX(Produits!$E:$E,MATCH(H3560,Produits!$A:$A,0))</f>
        <v>154</v>
      </c>
      <c r="R3560" s="3">
        <f>L3560-Q3560</f>
        <v>115.5</v>
      </c>
      <c r="S3560" s="2">
        <f>NETWORKDAYS(B3560,C3560)-1</f>
        <v>1</v>
      </c>
      <c r="T3560" s="1">
        <f>WORKDAY(B3560,5)</f>
        <v>45737</v>
      </c>
      <c r="U3560" t="b">
        <f>C3560&gt;T3560</f>
        <v>0</v>
      </c>
    </row>
    <row r="3561" spans="1:21" x14ac:dyDescent="0.25">
      <c r="A3561" t="s">
        <v>2131</v>
      </c>
      <c r="B3561" s="1">
        <v>45730</v>
      </c>
      <c r="C3561" s="1">
        <v>45733</v>
      </c>
      <c r="D3561" t="s">
        <v>349</v>
      </c>
      <c r="E3561" t="s">
        <v>194</v>
      </c>
      <c r="F3561" t="s">
        <v>55</v>
      </c>
      <c r="G3561" t="s">
        <v>195</v>
      </c>
      <c r="H3561" t="s">
        <v>107</v>
      </c>
      <c r="I3561" s="2">
        <v>1</v>
      </c>
      <c r="J3561" s="3">
        <v>99</v>
      </c>
      <c r="K3561" s="4">
        <v>0</v>
      </c>
      <c r="L3561" s="3">
        <v>99</v>
      </c>
      <c r="M3561" t="b">
        <v>1</v>
      </c>
      <c r="N3561" s="2">
        <f>YEAR(B3561)</f>
        <v>2025</v>
      </c>
      <c r="O3561" t="str">
        <f>INDEX(Agences!$C:$C,MATCH(F3561,Agences!$A:$A,0))</f>
        <v>Est</v>
      </c>
      <c r="P3561" t="str">
        <f>INDEX(Produits!$C:$C,MATCH(H3561,Produits!$A:$A,0))</f>
        <v>Informatique</v>
      </c>
      <c r="Q3561" s="3">
        <f>I3561*INDEX(Produits!$E:$E,MATCH(H3561,Produits!$A:$A,0))</f>
        <v>75.24</v>
      </c>
      <c r="R3561" s="3">
        <f>L3561-Q3561</f>
        <v>23.760000000000005</v>
      </c>
      <c r="S3561" s="2">
        <f>NETWORKDAYS(B3561,C3561)-1</f>
        <v>1</v>
      </c>
      <c r="T3561" s="1">
        <f>WORKDAY(B3561,5)</f>
        <v>45737</v>
      </c>
      <c r="U3561" t="b">
        <f>C3561&gt;T3561</f>
        <v>0</v>
      </c>
    </row>
    <row r="3562" spans="1:21" x14ac:dyDescent="0.25">
      <c r="A3562" t="s">
        <v>2132</v>
      </c>
      <c r="B3562" s="1">
        <v>45729</v>
      </c>
      <c r="C3562" s="1">
        <v>45734</v>
      </c>
      <c r="D3562" t="s">
        <v>1842</v>
      </c>
      <c r="E3562" t="s">
        <v>209</v>
      </c>
      <c r="F3562" t="s">
        <v>99</v>
      </c>
      <c r="G3562" t="s">
        <v>100</v>
      </c>
      <c r="H3562" t="s">
        <v>35</v>
      </c>
      <c r="I3562" s="2">
        <v>1</v>
      </c>
      <c r="J3562" s="3">
        <v>79</v>
      </c>
      <c r="K3562" s="4">
        <v>0</v>
      </c>
      <c r="L3562" s="3">
        <v>79</v>
      </c>
      <c r="M3562" t="b">
        <v>1</v>
      </c>
      <c r="N3562" s="2">
        <f>YEAR(B3562)</f>
        <v>2025</v>
      </c>
      <c r="O3562" t="str">
        <f>INDEX(Agences!$C:$C,MATCH(F3562,Agences!$A:$A,0))</f>
        <v>Nord</v>
      </c>
      <c r="P3562" t="str">
        <f>INDEX(Produits!$C:$C,MATCH(H3562,Produits!$A:$A,0))</f>
        <v>Mobilier</v>
      </c>
      <c r="Q3562" s="3">
        <f>I3562*INDEX(Produits!$E:$E,MATCH(H3562,Produits!$A:$A,0))</f>
        <v>46.61</v>
      </c>
      <c r="R3562" s="3">
        <f>L3562-Q3562</f>
        <v>32.39</v>
      </c>
      <c r="S3562" s="2">
        <f>NETWORKDAYS(B3562,C3562)-1</f>
        <v>3</v>
      </c>
      <c r="T3562" s="1">
        <f>WORKDAY(B3562,5)</f>
        <v>45736</v>
      </c>
      <c r="U3562" t="b">
        <f>C3562&gt;T3562</f>
        <v>0</v>
      </c>
    </row>
    <row r="3563" spans="1:21" x14ac:dyDescent="0.25">
      <c r="A3563" t="s">
        <v>2133</v>
      </c>
      <c r="B3563" s="1">
        <v>45729</v>
      </c>
      <c r="C3563" s="1">
        <v>45730</v>
      </c>
      <c r="D3563" t="s">
        <v>1422</v>
      </c>
      <c r="E3563" t="s">
        <v>251</v>
      </c>
      <c r="F3563" t="s">
        <v>166</v>
      </c>
      <c r="G3563" t="s">
        <v>167</v>
      </c>
      <c r="H3563" t="s">
        <v>57</v>
      </c>
      <c r="I3563" s="2">
        <v>1</v>
      </c>
      <c r="J3563" s="3">
        <v>149</v>
      </c>
      <c r="K3563" s="4">
        <v>0</v>
      </c>
      <c r="L3563" s="3">
        <v>149</v>
      </c>
      <c r="M3563" t="b">
        <v>1</v>
      </c>
      <c r="N3563" s="2">
        <f>YEAR(B3563)</f>
        <v>2025</v>
      </c>
      <c r="O3563" t="str">
        <f>INDEX(Agences!$C:$C,MATCH(F3563,Agences!$A:$A,0))</f>
        <v>Ouest</v>
      </c>
      <c r="P3563" t="str">
        <f>INDEX(Produits!$C:$C,MATCH(H3563,Produits!$A:$A,0))</f>
        <v>Informatique</v>
      </c>
      <c r="Q3563" s="3">
        <f>I3563*INDEX(Produits!$E:$E,MATCH(H3563,Produits!$A:$A,0))</f>
        <v>114.73</v>
      </c>
      <c r="R3563" s="3">
        <f>L3563-Q3563</f>
        <v>34.269999999999996</v>
      </c>
      <c r="S3563" s="2">
        <f>NETWORKDAYS(B3563,C3563)-1</f>
        <v>1</v>
      </c>
      <c r="T3563" s="1">
        <f>WORKDAY(B3563,5)</f>
        <v>45736</v>
      </c>
      <c r="U3563" t="b">
        <f>C3563&gt;T3563</f>
        <v>0</v>
      </c>
    </row>
    <row r="3564" spans="1:21" x14ac:dyDescent="0.25">
      <c r="A3564" t="s">
        <v>2134</v>
      </c>
      <c r="B3564" s="1">
        <v>45729</v>
      </c>
      <c r="C3564" s="1">
        <v>45733</v>
      </c>
      <c r="D3564" t="s">
        <v>762</v>
      </c>
      <c r="E3564" t="s">
        <v>30</v>
      </c>
      <c r="F3564" t="s">
        <v>31</v>
      </c>
      <c r="G3564" t="s">
        <v>375</v>
      </c>
      <c r="H3564" t="s">
        <v>72</v>
      </c>
      <c r="I3564" s="2">
        <v>4</v>
      </c>
      <c r="J3564" s="3">
        <v>179</v>
      </c>
      <c r="K3564" s="4">
        <v>0.02</v>
      </c>
      <c r="L3564" s="3">
        <v>701.68</v>
      </c>
      <c r="M3564" t="b">
        <v>1</v>
      </c>
      <c r="N3564" s="2">
        <f>YEAR(B3564)</f>
        <v>2025</v>
      </c>
      <c r="O3564" t="str">
        <f>INDEX(Agences!$C:$C,MATCH(F3564,Agences!$A:$A,0))</f>
        <v>Ouest</v>
      </c>
      <c r="P3564" t="str">
        <f>INDEX(Produits!$C:$C,MATCH(H3564,Produits!$A:$A,0))</f>
        <v>Informatique</v>
      </c>
      <c r="Q3564" s="3">
        <f>I3564*INDEX(Produits!$E:$E,MATCH(H3564,Produits!$A:$A,0))</f>
        <v>587.12</v>
      </c>
      <c r="R3564" s="3">
        <f>L3564-Q3564</f>
        <v>114.55999999999995</v>
      </c>
      <c r="S3564" s="2">
        <f>NETWORKDAYS(B3564,C3564)-1</f>
        <v>2</v>
      </c>
      <c r="T3564" s="1">
        <f>WORKDAY(B3564,5)</f>
        <v>45736</v>
      </c>
      <c r="U3564" t="b">
        <f>C3564&gt;T3564</f>
        <v>0</v>
      </c>
    </row>
    <row r="3565" spans="1:21" x14ac:dyDescent="0.25">
      <c r="A3565" t="s">
        <v>2134</v>
      </c>
      <c r="B3565" s="1">
        <v>45729</v>
      </c>
      <c r="C3565" s="1">
        <v>45733</v>
      </c>
      <c r="D3565" t="s">
        <v>762</v>
      </c>
      <c r="E3565" t="s">
        <v>30</v>
      </c>
      <c r="F3565" t="s">
        <v>31</v>
      </c>
      <c r="G3565" t="s">
        <v>375</v>
      </c>
      <c r="H3565" t="s">
        <v>79</v>
      </c>
      <c r="I3565" s="2">
        <v>10</v>
      </c>
      <c r="J3565" s="3">
        <v>14.9</v>
      </c>
      <c r="K3565" s="4">
        <v>0.1</v>
      </c>
      <c r="L3565" s="3">
        <v>134.1</v>
      </c>
      <c r="M3565" t="b">
        <v>1</v>
      </c>
      <c r="N3565" s="2">
        <f>YEAR(B3565)</f>
        <v>2025</v>
      </c>
      <c r="O3565" t="str">
        <f>INDEX(Agences!$C:$C,MATCH(F3565,Agences!$A:$A,0))</f>
        <v>Ouest</v>
      </c>
      <c r="P3565" t="str">
        <f>INDEX(Produits!$C:$C,MATCH(H3565,Produits!$A:$A,0))</f>
        <v>Fournitures</v>
      </c>
      <c r="Q3565" s="3">
        <f>I3565*INDEX(Produits!$E:$E,MATCH(H3565,Produits!$A:$A,0))</f>
        <v>80.5</v>
      </c>
      <c r="R3565" s="3">
        <f>L3565-Q3565</f>
        <v>53.599999999999994</v>
      </c>
      <c r="S3565" s="2">
        <f>NETWORKDAYS(B3565,C3565)-1</f>
        <v>2</v>
      </c>
      <c r="T3565" s="1">
        <f>WORKDAY(B3565,5)</f>
        <v>45736</v>
      </c>
      <c r="U3565" t="b">
        <f>C3565&gt;T3565</f>
        <v>0</v>
      </c>
    </row>
    <row r="3566" spans="1:21" x14ac:dyDescent="0.25">
      <c r="A3566" t="s">
        <v>2134</v>
      </c>
      <c r="B3566" s="1">
        <v>45729</v>
      </c>
      <c r="C3566" s="1">
        <v>45733</v>
      </c>
      <c r="D3566" t="s">
        <v>762</v>
      </c>
      <c r="E3566" t="s">
        <v>30</v>
      </c>
      <c r="F3566" t="s">
        <v>31</v>
      </c>
      <c r="G3566" t="s">
        <v>375</v>
      </c>
      <c r="H3566" t="s">
        <v>112</v>
      </c>
      <c r="I3566" s="2">
        <v>1</v>
      </c>
      <c r="J3566" s="3">
        <v>129</v>
      </c>
      <c r="K3566" s="4">
        <v>0.02</v>
      </c>
      <c r="L3566" s="3">
        <v>126.42</v>
      </c>
      <c r="M3566" t="b">
        <v>1</v>
      </c>
      <c r="N3566" s="2">
        <f>YEAR(B3566)</f>
        <v>2025</v>
      </c>
      <c r="O3566" t="str">
        <f>INDEX(Agences!$C:$C,MATCH(F3566,Agences!$A:$A,0))</f>
        <v>Ouest</v>
      </c>
      <c r="P3566" t="str">
        <f>INDEX(Produits!$C:$C,MATCH(H3566,Produits!$A:$A,0))</f>
        <v>Mobilier</v>
      </c>
      <c r="Q3566" s="3">
        <f>I3566*INDEX(Produits!$E:$E,MATCH(H3566,Produits!$A:$A,0))</f>
        <v>86.43</v>
      </c>
      <c r="R3566" s="3">
        <f>L3566-Q3566</f>
        <v>39.989999999999995</v>
      </c>
      <c r="S3566" s="2">
        <f>NETWORKDAYS(B3566,C3566)-1</f>
        <v>2</v>
      </c>
      <c r="T3566" s="1">
        <f>WORKDAY(B3566,5)</f>
        <v>45736</v>
      </c>
      <c r="U3566" t="b">
        <f>C3566&gt;T3566</f>
        <v>0</v>
      </c>
    </row>
    <row r="3567" spans="1:21" x14ac:dyDescent="0.25">
      <c r="A3567" t="s">
        <v>2134</v>
      </c>
      <c r="B3567" s="1">
        <v>45729</v>
      </c>
      <c r="C3567" s="1">
        <v>45733</v>
      </c>
      <c r="D3567" t="s">
        <v>762</v>
      </c>
      <c r="E3567" t="s">
        <v>30</v>
      </c>
      <c r="F3567" t="s">
        <v>31</v>
      </c>
      <c r="G3567" t="s">
        <v>375</v>
      </c>
      <c r="H3567" t="s">
        <v>48</v>
      </c>
      <c r="I3567" s="2">
        <v>1</v>
      </c>
      <c r="J3567" s="3">
        <v>165</v>
      </c>
      <c r="K3567" s="4">
        <v>0</v>
      </c>
      <c r="L3567" s="3">
        <v>165</v>
      </c>
      <c r="M3567" t="b">
        <v>1</v>
      </c>
      <c r="N3567" s="2">
        <f>YEAR(B3567)</f>
        <v>2025</v>
      </c>
      <c r="O3567" t="str">
        <f>INDEX(Agences!$C:$C,MATCH(F3567,Agences!$A:$A,0))</f>
        <v>Ouest</v>
      </c>
      <c r="P3567" t="str">
        <f>INDEX(Produits!$C:$C,MATCH(H3567,Produits!$A:$A,0))</f>
        <v>Mobilier</v>
      </c>
      <c r="Q3567" s="3">
        <f>I3567*INDEX(Produits!$E:$E,MATCH(H3567,Produits!$A:$A,0))</f>
        <v>107.25</v>
      </c>
      <c r="R3567" s="3">
        <f>L3567-Q3567</f>
        <v>57.75</v>
      </c>
      <c r="S3567" s="2">
        <f>NETWORKDAYS(B3567,C3567)-1</f>
        <v>2</v>
      </c>
      <c r="T3567" s="1">
        <f>WORKDAY(B3567,5)</f>
        <v>45736</v>
      </c>
      <c r="U3567" t="b">
        <f>C3567&gt;T3567</f>
        <v>0</v>
      </c>
    </row>
    <row r="3568" spans="1:21" x14ac:dyDescent="0.25">
      <c r="A3568" t="s">
        <v>2135</v>
      </c>
      <c r="B3568" s="1">
        <v>45729</v>
      </c>
      <c r="C3568" s="1">
        <v>45733</v>
      </c>
      <c r="D3568" t="s">
        <v>1426</v>
      </c>
      <c r="E3568" t="s">
        <v>38</v>
      </c>
      <c r="F3568" t="s">
        <v>39</v>
      </c>
      <c r="G3568" t="s">
        <v>40</v>
      </c>
      <c r="H3568" t="s">
        <v>83</v>
      </c>
      <c r="I3568" s="2">
        <v>1</v>
      </c>
      <c r="J3568" s="3">
        <v>49</v>
      </c>
      <c r="K3568" s="4">
        <v>0</v>
      </c>
      <c r="L3568" s="3">
        <v>49</v>
      </c>
      <c r="M3568" t="b">
        <v>1</v>
      </c>
      <c r="N3568" s="2">
        <f>YEAR(B3568)</f>
        <v>2025</v>
      </c>
      <c r="O3568" t="str">
        <f>INDEX(Agences!$C:$C,MATCH(F3568,Agences!$A:$A,0))</f>
        <v>Sud-Ouest</v>
      </c>
      <c r="P3568" t="str">
        <f>INDEX(Produits!$C:$C,MATCH(H3568,Produits!$A:$A,0))</f>
        <v>Mobilier</v>
      </c>
      <c r="Q3568" s="3">
        <f>I3568*INDEX(Produits!$E:$E,MATCH(H3568,Produits!$A:$A,0))</f>
        <v>28.42</v>
      </c>
      <c r="R3568" s="3">
        <f>L3568-Q3568</f>
        <v>20.58</v>
      </c>
      <c r="S3568" s="2">
        <f>NETWORKDAYS(B3568,C3568)-1</f>
        <v>2</v>
      </c>
      <c r="T3568" s="1">
        <f>WORKDAY(B3568,5)</f>
        <v>45736</v>
      </c>
      <c r="U3568" t="b">
        <f>C3568&gt;T3568</f>
        <v>0</v>
      </c>
    </row>
    <row r="3569" spans="1:21" x14ac:dyDescent="0.25">
      <c r="A3569" t="s">
        <v>2135</v>
      </c>
      <c r="B3569" s="1">
        <v>45729</v>
      </c>
      <c r="C3569" s="1">
        <v>45733</v>
      </c>
      <c r="D3569" t="s">
        <v>1426</v>
      </c>
      <c r="E3569" t="s">
        <v>38</v>
      </c>
      <c r="F3569" t="s">
        <v>39</v>
      </c>
      <c r="G3569" t="s">
        <v>40</v>
      </c>
      <c r="H3569" t="s">
        <v>162</v>
      </c>
      <c r="I3569" s="2">
        <v>2</v>
      </c>
      <c r="J3569" s="3">
        <v>289</v>
      </c>
      <c r="K3569" s="4">
        <v>0</v>
      </c>
      <c r="L3569" s="3">
        <v>578</v>
      </c>
      <c r="M3569" t="b">
        <v>1</v>
      </c>
      <c r="N3569" s="2">
        <f>YEAR(B3569)</f>
        <v>2025</v>
      </c>
      <c r="O3569" t="str">
        <f>INDEX(Agences!$C:$C,MATCH(F3569,Agences!$A:$A,0))</f>
        <v>Sud-Ouest</v>
      </c>
      <c r="P3569" t="str">
        <f>INDEX(Produits!$C:$C,MATCH(H3569,Produits!$A:$A,0))</f>
        <v>Mobilier</v>
      </c>
      <c r="Q3569" s="3">
        <f>I3569*INDEX(Produits!$E:$E,MATCH(H3569,Produits!$A:$A,0))</f>
        <v>387.26</v>
      </c>
      <c r="R3569" s="3">
        <f>L3569-Q3569</f>
        <v>190.74</v>
      </c>
      <c r="S3569" s="2">
        <f>NETWORKDAYS(B3569,C3569)-1</f>
        <v>2</v>
      </c>
      <c r="T3569" s="1">
        <f>WORKDAY(B3569,5)</f>
        <v>45736</v>
      </c>
      <c r="U3569" t="b">
        <f>C3569&gt;T3569</f>
        <v>0</v>
      </c>
    </row>
    <row r="3570" spans="1:21" x14ac:dyDescent="0.25">
      <c r="A3570" t="s">
        <v>2136</v>
      </c>
      <c r="B3570" s="1">
        <v>45729</v>
      </c>
      <c r="C3570" s="1">
        <v>45734</v>
      </c>
      <c r="D3570" t="s">
        <v>893</v>
      </c>
      <c r="E3570" t="s">
        <v>153</v>
      </c>
      <c r="F3570" t="s">
        <v>94</v>
      </c>
      <c r="G3570" t="s">
        <v>182</v>
      </c>
      <c r="H3570" t="s">
        <v>27</v>
      </c>
      <c r="I3570" s="2">
        <v>3</v>
      </c>
      <c r="J3570" s="3">
        <v>310</v>
      </c>
      <c r="K3570" s="4">
        <v>0</v>
      </c>
      <c r="L3570" s="3">
        <v>930</v>
      </c>
      <c r="M3570" t="b">
        <v>1</v>
      </c>
      <c r="N3570" s="2">
        <f>YEAR(B3570)</f>
        <v>2025</v>
      </c>
      <c r="O3570" t="str">
        <f>INDEX(Agences!$C:$C,MATCH(F3570,Agences!$A:$A,0))</f>
        <v>Méditerranée</v>
      </c>
      <c r="P3570" t="str">
        <f>INDEX(Produits!$C:$C,MATCH(H3570,Produits!$A:$A,0))</f>
        <v>Mobilier</v>
      </c>
      <c r="Q3570" s="3">
        <f>I3570*INDEX(Produits!$E:$E,MATCH(H3570,Produits!$A:$A,0))</f>
        <v>558</v>
      </c>
      <c r="R3570" s="3">
        <f>L3570-Q3570</f>
        <v>372</v>
      </c>
      <c r="S3570" s="2">
        <f>NETWORKDAYS(B3570,C3570)-1</f>
        <v>3</v>
      </c>
      <c r="T3570" s="1">
        <f>WORKDAY(B3570,5)</f>
        <v>45736</v>
      </c>
      <c r="U3570" t="b">
        <f>C3570&gt;T3570</f>
        <v>0</v>
      </c>
    </row>
    <row r="3571" spans="1:21" x14ac:dyDescent="0.25">
      <c r="A3571" t="s">
        <v>2136</v>
      </c>
      <c r="B3571" s="1">
        <v>45729</v>
      </c>
      <c r="C3571" s="1">
        <v>45734</v>
      </c>
      <c r="D3571" t="s">
        <v>893</v>
      </c>
      <c r="E3571" t="s">
        <v>153</v>
      </c>
      <c r="F3571" t="s">
        <v>94</v>
      </c>
      <c r="G3571" t="s">
        <v>182</v>
      </c>
      <c r="H3571" t="s">
        <v>49</v>
      </c>
      <c r="I3571" s="2">
        <v>2</v>
      </c>
      <c r="J3571" s="3">
        <v>120</v>
      </c>
      <c r="K3571" s="4">
        <v>0.05</v>
      </c>
      <c r="L3571" s="3">
        <v>228</v>
      </c>
      <c r="M3571" t="b">
        <v>1</v>
      </c>
      <c r="N3571" s="2">
        <f>YEAR(B3571)</f>
        <v>2025</v>
      </c>
      <c r="O3571" t="str">
        <f>INDEX(Agences!$C:$C,MATCH(F3571,Agences!$A:$A,0))</f>
        <v>Méditerranée</v>
      </c>
      <c r="P3571" t="str">
        <f>INDEX(Produits!$C:$C,MATCH(H3571,Produits!$A:$A,0))</f>
        <v>Maintenance</v>
      </c>
      <c r="Q3571" s="3">
        <f>I3571*INDEX(Produits!$E:$E,MATCH(H3571,Produits!$A:$A,0))</f>
        <v>110.4</v>
      </c>
      <c r="R3571" s="3">
        <f>L3571-Q3571</f>
        <v>117.6</v>
      </c>
      <c r="S3571" s="2">
        <f>NETWORKDAYS(B3571,C3571)-1</f>
        <v>3</v>
      </c>
      <c r="T3571" s="1">
        <f>WORKDAY(B3571,5)</f>
        <v>45736</v>
      </c>
      <c r="U3571" t="b">
        <f>C3571&gt;T3571</f>
        <v>0</v>
      </c>
    </row>
    <row r="3572" spans="1:21" x14ac:dyDescent="0.25">
      <c r="A3572" t="s">
        <v>2137</v>
      </c>
      <c r="B3572" s="1">
        <v>45729</v>
      </c>
      <c r="C3572" s="1">
        <v>45730</v>
      </c>
      <c r="D3572" t="s">
        <v>1197</v>
      </c>
      <c r="E3572" t="s">
        <v>229</v>
      </c>
      <c r="F3572" t="s">
        <v>55</v>
      </c>
      <c r="G3572" t="s">
        <v>71</v>
      </c>
      <c r="H3572" t="s">
        <v>217</v>
      </c>
      <c r="I3572" s="2">
        <v>1</v>
      </c>
      <c r="J3572" s="3">
        <v>1090</v>
      </c>
      <c r="K3572" s="4">
        <v>0</v>
      </c>
      <c r="L3572" s="3">
        <v>1090</v>
      </c>
      <c r="M3572" t="b">
        <v>1</v>
      </c>
      <c r="N3572" s="2">
        <f>YEAR(B3572)</f>
        <v>2025</v>
      </c>
      <c r="O3572" t="str">
        <f>INDEX(Agences!$C:$C,MATCH(F3572,Agences!$A:$A,0))</f>
        <v>Est</v>
      </c>
      <c r="P3572" t="str">
        <f>INDEX(Produits!$C:$C,MATCH(H3572,Produits!$A:$A,0))</f>
        <v>Informatique</v>
      </c>
      <c r="Q3572" s="3">
        <f>I3572*INDEX(Produits!$E:$E,MATCH(H3572,Produits!$A:$A,0))</f>
        <v>817.5</v>
      </c>
      <c r="R3572" s="3">
        <f>L3572-Q3572</f>
        <v>272.5</v>
      </c>
      <c r="S3572" s="2">
        <f>NETWORKDAYS(B3572,C3572)-1</f>
        <v>1</v>
      </c>
      <c r="T3572" s="1">
        <f>WORKDAY(B3572,5)</f>
        <v>45736</v>
      </c>
      <c r="U3572" t="b">
        <f>C3572&gt;T3572</f>
        <v>0</v>
      </c>
    </row>
    <row r="3573" spans="1:21" x14ac:dyDescent="0.25">
      <c r="A3573" t="s">
        <v>2138</v>
      </c>
      <c r="B3573" s="1">
        <v>45728</v>
      </c>
      <c r="C3573" s="1">
        <v>45734</v>
      </c>
      <c r="D3573" t="s">
        <v>521</v>
      </c>
      <c r="E3573" t="s">
        <v>75</v>
      </c>
      <c r="F3573" t="s">
        <v>76</v>
      </c>
      <c r="G3573" t="s">
        <v>77</v>
      </c>
      <c r="H3573" t="s">
        <v>162</v>
      </c>
      <c r="I3573" s="2">
        <v>1</v>
      </c>
      <c r="J3573" s="3">
        <v>289</v>
      </c>
      <c r="K3573" s="4">
        <v>0.02</v>
      </c>
      <c r="L3573" s="3">
        <v>283.22</v>
      </c>
      <c r="M3573" t="b">
        <v>1</v>
      </c>
      <c r="N3573" s="2">
        <f>YEAR(B3573)</f>
        <v>2025</v>
      </c>
      <c r="O3573" t="str">
        <f>INDEX(Agences!$C:$C,MATCH(F3573,Agences!$A:$A,0))</f>
        <v>Île-de-France</v>
      </c>
      <c r="P3573" t="str">
        <f>INDEX(Produits!$C:$C,MATCH(H3573,Produits!$A:$A,0))</f>
        <v>Mobilier</v>
      </c>
      <c r="Q3573" s="3">
        <f>I3573*INDEX(Produits!$E:$E,MATCH(H3573,Produits!$A:$A,0))</f>
        <v>193.63</v>
      </c>
      <c r="R3573" s="3">
        <f>L3573-Q3573</f>
        <v>89.59000000000003</v>
      </c>
      <c r="S3573" s="2">
        <f>NETWORKDAYS(B3573,C3573)-1</f>
        <v>4</v>
      </c>
      <c r="T3573" s="1">
        <f>WORKDAY(B3573,5)</f>
        <v>45735</v>
      </c>
      <c r="U3573" t="b">
        <f>C3573&gt;T3573</f>
        <v>0</v>
      </c>
    </row>
    <row r="3574" spans="1:21" x14ac:dyDescent="0.25">
      <c r="A3574" t="s">
        <v>2138</v>
      </c>
      <c r="B3574" s="1">
        <v>45728</v>
      </c>
      <c r="C3574" s="1">
        <v>45734</v>
      </c>
      <c r="D3574" t="s">
        <v>521</v>
      </c>
      <c r="E3574" t="s">
        <v>75</v>
      </c>
      <c r="F3574" t="s">
        <v>76</v>
      </c>
      <c r="G3574" t="s">
        <v>77</v>
      </c>
      <c r="H3574" t="s">
        <v>233</v>
      </c>
      <c r="I3574" s="2">
        <v>5</v>
      </c>
      <c r="J3574" s="3">
        <v>27.5</v>
      </c>
      <c r="K3574" s="4">
        <v>0</v>
      </c>
      <c r="L3574" s="3">
        <v>137.5</v>
      </c>
      <c r="M3574" t="b">
        <v>1</v>
      </c>
      <c r="N3574" s="2">
        <f>YEAR(B3574)</f>
        <v>2025</v>
      </c>
      <c r="O3574" t="str">
        <f>INDEX(Agences!$C:$C,MATCH(F3574,Agences!$A:$A,0))</f>
        <v>Île-de-France</v>
      </c>
      <c r="P3574" t="str">
        <f>INDEX(Produits!$C:$C,MATCH(H3574,Produits!$A:$A,0))</f>
        <v>Fournitures</v>
      </c>
      <c r="Q3574" s="3">
        <f>I3574*INDEX(Produits!$E:$E,MATCH(H3574,Produits!$A:$A,0))</f>
        <v>77</v>
      </c>
      <c r="R3574" s="3">
        <f>L3574-Q3574</f>
        <v>60.5</v>
      </c>
      <c r="S3574" s="2">
        <f>NETWORKDAYS(B3574,C3574)-1</f>
        <v>4</v>
      </c>
      <c r="T3574" s="1">
        <f>WORKDAY(B3574,5)</f>
        <v>45735</v>
      </c>
      <c r="U3574" t="b">
        <f>C3574&gt;T3574</f>
        <v>0</v>
      </c>
    </row>
    <row r="3575" spans="1:21" x14ac:dyDescent="0.25">
      <c r="A3575" t="s">
        <v>2138</v>
      </c>
      <c r="B3575" s="1">
        <v>45728</v>
      </c>
      <c r="C3575" s="1">
        <v>45734</v>
      </c>
      <c r="D3575" t="s">
        <v>521</v>
      </c>
      <c r="E3575" t="s">
        <v>75</v>
      </c>
      <c r="F3575" t="s">
        <v>76</v>
      </c>
      <c r="G3575" t="s">
        <v>77</v>
      </c>
      <c r="H3575" t="s">
        <v>72</v>
      </c>
      <c r="I3575" s="2">
        <v>1</v>
      </c>
      <c r="J3575" s="3">
        <v>179</v>
      </c>
      <c r="K3575" s="4">
        <v>0.02</v>
      </c>
      <c r="L3575" s="3">
        <v>175.42</v>
      </c>
      <c r="M3575" t="b">
        <v>1</v>
      </c>
      <c r="N3575" s="2">
        <f>YEAR(B3575)</f>
        <v>2025</v>
      </c>
      <c r="O3575" t="str">
        <f>INDEX(Agences!$C:$C,MATCH(F3575,Agences!$A:$A,0))</f>
        <v>Île-de-France</v>
      </c>
      <c r="P3575" t="str">
        <f>INDEX(Produits!$C:$C,MATCH(H3575,Produits!$A:$A,0))</f>
        <v>Informatique</v>
      </c>
      <c r="Q3575" s="3">
        <f>I3575*INDEX(Produits!$E:$E,MATCH(H3575,Produits!$A:$A,0))</f>
        <v>146.78</v>
      </c>
      <c r="R3575" s="3">
        <f>L3575-Q3575</f>
        <v>28.639999999999986</v>
      </c>
      <c r="S3575" s="2">
        <f>NETWORKDAYS(B3575,C3575)-1</f>
        <v>4</v>
      </c>
      <c r="T3575" s="1">
        <f>WORKDAY(B3575,5)</f>
        <v>45735</v>
      </c>
      <c r="U3575" t="b">
        <f>C3575&gt;T3575</f>
        <v>0</v>
      </c>
    </row>
    <row r="3576" spans="1:21" x14ac:dyDescent="0.25">
      <c r="A3576" t="s">
        <v>2138</v>
      </c>
      <c r="B3576" s="1">
        <v>45728</v>
      </c>
      <c r="C3576" s="1">
        <v>45734</v>
      </c>
      <c r="D3576" t="s">
        <v>521</v>
      </c>
      <c r="E3576" t="s">
        <v>75</v>
      </c>
      <c r="F3576" t="s">
        <v>76</v>
      </c>
      <c r="G3576" t="s">
        <v>77</v>
      </c>
      <c r="H3576" t="s">
        <v>205</v>
      </c>
      <c r="I3576" s="2">
        <v>1</v>
      </c>
      <c r="J3576" s="3">
        <v>359</v>
      </c>
      <c r="K3576" s="4">
        <v>0.05</v>
      </c>
      <c r="L3576" s="3">
        <v>341.05</v>
      </c>
      <c r="M3576" t="b">
        <v>1</v>
      </c>
      <c r="N3576" s="2">
        <f>YEAR(B3576)</f>
        <v>2025</v>
      </c>
      <c r="O3576" t="str">
        <f>INDEX(Agences!$C:$C,MATCH(F3576,Agences!$A:$A,0))</f>
        <v>Île-de-France</v>
      </c>
      <c r="P3576" t="str">
        <f>INDEX(Produits!$C:$C,MATCH(H3576,Produits!$A:$A,0))</f>
        <v>Mobilier</v>
      </c>
      <c r="Q3576" s="3">
        <f>I3576*INDEX(Produits!$E:$E,MATCH(H3576,Produits!$A:$A,0))</f>
        <v>204.63</v>
      </c>
      <c r="R3576" s="3">
        <f>L3576-Q3576</f>
        <v>136.42000000000002</v>
      </c>
      <c r="S3576" s="2">
        <f>NETWORKDAYS(B3576,C3576)-1</f>
        <v>4</v>
      </c>
      <c r="T3576" s="1">
        <f>WORKDAY(B3576,5)</f>
        <v>45735</v>
      </c>
      <c r="U3576" t="b">
        <f>C3576&gt;T3576</f>
        <v>0</v>
      </c>
    </row>
    <row r="3577" spans="1:21" x14ac:dyDescent="0.25">
      <c r="A3577" t="s">
        <v>2138</v>
      </c>
      <c r="B3577" s="1">
        <v>45728</v>
      </c>
      <c r="C3577" s="1">
        <v>45734</v>
      </c>
      <c r="D3577" t="s">
        <v>521</v>
      </c>
      <c r="E3577" t="s">
        <v>75</v>
      </c>
      <c r="F3577" t="s">
        <v>76</v>
      </c>
      <c r="G3577" t="s">
        <v>77</v>
      </c>
      <c r="H3577" t="s">
        <v>196</v>
      </c>
      <c r="I3577" s="2">
        <v>5</v>
      </c>
      <c r="J3577" s="3">
        <v>18.5</v>
      </c>
      <c r="K3577" s="4">
        <v>0</v>
      </c>
      <c r="L3577" s="3">
        <v>92.5</v>
      </c>
      <c r="M3577" t="b">
        <v>1</v>
      </c>
      <c r="N3577" s="2">
        <f>YEAR(B3577)</f>
        <v>2025</v>
      </c>
      <c r="O3577" t="str">
        <f>INDEX(Agences!$C:$C,MATCH(F3577,Agences!$A:$A,0))</f>
        <v>Île-de-France</v>
      </c>
      <c r="P3577" t="str">
        <f>INDEX(Produits!$C:$C,MATCH(H3577,Produits!$A:$A,0))</f>
        <v>Fournitures</v>
      </c>
      <c r="Q3577" s="3">
        <f>I3577*INDEX(Produits!$E:$E,MATCH(H3577,Produits!$A:$A,0))</f>
        <v>47.199999999999996</v>
      </c>
      <c r="R3577" s="3">
        <f>L3577-Q3577</f>
        <v>45.300000000000004</v>
      </c>
      <c r="S3577" s="2">
        <f>NETWORKDAYS(B3577,C3577)-1</f>
        <v>4</v>
      </c>
      <c r="T3577" s="1">
        <f>WORKDAY(B3577,5)</f>
        <v>45735</v>
      </c>
      <c r="U3577" t="b">
        <f>C3577&gt;T3577</f>
        <v>0</v>
      </c>
    </row>
    <row r="3578" spans="1:21" x14ac:dyDescent="0.25">
      <c r="A3578" t="s">
        <v>2139</v>
      </c>
      <c r="B3578" s="1">
        <v>45728</v>
      </c>
      <c r="C3578" s="1">
        <v>45734</v>
      </c>
      <c r="D3578" t="s">
        <v>1231</v>
      </c>
      <c r="E3578" t="s">
        <v>194</v>
      </c>
      <c r="F3578" t="s">
        <v>55</v>
      </c>
      <c r="G3578" t="s">
        <v>56</v>
      </c>
      <c r="H3578" t="s">
        <v>50</v>
      </c>
      <c r="I3578" s="2">
        <v>1</v>
      </c>
      <c r="J3578" s="3">
        <v>69</v>
      </c>
      <c r="K3578" s="4">
        <v>0</v>
      </c>
      <c r="L3578" s="3">
        <v>69</v>
      </c>
      <c r="M3578" t="b">
        <v>1</v>
      </c>
      <c r="N3578" s="2">
        <f>YEAR(B3578)</f>
        <v>2025</v>
      </c>
      <c r="O3578" t="str">
        <f>INDEX(Agences!$C:$C,MATCH(F3578,Agences!$A:$A,0))</f>
        <v>Est</v>
      </c>
      <c r="P3578" t="str">
        <f>INDEX(Produits!$C:$C,MATCH(H3578,Produits!$A:$A,0))</f>
        <v>Informatique</v>
      </c>
      <c r="Q3578" s="3">
        <f>I3578*INDEX(Produits!$E:$E,MATCH(H3578,Produits!$A:$A,0))</f>
        <v>54.51</v>
      </c>
      <c r="R3578" s="3">
        <f>L3578-Q3578</f>
        <v>14.490000000000002</v>
      </c>
      <c r="S3578" s="2">
        <f>NETWORKDAYS(B3578,C3578)-1</f>
        <v>4</v>
      </c>
      <c r="T3578" s="1">
        <f>WORKDAY(B3578,5)</f>
        <v>45735</v>
      </c>
      <c r="U3578" t="b">
        <f>C3578&gt;T3578</f>
        <v>0</v>
      </c>
    </row>
    <row r="3579" spans="1:21" x14ac:dyDescent="0.25">
      <c r="A3579" t="s">
        <v>2139</v>
      </c>
      <c r="B3579" s="1">
        <v>45728</v>
      </c>
      <c r="C3579" s="1">
        <v>45734</v>
      </c>
      <c r="D3579" t="s">
        <v>1231</v>
      </c>
      <c r="E3579" t="s">
        <v>194</v>
      </c>
      <c r="F3579" t="s">
        <v>55</v>
      </c>
      <c r="G3579" t="s">
        <v>56</v>
      </c>
      <c r="H3579" t="s">
        <v>112</v>
      </c>
      <c r="I3579" s="2">
        <v>1</v>
      </c>
      <c r="J3579" s="3">
        <v>129</v>
      </c>
      <c r="K3579" s="4">
        <v>0.02</v>
      </c>
      <c r="L3579" s="3">
        <v>126.42</v>
      </c>
      <c r="M3579" t="b">
        <v>1</v>
      </c>
      <c r="N3579" s="2">
        <f>YEAR(B3579)</f>
        <v>2025</v>
      </c>
      <c r="O3579" t="str">
        <f>INDEX(Agences!$C:$C,MATCH(F3579,Agences!$A:$A,0))</f>
        <v>Est</v>
      </c>
      <c r="P3579" t="str">
        <f>INDEX(Produits!$C:$C,MATCH(H3579,Produits!$A:$A,0))</f>
        <v>Mobilier</v>
      </c>
      <c r="Q3579" s="3">
        <f>I3579*INDEX(Produits!$E:$E,MATCH(H3579,Produits!$A:$A,0))</f>
        <v>86.43</v>
      </c>
      <c r="R3579" s="3">
        <f>L3579-Q3579</f>
        <v>39.989999999999995</v>
      </c>
      <c r="S3579" s="2">
        <f>NETWORKDAYS(B3579,C3579)-1</f>
        <v>4</v>
      </c>
      <c r="T3579" s="1">
        <f>WORKDAY(B3579,5)</f>
        <v>45735</v>
      </c>
      <c r="U3579" t="b">
        <f>C3579&gt;T3579</f>
        <v>0</v>
      </c>
    </row>
    <row r="3580" spans="1:21" x14ac:dyDescent="0.25">
      <c r="A3580" t="s">
        <v>2139</v>
      </c>
      <c r="B3580" s="1">
        <v>45728</v>
      </c>
      <c r="C3580" s="1">
        <v>45734</v>
      </c>
      <c r="D3580" t="s">
        <v>1231</v>
      </c>
      <c r="E3580" t="s">
        <v>194</v>
      </c>
      <c r="F3580" t="s">
        <v>55</v>
      </c>
      <c r="G3580" t="s">
        <v>56</v>
      </c>
      <c r="H3580" t="s">
        <v>196</v>
      </c>
      <c r="I3580" s="2">
        <v>10</v>
      </c>
      <c r="J3580" s="3">
        <v>18.5</v>
      </c>
      <c r="K3580" s="4">
        <v>0.08</v>
      </c>
      <c r="L3580" s="3">
        <v>170.2</v>
      </c>
      <c r="M3580" t="b">
        <v>1</v>
      </c>
      <c r="N3580" s="2">
        <f>YEAR(B3580)</f>
        <v>2025</v>
      </c>
      <c r="O3580" t="str">
        <f>INDEX(Agences!$C:$C,MATCH(F3580,Agences!$A:$A,0))</f>
        <v>Est</v>
      </c>
      <c r="P3580" t="str">
        <f>INDEX(Produits!$C:$C,MATCH(H3580,Produits!$A:$A,0))</f>
        <v>Fournitures</v>
      </c>
      <c r="Q3580" s="3">
        <f>I3580*INDEX(Produits!$E:$E,MATCH(H3580,Produits!$A:$A,0))</f>
        <v>94.39999999999999</v>
      </c>
      <c r="R3580" s="3">
        <f>L3580-Q3580</f>
        <v>75.8</v>
      </c>
      <c r="S3580" s="2">
        <f>NETWORKDAYS(B3580,C3580)-1</f>
        <v>4</v>
      </c>
      <c r="T3580" s="1">
        <f>WORKDAY(B3580,5)</f>
        <v>45735</v>
      </c>
      <c r="U3580" t="b">
        <f>C3580&gt;T3580</f>
        <v>0</v>
      </c>
    </row>
    <row r="3581" spans="1:21" x14ac:dyDescent="0.25">
      <c r="A3581" t="s">
        <v>2140</v>
      </c>
      <c r="B3581" s="1">
        <v>45727</v>
      </c>
      <c r="C3581" s="1">
        <v>45728</v>
      </c>
      <c r="D3581" t="s">
        <v>1996</v>
      </c>
      <c r="E3581" t="s">
        <v>202</v>
      </c>
      <c r="F3581" t="s">
        <v>138</v>
      </c>
      <c r="G3581" t="s">
        <v>214</v>
      </c>
      <c r="H3581" t="s">
        <v>27</v>
      </c>
      <c r="I3581" s="2">
        <v>2</v>
      </c>
      <c r="J3581" s="3">
        <v>310</v>
      </c>
      <c r="K3581" s="4">
        <v>0</v>
      </c>
      <c r="L3581" s="3">
        <v>620</v>
      </c>
      <c r="M3581" t="b">
        <v>1</v>
      </c>
      <c r="N3581" s="2">
        <f>YEAR(B3581)</f>
        <v>2025</v>
      </c>
      <c r="O3581" t="str">
        <f>INDEX(Agences!$C:$C,MATCH(F3581,Agences!$A:$A,0))</f>
        <v>Île-de-France</v>
      </c>
      <c r="P3581" t="str">
        <f>INDEX(Produits!$C:$C,MATCH(H3581,Produits!$A:$A,0))</f>
        <v>Mobilier</v>
      </c>
      <c r="Q3581" s="3">
        <f>I3581*INDEX(Produits!$E:$E,MATCH(H3581,Produits!$A:$A,0))</f>
        <v>372</v>
      </c>
      <c r="R3581" s="3">
        <f>L3581-Q3581</f>
        <v>248</v>
      </c>
      <c r="S3581" s="2">
        <f>NETWORKDAYS(B3581,C3581)-1</f>
        <v>1</v>
      </c>
      <c r="T3581" s="1">
        <f>WORKDAY(B3581,5)</f>
        <v>45734</v>
      </c>
      <c r="U3581" t="b">
        <f>C3581&gt;T3581</f>
        <v>0</v>
      </c>
    </row>
    <row r="3582" spans="1:21" x14ac:dyDescent="0.25">
      <c r="A3582" t="s">
        <v>2140</v>
      </c>
      <c r="B3582" s="1">
        <v>45727</v>
      </c>
      <c r="C3582" s="1">
        <v>45728</v>
      </c>
      <c r="D3582" t="s">
        <v>1996</v>
      </c>
      <c r="E3582" t="s">
        <v>202</v>
      </c>
      <c r="F3582" t="s">
        <v>138</v>
      </c>
      <c r="G3582" t="s">
        <v>214</v>
      </c>
      <c r="H3582" t="s">
        <v>64</v>
      </c>
      <c r="I3582" s="2">
        <v>15</v>
      </c>
      <c r="J3582" s="3">
        <v>16.8</v>
      </c>
      <c r="K3582" s="4">
        <v>0.05</v>
      </c>
      <c r="L3582" s="3">
        <v>239.4</v>
      </c>
      <c r="M3582" t="b">
        <v>1</v>
      </c>
      <c r="N3582" s="2">
        <f>YEAR(B3582)</f>
        <v>2025</v>
      </c>
      <c r="O3582" t="str">
        <f>INDEX(Agences!$C:$C,MATCH(F3582,Agences!$A:$A,0))</f>
        <v>Île-de-France</v>
      </c>
      <c r="P3582" t="str">
        <f>INDEX(Produits!$C:$C,MATCH(H3582,Produits!$A:$A,0))</f>
        <v>Fournitures</v>
      </c>
      <c r="Q3582" s="3">
        <f>I3582*INDEX(Produits!$E:$E,MATCH(H3582,Produits!$A:$A,0))</f>
        <v>131.1</v>
      </c>
      <c r="R3582" s="3">
        <f>L3582-Q3582</f>
        <v>108.30000000000001</v>
      </c>
      <c r="S3582" s="2">
        <f>NETWORKDAYS(B3582,C3582)-1</f>
        <v>1</v>
      </c>
      <c r="T3582" s="1">
        <f>WORKDAY(B3582,5)</f>
        <v>45734</v>
      </c>
      <c r="U3582" t="b">
        <f>C3582&gt;T3582</f>
        <v>0</v>
      </c>
    </row>
    <row r="3583" spans="1:21" x14ac:dyDescent="0.25">
      <c r="A3583" t="s">
        <v>2140</v>
      </c>
      <c r="B3583" s="1">
        <v>45727</v>
      </c>
      <c r="C3583" s="1">
        <v>45728</v>
      </c>
      <c r="D3583" t="s">
        <v>1996</v>
      </c>
      <c r="E3583" t="s">
        <v>202</v>
      </c>
      <c r="F3583" t="s">
        <v>138</v>
      </c>
      <c r="G3583" t="s">
        <v>214</v>
      </c>
      <c r="H3583" t="s">
        <v>41</v>
      </c>
      <c r="I3583" s="2">
        <v>1</v>
      </c>
      <c r="J3583" s="3">
        <v>790</v>
      </c>
      <c r="K3583" s="4">
        <v>0.08</v>
      </c>
      <c r="L3583" s="3">
        <v>726.8</v>
      </c>
      <c r="M3583" t="b">
        <v>1</v>
      </c>
      <c r="N3583" s="2">
        <f>YEAR(B3583)</f>
        <v>2025</v>
      </c>
      <c r="O3583" t="str">
        <f>INDEX(Agences!$C:$C,MATCH(F3583,Agences!$A:$A,0))</f>
        <v>Île-de-France</v>
      </c>
      <c r="P3583" t="str">
        <f>INDEX(Produits!$C:$C,MATCH(H3583,Produits!$A:$A,0))</f>
        <v>Informatique</v>
      </c>
      <c r="Q3583" s="3">
        <f>I3583*INDEX(Produits!$E:$E,MATCH(H3583,Produits!$A:$A,0))</f>
        <v>576.7</v>
      </c>
      <c r="R3583" s="3">
        <f>L3583-Q3583</f>
        <v>150.0999999999999</v>
      </c>
      <c r="S3583" s="2">
        <f>NETWORKDAYS(B3583,C3583)-1</f>
        <v>1</v>
      </c>
      <c r="T3583" s="1">
        <f>WORKDAY(B3583,5)</f>
        <v>45734</v>
      </c>
      <c r="U3583" t="b">
        <f>C3583&gt;T3583</f>
        <v>0</v>
      </c>
    </row>
    <row r="3584" spans="1:21" x14ac:dyDescent="0.25">
      <c r="A3584" t="s">
        <v>2140</v>
      </c>
      <c r="B3584" s="1">
        <v>45727</v>
      </c>
      <c r="C3584" s="1">
        <v>45728</v>
      </c>
      <c r="D3584" t="s">
        <v>1996</v>
      </c>
      <c r="E3584" t="s">
        <v>202</v>
      </c>
      <c r="F3584" t="s">
        <v>138</v>
      </c>
      <c r="G3584" t="s">
        <v>214</v>
      </c>
      <c r="H3584" t="s">
        <v>78</v>
      </c>
      <c r="I3584" s="2">
        <v>1</v>
      </c>
      <c r="J3584" s="3">
        <v>1390</v>
      </c>
      <c r="K3584" s="4">
        <v>0</v>
      </c>
      <c r="L3584" s="3">
        <v>1390</v>
      </c>
      <c r="M3584" t="b">
        <v>1</v>
      </c>
      <c r="N3584" s="2">
        <f>YEAR(B3584)</f>
        <v>2025</v>
      </c>
      <c r="O3584" t="str">
        <f>INDEX(Agences!$C:$C,MATCH(F3584,Agences!$A:$A,0))</f>
        <v>Île-de-France</v>
      </c>
      <c r="P3584" t="str">
        <f>INDEX(Produits!$C:$C,MATCH(H3584,Produits!$A:$A,0))</f>
        <v>Informatique</v>
      </c>
      <c r="Q3584" s="3">
        <f>I3584*INDEX(Produits!$E:$E,MATCH(H3584,Produits!$A:$A,0))</f>
        <v>1125.9</v>
      </c>
      <c r="R3584" s="3">
        <f>L3584-Q3584</f>
        <v>264.0999999999999</v>
      </c>
      <c r="S3584" s="2">
        <f>NETWORKDAYS(B3584,C3584)-1</f>
        <v>1</v>
      </c>
      <c r="T3584" s="1">
        <f>WORKDAY(B3584,5)</f>
        <v>45734</v>
      </c>
      <c r="U3584" t="b">
        <f>C3584&gt;T3584</f>
        <v>0</v>
      </c>
    </row>
    <row r="3585" spans="1:21" x14ac:dyDescent="0.25">
      <c r="A3585" t="s">
        <v>2140</v>
      </c>
      <c r="B3585" s="1">
        <v>45727</v>
      </c>
      <c r="C3585" s="1">
        <v>45728</v>
      </c>
      <c r="D3585" t="s">
        <v>1996</v>
      </c>
      <c r="E3585" t="s">
        <v>202</v>
      </c>
      <c r="F3585" t="s">
        <v>138</v>
      </c>
      <c r="G3585" t="s">
        <v>214</v>
      </c>
      <c r="H3585" t="s">
        <v>84</v>
      </c>
      <c r="I3585" s="2">
        <v>2</v>
      </c>
      <c r="J3585" s="3">
        <v>420</v>
      </c>
      <c r="K3585" s="4">
        <v>0.08</v>
      </c>
      <c r="L3585" s="3">
        <v>772.8</v>
      </c>
      <c r="M3585" t="b">
        <v>1</v>
      </c>
      <c r="N3585" s="2">
        <f>YEAR(B3585)</f>
        <v>2025</v>
      </c>
      <c r="O3585" t="str">
        <f>INDEX(Agences!$C:$C,MATCH(F3585,Agences!$A:$A,0))</f>
        <v>Île-de-France</v>
      </c>
      <c r="P3585" t="str">
        <f>INDEX(Produits!$C:$C,MATCH(H3585,Produits!$A:$A,0))</f>
        <v>Mobilier</v>
      </c>
      <c r="Q3585" s="3">
        <f>I3585*INDEX(Produits!$E:$E,MATCH(H3585,Produits!$A:$A,0))</f>
        <v>487.2</v>
      </c>
      <c r="R3585" s="3">
        <f>L3585-Q3585</f>
        <v>285.59999999999997</v>
      </c>
      <c r="S3585" s="2">
        <f>NETWORKDAYS(B3585,C3585)-1</f>
        <v>1</v>
      </c>
      <c r="T3585" s="1">
        <f>WORKDAY(B3585,5)</f>
        <v>45734</v>
      </c>
      <c r="U3585" t="b">
        <f>C3585&gt;T3585</f>
        <v>0</v>
      </c>
    </row>
    <row r="3586" spans="1:21" x14ac:dyDescent="0.25">
      <c r="A3586" t="s">
        <v>2141</v>
      </c>
      <c r="B3586" s="1">
        <v>45727</v>
      </c>
      <c r="C3586" s="1">
        <v>45729</v>
      </c>
      <c r="D3586" t="s">
        <v>1252</v>
      </c>
      <c r="E3586" t="s">
        <v>82</v>
      </c>
      <c r="F3586" t="s">
        <v>39</v>
      </c>
      <c r="G3586" t="s">
        <v>322</v>
      </c>
      <c r="H3586" t="s">
        <v>107</v>
      </c>
      <c r="I3586" s="2">
        <v>1</v>
      </c>
      <c r="J3586" s="3">
        <v>99</v>
      </c>
      <c r="K3586" s="4">
        <v>0.05</v>
      </c>
      <c r="L3586" s="3">
        <v>94.05</v>
      </c>
      <c r="M3586" t="b">
        <v>1</v>
      </c>
      <c r="N3586" s="2">
        <f>YEAR(B3586)</f>
        <v>2025</v>
      </c>
      <c r="O3586" t="str">
        <f>INDEX(Agences!$C:$C,MATCH(F3586,Agences!$A:$A,0))</f>
        <v>Sud-Ouest</v>
      </c>
      <c r="P3586" t="str">
        <f>INDEX(Produits!$C:$C,MATCH(H3586,Produits!$A:$A,0))</f>
        <v>Informatique</v>
      </c>
      <c r="Q3586" s="3">
        <f>I3586*INDEX(Produits!$E:$E,MATCH(H3586,Produits!$A:$A,0))</f>
        <v>75.24</v>
      </c>
      <c r="R3586" s="3">
        <f>L3586-Q3586</f>
        <v>18.810000000000002</v>
      </c>
      <c r="S3586" s="2">
        <f>NETWORKDAYS(B3586,C3586)-1</f>
        <v>2</v>
      </c>
      <c r="T3586" s="1">
        <f>WORKDAY(B3586,5)</f>
        <v>45734</v>
      </c>
      <c r="U3586" t="b">
        <f>C3586&gt;T3586</f>
        <v>0</v>
      </c>
    </row>
    <row r="3587" spans="1:21" x14ac:dyDescent="0.25">
      <c r="A3587" t="s">
        <v>2142</v>
      </c>
      <c r="B3587" s="1">
        <v>45727</v>
      </c>
      <c r="C3587" s="1">
        <v>45729</v>
      </c>
      <c r="D3587" t="s">
        <v>934</v>
      </c>
      <c r="E3587" t="s">
        <v>419</v>
      </c>
      <c r="F3587" t="s">
        <v>62</v>
      </c>
      <c r="G3587" t="s">
        <v>106</v>
      </c>
      <c r="H3587" t="s">
        <v>42</v>
      </c>
      <c r="I3587" s="2">
        <v>1</v>
      </c>
      <c r="J3587" s="3">
        <v>55</v>
      </c>
      <c r="K3587" s="4">
        <v>0.02</v>
      </c>
      <c r="L3587" s="3">
        <v>53.9</v>
      </c>
      <c r="M3587" t="b">
        <v>1</v>
      </c>
      <c r="N3587" s="2">
        <f>YEAR(B3587)</f>
        <v>2025</v>
      </c>
      <c r="O3587" t="str">
        <f>INDEX(Agences!$C:$C,MATCH(F3587,Agences!$A:$A,0))</f>
        <v>Méditerranée</v>
      </c>
      <c r="P3587" t="str">
        <f>INDEX(Produits!$C:$C,MATCH(H3587,Produits!$A:$A,0))</f>
        <v>Maintenance</v>
      </c>
      <c r="Q3587" s="3">
        <f>I3587*INDEX(Produits!$E:$E,MATCH(H3587,Produits!$A:$A,0))</f>
        <v>24.75</v>
      </c>
      <c r="R3587" s="3">
        <f>L3587-Q3587</f>
        <v>29.15</v>
      </c>
      <c r="S3587" s="2">
        <f>NETWORKDAYS(B3587,C3587)-1</f>
        <v>2</v>
      </c>
      <c r="T3587" s="1">
        <f>WORKDAY(B3587,5)</f>
        <v>45734</v>
      </c>
      <c r="U3587" t="b">
        <f>C3587&gt;T3587</f>
        <v>0</v>
      </c>
    </row>
    <row r="3588" spans="1:21" x14ac:dyDescent="0.25">
      <c r="A3588" t="s">
        <v>2143</v>
      </c>
      <c r="B3588" s="1">
        <v>45727</v>
      </c>
      <c r="C3588" s="1">
        <v>45734</v>
      </c>
      <c r="D3588" t="s">
        <v>433</v>
      </c>
      <c r="E3588" t="s">
        <v>434</v>
      </c>
      <c r="F3588" t="s">
        <v>55</v>
      </c>
      <c r="G3588" t="s">
        <v>195</v>
      </c>
      <c r="H3588" t="s">
        <v>42</v>
      </c>
      <c r="I3588" s="2">
        <v>1</v>
      </c>
      <c r="J3588" s="3">
        <v>55</v>
      </c>
      <c r="K3588" s="4">
        <v>0</v>
      </c>
      <c r="L3588" s="3">
        <v>55</v>
      </c>
      <c r="M3588" t="b">
        <v>1</v>
      </c>
      <c r="N3588" s="2">
        <f>YEAR(B3588)</f>
        <v>2025</v>
      </c>
      <c r="O3588" t="str">
        <f>INDEX(Agences!$C:$C,MATCH(F3588,Agences!$A:$A,0))</f>
        <v>Est</v>
      </c>
      <c r="P3588" t="str">
        <f>INDEX(Produits!$C:$C,MATCH(H3588,Produits!$A:$A,0))</f>
        <v>Maintenance</v>
      </c>
      <c r="Q3588" s="3">
        <f>I3588*INDEX(Produits!$E:$E,MATCH(H3588,Produits!$A:$A,0))</f>
        <v>24.75</v>
      </c>
      <c r="R3588" s="3">
        <f>L3588-Q3588</f>
        <v>30.25</v>
      </c>
      <c r="S3588" s="2">
        <f>NETWORKDAYS(B3588,C3588)-1</f>
        <v>5</v>
      </c>
      <c r="T3588" s="1">
        <f>WORKDAY(B3588,5)</f>
        <v>45734</v>
      </c>
      <c r="U3588" t="b">
        <f>C3588&gt;T3588</f>
        <v>0</v>
      </c>
    </row>
    <row r="3589" spans="1:21" x14ac:dyDescent="0.25">
      <c r="A3589" t="s">
        <v>2143</v>
      </c>
      <c r="B3589" s="1">
        <v>45727</v>
      </c>
      <c r="C3589" s="1">
        <v>45734</v>
      </c>
      <c r="D3589" t="s">
        <v>433</v>
      </c>
      <c r="E3589" t="s">
        <v>434</v>
      </c>
      <c r="F3589" t="s">
        <v>55</v>
      </c>
      <c r="G3589" t="s">
        <v>195</v>
      </c>
      <c r="H3589" t="s">
        <v>57</v>
      </c>
      <c r="I3589" s="2">
        <v>3</v>
      </c>
      <c r="J3589" s="3">
        <v>149</v>
      </c>
      <c r="K3589" s="4">
        <v>0.05</v>
      </c>
      <c r="L3589" s="3">
        <v>424.65</v>
      </c>
      <c r="M3589" t="b">
        <v>1</v>
      </c>
      <c r="N3589" s="2">
        <f>YEAR(B3589)</f>
        <v>2025</v>
      </c>
      <c r="O3589" t="str">
        <f>INDEX(Agences!$C:$C,MATCH(F3589,Agences!$A:$A,0))</f>
        <v>Est</v>
      </c>
      <c r="P3589" t="str">
        <f>INDEX(Produits!$C:$C,MATCH(H3589,Produits!$A:$A,0))</f>
        <v>Informatique</v>
      </c>
      <c r="Q3589" s="3">
        <f>I3589*INDEX(Produits!$E:$E,MATCH(H3589,Produits!$A:$A,0))</f>
        <v>344.19</v>
      </c>
      <c r="R3589" s="3">
        <f>L3589-Q3589</f>
        <v>80.45999999999998</v>
      </c>
      <c r="S3589" s="2">
        <f>NETWORKDAYS(B3589,C3589)-1</f>
        <v>5</v>
      </c>
      <c r="T3589" s="1">
        <f>WORKDAY(B3589,5)</f>
        <v>45734</v>
      </c>
      <c r="U3589" t="b">
        <f>C3589&gt;T3589</f>
        <v>0</v>
      </c>
    </row>
    <row r="3590" spans="1:21" x14ac:dyDescent="0.25">
      <c r="A3590" t="s">
        <v>2143</v>
      </c>
      <c r="B3590" s="1">
        <v>45727</v>
      </c>
      <c r="C3590" s="1">
        <v>45734</v>
      </c>
      <c r="D3590" t="s">
        <v>433</v>
      </c>
      <c r="E3590" t="s">
        <v>434</v>
      </c>
      <c r="F3590" t="s">
        <v>55</v>
      </c>
      <c r="G3590" t="s">
        <v>195</v>
      </c>
      <c r="H3590" t="s">
        <v>162</v>
      </c>
      <c r="I3590" s="2">
        <v>2</v>
      </c>
      <c r="J3590" s="3">
        <v>289</v>
      </c>
      <c r="K3590" s="4">
        <v>0.05</v>
      </c>
      <c r="L3590" s="3">
        <v>549.1</v>
      </c>
      <c r="M3590" t="b">
        <v>1</v>
      </c>
      <c r="N3590" s="2">
        <f>YEAR(B3590)</f>
        <v>2025</v>
      </c>
      <c r="O3590" t="str">
        <f>INDEX(Agences!$C:$C,MATCH(F3590,Agences!$A:$A,0))</f>
        <v>Est</v>
      </c>
      <c r="P3590" t="str">
        <f>INDEX(Produits!$C:$C,MATCH(H3590,Produits!$A:$A,0))</f>
        <v>Mobilier</v>
      </c>
      <c r="Q3590" s="3">
        <f>I3590*INDEX(Produits!$E:$E,MATCH(H3590,Produits!$A:$A,0))</f>
        <v>387.26</v>
      </c>
      <c r="R3590" s="3">
        <f>L3590-Q3590</f>
        <v>161.84000000000003</v>
      </c>
      <c r="S3590" s="2">
        <f>NETWORKDAYS(B3590,C3590)-1</f>
        <v>5</v>
      </c>
      <c r="T3590" s="1">
        <f>WORKDAY(B3590,5)</f>
        <v>45734</v>
      </c>
      <c r="U3590" t="b">
        <f>C3590&gt;T3590</f>
        <v>0</v>
      </c>
    </row>
    <row r="3591" spans="1:21" x14ac:dyDescent="0.25">
      <c r="A3591" t="s">
        <v>2144</v>
      </c>
      <c r="B3591" s="1">
        <v>45727</v>
      </c>
      <c r="C3591" s="1">
        <v>45728</v>
      </c>
      <c r="D3591" t="s">
        <v>296</v>
      </c>
      <c r="E3591" t="s">
        <v>229</v>
      </c>
      <c r="F3591" t="s">
        <v>55</v>
      </c>
      <c r="G3591" t="s">
        <v>195</v>
      </c>
      <c r="H3591" t="s">
        <v>205</v>
      </c>
      <c r="I3591" s="2">
        <v>1</v>
      </c>
      <c r="J3591" s="3">
        <v>359</v>
      </c>
      <c r="K3591" s="4">
        <v>0.05</v>
      </c>
      <c r="L3591" s="3">
        <v>341.05</v>
      </c>
      <c r="M3591" t="b">
        <v>1</v>
      </c>
      <c r="N3591" s="2">
        <f>YEAR(B3591)</f>
        <v>2025</v>
      </c>
      <c r="O3591" t="str">
        <f>INDEX(Agences!$C:$C,MATCH(F3591,Agences!$A:$A,0))</f>
        <v>Est</v>
      </c>
      <c r="P3591" t="str">
        <f>INDEX(Produits!$C:$C,MATCH(H3591,Produits!$A:$A,0))</f>
        <v>Mobilier</v>
      </c>
      <c r="Q3591" s="3">
        <f>I3591*INDEX(Produits!$E:$E,MATCH(H3591,Produits!$A:$A,0))</f>
        <v>204.63</v>
      </c>
      <c r="R3591" s="3">
        <f>L3591-Q3591</f>
        <v>136.42000000000002</v>
      </c>
      <c r="S3591" s="2">
        <f>NETWORKDAYS(B3591,C3591)-1</f>
        <v>1</v>
      </c>
      <c r="T3591" s="1">
        <f>WORKDAY(B3591,5)</f>
        <v>45734</v>
      </c>
      <c r="U3591" t="b">
        <f>C3591&gt;T3591</f>
        <v>0</v>
      </c>
    </row>
    <row r="3592" spans="1:21" x14ac:dyDescent="0.25">
      <c r="A3592" t="s">
        <v>2144</v>
      </c>
      <c r="B3592" s="1">
        <v>45727</v>
      </c>
      <c r="C3592" s="1">
        <v>45728</v>
      </c>
      <c r="D3592" t="s">
        <v>296</v>
      </c>
      <c r="E3592" t="s">
        <v>229</v>
      </c>
      <c r="F3592" t="s">
        <v>55</v>
      </c>
      <c r="G3592" t="s">
        <v>195</v>
      </c>
      <c r="H3592" t="s">
        <v>72</v>
      </c>
      <c r="I3592" s="2">
        <v>1</v>
      </c>
      <c r="J3592" s="3">
        <v>179</v>
      </c>
      <c r="K3592" s="4">
        <v>0.08</v>
      </c>
      <c r="L3592" s="3">
        <v>164.68</v>
      </c>
      <c r="M3592" t="b">
        <v>1</v>
      </c>
      <c r="N3592" s="2">
        <f>YEAR(B3592)</f>
        <v>2025</v>
      </c>
      <c r="O3592" t="str">
        <f>INDEX(Agences!$C:$C,MATCH(F3592,Agences!$A:$A,0))</f>
        <v>Est</v>
      </c>
      <c r="P3592" t="str">
        <f>INDEX(Produits!$C:$C,MATCH(H3592,Produits!$A:$A,0))</f>
        <v>Informatique</v>
      </c>
      <c r="Q3592" s="3">
        <f>I3592*INDEX(Produits!$E:$E,MATCH(H3592,Produits!$A:$A,0))</f>
        <v>146.78</v>
      </c>
      <c r="R3592" s="3">
        <f>L3592-Q3592</f>
        <v>17.900000000000006</v>
      </c>
      <c r="S3592" s="2">
        <f>NETWORKDAYS(B3592,C3592)-1</f>
        <v>1</v>
      </c>
      <c r="T3592" s="1">
        <f>WORKDAY(B3592,5)</f>
        <v>45734</v>
      </c>
      <c r="U3592" t="b">
        <f>C3592&gt;T3592</f>
        <v>0</v>
      </c>
    </row>
    <row r="3593" spans="1:21" x14ac:dyDescent="0.25">
      <c r="A3593" t="s">
        <v>2144</v>
      </c>
      <c r="B3593" s="1">
        <v>45727</v>
      </c>
      <c r="C3593" s="1">
        <v>45728</v>
      </c>
      <c r="D3593" t="s">
        <v>296</v>
      </c>
      <c r="E3593" t="s">
        <v>229</v>
      </c>
      <c r="F3593" t="s">
        <v>55</v>
      </c>
      <c r="G3593" t="s">
        <v>195</v>
      </c>
      <c r="H3593" t="s">
        <v>83</v>
      </c>
      <c r="I3593" s="2">
        <v>2</v>
      </c>
      <c r="J3593" s="3">
        <v>49</v>
      </c>
      <c r="K3593" s="4">
        <v>0.08</v>
      </c>
      <c r="L3593" s="3">
        <v>90.16</v>
      </c>
      <c r="M3593" t="b">
        <v>1</v>
      </c>
      <c r="N3593" s="2">
        <f>YEAR(B3593)</f>
        <v>2025</v>
      </c>
      <c r="O3593" t="str">
        <f>INDEX(Agences!$C:$C,MATCH(F3593,Agences!$A:$A,0))</f>
        <v>Est</v>
      </c>
      <c r="P3593" t="str">
        <f>INDEX(Produits!$C:$C,MATCH(H3593,Produits!$A:$A,0))</f>
        <v>Mobilier</v>
      </c>
      <c r="Q3593" s="3">
        <f>I3593*INDEX(Produits!$E:$E,MATCH(H3593,Produits!$A:$A,0))</f>
        <v>56.84</v>
      </c>
      <c r="R3593" s="3">
        <f>L3593-Q3593</f>
        <v>33.31999999999999</v>
      </c>
      <c r="S3593" s="2">
        <f>NETWORKDAYS(B3593,C3593)-1</f>
        <v>1</v>
      </c>
      <c r="T3593" s="1">
        <f>WORKDAY(B3593,5)</f>
        <v>45734</v>
      </c>
      <c r="U3593" t="b">
        <f>C3593&gt;T3593</f>
        <v>0</v>
      </c>
    </row>
    <row r="3594" spans="1:21" x14ac:dyDescent="0.25">
      <c r="A3594" t="s">
        <v>2144</v>
      </c>
      <c r="B3594" s="1">
        <v>45727</v>
      </c>
      <c r="C3594" s="1">
        <v>45728</v>
      </c>
      <c r="D3594" t="s">
        <v>296</v>
      </c>
      <c r="E3594" t="s">
        <v>229</v>
      </c>
      <c r="F3594" t="s">
        <v>55</v>
      </c>
      <c r="G3594" t="s">
        <v>195</v>
      </c>
      <c r="H3594" t="s">
        <v>42</v>
      </c>
      <c r="I3594" s="2">
        <v>1</v>
      </c>
      <c r="J3594" s="3">
        <v>55</v>
      </c>
      <c r="K3594" s="4">
        <v>0.05</v>
      </c>
      <c r="L3594" s="3">
        <v>52.25</v>
      </c>
      <c r="M3594" t="b">
        <v>1</v>
      </c>
      <c r="N3594" s="2">
        <f>YEAR(B3594)</f>
        <v>2025</v>
      </c>
      <c r="O3594" t="str">
        <f>INDEX(Agences!$C:$C,MATCH(F3594,Agences!$A:$A,0))</f>
        <v>Est</v>
      </c>
      <c r="P3594" t="str">
        <f>INDEX(Produits!$C:$C,MATCH(H3594,Produits!$A:$A,0))</f>
        <v>Maintenance</v>
      </c>
      <c r="Q3594" s="3">
        <f>I3594*INDEX(Produits!$E:$E,MATCH(H3594,Produits!$A:$A,0))</f>
        <v>24.75</v>
      </c>
      <c r="R3594" s="3">
        <f>L3594-Q3594</f>
        <v>27.5</v>
      </c>
      <c r="S3594" s="2">
        <f>NETWORKDAYS(B3594,C3594)-1</f>
        <v>1</v>
      </c>
      <c r="T3594" s="1">
        <f>WORKDAY(B3594,5)</f>
        <v>45734</v>
      </c>
      <c r="U3594" t="b">
        <f>C3594&gt;T3594</f>
        <v>0</v>
      </c>
    </row>
    <row r="3595" spans="1:21" x14ac:dyDescent="0.25">
      <c r="A3595" t="s">
        <v>2144</v>
      </c>
      <c r="B3595" s="1">
        <v>45727</v>
      </c>
      <c r="C3595" s="1">
        <v>45728</v>
      </c>
      <c r="D3595" t="s">
        <v>296</v>
      </c>
      <c r="E3595" t="s">
        <v>229</v>
      </c>
      <c r="F3595" t="s">
        <v>55</v>
      </c>
      <c r="G3595" t="s">
        <v>195</v>
      </c>
      <c r="H3595" t="s">
        <v>35</v>
      </c>
      <c r="I3595" s="2">
        <v>1</v>
      </c>
      <c r="J3595" s="3">
        <v>79</v>
      </c>
      <c r="K3595" s="4">
        <v>0.08</v>
      </c>
      <c r="L3595" s="3">
        <v>72.68</v>
      </c>
      <c r="M3595" t="b">
        <v>1</v>
      </c>
      <c r="N3595" s="2">
        <f>YEAR(B3595)</f>
        <v>2025</v>
      </c>
      <c r="O3595" t="str">
        <f>INDEX(Agences!$C:$C,MATCH(F3595,Agences!$A:$A,0))</f>
        <v>Est</v>
      </c>
      <c r="P3595" t="str">
        <f>INDEX(Produits!$C:$C,MATCH(H3595,Produits!$A:$A,0))</f>
        <v>Mobilier</v>
      </c>
      <c r="Q3595" s="3">
        <f>I3595*INDEX(Produits!$E:$E,MATCH(H3595,Produits!$A:$A,0))</f>
        <v>46.61</v>
      </c>
      <c r="R3595" s="3">
        <f>L3595-Q3595</f>
        <v>26.070000000000007</v>
      </c>
      <c r="S3595" s="2">
        <f>NETWORKDAYS(B3595,C3595)-1</f>
        <v>1</v>
      </c>
      <c r="T3595" s="1">
        <f>WORKDAY(B3595,5)</f>
        <v>45734</v>
      </c>
      <c r="U3595" t="b">
        <f>C3595&gt;T3595</f>
        <v>0</v>
      </c>
    </row>
    <row r="3596" spans="1:21" x14ac:dyDescent="0.25">
      <c r="A3596" t="s">
        <v>2145</v>
      </c>
      <c r="B3596" s="1">
        <v>45726</v>
      </c>
      <c r="C3596" s="1">
        <v>45727</v>
      </c>
      <c r="D3596" t="s">
        <v>414</v>
      </c>
      <c r="E3596" t="s">
        <v>172</v>
      </c>
      <c r="F3596" t="s">
        <v>99</v>
      </c>
      <c r="G3596" t="s">
        <v>100</v>
      </c>
      <c r="H3596" t="s">
        <v>606</v>
      </c>
      <c r="I3596" s="2">
        <v>1</v>
      </c>
      <c r="J3596" s="3">
        <v>1150</v>
      </c>
      <c r="K3596" s="4">
        <v>0</v>
      </c>
      <c r="L3596" s="3">
        <v>1150</v>
      </c>
      <c r="M3596" t="b">
        <v>1</v>
      </c>
      <c r="N3596" s="2">
        <f>YEAR(B3596)</f>
        <v>2025</v>
      </c>
      <c r="O3596" t="str">
        <f>INDEX(Agences!$C:$C,MATCH(F3596,Agences!$A:$A,0))</f>
        <v>Nord</v>
      </c>
      <c r="P3596" t="str">
        <f>INDEX(Produits!$C:$C,MATCH(H3596,Produits!$A:$A,0))</f>
        <v>Mobilier</v>
      </c>
      <c r="Q3596" s="3">
        <f>I3596*INDEX(Produits!$E:$E,MATCH(H3596,Produits!$A:$A,0))</f>
        <v>713</v>
      </c>
      <c r="R3596" s="3">
        <f>L3596-Q3596</f>
        <v>437</v>
      </c>
      <c r="S3596" s="2">
        <f>NETWORKDAYS(B3596,C3596)-1</f>
        <v>1</v>
      </c>
      <c r="T3596" s="1">
        <f>WORKDAY(B3596,5)</f>
        <v>45733</v>
      </c>
      <c r="U3596" t="b">
        <f>C3596&gt;T3596</f>
        <v>0</v>
      </c>
    </row>
    <row r="3597" spans="1:21" x14ac:dyDescent="0.25">
      <c r="A3597" t="s">
        <v>2145</v>
      </c>
      <c r="B3597" s="1">
        <v>45726</v>
      </c>
      <c r="C3597" s="1">
        <v>45727</v>
      </c>
      <c r="D3597" t="s">
        <v>414</v>
      </c>
      <c r="E3597" t="s">
        <v>172</v>
      </c>
      <c r="F3597" t="s">
        <v>99</v>
      </c>
      <c r="G3597" t="s">
        <v>100</v>
      </c>
      <c r="H3597" t="s">
        <v>34</v>
      </c>
      <c r="I3597" s="2">
        <v>1</v>
      </c>
      <c r="J3597" s="3">
        <v>340</v>
      </c>
      <c r="K3597" s="4">
        <v>0.08</v>
      </c>
      <c r="L3597" s="3">
        <v>312.8</v>
      </c>
      <c r="M3597" t="b">
        <v>1</v>
      </c>
      <c r="N3597" s="2">
        <f>YEAR(B3597)</f>
        <v>2025</v>
      </c>
      <c r="O3597" t="str">
        <f>INDEX(Agences!$C:$C,MATCH(F3597,Agences!$A:$A,0))</f>
        <v>Nord</v>
      </c>
      <c r="P3597" t="str">
        <f>INDEX(Produits!$C:$C,MATCH(H3597,Produits!$A:$A,0))</f>
        <v>Informatique</v>
      </c>
      <c r="Q3597" s="3">
        <f>I3597*INDEX(Produits!$E:$E,MATCH(H3597,Produits!$A:$A,0))</f>
        <v>275.4</v>
      </c>
      <c r="R3597" s="3">
        <f>L3597-Q3597</f>
        <v>37.400000000000034</v>
      </c>
      <c r="S3597" s="2">
        <f>NETWORKDAYS(B3597,C3597)-1</f>
        <v>1</v>
      </c>
      <c r="T3597" s="1">
        <f>WORKDAY(B3597,5)</f>
        <v>45733</v>
      </c>
      <c r="U3597" t="b">
        <f>C3597&gt;T3597</f>
        <v>0</v>
      </c>
    </row>
    <row r="3598" spans="1:21" x14ac:dyDescent="0.25">
      <c r="A3598" t="s">
        <v>2145</v>
      </c>
      <c r="B3598" s="1">
        <v>45726</v>
      </c>
      <c r="C3598" s="1">
        <v>45727</v>
      </c>
      <c r="D3598" t="s">
        <v>414</v>
      </c>
      <c r="E3598" t="s">
        <v>172</v>
      </c>
      <c r="F3598" t="s">
        <v>99</v>
      </c>
      <c r="G3598" t="s">
        <v>100</v>
      </c>
      <c r="H3598" t="s">
        <v>50</v>
      </c>
      <c r="I3598" s="2">
        <v>2</v>
      </c>
      <c r="J3598" s="3">
        <v>69</v>
      </c>
      <c r="K3598" s="4">
        <v>0</v>
      </c>
      <c r="L3598" s="3">
        <v>138</v>
      </c>
      <c r="M3598" t="b">
        <v>1</v>
      </c>
      <c r="N3598" s="2">
        <f>YEAR(B3598)</f>
        <v>2025</v>
      </c>
      <c r="O3598" t="str">
        <f>INDEX(Agences!$C:$C,MATCH(F3598,Agences!$A:$A,0))</f>
        <v>Nord</v>
      </c>
      <c r="P3598" t="str">
        <f>INDEX(Produits!$C:$C,MATCH(H3598,Produits!$A:$A,0))</f>
        <v>Informatique</v>
      </c>
      <c r="Q3598" s="3">
        <f>I3598*INDEX(Produits!$E:$E,MATCH(H3598,Produits!$A:$A,0))</f>
        <v>109.02</v>
      </c>
      <c r="R3598" s="3">
        <f>L3598-Q3598</f>
        <v>28.980000000000004</v>
      </c>
      <c r="S3598" s="2">
        <f>NETWORKDAYS(B3598,C3598)-1</f>
        <v>1</v>
      </c>
      <c r="T3598" s="1">
        <f>WORKDAY(B3598,5)</f>
        <v>45733</v>
      </c>
      <c r="U3598" t="b">
        <f>C3598&gt;T3598</f>
        <v>0</v>
      </c>
    </row>
    <row r="3599" spans="1:21" x14ac:dyDescent="0.25">
      <c r="A3599" t="s">
        <v>2146</v>
      </c>
      <c r="B3599" s="1">
        <v>45726</v>
      </c>
      <c r="C3599" s="1">
        <v>45728</v>
      </c>
      <c r="D3599" t="s">
        <v>442</v>
      </c>
      <c r="E3599" t="s">
        <v>251</v>
      </c>
      <c r="F3599" t="s">
        <v>166</v>
      </c>
      <c r="G3599" t="s">
        <v>167</v>
      </c>
      <c r="H3599" t="s">
        <v>33</v>
      </c>
      <c r="I3599" s="2">
        <v>2</v>
      </c>
      <c r="J3599" s="3">
        <v>219</v>
      </c>
      <c r="K3599" s="4">
        <v>0</v>
      </c>
      <c r="L3599" s="3">
        <v>438</v>
      </c>
      <c r="M3599" t="b">
        <v>1</v>
      </c>
      <c r="N3599" s="2">
        <f>YEAR(B3599)</f>
        <v>2025</v>
      </c>
      <c r="O3599" t="str">
        <f>INDEX(Agences!$C:$C,MATCH(F3599,Agences!$A:$A,0))</f>
        <v>Ouest</v>
      </c>
      <c r="P3599" t="str">
        <f>INDEX(Produits!$C:$C,MATCH(H3599,Produits!$A:$A,0))</f>
        <v>Informatique</v>
      </c>
      <c r="Q3599" s="3">
        <f>I3599*INDEX(Produits!$E:$E,MATCH(H3599,Produits!$A:$A,0))</f>
        <v>359.16</v>
      </c>
      <c r="R3599" s="3">
        <f>L3599-Q3599</f>
        <v>78.83999999999997</v>
      </c>
      <c r="S3599" s="2">
        <f>NETWORKDAYS(B3599,C3599)-1</f>
        <v>2</v>
      </c>
      <c r="T3599" s="1">
        <f>WORKDAY(B3599,5)</f>
        <v>45733</v>
      </c>
      <c r="U3599" t="b">
        <f>C3599&gt;T3599</f>
        <v>0</v>
      </c>
    </row>
    <row r="3600" spans="1:21" x14ac:dyDescent="0.25">
      <c r="A3600" t="s">
        <v>2146</v>
      </c>
      <c r="B3600" s="1">
        <v>45726</v>
      </c>
      <c r="C3600" s="1">
        <v>45728</v>
      </c>
      <c r="D3600" t="s">
        <v>442</v>
      </c>
      <c r="E3600" t="s">
        <v>251</v>
      </c>
      <c r="F3600" t="s">
        <v>166</v>
      </c>
      <c r="G3600" t="s">
        <v>167</v>
      </c>
      <c r="H3600" t="s">
        <v>107</v>
      </c>
      <c r="I3600" s="2">
        <v>2</v>
      </c>
      <c r="J3600" s="3">
        <v>99</v>
      </c>
      <c r="K3600" s="4">
        <v>0</v>
      </c>
      <c r="L3600" s="3">
        <v>198</v>
      </c>
      <c r="M3600" t="b">
        <v>1</v>
      </c>
      <c r="N3600" s="2">
        <f>YEAR(B3600)</f>
        <v>2025</v>
      </c>
      <c r="O3600" t="str">
        <f>INDEX(Agences!$C:$C,MATCH(F3600,Agences!$A:$A,0))</f>
        <v>Ouest</v>
      </c>
      <c r="P3600" t="str">
        <f>INDEX(Produits!$C:$C,MATCH(H3600,Produits!$A:$A,0))</f>
        <v>Informatique</v>
      </c>
      <c r="Q3600" s="3">
        <f>I3600*INDEX(Produits!$E:$E,MATCH(H3600,Produits!$A:$A,0))</f>
        <v>150.48</v>
      </c>
      <c r="R3600" s="3">
        <f>L3600-Q3600</f>
        <v>47.52000000000001</v>
      </c>
      <c r="S3600" s="2">
        <f>NETWORKDAYS(B3600,C3600)-1</f>
        <v>2</v>
      </c>
      <c r="T3600" s="1">
        <f>WORKDAY(B3600,5)</f>
        <v>45733</v>
      </c>
      <c r="U3600" t="b">
        <f>C3600&gt;T3600</f>
        <v>0</v>
      </c>
    </row>
    <row r="3601" spans="1:21" x14ac:dyDescent="0.25">
      <c r="A3601" t="s">
        <v>2146</v>
      </c>
      <c r="B3601" s="1">
        <v>45726</v>
      </c>
      <c r="C3601" s="1">
        <v>45728</v>
      </c>
      <c r="D3601" t="s">
        <v>442</v>
      </c>
      <c r="E3601" t="s">
        <v>251</v>
      </c>
      <c r="F3601" t="s">
        <v>166</v>
      </c>
      <c r="G3601" t="s">
        <v>167</v>
      </c>
      <c r="H3601" t="s">
        <v>50</v>
      </c>
      <c r="I3601" s="2">
        <v>1</v>
      </c>
      <c r="J3601" s="3">
        <v>69</v>
      </c>
      <c r="K3601" s="4">
        <v>0.08</v>
      </c>
      <c r="L3601" s="3">
        <v>63.48</v>
      </c>
      <c r="M3601" t="b">
        <v>1</v>
      </c>
      <c r="N3601" s="2">
        <f>YEAR(B3601)</f>
        <v>2025</v>
      </c>
      <c r="O3601" t="str">
        <f>INDEX(Agences!$C:$C,MATCH(F3601,Agences!$A:$A,0))</f>
        <v>Ouest</v>
      </c>
      <c r="P3601" t="str">
        <f>INDEX(Produits!$C:$C,MATCH(H3601,Produits!$A:$A,0))</f>
        <v>Informatique</v>
      </c>
      <c r="Q3601" s="3">
        <f>I3601*INDEX(Produits!$E:$E,MATCH(H3601,Produits!$A:$A,0))</f>
        <v>54.51</v>
      </c>
      <c r="R3601" s="3">
        <f>L3601-Q3601</f>
        <v>8.969999999999999</v>
      </c>
      <c r="S3601" s="2">
        <f>NETWORKDAYS(B3601,C3601)-1</f>
        <v>2</v>
      </c>
      <c r="T3601" s="1">
        <f>WORKDAY(B3601,5)</f>
        <v>45733</v>
      </c>
      <c r="U3601" t="b">
        <f>C3601&gt;T3601</f>
        <v>0</v>
      </c>
    </row>
    <row r="3602" spans="1:21" x14ac:dyDescent="0.25">
      <c r="A3602" t="s">
        <v>2147</v>
      </c>
      <c r="B3602" s="1">
        <v>45726</v>
      </c>
      <c r="C3602" s="1">
        <v>45728</v>
      </c>
      <c r="D3602" t="s">
        <v>204</v>
      </c>
      <c r="E3602" t="s">
        <v>93</v>
      </c>
      <c r="F3602" t="s">
        <v>94</v>
      </c>
      <c r="G3602" t="s">
        <v>95</v>
      </c>
      <c r="H3602" t="s">
        <v>50</v>
      </c>
      <c r="I3602" s="2">
        <v>1</v>
      </c>
      <c r="J3602" s="3">
        <v>69</v>
      </c>
      <c r="K3602" s="4">
        <v>0.05</v>
      </c>
      <c r="L3602" s="3">
        <v>65.55</v>
      </c>
      <c r="M3602" t="b">
        <v>1</v>
      </c>
      <c r="N3602" s="2">
        <f>YEAR(B3602)</f>
        <v>2025</v>
      </c>
      <c r="O3602" t="str">
        <f>INDEX(Agences!$C:$C,MATCH(F3602,Agences!$A:$A,0))</f>
        <v>Méditerranée</v>
      </c>
      <c r="P3602" t="str">
        <f>INDEX(Produits!$C:$C,MATCH(H3602,Produits!$A:$A,0))</f>
        <v>Informatique</v>
      </c>
      <c r="Q3602" s="3">
        <f>I3602*INDEX(Produits!$E:$E,MATCH(H3602,Produits!$A:$A,0))</f>
        <v>54.51</v>
      </c>
      <c r="R3602" s="3">
        <f>L3602-Q3602</f>
        <v>11.04</v>
      </c>
      <c r="S3602" s="2">
        <f>NETWORKDAYS(B3602,C3602)-1</f>
        <v>2</v>
      </c>
      <c r="T3602" s="1">
        <f>WORKDAY(B3602,5)</f>
        <v>45733</v>
      </c>
      <c r="U3602" t="b">
        <f>C3602&gt;T3602</f>
        <v>0</v>
      </c>
    </row>
    <row r="3603" spans="1:21" x14ac:dyDescent="0.25">
      <c r="A3603" t="s">
        <v>2148</v>
      </c>
      <c r="B3603" s="1">
        <v>45723</v>
      </c>
      <c r="C3603" s="1">
        <v>45727</v>
      </c>
      <c r="D3603" t="s">
        <v>482</v>
      </c>
      <c r="E3603" t="s">
        <v>185</v>
      </c>
      <c r="F3603" t="s">
        <v>31</v>
      </c>
      <c r="G3603" t="s">
        <v>186</v>
      </c>
      <c r="H3603" t="s">
        <v>84</v>
      </c>
      <c r="I3603" s="2">
        <v>1</v>
      </c>
      <c r="J3603" s="3">
        <v>420</v>
      </c>
      <c r="K3603" s="4">
        <v>0</v>
      </c>
      <c r="L3603" s="3">
        <v>420</v>
      </c>
      <c r="M3603" t="b">
        <v>1</v>
      </c>
      <c r="N3603" s="2">
        <f>YEAR(B3603)</f>
        <v>2025</v>
      </c>
      <c r="O3603" t="str">
        <f>INDEX(Agences!$C:$C,MATCH(F3603,Agences!$A:$A,0))</f>
        <v>Ouest</v>
      </c>
      <c r="P3603" t="str">
        <f>INDEX(Produits!$C:$C,MATCH(H3603,Produits!$A:$A,0))</f>
        <v>Mobilier</v>
      </c>
      <c r="Q3603" s="3">
        <f>I3603*INDEX(Produits!$E:$E,MATCH(H3603,Produits!$A:$A,0))</f>
        <v>243.6</v>
      </c>
      <c r="R3603" s="3">
        <f>L3603-Q3603</f>
        <v>176.4</v>
      </c>
      <c r="S3603" s="2">
        <f>NETWORKDAYS(B3603,C3603)-1</f>
        <v>2</v>
      </c>
      <c r="T3603" s="1">
        <f>WORKDAY(B3603,5)</f>
        <v>45730</v>
      </c>
      <c r="U3603" t="b">
        <f>C3603&gt;T3603</f>
        <v>0</v>
      </c>
    </row>
    <row r="3604" spans="1:21" x14ac:dyDescent="0.25">
      <c r="A3604" t="s">
        <v>2148</v>
      </c>
      <c r="B3604" s="1">
        <v>45723</v>
      </c>
      <c r="C3604" s="1">
        <v>45727</v>
      </c>
      <c r="D3604" t="s">
        <v>482</v>
      </c>
      <c r="E3604" t="s">
        <v>185</v>
      </c>
      <c r="F3604" t="s">
        <v>31</v>
      </c>
      <c r="G3604" t="s">
        <v>186</v>
      </c>
      <c r="H3604" t="s">
        <v>57</v>
      </c>
      <c r="I3604" s="2">
        <v>2</v>
      </c>
      <c r="J3604" s="3">
        <v>149</v>
      </c>
      <c r="K3604" s="4">
        <v>0.05</v>
      </c>
      <c r="L3604" s="3">
        <v>283.1</v>
      </c>
      <c r="M3604" t="b">
        <v>1</v>
      </c>
      <c r="N3604" s="2">
        <f>YEAR(B3604)</f>
        <v>2025</v>
      </c>
      <c r="O3604" t="str">
        <f>INDEX(Agences!$C:$C,MATCH(F3604,Agences!$A:$A,0))</f>
        <v>Ouest</v>
      </c>
      <c r="P3604" t="str">
        <f>INDEX(Produits!$C:$C,MATCH(H3604,Produits!$A:$A,0))</f>
        <v>Informatique</v>
      </c>
      <c r="Q3604" s="3">
        <f>I3604*INDEX(Produits!$E:$E,MATCH(H3604,Produits!$A:$A,0))</f>
        <v>229.46</v>
      </c>
      <c r="R3604" s="3">
        <f>L3604-Q3604</f>
        <v>53.640000000000015</v>
      </c>
      <c r="S3604" s="2">
        <f>NETWORKDAYS(B3604,C3604)-1</f>
        <v>2</v>
      </c>
      <c r="T3604" s="1">
        <f>WORKDAY(B3604,5)</f>
        <v>45730</v>
      </c>
      <c r="U3604" t="b">
        <f>C3604&gt;T3604</f>
        <v>0</v>
      </c>
    </row>
    <row r="3605" spans="1:21" x14ac:dyDescent="0.25">
      <c r="A3605" t="s">
        <v>2149</v>
      </c>
      <c r="B3605" s="1">
        <v>45723</v>
      </c>
      <c r="C3605" s="1">
        <v>45727</v>
      </c>
      <c r="D3605" t="s">
        <v>169</v>
      </c>
      <c r="E3605" t="s">
        <v>67</v>
      </c>
      <c r="F3605" t="s">
        <v>62</v>
      </c>
      <c r="G3605" t="s">
        <v>63</v>
      </c>
      <c r="H3605" t="s">
        <v>33</v>
      </c>
      <c r="I3605" s="2">
        <v>4</v>
      </c>
      <c r="J3605" s="3">
        <v>219</v>
      </c>
      <c r="K3605" s="4">
        <v>0</v>
      </c>
      <c r="L3605" s="3">
        <v>876</v>
      </c>
      <c r="M3605" t="b">
        <v>1</v>
      </c>
      <c r="N3605" s="2">
        <f>YEAR(B3605)</f>
        <v>2025</v>
      </c>
      <c r="O3605" t="str">
        <f>INDEX(Agences!$C:$C,MATCH(F3605,Agences!$A:$A,0))</f>
        <v>Méditerranée</v>
      </c>
      <c r="P3605" t="str">
        <f>INDEX(Produits!$C:$C,MATCH(H3605,Produits!$A:$A,0))</f>
        <v>Informatique</v>
      </c>
      <c r="Q3605" s="3">
        <f>I3605*INDEX(Produits!$E:$E,MATCH(H3605,Produits!$A:$A,0))</f>
        <v>718.32</v>
      </c>
      <c r="R3605" s="3">
        <f>L3605-Q3605</f>
        <v>157.67999999999995</v>
      </c>
      <c r="S3605" s="2">
        <f>NETWORKDAYS(B3605,C3605)-1</f>
        <v>2</v>
      </c>
      <c r="T3605" s="1">
        <f>WORKDAY(B3605,5)</f>
        <v>45730</v>
      </c>
      <c r="U3605" t="b">
        <f>C3605&gt;T3605</f>
        <v>0</v>
      </c>
    </row>
    <row r="3606" spans="1:21" x14ac:dyDescent="0.25">
      <c r="A3606" t="s">
        <v>2150</v>
      </c>
      <c r="B3606" s="1">
        <v>45722</v>
      </c>
      <c r="C3606" s="1">
        <v>45729</v>
      </c>
      <c r="D3606" t="s">
        <v>1173</v>
      </c>
      <c r="E3606" t="s">
        <v>209</v>
      </c>
      <c r="F3606" t="s">
        <v>99</v>
      </c>
      <c r="G3606" t="s">
        <v>210</v>
      </c>
      <c r="H3606" t="s">
        <v>50</v>
      </c>
      <c r="I3606" s="2">
        <v>1</v>
      </c>
      <c r="J3606" s="3">
        <v>69</v>
      </c>
      <c r="K3606" s="4">
        <v>0</v>
      </c>
      <c r="L3606" s="3">
        <v>69</v>
      </c>
      <c r="M3606" t="b">
        <v>1</v>
      </c>
      <c r="N3606" s="2">
        <f>YEAR(B3606)</f>
        <v>2025</v>
      </c>
      <c r="O3606" t="str">
        <f>INDEX(Agences!$C:$C,MATCH(F3606,Agences!$A:$A,0))</f>
        <v>Nord</v>
      </c>
      <c r="P3606" t="str">
        <f>INDEX(Produits!$C:$C,MATCH(H3606,Produits!$A:$A,0))</f>
        <v>Informatique</v>
      </c>
      <c r="Q3606" s="3">
        <f>I3606*INDEX(Produits!$E:$E,MATCH(H3606,Produits!$A:$A,0))</f>
        <v>54.51</v>
      </c>
      <c r="R3606" s="3">
        <f>L3606-Q3606</f>
        <v>14.490000000000002</v>
      </c>
      <c r="S3606" s="2">
        <f>NETWORKDAYS(B3606,C3606)-1</f>
        <v>5</v>
      </c>
      <c r="T3606" s="1">
        <f>WORKDAY(B3606,5)</f>
        <v>45729</v>
      </c>
      <c r="U3606" t="b">
        <f>C3606&gt;T3606</f>
        <v>0</v>
      </c>
    </row>
    <row r="3607" spans="1:21" x14ac:dyDescent="0.25">
      <c r="A3607" t="s">
        <v>2150</v>
      </c>
      <c r="B3607" s="1">
        <v>45722</v>
      </c>
      <c r="C3607" s="1">
        <v>45729</v>
      </c>
      <c r="D3607" t="s">
        <v>1173</v>
      </c>
      <c r="E3607" t="s">
        <v>209</v>
      </c>
      <c r="F3607" t="s">
        <v>99</v>
      </c>
      <c r="G3607" t="s">
        <v>210</v>
      </c>
      <c r="H3607" t="s">
        <v>72</v>
      </c>
      <c r="I3607" s="2">
        <v>1</v>
      </c>
      <c r="J3607" s="3">
        <v>179</v>
      </c>
      <c r="K3607" s="4">
        <v>0</v>
      </c>
      <c r="L3607" s="3">
        <v>179</v>
      </c>
      <c r="M3607" t="b">
        <v>1</v>
      </c>
      <c r="N3607" s="2">
        <f>YEAR(B3607)</f>
        <v>2025</v>
      </c>
      <c r="O3607" t="str">
        <f>INDEX(Agences!$C:$C,MATCH(F3607,Agences!$A:$A,0))</f>
        <v>Nord</v>
      </c>
      <c r="P3607" t="str">
        <f>INDEX(Produits!$C:$C,MATCH(H3607,Produits!$A:$A,0))</f>
        <v>Informatique</v>
      </c>
      <c r="Q3607" s="3">
        <f>I3607*INDEX(Produits!$E:$E,MATCH(H3607,Produits!$A:$A,0))</f>
        <v>146.78</v>
      </c>
      <c r="R3607" s="3">
        <f>L3607-Q3607</f>
        <v>32.22</v>
      </c>
      <c r="S3607" s="2">
        <f>NETWORKDAYS(B3607,C3607)-1</f>
        <v>5</v>
      </c>
      <c r="T3607" s="1">
        <f>WORKDAY(B3607,5)</f>
        <v>45729</v>
      </c>
      <c r="U3607" t="b">
        <f>C3607&gt;T3607</f>
        <v>0</v>
      </c>
    </row>
    <row r="3608" spans="1:21" x14ac:dyDescent="0.25">
      <c r="A3608" t="s">
        <v>2150</v>
      </c>
      <c r="B3608" s="1">
        <v>45722</v>
      </c>
      <c r="C3608" s="1">
        <v>45729</v>
      </c>
      <c r="D3608" t="s">
        <v>1173</v>
      </c>
      <c r="E3608" t="s">
        <v>209</v>
      </c>
      <c r="F3608" t="s">
        <v>99</v>
      </c>
      <c r="G3608" t="s">
        <v>210</v>
      </c>
      <c r="H3608" t="s">
        <v>26</v>
      </c>
      <c r="I3608" s="2">
        <v>1</v>
      </c>
      <c r="J3608" s="3">
        <v>290</v>
      </c>
      <c r="K3608" s="4">
        <v>0</v>
      </c>
      <c r="L3608" s="3">
        <v>290</v>
      </c>
      <c r="M3608" t="b">
        <v>1</v>
      </c>
      <c r="N3608" s="2">
        <f>YEAR(B3608)</f>
        <v>2025</v>
      </c>
      <c r="O3608" t="str">
        <f>INDEX(Agences!$C:$C,MATCH(F3608,Agences!$A:$A,0))</f>
        <v>Nord</v>
      </c>
      <c r="P3608" t="str">
        <f>INDEX(Produits!$C:$C,MATCH(H3608,Produits!$A:$A,0))</f>
        <v>Maintenance</v>
      </c>
      <c r="Q3608" s="3">
        <f>I3608*INDEX(Produits!$E:$E,MATCH(H3608,Produits!$A:$A,0))</f>
        <v>139.2</v>
      </c>
      <c r="R3608" s="3">
        <f>L3608-Q3608</f>
        <v>150.8</v>
      </c>
      <c r="S3608" s="2">
        <f>NETWORKDAYS(B3608,C3608)-1</f>
        <v>5</v>
      </c>
      <c r="T3608" s="1">
        <f>WORKDAY(B3608,5)</f>
        <v>45729</v>
      </c>
      <c r="U3608" t="b">
        <f>C3608&gt;T3608</f>
        <v>0</v>
      </c>
    </row>
    <row r="3609" spans="1:21" x14ac:dyDescent="0.25">
      <c r="A3609" t="s">
        <v>2151</v>
      </c>
      <c r="B3609" s="1">
        <v>45722</v>
      </c>
      <c r="C3609" s="1">
        <v>45723</v>
      </c>
      <c r="D3609" t="s">
        <v>1919</v>
      </c>
      <c r="E3609" t="s">
        <v>45</v>
      </c>
      <c r="F3609" t="s">
        <v>46</v>
      </c>
      <c r="G3609" t="s">
        <v>158</v>
      </c>
      <c r="H3609" t="s">
        <v>79</v>
      </c>
      <c r="I3609" s="2">
        <v>5</v>
      </c>
      <c r="J3609" s="3">
        <v>14.9</v>
      </c>
      <c r="K3609" s="4">
        <v>0</v>
      </c>
      <c r="L3609" s="3">
        <v>74.5</v>
      </c>
      <c r="M3609" t="b">
        <v>1</v>
      </c>
      <c r="N3609" s="2">
        <f>YEAR(B3609)</f>
        <v>2025</v>
      </c>
      <c r="O3609" t="str">
        <f>INDEX(Agences!$C:$C,MATCH(F3609,Agences!$A:$A,0))</f>
        <v>Est</v>
      </c>
      <c r="P3609" t="str">
        <f>INDEX(Produits!$C:$C,MATCH(H3609,Produits!$A:$A,0))</f>
        <v>Fournitures</v>
      </c>
      <c r="Q3609" s="3">
        <f>I3609*INDEX(Produits!$E:$E,MATCH(H3609,Produits!$A:$A,0))</f>
        <v>40.25</v>
      </c>
      <c r="R3609" s="3">
        <f>L3609-Q3609</f>
        <v>34.25</v>
      </c>
      <c r="S3609" s="2">
        <f>NETWORKDAYS(B3609,C3609)-1</f>
        <v>1</v>
      </c>
      <c r="T3609" s="1">
        <f>WORKDAY(B3609,5)</f>
        <v>45729</v>
      </c>
      <c r="U3609" t="b">
        <f>C3609&gt;T3609</f>
        <v>0</v>
      </c>
    </row>
    <row r="3610" spans="1:21" x14ac:dyDescent="0.25">
      <c r="A3610" t="s">
        <v>2151</v>
      </c>
      <c r="B3610" s="1">
        <v>45722</v>
      </c>
      <c r="C3610" s="1">
        <v>45723</v>
      </c>
      <c r="D3610" t="s">
        <v>1919</v>
      </c>
      <c r="E3610" t="s">
        <v>45</v>
      </c>
      <c r="F3610" t="s">
        <v>46</v>
      </c>
      <c r="G3610" t="s">
        <v>158</v>
      </c>
      <c r="H3610" t="s">
        <v>35</v>
      </c>
      <c r="I3610" s="2">
        <v>2</v>
      </c>
      <c r="J3610" s="3">
        <v>79</v>
      </c>
      <c r="K3610" s="4">
        <v>0</v>
      </c>
      <c r="L3610" s="3">
        <v>158</v>
      </c>
      <c r="M3610" t="b">
        <v>1</v>
      </c>
      <c r="N3610" s="2">
        <f>YEAR(B3610)</f>
        <v>2025</v>
      </c>
      <c r="O3610" t="str">
        <f>INDEX(Agences!$C:$C,MATCH(F3610,Agences!$A:$A,0))</f>
        <v>Est</v>
      </c>
      <c r="P3610" t="str">
        <f>INDEX(Produits!$C:$C,MATCH(H3610,Produits!$A:$A,0))</f>
        <v>Mobilier</v>
      </c>
      <c r="Q3610" s="3">
        <f>I3610*INDEX(Produits!$E:$E,MATCH(H3610,Produits!$A:$A,0))</f>
        <v>93.22</v>
      </c>
      <c r="R3610" s="3">
        <f>L3610-Q3610</f>
        <v>64.78</v>
      </c>
      <c r="S3610" s="2">
        <f>NETWORKDAYS(B3610,C3610)-1</f>
        <v>1</v>
      </c>
      <c r="T3610" s="1">
        <f>WORKDAY(B3610,5)</f>
        <v>45729</v>
      </c>
      <c r="U3610" t="b">
        <f>C3610&gt;T3610</f>
        <v>0</v>
      </c>
    </row>
    <row r="3611" spans="1:21" x14ac:dyDescent="0.25">
      <c r="A3611" t="s">
        <v>2151</v>
      </c>
      <c r="B3611" s="1">
        <v>45722</v>
      </c>
      <c r="C3611" s="1">
        <v>45723</v>
      </c>
      <c r="D3611" t="s">
        <v>1919</v>
      </c>
      <c r="E3611" t="s">
        <v>45</v>
      </c>
      <c r="F3611" t="s">
        <v>46</v>
      </c>
      <c r="G3611" t="s">
        <v>158</v>
      </c>
      <c r="H3611" t="s">
        <v>57</v>
      </c>
      <c r="I3611" s="2">
        <v>1</v>
      </c>
      <c r="J3611" s="3">
        <v>149</v>
      </c>
      <c r="K3611" s="4">
        <v>0.1</v>
      </c>
      <c r="L3611" s="3">
        <v>134.1</v>
      </c>
      <c r="M3611" t="b">
        <v>1</v>
      </c>
      <c r="N3611" s="2">
        <f>YEAR(B3611)</f>
        <v>2025</v>
      </c>
      <c r="O3611" t="str">
        <f>INDEX(Agences!$C:$C,MATCH(F3611,Agences!$A:$A,0))</f>
        <v>Est</v>
      </c>
      <c r="P3611" t="str">
        <f>INDEX(Produits!$C:$C,MATCH(H3611,Produits!$A:$A,0))</f>
        <v>Informatique</v>
      </c>
      <c r="Q3611" s="3">
        <f>I3611*INDEX(Produits!$E:$E,MATCH(H3611,Produits!$A:$A,0))</f>
        <v>114.73</v>
      </c>
      <c r="R3611" s="3">
        <f>L3611-Q3611</f>
        <v>19.36999999999999</v>
      </c>
      <c r="S3611" s="2">
        <f>NETWORKDAYS(B3611,C3611)-1</f>
        <v>1</v>
      </c>
      <c r="T3611" s="1">
        <f>WORKDAY(B3611,5)</f>
        <v>45729</v>
      </c>
      <c r="U3611" t="b">
        <f>C3611&gt;T3611</f>
        <v>0</v>
      </c>
    </row>
    <row r="3612" spans="1:21" x14ac:dyDescent="0.25">
      <c r="A3612" t="s">
        <v>2151</v>
      </c>
      <c r="B3612" s="1">
        <v>45722</v>
      </c>
      <c r="C3612" s="1">
        <v>45723</v>
      </c>
      <c r="D3612" t="s">
        <v>1919</v>
      </c>
      <c r="E3612" t="s">
        <v>45</v>
      </c>
      <c r="F3612" t="s">
        <v>46</v>
      </c>
      <c r="G3612" t="s">
        <v>158</v>
      </c>
      <c r="H3612" t="s">
        <v>161</v>
      </c>
      <c r="I3612" s="2">
        <v>10</v>
      </c>
      <c r="J3612" s="3">
        <v>32</v>
      </c>
      <c r="K3612" s="4">
        <v>0</v>
      </c>
      <c r="L3612" s="3">
        <v>320</v>
      </c>
      <c r="M3612" t="b">
        <v>1</v>
      </c>
      <c r="N3612" s="2">
        <f>YEAR(B3612)</f>
        <v>2025</v>
      </c>
      <c r="O3612" t="str">
        <f>INDEX(Agences!$C:$C,MATCH(F3612,Agences!$A:$A,0))</f>
        <v>Est</v>
      </c>
      <c r="P3612" t="str">
        <f>INDEX(Produits!$C:$C,MATCH(H3612,Produits!$A:$A,0))</f>
        <v>Fournitures</v>
      </c>
      <c r="Q3612" s="3">
        <f>I3612*INDEX(Produits!$E:$E,MATCH(H3612,Produits!$A:$A,0))</f>
        <v>176</v>
      </c>
      <c r="R3612" s="3">
        <f>L3612-Q3612</f>
        <v>144</v>
      </c>
      <c r="S3612" s="2">
        <f>NETWORKDAYS(B3612,C3612)-1</f>
        <v>1</v>
      </c>
      <c r="T3612" s="1">
        <f>WORKDAY(B3612,5)</f>
        <v>45729</v>
      </c>
      <c r="U3612" t="b">
        <f>C3612&gt;T3612</f>
        <v>0</v>
      </c>
    </row>
    <row r="3613" spans="1:21" x14ac:dyDescent="0.25">
      <c r="A3613" t="s">
        <v>2151</v>
      </c>
      <c r="B3613" s="1">
        <v>45722</v>
      </c>
      <c r="C3613" s="1">
        <v>45723</v>
      </c>
      <c r="D3613" t="s">
        <v>1919</v>
      </c>
      <c r="E3613" t="s">
        <v>45</v>
      </c>
      <c r="F3613" t="s">
        <v>46</v>
      </c>
      <c r="G3613" t="s">
        <v>158</v>
      </c>
      <c r="H3613" t="s">
        <v>107</v>
      </c>
      <c r="I3613" s="2">
        <v>2</v>
      </c>
      <c r="J3613" s="3">
        <v>99</v>
      </c>
      <c r="K3613" s="4">
        <v>0</v>
      </c>
      <c r="L3613" s="3">
        <v>198</v>
      </c>
      <c r="M3613" t="b">
        <v>1</v>
      </c>
      <c r="N3613" s="2">
        <f>YEAR(B3613)</f>
        <v>2025</v>
      </c>
      <c r="O3613" t="str">
        <f>INDEX(Agences!$C:$C,MATCH(F3613,Agences!$A:$A,0))</f>
        <v>Est</v>
      </c>
      <c r="P3613" t="str">
        <f>INDEX(Produits!$C:$C,MATCH(H3613,Produits!$A:$A,0))</f>
        <v>Informatique</v>
      </c>
      <c r="Q3613" s="3">
        <f>I3613*INDEX(Produits!$E:$E,MATCH(H3613,Produits!$A:$A,0))</f>
        <v>150.48</v>
      </c>
      <c r="R3613" s="3">
        <f>L3613-Q3613</f>
        <v>47.52000000000001</v>
      </c>
      <c r="S3613" s="2">
        <f>NETWORKDAYS(B3613,C3613)-1</f>
        <v>1</v>
      </c>
      <c r="T3613" s="1">
        <f>WORKDAY(B3613,5)</f>
        <v>45729</v>
      </c>
      <c r="U3613" t="b">
        <f>C3613&gt;T3613</f>
        <v>0</v>
      </c>
    </row>
    <row r="3614" spans="1:21" x14ac:dyDescent="0.25">
      <c r="A3614" t="s">
        <v>2152</v>
      </c>
      <c r="B3614" s="1">
        <v>45721</v>
      </c>
      <c r="C3614" s="1">
        <v>45722</v>
      </c>
      <c r="D3614" t="s">
        <v>535</v>
      </c>
      <c r="E3614" t="s">
        <v>236</v>
      </c>
      <c r="F3614" t="s">
        <v>39</v>
      </c>
      <c r="G3614" t="s">
        <v>131</v>
      </c>
      <c r="H3614" t="s">
        <v>64</v>
      </c>
      <c r="I3614" s="2">
        <v>10</v>
      </c>
      <c r="J3614" s="3">
        <v>16.8</v>
      </c>
      <c r="K3614" s="4">
        <v>0</v>
      </c>
      <c r="L3614" s="3">
        <v>168</v>
      </c>
      <c r="M3614" t="b">
        <v>1</v>
      </c>
      <c r="N3614" s="2">
        <f>YEAR(B3614)</f>
        <v>2025</v>
      </c>
      <c r="O3614" t="str">
        <f>INDEX(Agences!$C:$C,MATCH(F3614,Agences!$A:$A,0))</f>
        <v>Sud-Ouest</v>
      </c>
      <c r="P3614" t="str">
        <f>INDEX(Produits!$C:$C,MATCH(H3614,Produits!$A:$A,0))</f>
        <v>Fournitures</v>
      </c>
      <c r="Q3614" s="3">
        <f>I3614*INDEX(Produits!$E:$E,MATCH(H3614,Produits!$A:$A,0))</f>
        <v>87.4</v>
      </c>
      <c r="R3614" s="3">
        <f>L3614-Q3614</f>
        <v>80.6</v>
      </c>
      <c r="S3614" s="2">
        <f>NETWORKDAYS(B3614,C3614)-1</f>
        <v>1</v>
      </c>
      <c r="T3614" s="1">
        <f>WORKDAY(B3614,5)</f>
        <v>45728</v>
      </c>
      <c r="U3614" t="b">
        <f>C3614&gt;T3614</f>
        <v>0</v>
      </c>
    </row>
    <row r="3615" spans="1:21" x14ac:dyDescent="0.25">
      <c r="A3615" t="s">
        <v>2152</v>
      </c>
      <c r="B3615" s="1">
        <v>45721</v>
      </c>
      <c r="C3615" s="1">
        <v>45722</v>
      </c>
      <c r="D3615" t="s">
        <v>535</v>
      </c>
      <c r="E3615" t="s">
        <v>236</v>
      </c>
      <c r="F3615" t="s">
        <v>39</v>
      </c>
      <c r="G3615" t="s">
        <v>131</v>
      </c>
      <c r="H3615" t="s">
        <v>233</v>
      </c>
      <c r="I3615" s="2">
        <v>5</v>
      </c>
      <c r="J3615" s="3">
        <v>27.5</v>
      </c>
      <c r="K3615" s="4">
        <v>0</v>
      </c>
      <c r="L3615" s="3">
        <v>137.5</v>
      </c>
      <c r="M3615" t="b">
        <v>1</v>
      </c>
      <c r="N3615" s="2">
        <f>YEAR(B3615)</f>
        <v>2025</v>
      </c>
      <c r="O3615" t="str">
        <f>INDEX(Agences!$C:$C,MATCH(F3615,Agences!$A:$A,0))</f>
        <v>Sud-Ouest</v>
      </c>
      <c r="P3615" t="str">
        <f>INDEX(Produits!$C:$C,MATCH(H3615,Produits!$A:$A,0))</f>
        <v>Fournitures</v>
      </c>
      <c r="Q3615" s="3">
        <f>I3615*INDEX(Produits!$E:$E,MATCH(H3615,Produits!$A:$A,0))</f>
        <v>77</v>
      </c>
      <c r="R3615" s="3">
        <f>L3615-Q3615</f>
        <v>60.5</v>
      </c>
      <c r="S3615" s="2">
        <f>NETWORKDAYS(B3615,C3615)-1</f>
        <v>1</v>
      </c>
      <c r="T3615" s="1">
        <f>WORKDAY(B3615,5)</f>
        <v>45728</v>
      </c>
      <c r="U3615" t="b">
        <f>C3615&gt;T3615</f>
        <v>0</v>
      </c>
    </row>
    <row r="3616" spans="1:21" x14ac:dyDescent="0.25">
      <c r="A3616" t="s">
        <v>2152</v>
      </c>
      <c r="B3616" s="1">
        <v>45721</v>
      </c>
      <c r="C3616" s="1">
        <v>45722</v>
      </c>
      <c r="D3616" t="s">
        <v>535</v>
      </c>
      <c r="E3616" t="s">
        <v>236</v>
      </c>
      <c r="F3616" t="s">
        <v>39</v>
      </c>
      <c r="G3616" t="s">
        <v>131</v>
      </c>
      <c r="H3616" t="s">
        <v>42</v>
      </c>
      <c r="I3616" s="2">
        <v>2</v>
      </c>
      <c r="J3616" s="3">
        <v>55</v>
      </c>
      <c r="K3616" s="4">
        <v>0.05</v>
      </c>
      <c r="L3616" s="3">
        <v>104.5</v>
      </c>
      <c r="M3616" t="b">
        <v>1</v>
      </c>
      <c r="N3616" s="2">
        <f>YEAR(B3616)</f>
        <v>2025</v>
      </c>
      <c r="O3616" t="str">
        <f>INDEX(Agences!$C:$C,MATCH(F3616,Agences!$A:$A,0))</f>
        <v>Sud-Ouest</v>
      </c>
      <c r="P3616" t="str">
        <f>INDEX(Produits!$C:$C,MATCH(H3616,Produits!$A:$A,0))</f>
        <v>Maintenance</v>
      </c>
      <c r="Q3616" s="3">
        <f>I3616*INDEX(Produits!$E:$E,MATCH(H3616,Produits!$A:$A,0))</f>
        <v>49.5</v>
      </c>
      <c r="R3616" s="3">
        <f>L3616-Q3616</f>
        <v>55</v>
      </c>
      <c r="S3616" s="2">
        <f>NETWORKDAYS(B3616,C3616)-1</f>
        <v>1</v>
      </c>
      <c r="T3616" s="1">
        <f>WORKDAY(B3616,5)</f>
        <v>45728</v>
      </c>
      <c r="U3616" t="b">
        <f>C3616&gt;T3616</f>
        <v>0</v>
      </c>
    </row>
    <row r="3617" spans="1:21" x14ac:dyDescent="0.25">
      <c r="A3617" t="s">
        <v>2152</v>
      </c>
      <c r="B3617" s="1">
        <v>45721</v>
      </c>
      <c r="C3617" s="1">
        <v>45722</v>
      </c>
      <c r="D3617" t="s">
        <v>535</v>
      </c>
      <c r="E3617" t="s">
        <v>236</v>
      </c>
      <c r="F3617" t="s">
        <v>39</v>
      </c>
      <c r="G3617" t="s">
        <v>131</v>
      </c>
      <c r="H3617" t="s">
        <v>50</v>
      </c>
      <c r="I3617" s="2">
        <v>1</v>
      </c>
      <c r="J3617" s="3">
        <v>69</v>
      </c>
      <c r="K3617" s="4">
        <v>0.08</v>
      </c>
      <c r="L3617" s="3">
        <v>63.48</v>
      </c>
      <c r="M3617" t="b">
        <v>1</v>
      </c>
      <c r="N3617" s="2">
        <f>YEAR(B3617)</f>
        <v>2025</v>
      </c>
      <c r="O3617" t="str">
        <f>INDEX(Agences!$C:$C,MATCH(F3617,Agences!$A:$A,0))</f>
        <v>Sud-Ouest</v>
      </c>
      <c r="P3617" t="str">
        <f>INDEX(Produits!$C:$C,MATCH(H3617,Produits!$A:$A,0))</f>
        <v>Informatique</v>
      </c>
      <c r="Q3617" s="3">
        <f>I3617*INDEX(Produits!$E:$E,MATCH(H3617,Produits!$A:$A,0))</f>
        <v>54.51</v>
      </c>
      <c r="R3617" s="3">
        <f>L3617-Q3617</f>
        <v>8.969999999999999</v>
      </c>
      <c r="S3617" s="2">
        <f>NETWORKDAYS(B3617,C3617)-1</f>
        <v>1</v>
      </c>
      <c r="T3617" s="1">
        <f>WORKDAY(B3617,5)</f>
        <v>45728</v>
      </c>
      <c r="U3617" t="b">
        <f>C3617&gt;T3617</f>
        <v>0</v>
      </c>
    </row>
    <row r="3618" spans="1:21" x14ac:dyDescent="0.25">
      <c r="A3618" t="s">
        <v>2153</v>
      </c>
      <c r="B3618" s="1">
        <v>45721</v>
      </c>
      <c r="C3618" s="1">
        <v>45728</v>
      </c>
      <c r="D3618" t="s">
        <v>614</v>
      </c>
      <c r="E3618" t="s">
        <v>45</v>
      </c>
      <c r="F3618" t="s">
        <v>46</v>
      </c>
      <c r="G3618" t="s">
        <v>158</v>
      </c>
      <c r="H3618" t="s">
        <v>90</v>
      </c>
      <c r="I3618" s="2">
        <v>10</v>
      </c>
      <c r="J3618" s="3">
        <v>22.9</v>
      </c>
      <c r="K3618" s="4">
        <v>0</v>
      </c>
      <c r="L3618" s="3">
        <v>229</v>
      </c>
      <c r="M3618" t="b">
        <v>1</v>
      </c>
      <c r="N3618" s="2">
        <f>YEAR(B3618)</f>
        <v>2025</v>
      </c>
      <c r="O3618" t="str">
        <f>INDEX(Agences!$C:$C,MATCH(F3618,Agences!$A:$A,0))</f>
        <v>Est</v>
      </c>
      <c r="P3618" t="str">
        <f>INDEX(Produits!$C:$C,MATCH(H3618,Produits!$A:$A,0))</f>
        <v>Fournitures</v>
      </c>
      <c r="Q3618" s="3">
        <f>I3618*INDEX(Produits!$E:$E,MATCH(H3618,Produits!$A:$A,0))</f>
        <v>128.2</v>
      </c>
      <c r="R3618" s="3">
        <f>L3618-Q3618</f>
        <v>100.80000000000001</v>
      </c>
      <c r="S3618" s="2">
        <f>NETWORKDAYS(B3618,C3618)-1</f>
        <v>5</v>
      </c>
      <c r="T3618" s="1">
        <f>WORKDAY(B3618,5)</f>
        <v>45728</v>
      </c>
      <c r="U3618" t="b">
        <f>C3618&gt;T3618</f>
        <v>0</v>
      </c>
    </row>
    <row r="3619" spans="1:21" x14ac:dyDescent="0.25">
      <c r="A3619" t="s">
        <v>2153</v>
      </c>
      <c r="B3619" s="1">
        <v>45721</v>
      </c>
      <c r="C3619" s="1">
        <v>45728</v>
      </c>
      <c r="D3619" t="s">
        <v>614</v>
      </c>
      <c r="E3619" t="s">
        <v>45</v>
      </c>
      <c r="F3619" t="s">
        <v>46</v>
      </c>
      <c r="G3619" t="s">
        <v>158</v>
      </c>
      <c r="H3619" t="s">
        <v>83</v>
      </c>
      <c r="I3619" s="2">
        <v>2</v>
      </c>
      <c r="J3619" s="3">
        <v>49</v>
      </c>
      <c r="K3619" s="4">
        <v>0.1</v>
      </c>
      <c r="L3619" s="3">
        <v>88.2</v>
      </c>
      <c r="M3619" t="b">
        <v>1</v>
      </c>
      <c r="N3619" s="2">
        <f>YEAR(B3619)</f>
        <v>2025</v>
      </c>
      <c r="O3619" t="str">
        <f>INDEX(Agences!$C:$C,MATCH(F3619,Agences!$A:$A,0))</f>
        <v>Est</v>
      </c>
      <c r="P3619" t="str">
        <f>INDEX(Produits!$C:$C,MATCH(H3619,Produits!$A:$A,0))</f>
        <v>Mobilier</v>
      </c>
      <c r="Q3619" s="3">
        <f>I3619*INDEX(Produits!$E:$E,MATCH(H3619,Produits!$A:$A,0))</f>
        <v>56.84</v>
      </c>
      <c r="R3619" s="3">
        <f>L3619-Q3619</f>
        <v>31.36</v>
      </c>
      <c r="S3619" s="2">
        <f>NETWORKDAYS(B3619,C3619)-1</f>
        <v>5</v>
      </c>
      <c r="T3619" s="1">
        <f>WORKDAY(B3619,5)</f>
        <v>45728</v>
      </c>
      <c r="U3619" t="b">
        <f>C3619&gt;T3619</f>
        <v>0</v>
      </c>
    </row>
    <row r="3620" spans="1:21" x14ac:dyDescent="0.25">
      <c r="A3620" t="s">
        <v>2153</v>
      </c>
      <c r="B3620" s="1">
        <v>45721</v>
      </c>
      <c r="C3620" s="1">
        <v>45728</v>
      </c>
      <c r="D3620" t="s">
        <v>614</v>
      </c>
      <c r="E3620" t="s">
        <v>45</v>
      </c>
      <c r="F3620" t="s">
        <v>46</v>
      </c>
      <c r="G3620" t="s">
        <v>158</v>
      </c>
      <c r="H3620" t="s">
        <v>50</v>
      </c>
      <c r="I3620" s="2">
        <v>1</v>
      </c>
      <c r="J3620" s="3">
        <v>69</v>
      </c>
      <c r="K3620" s="4">
        <v>0.05</v>
      </c>
      <c r="L3620" s="3">
        <v>65.55</v>
      </c>
      <c r="M3620" t="b">
        <v>1</v>
      </c>
      <c r="N3620" s="2">
        <f>YEAR(B3620)</f>
        <v>2025</v>
      </c>
      <c r="O3620" t="str">
        <f>INDEX(Agences!$C:$C,MATCH(F3620,Agences!$A:$A,0))</f>
        <v>Est</v>
      </c>
      <c r="P3620" t="str">
        <f>INDEX(Produits!$C:$C,MATCH(H3620,Produits!$A:$A,0))</f>
        <v>Informatique</v>
      </c>
      <c r="Q3620" s="3">
        <f>I3620*INDEX(Produits!$E:$E,MATCH(H3620,Produits!$A:$A,0))</f>
        <v>54.51</v>
      </c>
      <c r="R3620" s="3">
        <f>L3620-Q3620</f>
        <v>11.04</v>
      </c>
      <c r="S3620" s="2">
        <f>NETWORKDAYS(B3620,C3620)-1</f>
        <v>5</v>
      </c>
      <c r="T3620" s="1">
        <f>WORKDAY(B3620,5)</f>
        <v>45728</v>
      </c>
      <c r="U3620" t="b">
        <f>C3620&gt;T3620</f>
        <v>0</v>
      </c>
    </row>
    <row r="3621" spans="1:21" x14ac:dyDescent="0.25">
      <c r="A3621" t="s">
        <v>2154</v>
      </c>
      <c r="B3621" s="1">
        <v>45720</v>
      </c>
      <c r="C3621" s="1">
        <v>45727</v>
      </c>
      <c r="D3621" t="s">
        <v>873</v>
      </c>
      <c r="E3621" t="s">
        <v>122</v>
      </c>
      <c r="F3621" t="s">
        <v>24</v>
      </c>
      <c r="G3621" t="s">
        <v>25</v>
      </c>
      <c r="H3621" t="s">
        <v>107</v>
      </c>
      <c r="I3621" s="2">
        <v>5</v>
      </c>
      <c r="J3621" s="3">
        <v>99</v>
      </c>
      <c r="K3621" s="4">
        <v>0</v>
      </c>
      <c r="L3621" s="3">
        <v>495</v>
      </c>
      <c r="M3621" t="b">
        <v>1</v>
      </c>
      <c r="N3621" s="2">
        <f>YEAR(B3621)</f>
        <v>2025</v>
      </c>
      <c r="O3621" t="str">
        <f>INDEX(Agences!$C:$C,MATCH(F3621,Agences!$A:$A,0))</f>
        <v>Nord</v>
      </c>
      <c r="P3621" t="str">
        <f>INDEX(Produits!$C:$C,MATCH(H3621,Produits!$A:$A,0))</f>
        <v>Informatique</v>
      </c>
      <c r="Q3621" s="3">
        <f>I3621*INDEX(Produits!$E:$E,MATCH(H3621,Produits!$A:$A,0))</f>
        <v>376.2</v>
      </c>
      <c r="R3621" s="3">
        <f>L3621-Q3621</f>
        <v>118.80000000000001</v>
      </c>
      <c r="S3621" s="2">
        <f>NETWORKDAYS(B3621,C3621)-1</f>
        <v>5</v>
      </c>
      <c r="T3621" s="1">
        <f>WORKDAY(B3621,5)</f>
        <v>45727</v>
      </c>
      <c r="U3621" t="b">
        <f>C3621&gt;T3621</f>
        <v>0</v>
      </c>
    </row>
    <row r="3622" spans="1:21" x14ac:dyDescent="0.25">
      <c r="A3622" t="s">
        <v>2154</v>
      </c>
      <c r="B3622" s="1">
        <v>45720</v>
      </c>
      <c r="C3622" s="1">
        <v>45727</v>
      </c>
      <c r="D3622" t="s">
        <v>873</v>
      </c>
      <c r="E3622" t="s">
        <v>122</v>
      </c>
      <c r="F3622" t="s">
        <v>24</v>
      </c>
      <c r="G3622" t="s">
        <v>25</v>
      </c>
      <c r="H3622" t="s">
        <v>84</v>
      </c>
      <c r="I3622" s="2">
        <v>3</v>
      </c>
      <c r="J3622" s="3">
        <v>420</v>
      </c>
      <c r="K3622" s="4">
        <v>0.02</v>
      </c>
      <c r="L3622" s="3">
        <v>1234.8</v>
      </c>
      <c r="M3622" t="b">
        <v>1</v>
      </c>
      <c r="N3622" s="2">
        <f>YEAR(B3622)</f>
        <v>2025</v>
      </c>
      <c r="O3622" t="str">
        <f>INDEX(Agences!$C:$C,MATCH(F3622,Agences!$A:$A,0))</f>
        <v>Nord</v>
      </c>
      <c r="P3622" t="str">
        <f>INDEX(Produits!$C:$C,MATCH(H3622,Produits!$A:$A,0))</f>
        <v>Mobilier</v>
      </c>
      <c r="Q3622" s="3">
        <f>I3622*INDEX(Produits!$E:$E,MATCH(H3622,Produits!$A:$A,0))</f>
        <v>730.8</v>
      </c>
      <c r="R3622" s="3">
        <f>L3622-Q3622</f>
        <v>504</v>
      </c>
      <c r="S3622" s="2">
        <f>NETWORKDAYS(B3622,C3622)-1</f>
        <v>5</v>
      </c>
      <c r="T3622" s="1">
        <f>WORKDAY(B3622,5)</f>
        <v>45727</v>
      </c>
      <c r="U3622" t="b">
        <f>C3622&gt;T3622</f>
        <v>0</v>
      </c>
    </row>
    <row r="3623" spans="1:21" x14ac:dyDescent="0.25">
      <c r="A3623" t="s">
        <v>2154</v>
      </c>
      <c r="B3623" s="1">
        <v>45720</v>
      </c>
      <c r="C3623" s="1">
        <v>45727</v>
      </c>
      <c r="D3623" t="s">
        <v>873</v>
      </c>
      <c r="E3623" t="s">
        <v>122</v>
      </c>
      <c r="F3623" t="s">
        <v>24</v>
      </c>
      <c r="G3623" t="s">
        <v>25</v>
      </c>
      <c r="H3623" t="s">
        <v>83</v>
      </c>
      <c r="I3623" s="2">
        <v>1</v>
      </c>
      <c r="J3623" s="3">
        <v>49</v>
      </c>
      <c r="K3623" s="4">
        <v>0.02</v>
      </c>
      <c r="L3623" s="3">
        <v>48.02</v>
      </c>
      <c r="M3623" t="b">
        <v>1</v>
      </c>
      <c r="N3623" s="2">
        <f>YEAR(B3623)</f>
        <v>2025</v>
      </c>
      <c r="O3623" t="str">
        <f>INDEX(Agences!$C:$C,MATCH(F3623,Agences!$A:$A,0))</f>
        <v>Nord</v>
      </c>
      <c r="P3623" t="str">
        <f>INDEX(Produits!$C:$C,MATCH(H3623,Produits!$A:$A,0))</f>
        <v>Mobilier</v>
      </c>
      <c r="Q3623" s="3">
        <f>I3623*INDEX(Produits!$E:$E,MATCH(H3623,Produits!$A:$A,0))</f>
        <v>28.42</v>
      </c>
      <c r="R3623" s="3">
        <f>L3623-Q3623</f>
        <v>19.6</v>
      </c>
      <c r="S3623" s="2">
        <f>NETWORKDAYS(B3623,C3623)-1</f>
        <v>5</v>
      </c>
      <c r="T3623" s="1">
        <f>WORKDAY(B3623,5)</f>
        <v>45727</v>
      </c>
      <c r="U3623" t="b">
        <f>C3623&gt;T3623</f>
        <v>0</v>
      </c>
    </row>
    <row r="3624" spans="1:21" x14ac:dyDescent="0.25">
      <c r="A3624" t="s">
        <v>2155</v>
      </c>
      <c r="B3624" s="1">
        <v>45720</v>
      </c>
      <c r="C3624" s="1">
        <v>45721</v>
      </c>
      <c r="D3624" t="s">
        <v>1244</v>
      </c>
      <c r="E3624" t="s">
        <v>172</v>
      </c>
      <c r="F3624" t="s">
        <v>99</v>
      </c>
      <c r="G3624" t="s">
        <v>100</v>
      </c>
      <c r="H3624" t="s">
        <v>57</v>
      </c>
      <c r="I3624" s="2">
        <v>1</v>
      </c>
      <c r="J3624" s="3">
        <v>149</v>
      </c>
      <c r="K3624" s="4">
        <v>0.02</v>
      </c>
      <c r="L3624" s="3">
        <v>146.02</v>
      </c>
      <c r="M3624" t="b">
        <v>1</v>
      </c>
      <c r="N3624" s="2">
        <f>YEAR(B3624)</f>
        <v>2025</v>
      </c>
      <c r="O3624" t="str">
        <f>INDEX(Agences!$C:$C,MATCH(F3624,Agences!$A:$A,0))</f>
        <v>Nord</v>
      </c>
      <c r="P3624" t="str">
        <f>INDEX(Produits!$C:$C,MATCH(H3624,Produits!$A:$A,0))</f>
        <v>Informatique</v>
      </c>
      <c r="Q3624" s="3">
        <f>I3624*INDEX(Produits!$E:$E,MATCH(H3624,Produits!$A:$A,0))</f>
        <v>114.73</v>
      </c>
      <c r="R3624" s="3">
        <f>L3624-Q3624</f>
        <v>31.290000000000006</v>
      </c>
      <c r="S3624" s="2">
        <f>NETWORKDAYS(B3624,C3624)-1</f>
        <v>1</v>
      </c>
      <c r="T3624" s="1">
        <f>WORKDAY(B3624,5)</f>
        <v>45727</v>
      </c>
      <c r="U3624" t="b">
        <f>C3624&gt;T3624</f>
        <v>0</v>
      </c>
    </row>
    <row r="3625" spans="1:21" x14ac:dyDescent="0.25">
      <c r="A3625" t="s">
        <v>2155</v>
      </c>
      <c r="B3625" s="1">
        <v>45720</v>
      </c>
      <c r="C3625" s="1">
        <v>45721</v>
      </c>
      <c r="D3625" t="s">
        <v>1244</v>
      </c>
      <c r="E3625" t="s">
        <v>172</v>
      </c>
      <c r="F3625" t="s">
        <v>99</v>
      </c>
      <c r="G3625" t="s">
        <v>100</v>
      </c>
      <c r="H3625" t="s">
        <v>72</v>
      </c>
      <c r="I3625" s="2">
        <v>2</v>
      </c>
      <c r="J3625" s="3">
        <v>179</v>
      </c>
      <c r="K3625" s="4">
        <v>0</v>
      </c>
      <c r="L3625" s="3">
        <v>358</v>
      </c>
      <c r="M3625" t="b">
        <v>1</v>
      </c>
      <c r="N3625" s="2">
        <f>YEAR(B3625)</f>
        <v>2025</v>
      </c>
      <c r="O3625" t="str">
        <f>INDEX(Agences!$C:$C,MATCH(F3625,Agences!$A:$A,0))</f>
        <v>Nord</v>
      </c>
      <c r="P3625" t="str">
        <f>INDEX(Produits!$C:$C,MATCH(H3625,Produits!$A:$A,0))</f>
        <v>Informatique</v>
      </c>
      <c r="Q3625" s="3">
        <f>I3625*INDEX(Produits!$E:$E,MATCH(H3625,Produits!$A:$A,0))</f>
        <v>293.56</v>
      </c>
      <c r="R3625" s="3">
        <f>L3625-Q3625</f>
        <v>64.44</v>
      </c>
      <c r="S3625" s="2">
        <f>NETWORKDAYS(B3625,C3625)-1</f>
        <v>1</v>
      </c>
      <c r="T3625" s="1">
        <f>WORKDAY(B3625,5)</f>
        <v>45727</v>
      </c>
      <c r="U3625" t="b">
        <f>C3625&gt;T3625</f>
        <v>0</v>
      </c>
    </row>
    <row r="3626" spans="1:21" x14ac:dyDescent="0.25">
      <c r="A3626" t="s">
        <v>2156</v>
      </c>
      <c r="B3626" s="1">
        <v>45720</v>
      </c>
      <c r="C3626" s="1">
        <v>45723</v>
      </c>
      <c r="D3626" t="s">
        <v>367</v>
      </c>
      <c r="E3626" t="s">
        <v>175</v>
      </c>
      <c r="F3626" t="s">
        <v>76</v>
      </c>
      <c r="G3626" t="s">
        <v>77</v>
      </c>
      <c r="H3626" t="s">
        <v>205</v>
      </c>
      <c r="I3626" s="2">
        <v>1</v>
      </c>
      <c r="J3626" s="3">
        <v>359</v>
      </c>
      <c r="K3626" s="4">
        <v>0</v>
      </c>
      <c r="L3626" s="3">
        <v>359</v>
      </c>
      <c r="M3626" t="b">
        <v>1</v>
      </c>
      <c r="N3626" s="2">
        <f>YEAR(B3626)</f>
        <v>2025</v>
      </c>
      <c r="O3626" t="str">
        <f>INDEX(Agences!$C:$C,MATCH(F3626,Agences!$A:$A,0))</f>
        <v>Île-de-France</v>
      </c>
      <c r="P3626" t="str">
        <f>INDEX(Produits!$C:$C,MATCH(H3626,Produits!$A:$A,0))</f>
        <v>Mobilier</v>
      </c>
      <c r="Q3626" s="3">
        <f>I3626*INDEX(Produits!$E:$E,MATCH(H3626,Produits!$A:$A,0))</f>
        <v>204.63</v>
      </c>
      <c r="R3626" s="3">
        <f>L3626-Q3626</f>
        <v>154.37</v>
      </c>
      <c r="S3626" s="2">
        <f>NETWORKDAYS(B3626,C3626)-1</f>
        <v>3</v>
      </c>
      <c r="T3626" s="1">
        <f>WORKDAY(B3626,5)</f>
        <v>45727</v>
      </c>
      <c r="U3626" t="b">
        <f>C3626&gt;T3626</f>
        <v>0</v>
      </c>
    </row>
    <row r="3627" spans="1:21" x14ac:dyDescent="0.25">
      <c r="A3627" t="s">
        <v>2156</v>
      </c>
      <c r="B3627" s="1">
        <v>45720</v>
      </c>
      <c r="C3627" s="1">
        <v>45723</v>
      </c>
      <c r="D3627" t="s">
        <v>367</v>
      </c>
      <c r="E3627" t="s">
        <v>175</v>
      </c>
      <c r="F3627" t="s">
        <v>76</v>
      </c>
      <c r="G3627" t="s">
        <v>77</v>
      </c>
      <c r="H3627" t="s">
        <v>196</v>
      </c>
      <c r="I3627" s="2">
        <v>10</v>
      </c>
      <c r="J3627" s="3">
        <v>18.5</v>
      </c>
      <c r="K3627" s="4">
        <v>0.05</v>
      </c>
      <c r="L3627" s="3">
        <v>175.75</v>
      </c>
      <c r="M3627" t="b">
        <v>1</v>
      </c>
      <c r="N3627" s="2">
        <f>YEAR(B3627)</f>
        <v>2025</v>
      </c>
      <c r="O3627" t="str">
        <f>INDEX(Agences!$C:$C,MATCH(F3627,Agences!$A:$A,0))</f>
        <v>Île-de-France</v>
      </c>
      <c r="P3627" t="str">
        <f>INDEX(Produits!$C:$C,MATCH(H3627,Produits!$A:$A,0))</f>
        <v>Fournitures</v>
      </c>
      <c r="Q3627" s="3">
        <f>I3627*INDEX(Produits!$E:$E,MATCH(H3627,Produits!$A:$A,0))</f>
        <v>94.39999999999999</v>
      </c>
      <c r="R3627" s="3">
        <f>L3627-Q3627</f>
        <v>81.35000000000001</v>
      </c>
      <c r="S3627" s="2">
        <f>NETWORKDAYS(B3627,C3627)-1</f>
        <v>3</v>
      </c>
      <c r="T3627" s="1">
        <f>WORKDAY(B3627,5)</f>
        <v>45727</v>
      </c>
      <c r="U3627" t="b">
        <f>C3627&gt;T3627</f>
        <v>0</v>
      </c>
    </row>
    <row r="3628" spans="1:21" x14ac:dyDescent="0.25">
      <c r="A3628" t="s">
        <v>2156</v>
      </c>
      <c r="B3628" s="1">
        <v>45720</v>
      </c>
      <c r="C3628" s="1">
        <v>45723</v>
      </c>
      <c r="D3628" t="s">
        <v>367</v>
      </c>
      <c r="E3628" t="s">
        <v>175</v>
      </c>
      <c r="F3628" t="s">
        <v>76</v>
      </c>
      <c r="G3628" t="s">
        <v>77</v>
      </c>
      <c r="H3628" t="s">
        <v>42</v>
      </c>
      <c r="I3628" s="2">
        <v>1</v>
      </c>
      <c r="J3628" s="3">
        <v>55</v>
      </c>
      <c r="K3628" s="4">
        <v>0.05</v>
      </c>
      <c r="L3628" s="3">
        <v>52.25</v>
      </c>
      <c r="M3628" t="b">
        <v>1</v>
      </c>
      <c r="N3628" s="2">
        <f>YEAR(B3628)</f>
        <v>2025</v>
      </c>
      <c r="O3628" t="str">
        <f>INDEX(Agences!$C:$C,MATCH(F3628,Agences!$A:$A,0))</f>
        <v>Île-de-France</v>
      </c>
      <c r="P3628" t="str">
        <f>INDEX(Produits!$C:$C,MATCH(H3628,Produits!$A:$A,0))</f>
        <v>Maintenance</v>
      </c>
      <c r="Q3628" s="3">
        <f>I3628*INDEX(Produits!$E:$E,MATCH(H3628,Produits!$A:$A,0))</f>
        <v>24.75</v>
      </c>
      <c r="R3628" s="3">
        <f>L3628-Q3628</f>
        <v>27.5</v>
      </c>
      <c r="S3628" s="2">
        <f>NETWORKDAYS(B3628,C3628)-1</f>
        <v>3</v>
      </c>
      <c r="T3628" s="1">
        <f>WORKDAY(B3628,5)</f>
        <v>45727</v>
      </c>
      <c r="U3628" t="b">
        <f>C3628&gt;T3628</f>
        <v>0</v>
      </c>
    </row>
    <row r="3629" spans="1:21" x14ac:dyDescent="0.25">
      <c r="A3629" t="s">
        <v>2157</v>
      </c>
      <c r="B3629" s="1">
        <v>45720</v>
      </c>
      <c r="C3629" s="1">
        <v>45723</v>
      </c>
      <c r="D3629" t="s">
        <v>770</v>
      </c>
      <c r="E3629" t="s">
        <v>38</v>
      </c>
      <c r="F3629" t="s">
        <v>39</v>
      </c>
      <c r="G3629" t="s">
        <v>40</v>
      </c>
      <c r="H3629" t="s">
        <v>83</v>
      </c>
      <c r="I3629" s="2">
        <v>8</v>
      </c>
      <c r="J3629" s="3">
        <v>49</v>
      </c>
      <c r="K3629" s="4">
        <v>0.08</v>
      </c>
      <c r="L3629" s="3">
        <v>360.64</v>
      </c>
      <c r="M3629" t="b">
        <v>1</v>
      </c>
      <c r="N3629" s="2">
        <f>YEAR(B3629)</f>
        <v>2025</v>
      </c>
      <c r="O3629" t="str">
        <f>INDEX(Agences!$C:$C,MATCH(F3629,Agences!$A:$A,0))</f>
        <v>Sud-Ouest</v>
      </c>
      <c r="P3629" t="str">
        <f>INDEX(Produits!$C:$C,MATCH(H3629,Produits!$A:$A,0))</f>
        <v>Mobilier</v>
      </c>
      <c r="Q3629" s="3">
        <f>I3629*INDEX(Produits!$E:$E,MATCH(H3629,Produits!$A:$A,0))</f>
        <v>227.36</v>
      </c>
      <c r="R3629" s="3">
        <f>L3629-Q3629</f>
        <v>133.27999999999997</v>
      </c>
      <c r="S3629" s="2">
        <f>NETWORKDAYS(B3629,C3629)-1</f>
        <v>3</v>
      </c>
      <c r="T3629" s="1">
        <f>WORKDAY(B3629,5)</f>
        <v>45727</v>
      </c>
      <c r="U3629" t="b">
        <f>C3629&gt;T3629</f>
        <v>0</v>
      </c>
    </row>
    <row r="3630" spans="1:21" x14ac:dyDescent="0.25">
      <c r="A3630" t="s">
        <v>2157</v>
      </c>
      <c r="B3630" s="1">
        <v>45720</v>
      </c>
      <c r="C3630" s="1">
        <v>45723</v>
      </c>
      <c r="D3630" t="s">
        <v>770</v>
      </c>
      <c r="E3630" t="s">
        <v>38</v>
      </c>
      <c r="F3630" t="s">
        <v>39</v>
      </c>
      <c r="G3630" t="s">
        <v>40</v>
      </c>
      <c r="H3630" t="s">
        <v>42</v>
      </c>
      <c r="I3630" s="2">
        <v>2</v>
      </c>
      <c r="J3630" s="3">
        <v>55</v>
      </c>
      <c r="K3630" s="4">
        <v>0</v>
      </c>
      <c r="L3630" s="3">
        <v>110</v>
      </c>
      <c r="M3630" t="b">
        <v>1</v>
      </c>
      <c r="N3630" s="2">
        <f>YEAR(B3630)</f>
        <v>2025</v>
      </c>
      <c r="O3630" t="str">
        <f>INDEX(Agences!$C:$C,MATCH(F3630,Agences!$A:$A,0))</f>
        <v>Sud-Ouest</v>
      </c>
      <c r="P3630" t="str">
        <f>INDEX(Produits!$C:$C,MATCH(H3630,Produits!$A:$A,0))</f>
        <v>Maintenance</v>
      </c>
      <c r="Q3630" s="3">
        <f>I3630*INDEX(Produits!$E:$E,MATCH(H3630,Produits!$A:$A,0))</f>
        <v>49.5</v>
      </c>
      <c r="R3630" s="3">
        <f>L3630-Q3630</f>
        <v>60.5</v>
      </c>
      <c r="S3630" s="2">
        <f>NETWORKDAYS(B3630,C3630)-1</f>
        <v>3</v>
      </c>
      <c r="T3630" s="1">
        <f>WORKDAY(B3630,5)</f>
        <v>45727</v>
      </c>
      <c r="U3630" t="b">
        <f>C3630&gt;T3630</f>
        <v>0</v>
      </c>
    </row>
    <row r="3631" spans="1:21" x14ac:dyDescent="0.25">
      <c r="A3631" t="s">
        <v>2157</v>
      </c>
      <c r="B3631" s="1">
        <v>45720</v>
      </c>
      <c r="C3631" s="1">
        <v>45723</v>
      </c>
      <c r="D3631" t="s">
        <v>770</v>
      </c>
      <c r="E3631" t="s">
        <v>38</v>
      </c>
      <c r="F3631" t="s">
        <v>39</v>
      </c>
      <c r="G3631" t="s">
        <v>40</v>
      </c>
      <c r="H3631" t="s">
        <v>34</v>
      </c>
      <c r="I3631" s="2">
        <v>3</v>
      </c>
      <c r="J3631" s="3">
        <v>340</v>
      </c>
      <c r="K3631" s="4">
        <v>0</v>
      </c>
      <c r="L3631" s="3">
        <v>1020</v>
      </c>
      <c r="M3631" t="b">
        <v>1</v>
      </c>
      <c r="N3631" s="2">
        <f>YEAR(B3631)</f>
        <v>2025</v>
      </c>
      <c r="O3631" t="str">
        <f>INDEX(Agences!$C:$C,MATCH(F3631,Agences!$A:$A,0))</f>
        <v>Sud-Ouest</v>
      </c>
      <c r="P3631" t="str">
        <f>INDEX(Produits!$C:$C,MATCH(H3631,Produits!$A:$A,0))</f>
        <v>Informatique</v>
      </c>
      <c r="Q3631" s="3">
        <f>I3631*INDEX(Produits!$E:$E,MATCH(H3631,Produits!$A:$A,0))</f>
        <v>826.1999999999999</v>
      </c>
      <c r="R3631" s="3">
        <f>L3631-Q3631</f>
        <v>193.80000000000007</v>
      </c>
      <c r="S3631" s="2">
        <f>NETWORKDAYS(B3631,C3631)-1</f>
        <v>3</v>
      </c>
      <c r="T3631" s="1">
        <f>WORKDAY(B3631,5)</f>
        <v>45727</v>
      </c>
      <c r="U3631" t="b">
        <f>C3631&gt;T3631</f>
        <v>0</v>
      </c>
    </row>
    <row r="3632" spans="1:21" x14ac:dyDescent="0.25">
      <c r="A3632" t="s">
        <v>2158</v>
      </c>
      <c r="B3632" s="1">
        <v>45720</v>
      </c>
      <c r="C3632" s="1">
        <v>45721</v>
      </c>
      <c r="D3632" t="s">
        <v>148</v>
      </c>
      <c r="E3632" t="s">
        <v>149</v>
      </c>
      <c r="F3632" t="s">
        <v>88</v>
      </c>
      <c r="G3632" t="s">
        <v>226</v>
      </c>
      <c r="H3632" t="s">
        <v>103</v>
      </c>
      <c r="I3632" s="2">
        <v>3</v>
      </c>
      <c r="J3632" s="3">
        <v>245</v>
      </c>
      <c r="K3632" s="4">
        <v>0</v>
      </c>
      <c r="L3632" s="3">
        <v>735</v>
      </c>
      <c r="M3632" t="b">
        <v>1</v>
      </c>
      <c r="N3632" s="2">
        <f>YEAR(B3632)</f>
        <v>2025</v>
      </c>
      <c r="O3632" t="str">
        <f>INDEX(Agences!$C:$C,MATCH(F3632,Agences!$A:$A,0))</f>
        <v>Sud-Ouest</v>
      </c>
      <c r="P3632" t="str">
        <f>INDEX(Produits!$C:$C,MATCH(H3632,Produits!$A:$A,0))</f>
        <v>Mobilier</v>
      </c>
      <c r="Q3632" s="3">
        <f>I3632*INDEX(Produits!$E:$E,MATCH(H3632,Produits!$A:$A,0))</f>
        <v>492.45000000000005</v>
      </c>
      <c r="R3632" s="3">
        <f>L3632-Q3632</f>
        <v>242.54999999999995</v>
      </c>
      <c r="S3632" s="2">
        <f>NETWORKDAYS(B3632,C3632)-1</f>
        <v>1</v>
      </c>
      <c r="T3632" s="1">
        <f>WORKDAY(B3632,5)</f>
        <v>45727</v>
      </c>
      <c r="U3632" t="b">
        <f>C3632&gt;T3632</f>
        <v>0</v>
      </c>
    </row>
    <row r="3633" spans="1:21" x14ac:dyDescent="0.25">
      <c r="A3633" t="s">
        <v>2158</v>
      </c>
      <c r="B3633" s="1">
        <v>45720</v>
      </c>
      <c r="C3633" s="1">
        <v>45721</v>
      </c>
      <c r="D3633" t="s">
        <v>148</v>
      </c>
      <c r="E3633" t="s">
        <v>149</v>
      </c>
      <c r="F3633" t="s">
        <v>88</v>
      </c>
      <c r="G3633" t="s">
        <v>226</v>
      </c>
      <c r="H3633" t="s">
        <v>83</v>
      </c>
      <c r="I3633" s="2">
        <v>2</v>
      </c>
      <c r="J3633" s="3">
        <v>49</v>
      </c>
      <c r="K3633" s="4">
        <v>0</v>
      </c>
      <c r="L3633" s="3">
        <v>98</v>
      </c>
      <c r="M3633" t="b">
        <v>1</v>
      </c>
      <c r="N3633" s="2">
        <f>YEAR(B3633)</f>
        <v>2025</v>
      </c>
      <c r="O3633" t="str">
        <f>INDEX(Agences!$C:$C,MATCH(F3633,Agences!$A:$A,0))</f>
        <v>Sud-Ouest</v>
      </c>
      <c r="P3633" t="str">
        <f>INDEX(Produits!$C:$C,MATCH(H3633,Produits!$A:$A,0))</f>
        <v>Mobilier</v>
      </c>
      <c r="Q3633" s="3">
        <f>I3633*INDEX(Produits!$E:$E,MATCH(H3633,Produits!$A:$A,0))</f>
        <v>56.84</v>
      </c>
      <c r="R3633" s="3">
        <f>L3633-Q3633</f>
        <v>41.16</v>
      </c>
      <c r="S3633" s="2">
        <f>NETWORKDAYS(B3633,C3633)-1</f>
        <v>1</v>
      </c>
      <c r="T3633" s="1">
        <f>WORKDAY(B3633,5)</f>
        <v>45727</v>
      </c>
      <c r="U3633" t="b">
        <f>C3633&gt;T3633</f>
        <v>0</v>
      </c>
    </row>
    <row r="3634" spans="1:21" x14ac:dyDescent="0.25">
      <c r="A3634" t="s">
        <v>2158</v>
      </c>
      <c r="B3634" s="1">
        <v>45720</v>
      </c>
      <c r="C3634" s="1">
        <v>45721</v>
      </c>
      <c r="D3634" t="s">
        <v>148</v>
      </c>
      <c r="E3634" t="s">
        <v>149</v>
      </c>
      <c r="F3634" t="s">
        <v>88</v>
      </c>
      <c r="G3634" t="s">
        <v>226</v>
      </c>
      <c r="H3634" t="s">
        <v>42</v>
      </c>
      <c r="I3634" s="2">
        <v>1</v>
      </c>
      <c r="J3634" s="3">
        <v>55</v>
      </c>
      <c r="K3634" s="4">
        <v>0</v>
      </c>
      <c r="L3634" s="3">
        <v>55</v>
      </c>
      <c r="M3634" t="b">
        <v>1</v>
      </c>
      <c r="N3634" s="2">
        <f>YEAR(B3634)</f>
        <v>2025</v>
      </c>
      <c r="O3634" t="str">
        <f>INDEX(Agences!$C:$C,MATCH(F3634,Agences!$A:$A,0))</f>
        <v>Sud-Ouest</v>
      </c>
      <c r="P3634" t="str">
        <f>INDEX(Produits!$C:$C,MATCH(H3634,Produits!$A:$A,0))</f>
        <v>Maintenance</v>
      </c>
      <c r="Q3634" s="3">
        <f>I3634*INDEX(Produits!$E:$E,MATCH(H3634,Produits!$A:$A,0))</f>
        <v>24.75</v>
      </c>
      <c r="R3634" s="3">
        <f>L3634-Q3634</f>
        <v>30.25</v>
      </c>
      <c r="S3634" s="2">
        <f>NETWORKDAYS(B3634,C3634)-1</f>
        <v>1</v>
      </c>
      <c r="T3634" s="1">
        <f>WORKDAY(B3634,5)</f>
        <v>45727</v>
      </c>
      <c r="U3634" t="b">
        <f>C3634&gt;T3634</f>
        <v>0</v>
      </c>
    </row>
    <row r="3635" spans="1:21" x14ac:dyDescent="0.25">
      <c r="A3635" t="s">
        <v>2159</v>
      </c>
      <c r="B3635" s="1">
        <v>45720</v>
      </c>
      <c r="C3635" s="1">
        <v>45722</v>
      </c>
      <c r="D3635" t="s">
        <v>619</v>
      </c>
      <c r="E3635" t="s">
        <v>191</v>
      </c>
      <c r="F3635" t="s">
        <v>62</v>
      </c>
      <c r="G3635" t="s">
        <v>68</v>
      </c>
      <c r="H3635" t="s">
        <v>83</v>
      </c>
      <c r="I3635" s="2">
        <v>2</v>
      </c>
      <c r="J3635" s="3">
        <v>49</v>
      </c>
      <c r="K3635" s="4">
        <v>0.05</v>
      </c>
      <c r="L3635" s="3">
        <v>93.1</v>
      </c>
      <c r="M3635" t="b">
        <v>1</v>
      </c>
      <c r="N3635" s="2">
        <f>YEAR(B3635)</f>
        <v>2025</v>
      </c>
      <c r="O3635" t="str">
        <f>INDEX(Agences!$C:$C,MATCH(F3635,Agences!$A:$A,0))</f>
        <v>Méditerranée</v>
      </c>
      <c r="P3635" t="str">
        <f>INDEX(Produits!$C:$C,MATCH(H3635,Produits!$A:$A,0))</f>
        <v>Mobilier</v>
      </c>
      <c r="Q3635" s="3">
        <f>I3635*INDEX(Produits!$E:$E,MATCH(H3635,Produits!$A:$A,0))</f>
        <v>56.84</v>
      </c>
      <c r="R3635" s="3">
        <f>L3635-Q3635</f>
        <v>36.25999999999999</v>
      </c>
      <c r="S3635" s="2">
        <f>NETWORKDAYS(B3635,C3635)-1</f>
        <v>2</v>
      </c>
      <c r="T3635" s="1">
        <f>WORKDAY(B3635,5)</f>
        <v>45727</v>
      </c>
      <c r="U3635" t="b">
        <f>C3635&gt;T3635</f>
        <v>0</v>
      </c>
    </row>
    <row r="3636" spans="1:21" x14ac:dyDescent="0.25">
      <c r="A3636" t="s">
        <v>2159</v>
      </c>
      <c r="B3636" s="1">
        <v>45720</v>
      </c>
      <c r="C3636" s="1">
        <v>45722</v>
      </c>
      <c r="D3636" t="s">
        <v>619</v>
      </c>
      <c r="E3636" t="s">
        <v>191</v>
      </c>
      <c r="F3636" t="s">
        <v>62</v>
      </c>
      <c r="G3636" t="s">
        <v>68</v>
      </c>
      <c r="H3636" t="s">
        <v>108</v>
      </c>
      <c r="I3636" s="2">
        <v>20</v>
      </c>
      <c r="J3636" s="3">
        <v>24.5</v>
      </c>
      <c r="K3636" s="4">
        <v>0.02</v>
      </c>
      <c r="L3636" s="3">
        <v>480.2</v>
      </c>
      <c r="M3636" t="b">
        <v>1</v>
      </c>
      <c r="N3636" s="2">
        <f>YEAR(B3636)</f>
        <v>2025</v>
      </c>
      <c r="O3636" t="str">
        <f>INDEX(Agences!$C:$C,MATCH(F3636,Agences!$A:$A,0))</f>
        <v>Méditerranée</v>
      </c>
      <c r="P3636" t="str">
        <f>INDEX(Produits!$C:$C,MATCH(H3636,Produits!$A:$A,0))</f>
        <v>Fournitures</v>
      </c>
      <c r="Q3636" s="3">
        <f>I3636*INDEX(Produits!$E:$E,MATCH(H3636,Produits!$A:$A,0))</f>
        <v>294</v>
      </c>
      <c r="R3636" s="3">
        <f>L3636-Q3636</f>
        <v>186.2</v>
      </c>
      <c r="S3636" s="2">
        <f>NETWORKDAYS(B3636,C3636)-1</f>
        <v>2</v>
      </c>
      <c r="T3636" s="1">
        <f>WORKDAY(B3636,5)</f>
        <v>45727</v>
      </c>
      <c r="U3636" t="b">
        <f>C3636&gt;T3636</f>
        <v>0</v>
      </c>
    </row>
    <row r="3637" spans="1:21" x14ac:dyDescent="0.25">
      <c r="A3637" t="s">
        <v>2160</v>
      </c>
      <c r="B3637" s="1">
        <v>45719</v>
      </c>
      <c r="C3637" s="1">
        <v>45721</v>
      </c>
      <c r="D3637" t="s">
        <v>1049</v>
      </c>
      <c r="E3637" t="s">
        <v>23</v>
      </c>
      <c r="F3637" t="s">
        <v>24</v>
      </c>
      <c r="G3637" t="s">
        <v>25</v>
      </c>
      <c r="H3637" t="s">
        <v>108</v>
      </c>
      <c r="I3637" s="2">
        <v>5</v>
      </c>
      <c r="J3637" s="3">
        <v>24.5</v>
      </c>
      <c r="K3637" s="4">
        <v>0</v>
      </c>
      <c r="L3637" s="3">
        <v>122.5</v>
      </c>
      <c r="M3637" t="b">
        <v>1</v>
      </c>
      <c r="N3637" s="2">
        <f>YEAR(B3637)</f>
        <v>2025</v>
      </c>
      <c r="O3637" t="str">
        <f>INDEX(Agences!$C:$C,MATCH(F3637,Agences!$A:$A,0))</f>
        <v>Nord</v>
      </c>
      <c r="P3637" t="str">
        <f>INDEX(Produits!$C:$C,MATCH(H3637,Produits!$A:$A,0))</f>
        <v>Fournitures</v>
      </c>
      <c r="Q3637" s="3">
        <f>I3637*INDEX(Produits!$E:$E,MATCH(H3637,Produits!$A:$A,0))</f>
        <v>73.5</v>
      </c>
      <c r="R3637" s="3">
        <f>L3637-Q3637</f>
        <v>49</v>
      </c>
      <c r="S3637" s="2">
        <f>NETWORKDAYS(B3637,C3637)-1</f>
        <v>2</v>
      </c>
      <c r="T3637" s="1">
        <f>WORKDAY(B3637,5)</f>
        <v>45726</v>
      </c>
      <c r="U3637" t="b">
        <f>C3637&gt;T3637</f>
        <v>0</v>
      </c>
    </row>
    <row r="3638" spans="1:21" x14ac:dyDescent="0.25">
      <c r="A3638" t="s">
        <v>2161</v>
      </c>
      <c r="B3638" s="1">
        <v>45719</v>
      </c>
      <c r="C3638" s="1">
        <v>45721</v>
      </c>
      <c r="D3638" t="s">
        <v>2162</v>
      </c>
      <c r="E3638" t="s">
        <v>126</v>
      </c>
      <c r="F3638" t="s">
        <v>99</v>
      </c>
      <c r="G3638" t="s">
        <v>210</v>
      </c>
      <c r="H3638" t="s">
        <v>72</v>
      </c>
      <c r="I3638" s="2">
        <v>3</v>
      </c>
      <c r="J3638" s="3">
        <v>179</v>
      </c>
      <c r="K3638" s="4">
        <v>0</v>
      </c>
      <c r="L3638" s="3">
        <v>537</v>
      </c>
      <c r="M3638" t="b">
        <v>1</v>
      </c>
      <c r="N3638" s="2">
        <f>YEAR(B3638)</f>
        <v>2025</v>
      </c>
      <c r="O3638" t="str">
        <f>INDEX(Agences!$C:$C,MATCH(F3638,Agences!$A:$A,0))</f>
        <v>Nord</v>
      </c>
      <c r="P3638" t="str">
        <f>INDEX(Produits!$C:$C,MATCH(H3638,Produits!$A:$A,0))</f>
        <v>Informatique</v>
      </c>
      <c r="Q3638" s="3">
        <f>I3638*INDEX(Produits!$E:$E,MATCH(H3638,Produits!$A:$A,0))</f>
        <v>440.34000000000003</v>
      </c>
      <c r="R3638" s="3">
        <f>L3638-Q3638</f>
        <v>96.65999999999997</v>
      </c>
      <c r="S3638" s="2">
        <f>NETWORKDAYS(B3638,C3638)-1</f>
        <v>2</v>
      </c>
      <c r="T3638" s="1">
        <f>WORKDAY(B3638,5)</f>
        <v>45726</v>
      </c>
      <c r="U3638" t="b">
        <f>C3638&gt;T3638</f>
        <v>0</v>
      </c>
    </row>
    <row r="3639" spans="1:21" x14ac:dyDescent="0.25">
      <c r="A3639" t="s">
        <v>2161</v>
      </c>
      <c r="B3639" s="1">
        <v>45719</v>
      </c>
      <c r="C3639" s="1">
        <v>45721</v>
      </c>
      <c r="D3639" t="s">
        <v>2162</v>
      </c>
      <c r="E3639" t="s">
        <v>126</v>
      </c>
      <c r="F3639" t="s">
        <v>99</v>
      </c>
      <c r="G3639" t="s">
        <v>210</v>
      </c>
      <c r="H3639" t="s">
        <v>51</v>
      </c>
      <c r="I3639" s="2">
        <v>1</v>
      </c>
      <c r="J3639" s="3">
        <v>180</v>
      </c>
      <c r="K3639" s="4">
        <v>0.05</v>
      </c>
      <c r="L3639" s="3">
        <v>171</v>
      </c>
      <c r="M3639" t="b">
        <v>1</v>
      </c>
      <c r="N3639" s="2">
        <f>YEAR(B3639)</f>
        <v>2025</v>
      </c>
      <c r="O3639" t="str">
        <f>INDEX(Agences!$C:$C,MATCH(F3639,Agences!$A:$A,0))</f>
        <v>Nord</v>
      </c>
      <c r="P3639" t="str">
        <f>INDEX(Produits!$C:$C,MATCH(H3639,Produits!$A:$A,0))</f>
        <v>Maintenance</v>
      </c>
      <c r="Q3639" s="3">
        <f>I3639*INDEX(Produits!$E:$E,MATCH(H3639,Produits!$A:$A,0))</f>
        <v>82.8</v>
      </c>
      <c r="R3639" s="3">
        <f>L3639-Q3639</f>
        <v>88.2</v>
      </c>
      <c r="S3639" s="2">
        <f>NETWORKDAYS(B3639,C3639)-1</f>
        <v>2</v>
      </c>
      <c r="T3639" s="1">
        <f>WORKDAY(B3639,5)</f>
        <v>45726</v>
      </c>
      <c r="U3639" t="b">
        <f>C3639&gt;T3639</f>
        <v>0</v>
      </c>
    </row>
    <row r="3640" spans="1:21" x14ac:dyDescent="0.25">
      <c r="A3640" t="s">
        <v>2163</v>
      </c>
      <c r="B3640" s="1">
        <v>45719</v>
      </c>
      <c r="C3640" s="1">
        <v>45721</v>
      </c>
      <c r="D3640" t="s">
        <v>654</v>
      </c>
      <c r="E3640" t="s">
        <v>87</v>
      </c>
      <c r="F3640" t="s">
        <v>88</v>
      </c>
      <c r="G3640" t="s">
        <v>226</v>
      </c>
      <c r="H3640" t="s">
        <v>49</v>
      </c>
      <c r="I3640" s="2">
        <v>1</v>
      </c>
      <c r="J3640" s="3">
        <v>120</v>
      </c>
      <c r="K3640" s="4">
        <v>0</v>
      </c>
      <c r="L3640" s="3">
        <v>120</v>
      </c>
      <c r="M3640" t="b">
        <v>1</v>
      </c>
      <c r="N3640" s="2">
        <f>YEAR(B3640)</f>
        <v>2025</v>
      </c>
      <c r="O3640" t="str">
        <f>INDEX(Agences!$C:$C,MATCH(F3640,Agences!$A:$A,0))</f>
        <v>Sud-Ouest</v>
      </c>
      <c r="P3640" t="str">
        <f>INDEX(Produits!$C:$C,MATCH(H3640,Produits!$A:$A,0))</f>
        <v>Maintenance</v>
      </c>
      <c r="Q3640" s="3">
        <f>I3640*INDEX(Produits!$E:$E,MATCH(H3640,Produits!$A:$A,0))</f>
        <v>55.2</v>
      </c>
      <c r="R3640" s="3">
        <f>L3640-Q3640</f>
        <v>64.8</v>
      </c>
      <c r="S3640" s="2">
        <f>NETWORKDAYS(B3640,C3640)-1</f>
        <v>2</v>
      </c>
      <c r="T3640" s="1">
        <f>WORKDAY(B3640,5)</f>
        <v>45726</v>
      </c>
      <c r="U3640" t="b">
        <f>C3640&gt;T3640</f>
        <v>0</v>
      </c>
    </row>
    <row r="3641" spans="1:21" x14ac:dyDescent="0.25">
      <c r="A3641" t="s">
        <v>2163</v>
      </c>
      <c r="B3641" s="1">
        <v>45719</v>
      </c>
      <c r="C3641" s="1">
        <v>45721</v>
      </c>
      <c r="D3641" t="s">
        <v>654</v>
      </c>
      <c r="E3641" t="s">
        <v>87</v>
      </c>
      <c r="F3641" t="s">
        <v>88</v>
      </c>
      <c r="G3641" t="s">
        <v>226</v>
      </c>
      <c r="H3641" t="s">
        <v>112</v>
      </c>
      <c r="I3641" s="2">
        <v>2</v>
      </c>
      <c r="J3641" s="3">
        <v>129</v>
      </c>
      <c r="K3641" s="4">
        <v>0</v>
      </c>
      <c r="L3641" s="3">
        <v>258</v>
      </c>
      <c r="M3641" t="b">
        <v>1</v>
      </c>
      <c r="N3641" s="2">
        <f>YEAR(B3641)</f>
        <v>2025</v>
      </c>
      <c r="O3641" t="str">
        <f>INDEX(Agences!$C:$C,MATCH(F3641,Agences!$A:$A,0))</f>
        <v>Sud-Ouest</v>
      </c>
      <c r="P3641" t="str">
        <f>INDEX(Produits!$C:$C,MATCH(H3641,Produits!$A:$A,0))</f>
        <v>Mobilier</v>
      </c>
      <c r="Q3641" s="3">
        <f>I3641*INDEX(Produits!$E:$E,MATCH(H3641,Produits!$A:$A,0))</f>
        <v>172.86</v>
      </c>
      <c r="R3641" s="3">
        <f>L3641-Q3641</f>
        <v>85.13999999999999</v>
      </c>
      <c r="S3641" s="2">
        <f>NETWORKDAYS(B3641,C3641)-1</f>
        <v>2</v>
      </c>
      <c r="T3641" s="1">
        <f>WORKDAY(B3641,5)</f>
        <v>45726</v>
      </c>
      <c r="U3641" t="b">
        <f>C3641&gt;T3641</f>
        <v>0</v>
      </c>
    </row>
    <row r="3642" spans="1:21" x14ac:dyDescent="0.25">
      <c r="A3642" t="s">
        <v>2164</v>
      </c>
      <c r="B3642" s="1">
        <v>45716</v>
      </c>
      <c r="C3642" s="1">
        <v>45720</v>
      </c>
      <c r="D3642" t="s">
        <v>2165</v>
      </c>
      <c r="E3642" t="s">
        <v>67</v>
      </c>
      <c r="F3642" t="s">
        <v>62</v>
      </c>
      <c r="G3642" t="s">
        <v>63</v>
      </c>
      <c r="H3642" t="s">
        <v>108</v>
      </c>
      <c r="I3642" s="2">
        <v>15</v>
      </c>
      <c r="J3642" s="3">
        <v>24.5</v>
      </c>
      <c r="K3642" s="4">
        <v>0</v>
      </c>
      <c r="L3642" s="3">
        <v>367.5</v>
      </c>
      <c r="M3642" t="b">
        <v>1</v>
      </c>
      <c r="N3642" s="2">
        <f>YEAR(B3642)</f>
        <v>2025</v>
      </c>
      <c r="O3642" t="str">
        <f>INDEX(Agences!$C:$C,MATCH(F3642,Agences!$A:$A,0))</f>
        <v>Méditerranée</v>
      </c>
      <c r="P3642" t="str">
        <f>INDEX(Produits!$C:$C,MATCH(H3642,Produits!$A:$A,0))</f>
        <v>Fournitures</v>
      </c>
      <c r="Q3642" s="3">
        <f>I3642*INDEX(Produits!$E:$E,MATCH(H3642,Produits!$A:$A,0))</f>
        <v>220.5</v>
      </c>
      <c r="R3642" s="3">
        <f>L3642-Q3642</f>
        <v>147</v>
      </c>
      <c r="S3642" s="2">
        <f>NETWORKDAYS(B3642,C3642)-1</f>
        <v>2</v>
      </c>
      <c r="T3642" s="1">
        <f>WORKDAY(B3642,5)</f>
        <v>45723</v>
      </c>
      <c r="U3642" t="b">
        <f>C3642&gt;T3642</f>
        <v>0</v>
      </c>
    </row>
    <row r="3643" spans="1:21" x14ac:dyDescent="0.25">
      <c r="A3643" t="s">
        <v>2164</v>
      </c>
      <c r="B3643" s="1">
        <v>45716</v>
      </c>
      <c r="C3643" s="1">
        <v>45720</v>
      </c>
      <c r="D3643" t="s">
        <v>2165</v>
      </c>
      <c r="E3643" t="s">
        <v>67</v>
      </c>
      <c r="F3643" t="s">
        <v>62</v>
      </c>
      <c r="G3643" t="s">
        <v>63</v>
      </c>
      <c r="H3643" t="s">
        <v>42</v>
      </c>
      <c r="I3643" s="2">
        <v>1</v>
      </c>
      <c r="J3643" s="3">
        <v>55</v>
      </c>
      <c r="K3643" s="4">
        <v>0</v>
      </c>
      <c r="L3643" s="3">
        <v>55</v>
      </c>
      <c r="M3643" t="b">
        <v>1</v>
      </c>
      <c r="N3643" s="2">
        <f>YEAR(B3643)</f>
        <v>2025</v>
      </c>
      <c r="O3643" t="str">
        <f>INDEX(Agences!$C:$C,MATCH(F3643,Agences!$A:$A,0))</f>
        <v>Méditerranée</v>
      </c>
      <c r="P3643" t="str">
        <f>INDEX(Produits!$C:$C,MATCH(H3643,Produits!$A:$A,0))</f>
        <v>Maintenance</v>
      </c>
      <c r="Q3643" s="3">
        <f>I3643*INDEX(Produits!$E:$E,MATCH(H3643,Produits!$A:$A,0))</f>
        <v>24.75</v>
      </c>
      <c r="R3643" s="3">
        <f>L3643-Q3643</f>
        <v>30.25</v>
      </c>
      <c r="S3643" s="2">
        <f>NETWORKDAYS(B3643,C3643)-1</f>
        <v>2</v>
      </c>
      <c r="T3643" s="1">
        <f>WORKDAY(B3643,5)</f>
        <v>45723</v>
      </c>
      <c r="U3643" t="b">
        <f>C3643&gt;T3643</f>
        <v>0</v>
      </c>
    </row>
    <row r="3644" spans="1:21" x14ac:dyDescent="0.25">
      <c r="A3644" t="s">
        <v>2166</v>
      </c>
      <c r="B3644" s="1">
        <v>45715</v>
      </c>
      <c r="C3644" s="1">
        <v>45721</v>
      </c>
      <c r="D3644" t="s">
        <v>656</v>
      </c>
      <c r="E3644" t="s">
        <v>122</v>
      </c>
      <c r="F3644" t="s">
        <v>24</v>
      </c>
      <c r="G3644" t="s">
        <v>116</v>
      </c>
      <c r="H3644" t="s">
        <v>64</v>
      </c>
      <c r="I3644" s="2">
        <v>10</v>
      </c>
      <c r="J3644" s="3">
        <v>16.8</v>
      </c>
      <c r="K3644" s="4">
        <v>0</v>
      </c>
      <c r="L3644" s="3">
        <v>168</v>
      </c>
      <c r="M3644" t="b">
        <v>1</v>
      </c>
      <c r="N3644" s="2">
        <f>YEAR(B3644)</f>
        <v>2025</v>
      </c>
      <c r="O3644" t="str">
        <f>INDEX(Agences!$C:$C,MATCH(F3644,Agences!$A:$A,0))</f>
        <v>Nord</v>
      </c>
      <c r="P3644" t="str">
        <f>INDEX(Produits!$C:$C,MATCH(H3644,Produits!$A:$A,0))</f>
        <v>Fournitures</v>
      </c>
      <c r="Q3644" s="3">
        <f>I3644*INDEX(Produits!$E:$E,MATCH(H3644,Produits!$A:$A,0))</f>
        <v>87.4</v>
      </c>
      <c r="R3644" s="3">
        <f>L3644-Q3644</f>
        <v>80.6</v>
      </c>
      <c r="S3644" s="2">
        <f>NETWORKDAYS(B3644,C3644)-1</f>
        <v>4</v>
      </c>
      <c r="T3644" s="1">
        <f>WORKDAY(B3644,5)</f>
        <v>45722</v>
      </c>
      <c r="U3644" t="b">
        <f>C3644&gt;T3644</f>
        <v>0</v>
      </c>
    </row>
    <row r="3645" spans="1:21" x14ac:dyDescent="0.25">
      <c r="A3645" t="s">
        <v>2167</v>
      </c>
      <c r="B3645" s="1">
        <v>45715</v>
      </c>
      <c r="C3645" s="1">
        <v>45719</v>
      </c>
      <c r="D3645" t="s">
        <v>1399</v>
      </c>
      <c r="E3645" t="s">
        <v>270</v>
      </c>
      <c r="F3645" t="s">
        <v>76</v>
      </c>
      <c r="G3645" t="s">
        <v>176</v>
      </c>
      <c r="H3645" t="s">
        <v>49</v>
      </c>
      <c r="I3645" s="2">
        <v>1</v>
      </c>
      <c r="J3645" s="3">
        <v>120</v>
      </c>
      <c r="K3645" s="4">
        <v>0.05</v>
      </c>
      <c r="L3645" s="3">
        <v>114</v>
      </c>
      <c r="M3645" t="b">
        <v>1</v>
      </c>
      <c r="N3645" s="2">
        <f>YEAR(B3645)</f>
        <v>2025</v>
      </c>
      <c r="O3645" t="str">
        <f>INDEX(Agences!$C:$C,MATCH(F3645,Agences!$A:$A,0))</f>
        <v>Île-de-France</v>
      </c>
      <c r="P3645" t="str">
        <f>INDEX(Produits!$C:$C,MATCH(H3645,Produits!$A:$A,0))</f>
        <v>Maintenance</v>
      </c>
      <c r="Q3645" s="3">
        <f>I3645*INDEX(Produits!$E:$E,MATCH(H3645,Produits!$A:$A,0))</f>
        <v>55.2</v>
      </c>
      <c r="R3645" s="3">
        <f>L3645-Q3645</f>
        <v>58.8</v>
      </c>
      <c r="S3645" s="2">
        <f>NETWORKDAYS(B3645,C3645)-1</f>
        <v>2</v>
      </c>
      <c r="T3645" s="1">
        <f>WORKDAY(B3645,5)</f>
        <v>45722</v>
      </c>
      <c r="U3645" t="b">
        <f>C3645&gt;T3645</f>
        <v>0</v>
      </c>
    </row>
    <row r="3646" spans="1:21" x14ac:dyDescent="0.25">
      <c r="A3646" t="s">
        <v>2168</v>
      </c>
      <c r="B3646" s="1">
        <v>45715</v>
      </c>
      <c r="C3646" s="1">
        <v>45720</v>
      </c>
      <c r="D3646" t="s">
        <v>812</v>
      </c>
      <c r="E3646" t="s">
        <v>175</v>
      </c>
      <c r="F3646" t="s">
        <v>76</v>
      </c>
      <c r="G3646" t="s">
        <v>232</v>
      </c>
      <c r="H3646" t="s">
        <v>233</v>
      </c>
      <c r="I3646" s="2">
        <v>10</v>
      </c>
      <c r="J3646" s="3">
        <v>27.5</v>
      </c>
      <c r="K3646" s="4">
        <v>0</v>
      </c>
      <c r="L3646" s="3">
        <v>275</v>
      </c>
      <c r="M3646" t="b">
        <v>1</v>
      </c>
      <c r="N3646" s="2">
        <f>YEAR(B3646)</f>
        <v>2025</v>
      </c>
      <c r="O3646" t="str">
        <f>INDEX(Agences!$C:$C,MATCH(F3646,Agences!$A:$A,0))</f>
        <v>Île-de-France</v>
      </c>
      <c r="P3646" t="str">
        <f>INDEX(Produits!$C:$C,MATCH(H3646,Produits!$A:$A,0))</f>
        <v>Fournitures</v>
      </c>
      <c r="Q3646" s="3">
        <f>I3646*INDEX(Produits!$E:$E,MATCH(H3646,Produits!$A:$A,0))</f>
        <v>154</v>
      </c>
      <c r="R3646" s="3">
        <f>L3646-Q3646</f>
        <v>121</v>
      </c>
      <c r="S3646" s="2">
        <f>NETWORKDAYS(B3646,C3646)-1</f>
        <v>3</v>
      </c>
      <c r="T3646" s="1">
        <f>WORKDAY(B3646,5)</f>
        <v>45722</v>
      </c>
      <c r="U3646" t="b">
        <f>C3646&gt;T3646</f>
        <v>0</v>
      </c>
    </row>
    <row r="3647" spans="1:21" x14ac:dyDescent="0.25">
      <c r="A3647" t="s">
        <v>2169</v>
      </c>
      <c r="B3647" s="1">
        <v>45715</v>
      </c>
      <c r="C3647" s="1">
        <v>45719</v>
      </c>
      <c r="D3647" t="s">
        <v>581</v>
      </c>
      <c r="E3647" t="s">
        <v>75</v>
      </c>
      <c r="F3647" t="s">
        <v>76</v>
      </c>
      <c r="G3647" t="s">
        <v>232</v>
      </c>
      <c r="H3647" t="s">
        <v>41</v>
      </c>
      <c r="I3647" s="2">
        <v>2</v>
      </c>
      <c r="J3647" s="3">
        <v>790</v>
      </c>
      <c r="K3647" s="4">
        <v>0.02</v>
      </c>
      <c r="L3647" s="3">
        <v>1548.4</v>
      </c>
      <c r="M3647" t="b">
        <v>1</v>
      </c>
      <c r="N3647" s="2">
        <f>YEAR(B3647)</f>
        <v>2025</v>
      </c>
      <c r="O3647" t="str">
        <f>INDEX(Agences!$C:$C,MATCH(F3647,Agences!$A:$A,0))</f>
        <v>Île-de-France</v>
      </c>
      <c r="P3647" t="str">
        <f>INDEX(Produits!$C:$C,MATCH(H3647,Produits!$A:$A,0))</f>
        <v>Informatique</v>
      </c>
      <c r="Q3647" s="3">
        <f>I3647*INDEX(Produits!$E:$E,MATCH(H3647,Produits!$A:$A,0))</f>
        <v>1153.4</v>
      </c>
      <c r="R3647" s="3">
        <f>L3647-Q3647</f>
        <v>395</v>
      </c>
      <c r="S3647" s="2">
        <f>NETWORKDAYS(B3647,C3647)-1</f>
        <v>2</v>
      </c>
      <c r="T3647" s="1">
        <f>WORKDAY(B3647,5)</f>
        <v>45722</v>
      </c>
      <c r="U3647" t="b">
        <f>C3647&gt;T3647</f>
        <v>0</v>
      </c>
    </row>
    <row r="3648" spans="1:21" x14ac:dyDescent="0.25">
      <c r="A3648" t="s">
        <v>2169</v>
      </c>
      <c r="B3648" s="1">
        <v>45715</v>
      </c>
      <c r="C3648" s="1">
        <v>45719</v>
      </c>
      <c r="D3648" t="s">
        <v>581</v>
      </c>
      <c r="E3648" t="s">
        <v>75</v>
      </c>
      <c r="F3648" t="s">
        <v>76</v>
      </c>
      <c r="G3648" t="s">
        <v>232</v>
      </c>
      <c r="H3648" t="s">
        <v>42</v>
      </c>
      <c r="I3648" s="2">
        <v>1</v>
      </c>
      <c r="J3648" s="3">
        <v>55</v>
      </c>
      <c r="K3648" s="4">
        <v>0</v>
      </c>
      <c r="L3648" s="3">
        <v>55</v>
      </c>
      <c r="M3648" t="b">
        <v>1</v>
      </c>
      <c r="N3648" s="2">
        <f>YEAR(B3648)</f>
        <v>2025</v>
      </c>
      <c r="O3648" t="str">
        <f>INDEX(Agences!$C:$C,MATCH(F3648,Agences!$A:$A,0))</f>
        <v>Île-de-France</v>
      </c>
      <c r="P3648" t="str">
        <f>INDEX(Produits!$C:$C,MATCH(H3648,Produits!$A:$A,0))</f>
        <v>Maintenance</v>
      </c>
      <c r="Q3648" s="3">
        <f>I3648*INDEX(Produits!$E:$E,MATCH(H3648,Produits!$A:$A,0))</f>
        <v>24.75</v>
      </c>
      <c r="R3648" s="3">
        <f>L3648-Q3648</f>
        <v>30.25</v>
      </c>
      <c r="S3648" s="2">
        <f>NETWORKDAYS(B3648,C3648)-1</f>
        <v>2</v>
      </c>
      <c r="T3648" s="1">
        <f>WORKDAY(B3648,5)</f>
        <v>45722</v>
      </c>
      <c r="U3648" t="b">
        <f>C3648&gt;T3648</f>
        <v>0</v>
      </c>
    </row>
    <row r="3649" spans="1:21" x14ac:dyDescent="0.25">
      <c r="A3649" t="s">
        <v>2169</v>
      </c>
      <c r="B3649" s="1">
        <v>45715</v>
      </c>
      <c r="C3649" s="1">
        <v>45719</v>
      </c>
      <c r="D3649" t="s">
        <v>581</v>
      </c>
      <c r="E3649" t="s">
        <v>75</v>
      </c>
      <c r="F3649" t="s">
        <v>76</v>
      </c>
      <c r="G3649" t="s">
        <v>232</v>
      </c>
      <c r="H3649" t="s">
        <v>108</v>
      </c>
      <c r="I3649" s="2">
        <v>10</v>
      </c>
      <c r="J3649" s="3">
        <v>24.5</v>
      </c>
      <c r="K3649" s="4">
        <v>0</v>
      </c>
      <c r="L3649" s="3">
        <v>245</v>
      </c>
      <c r="M3649" t="b">
        <v>1</v>
      </c>
      <c r="N3649" s="2">
        <f>YEAR(B3649)</f>
        <v>2025</v>
      </c>
      <c r="O3649" t="str">
        <f>INDEX(Agences!$C:$C,MATCH(F3649,Agences!$A:$A,0))</f>
        <v>Île-de-France</v>
      </c>
      <c r="P3649" t="str">
        <f>INDEX(Produits!$C:$C,MATCH(H3649,Produits!$A:$A,0))</f>
        <v>Fournitures</v>
      </c>
      <c r="Q3649" s="3">
        <f>I3649*INDEX(Produits!$E:$E,MATCH(H3649,Produits!$A:$A,0))</f>
        <v>147</v>
      </c>
      <c r="R3649" s="3">
        <f>L3649-Q3649</f>
        <v>98</v>
      </c>
      <c r="S3649" s="2">
        <f>NETWORKDAYS(B3649,C3649)-1</f>
        <v>2</v>
      </c>
      <c r="T3649" s="1">
        <f>WORKDAY(B3649,5)</f>
        <v>45722</v>
      </c>
      <c r="U3649" t="b">
        <f>C3649&gt;T3649</f>
        <v>0</v>
      </c>
    </row>
    <row r="3650" spans="1:21" x14ac:dyDescent="0.25">
      <c r="A3650" t="s">
        <v>2170</v>
      </c>
      <c r="B3650" s="1">
        <v>45715</v>
      </c>
      <c r="C3650" s="1">
        <v>45722</v>
      </c>
      <c r="D3650" t="s">
        <v>405</v>
      </c>
      <c r="E3650" t="s">
        <v>256</v>
      </c>
      <c r="F3650" t="s">
        <v>88</v>
      </c>
      <c r="G3650" t="s">
        <v>142</v>
      </c>
      <c r="H3650" t="s">
        <v>35</v>
      </c>
      <c r="I3650" s="2">
        <v>1</v>
      </c>
      <c r="J3650" s="3">
        <v>79</v>
      </c>
      <c r="K3650" s="4">
        <v>0</v>
      </c>
      <c r="L3650" s="3">
        <v>79</v>
      </c>
      <c r="M3650" t="b">
        <v>1</v>
      </c>
      <c r="N3650" s="2">
        <f>YEAR(B3650)</f>
        <v>2025</v>
      </c>
      <c r="O3650" t="str">
        <f>INDEX(Agences!$C:$C,MATCH(F3650,Agences!$A:$A,0))</f>
        <v>Sud-Ouest</v>
      </c>
      <c r="P3650" t="str">
        <f>INDEX(Produits!$C:$C,MATCH(H3650,Produits!$A:$A,0))</f>
        <v>Mobilier</v>
      </c>
      <c r="Q3650" s="3">
        <f>I3650*INDEX(Produits!$E:$E,MATCH(H3650,Produits!$A:$A,0))</f>
        <v>46.61</v>
      </c>
      <c r="R3650" s="3">
        <f>L3650-Q3650</f>
        <v>32.39</v>
      </c>
      <c r="S3650" s="2">
        <f>NETWORKDAYS(B3650,C3650)-1</f>
        <v>5</v>
      </c>
      <c r="T3650" s="1">
        <f>WORKDAY(B3650,5)</f>
        <v>45722</v>
      </c>
      <c r="U3650" t="b">
        <f>C3650&gt;T3650</f>
        <v>0</v>
      </c>
    </row>
    <row r="3651" spans="1:21" x14ac:dyDescent="0.25">
      <c r="A3651" t="s">
        <v>2170</v>
      </c>
      <c r="B3651" s="1">
        <v>45715</v>
      </c>
      <c r="C3651" s="1">
        <v>45722</v>
      </c>
      <c r="D3651" t="s">
        <v>405</v>
      </c>
      <c r="E3651" t="s">
        <v>256</v>
      </c>
      <c r="F3651" t="s">
        <v>88</v>
      </c>
      <c r="G3651" t="s">
        <v>142</v>
      </c>
      <c r="H3651" t="s">
        <v>42</v>
      </c>
      <c r="I3651" s="2">
        <v>1</v>
      </c>
      <c r="J3651" s="3">
        <v>55</v>
      </c>
      <c r="K3651" s="4">
        <v>0</v>
      </c>
      <c r="L3651" s="3">
        <v>55</v>
      </c>
      <c r="M3651" t="b">
        <v>1</v>
      </c>
      <c r="N3651" s="2">
        <f>YEAR(B3651)</f>
        <v>2025</v>
      </c>
      <c r="O3651" t="str">
        <f>INDEX(Agences!$C:$C,MATCH(F3651,Agences!$A:$A,0))</f>
        <v>Sud-Ouest</v>
      </c>
      <c r="P3651" t="str">
        <f>INDEX(Produits!$C:$C,MATCH(H3651,Produits!$A:$A,0))</f>
        <v>Maintenance</v>
      </c>
      <c r="Q3651" s="3">
        <f>I3651*INDEX(Produits!$E:$E,MATCH(H3651,Produits!$A:$A,0))</f>
        <v>24.75</v>
      </c>
      <c r="R3651" s="3">
        <f>L3651-Q3651</f>
        <v>30.25</v>
      </c>
      <c r="S3651" s="2">
        <f>NETWORKDAYS(B3651,C3651)-1</f>
        <v>5</v>
      </c>
      <c r="T3651" s="1">
        <f>WORKDAY(B3651,5)</f>
        <v>45722</v>
      </c>
      <c r="U3651" t="b">
        <f>C3651&gt;T3651</f>
        <v>0</v>
      </c>
    </row>
    <row r="3652" spans="1:21" x14ac:dyDescent="0.25">
      <c r="A3652" t="s">
        <v>2170</v>
      </c>
      <c r="B3652" s="1">
        <v>45715</v>
      </c>
      <c r="C3652" s="1">
        <v>45722</v>
      </c>
      <c r="D3652" t="s">
        <v>405</v>
      </c>
      <c r="E3652" t="s">
        <v>256</v>
      </c>
      <c r="F3652" t="s">
        <v>88</v>
      </c>
      <c r="G3652" t="s">
        <v>142</v>
      </c>
      <c r="H3652" t="s">
        <v>108</v>
      </c>
      <c r="I3652" s="2">
        <v>10</v>
      </c>
      <c r="J3652" s="3">
        <v>24.5</v>
      </c>
      <c r="K3652" s="4">
        <v>0</v>
      </c>
      <c r="L3652" s="3">
        <v>245</v>
      </c>
      <c r="M3652" t="b">
        <v>1</v>
      </c>
      <c r="N3652" s="2">
        <f>YEAR(B3652)</f>
        <v>2025</v>
      </c>
      <c r="O3652" t="str">
        <f>INDEX(Agences!$C:$C,MATCH(F3652,Agences!$A:$A,0))</f>
        <v>Sud-Ouest</v>
      </c>
      <c r="P3652" t="str">
        <f>INDEX(Produits!$C:$C,MATCH(H3652,Produits!$A:$A,0))</f>
        <v>Fournitures</v>
      </c>
      <c r="Q3652" s="3">
        <f>I3652*INDEX(Produits!$E:$E,MATCH(H3652,Produits!$A:$A,0))</f>
        <v>147</v>
      </c>
      <c r="R3652" s="3">
        <f>L3652-Q3652</f>
        <v>98</v>
      </c>
      <c r="S3652" s="2">
        <f>NETWORKDAYS(B3652,C3652)-1</f>
        <v>5</v>
      </c>
      <c r="T3652" s="1">
        <f>WORKDAY(B3652,5)</f>
        <v>45722</v>
      </c>
      <c r="U3652" t="b">
        <f>C3652&gt;T3652</f>
        <v>0</v>
      </c>
    </row>
    <row r="3653" spans="1:21" x14ac:dyDescent="0.25">
      <c r="A3653" t="s">
        <v>2171</v>
      </c>
      <c r="B3653" s="1">
        <v>45715</v>
      </c>
      <c r="C3653" s="1">
        <v>45722</v>
      </c>
      <c r="D3653" t="s">
        <v>429</v>
      </c>
      <c r="E3653" t="s">
        <v>242</v>
      </c>
      <c r="F3653" t="s">
        <v>94</v>
      </c>
      <c r="G3653" t="s">
        <v>154</v>
      </c>
      <c r="H3653" t="s">
        <v>34</v>
      </c>
      <c r="I3653" s="2">
        <v>1</v>
      </c>
      <c r="J3653" s="3">
        <v>340</v>
      </c>
      <c r="K3653" s="4">
        <v>0.02</v>
      </c>
      <c r="L3653" s="3">
        <v>333.2</v>
      </c>
      <c r="M3653" t="b">
        <v>1</v>
      </c>
      <c r="N3653" s="2">
        <f>YEAR(B3653)</f>
        <v>2025</v>
      </c>
      <c r="O3653" t="str">
        <f>INDEX(Agences!$C:$C,MATCH(F3653,Agences!$A:$A,0))</f>
        <v>Méditerranée</v>
      </c>
      <c r="P3653" t="str">
        <f>INDEX(Produits!$C:$C,MATCH(H3653,Produits!$A:$A,0))</f>
        <v>Informatique</v>
      </c>
      <c r="Q3653" s="3">
        <f>I3653*INDEX(Produits!$E:$E,MATCH(H3653,Produits!$A:$A,0))</f>
        <v>275.4</v>
      </c>
      <c r="R3653" s="3">
        <f>L3653-Q3653</f>
        <v>57.80000000000001</v>
      </c>
      <c r="S3653" s="2">
        <f>NETWORKDAYS(B3653,C3653)-1</f>
        <v>5</v>
      </c>
      <c r="T3653" s="1">
        <f>WORKDAY(B3653,5)</f>
        <v>45722</v>
      </c>
      <c r="U3653" t="b">
        <f>C3653&gt;T3653</f>
        <v>0</v>
      </c>
    </row>
    <row r="3654" spans="1:21" x14ac:dyDescent="0.25">
      <c r="A3654" t="s">
        <v>2172</v>
      </c>
      <c r="B3654" s="1">
        <v>45714</v>
      </c>
      <c r="C3654" s="1">
        <v>45716</v>
      </c>
      <c r="D3654" t="s">
        <v>118</v>
      </c>
      <c r="E3654" t="s">
        <v>119</v>
      </c>
      <c r="F3654" t="s">
        <v>24</v>
      </c>
      <c r="G3654" t="s">
        <v>25</v>
      </c>
      <c r="H3654" t="s">
        <v>34</v>
      </c>
      <c r="I3654" s="2">
        <v>2</v>
      </c>
      <c r="J3654" s="3">
        <v>340</v>
      </c>
      <c r="K3654" s="4">
        <v>0.02</v>
      </c>
      <c r="L3654" s="3">
        <v>666.4</v>
      </c>
      <c r="M3654" t="b">
        <v>1</v>
      </c>
      <c r="N3654" s="2">
        <f>YEAR(B3654)</f>
        <v>2025</v>
      </c>
      <c r="O3654" t="str">
        <f>INDEX(Agences!$C:$C,MATCH(F3654,Agences!$A:$A,0))</f>
        <v>Nord</v>
      </c>
      <c r="P3654" t="str">
        <f>INDEX(Produits!$C:$C,MATCH(H3654,Produits!$A:$A,0))</f>
        <v>Informatique</v>
      </c>
      <c r="Q3654" s="3">
        <f>I3654*INDEX(Produits!$E:$E,MATCH(H3654,Produits!$A:$A,0))</f>
        <v>550.8</v>
      </c>
      <c r="R3654" s="3">
        <f>L3654-Q3654</f>
        <v>115.60000000000002</v>
      </c>
      <c r="S3654" s="2">
        <f>NETWORKDAYS(B3654,C3654)-1</f>
        <v>2</v>
      </c>
      <c r="T3654" s="1">
        <f>WORKDAY(B3654,5)</f>
        <v>45721</v>
      </c>
      <c r="U3654" t="b">
        <f>C3654&gt;T3654</f>
        <v>0</v>
      </c>
    </row>
    <row r="3655" spans="1:21" x14ac:dyDescent="0.25">
      <c r="A3655" t="s">
        <v>2173</v>
      </c>
      <c r="B3655" s="1">
        <v>45714</v>
      </c>
      <c r="C3655" s="1">
        <v>45716</v>
      </c>
      <c r="D3655" t="s">
        <v>369</v>
      </c>
      <c r="E3655" t="s">
        <v>157</v>
      </c>
      <c r="F3655" t="s">
        <v>46</v>
      </c>
      <c r="G3655" t="s">
        <v>158</v>
      </c>
      <c r="H3655" t="s">
        <v>35</v>
      </c>
      <c r="I3655" s="2">
        <v>1</v>
      </c>
      <c r="J3655" s="3">
        <v>79</v>
      </c>
      <c r="K3655" s="4">
        <v>0.08</v>
      </c>
      <c r="L3655" s="3">
        <v>72.68</v>
      </c>
      <c r="M3655" t="b">
        <v>1</v>
      </c>
      <c r="N3655" s="2">
        <f>YEAR(B3655)</f>
        <v>2025</v>
      </c>
      <c r="O3655" t="str">
        <f>INDEX(Agences!$C:$C,MATCH(F3655,Agences!$A:$A,0))</f>
        <v>Est</v>
      </c>
      <c r="P3655" t="str">
        <f>INDEX(Produits!$C:$C,MATCH(H3655,Produits!$A:$A,0))</f>
        <v>Mobilier</v>
      </c>
      <c r="Q3655" s="3">
        <f>I3655*INDEX(Produits!$E:$E,MATCH(H3655,Produits!$A:$A,0))</f>
        <v>46.61</v>
      </c>
      <c r="R3655" s="3">
        <f>L3655-Q3655</f>
        <v>26.070000000000007</v>
      </c>
      <c r="S3655" s="2">
        <f>NETWORKDAYS(B3655,C3655)-1</f>
        <v>2</v>
      </c>
      <c r="T3655" s="1">
        <f>WORKDAY(B3655,5)</f>
        <v>45721</v>
      </c>
      <c r="U3655" t="b">
        <f>C3655&gt;T3655</f>
        <v>0</v>
      </c>
    </row>
    <row r="3656" spans="1:21" x14ac:dyDescent="0.25">
      <c r="A3656" t="s">
        <v>2173</v>
      </c>
      <c r="B3656" s="1">
        <v>45714</v>
      </c>
      <c r="C3656" s="1">
        <v>45716</v>
      </c>
      <c r="D3656" t="s">
        <v>369</v>
      </c>
      <c r="E3656" t="s">
        <v>157</v>
      </c>
      <c r="F3656" t="s">
        <v>46</v>
      </c>
      <c r="G3656" t="s">
        <v>158</v>
      </c>
      <c r="H3656" t="s">
        <v>50</v>
      </c>
      <c r="I3656" s="2">
        <v>1</v>
      </c>
      <c r="J3656" s="3">
        <v>69</v>
      </c>
      <c r="K3656" s="4">
        <v>0.1</v>
      </c>
      <c r="L3656" s="3">
        <v>62.1</v>
      </c>
      <c r="M3656" t="b">
        <v>1</v>
      </c>
      <c r="N3656" s="2">
        <f>YEAR(B3656)</f>
        <v>2025</v>
      </c>
      <c r="O3656" t="str">
        <f>INDEX(Agences!$C:$C,MATCH(F3656,Agences!$A:$A,0))</f>
        <v>Est</v>
      </c>
      <c r="P3656" t="str">
        <f>INDEX(Produits!$C:$C,MATCH(H3656,Produits!$A:$A,0))</f>
        <v>Informatique</v>
      </c>
      <c r="Q3656" s="3">
        <f>I3656*INDEX(Produits!$E:$E,MATCH(H3656,Produits!$A:$A,0))</f>
        <v>54.51</v>
      </c>
      <c r="R3656" s="3">
        <f>L3656-Q3656</f>
        <v>7.590000000000003</v>
      </c>
      <c r="S3656" s="2">
        <f>NETWORKDAYS(B3656,C3656)-1</f>
        <v>2</v>
      </c>
      <c r="T3656" s="1">
        <f>WORKDAY(B3656,5)</f>
        <v>45721</v>
      </c>
      <c r="U3656" t="b">
        <f>C3656&gt;T3656</f>
        <v>0</v>
      </c>
    </row>
    <row r="3657" spans="1:21" x14ac:dyDescent="0.25">
      <c r="A3657" t="s">
        <v>2173</v>
      </c>
      <c r="B3657" s="1">
        <v>45714</v>
      </c>
      <c r="C3657" s="1">
        <v>45716</v>
      </c>
      <c r="D3657" t="s">
        <v>369</v>
      </c>
      <c r="E3657" t="s">
        <v>157</v>
      </c>
      <c r="F3657" t="s">
        <v>46</v>
      </c>
      <c r="G3657" t="s">
        <v>158</v>
      </c>
      <c r="H3657" t="s">
        <v>42</v>
      </c>
      <c r="I3657" s="2">
        <v>1</v>
      </c>
      <c r="J3657" s="3">
        <v>55</v>
      </c>
      <c r="K3657" s="4">
        <v>0</v>
      </c>
      <c r="L3657" s="3">
        <v>55</v>
      </c>
      <c r="M3657" t="b">
        <v>1</v>
      </c>
      <c r="N3657" s="2">
        <f>YEAR(B3657)</f>
        <v>2025</v>
      </c>
      <c r="O3657" t="str">
        <f>INDEX(Agences!$C:$C,MATCH(F3657,Agences!$A:$A,0))</f>
        <v>Est</v>
      </c>
      <c r="P3657" t="str">
        <f>INDEX(Produits!$C:$C,MATCH(H3657,Produits!$A:$A,0))</f>
        <v>Maintenance</v>
      </c>
      <c r="Q3657" s="3">
        <f>I3657*INDEX(Produits!$E:$E,MATCH(H3657,Produits!$A:$A,0))</f>
        <v>24.75</v>
      </c>
      <c r="R3657" s="3">
        <f>L3657-Q3657</f>
        <v>30.25</v>
      </c>
      <c r="S3657" s="2">
        <f>NETWORKDAYS(B3657,C3657)-1</f>
        <v>2</v>
      </c>
      <c r="T3657" s="1">
        <f>WORKDAY(B3657,5)</f>
        <v>45721</v>
      </c>
      <c r="U3657" t="b">
        <f>C3657&gt;T3657</f>
        <v>0</v>
      </c>
    </row>
    <row r="3658" spans="1:21" x14ac:dyDescent="0.25">
      <c r="A3658" t="s">
        <v>2174</v>
      </c>
      <c r="B3658" s="1">
        <v>45714</v>
      </c>
      <c r="C3658" s="1">
        <v>45716</v>
      </c>
      <c r="D3658" t="s">
        <v>156</v>
      </c>
      <c r="E3658" t="s">
        <v>157</v>
      </c>
      <c r="F3658" t="s">
        <v>46</v>
      </c>
      <c r="G3658" t="s">
        <v>47</v>
      </c>
      <c r="H3658" t="s">
        <v>42</v>
      </c>
      <c r="I3658" s="2">
        <v>1</v>
      </c>
      <c r="J3658" s="3">
        <v>55</v>
      </c>
      <c r="K3658" s="4">
        <v>0.02</v>
      </c>
      <c r="L3658" s="3">
        <v>53.9</v>
      </c>
      <c r="M3658" t="b">
        <v>1</v>
      </c>
      <c r="N3658" s="2">
        <f>YEAR(B3658)</f>
        <v>2025</v>
      </c>
      <c r="O3658" t="str">
        <f>INDEX(Agences!$C:$C,MATCH(F3658,Agences!$A:$A,0))</f>
        <v>Est</v>
      </c>
      <c r="P3658" t="str">
        <f>INDEX(Produits!$C:$C,MATCH(H3658,Produits!$A:$A,0))</f>
        <v>Maintenance</v>
      </c>
      <c r="Q3658" s="3">
        <f>I3658*INDEX(Produits!$E:$E,MATCH(H3658,Produits!$A:$A,0))</f>
        <v>24.75</v>
      </c>
      <c r="R3658" s="3">
        <f>L3658-Q3658</f>
        <v>29.15</v>
      </c>
      <c r="S3658" s="2">
        <f>NETWORKDAYS(B3658,C3658)-1</f>
        <v>2</v>
      </c>
      <c r="T3658" s="1">
        <f>WORKDAY(B3658,5)</f>
        <v>45721</v>
      </c>
      <c r="U3658" t="b">
        <f>C3658&gt;T3658</f>
        <v>0</v>
      </c>
    </row>
    <row r="3659" spans="1:21" x14ac:dyDescent="0.25">
      <c r="A3659" t="s">
        <v>2175</v>
      </c>
      <c r="B3659" s="1">
        <v>45713</v>
      </c>
      <c r="C3659" s="1">
        <v>45714</v>
      </c>
      <c r="D3659" t="s">
        <v>114</v>
      </c>
      <c r="E3659" t="s">
        <v>115</v>
      </c>
      <c r="F3659" t="s">
        <v>24</v>
      </c>
      <c r="G3659" t="s">
        <v>116</v>
      </c>
      <c r="H3659" t="s">
        <v>112</v>
      </c>
      <c r="I3659" s="2">
        <v>5</v>
      </c>
      <c r="J3659" s="3">
        <v>129</v>
      </c>
      <c r="K3659" s="4">
        <v>0.02</v>
      </c>
      <c r="L3659" s="3">
        <v>632.1</v>
      </c>
      <c r="M3659" t="b">
        <v>1</v>
      </c>
      <c r="N3659" s="2">
        <f>YEAR(B3659)</f>
        <v>2025</v>
      </c>
      <c r="O3659" t="str">
        <f>INDEX(Agences!$C:$C,MATCH(F3659,Agences!$A:$A,0))</f>
        <v>Nord</v>
      </c>
      <c r="P3659" t="str">
        <f>INDEX(Produits!$C:$C,MATCH(H3659,Produits!$A:$A,0))</f>
        <v>Mobilier</v>
      </c>
      <c r="Q3659" s="3">
        <f>I3659*INDEX(Produits!$E:$E,MATCH(H3659,Produits!$A:$A,0))</f>
        <v>432.15000000000003</v>
      </c>
      <c r="R3659" s="3">
        <f>L3659-Q3659</f>
        <v>199.95</v>
      </c>
      <c r="S3659" s="2">
        <f>NETWORKDAYS(B3659,C3659)-1</f>
        <v>1</v>
      </c>
      <c r="T3659" s="1">
        <f>WORKDAY(B3659,5)</f>
        <v>45720</v>
      </c>
      <c r="U3659" t="b">
        <f>C3659&gt;T3659</f>
        <v>0</v>
      </c>
    </row>
    <row r="3660" spans="1:21" x14ac:dyDescent="0.25">
      <c r="A3660" t="s">
        <v>2175</v>
      </c>
      <c r="B3660" s="1">
        <v>45713</v>
      </c>
      <c r="C3660" s="1">
        <v>45714</v>
      </c>
      <c r="D3660" t="s">
        <v>114</v>
      </c>
      <c r="E3660" t="s">
        <v>115</v>
      </c>
      <c r="F3660" t="s">
        <v>24</v>
      </c>
      <c r="G3660" t="s">
        <v>116</v>
      </c>
      <c r="H3660" t="s">
        <v>90</v>
      </c>
      <c r="I3660" s="2">
        <v>10</v>
      </c>
      <c r="J3660" s="3">
        <v>22.9</v>
      </c>
      <c r="K3660" s="4">
        <v>0</v>
      </c>
      <c r="L3660" s="3">
        <v>229</v>
      </c>
      <c r="M3660" t="b">
        <v>1</v>
      </c>
      <c r="N3660" s="2">
        <f>YEAR(B3660)</f>
        <v>2025</v>
      </c>
      <c r="O3660" t="str">
        <f>INDEX(Agences!$C:$C,MATCH(F3660,Agences!$A:$A,0))</f>
        <v>Nord</v>
      </c>
      <c r="P3660" t="str">
        <f>INDEX(Produits!$C:$C,MATCH(H3660,Produits!$A:$A,0))</f>
        <v>Fournitures</v>
      </c>
      <c r="Q3660" s="3">
        <f>I3660*INDEX(Produits!$E:$E,MATCH(H3660,Produits!$A:$A,0))</f>
        <v>128.2</v>
      </c>
      <c r="R3660" s="3">
        <f>L3660-Q3660</f>
        <v>100.80000000000001</v>
      </c>
      <c r="S3660" s="2">
        <f>NETWORKDAYS(B3660,C3660)-1</f>
        <v>1</v>
      </c>
      <c r="T3660" s="1">
        <f>WORKDAY(B3660,5)</f>
        <v>45720</v>
      </c>
      <c r="U3660" t="b">
        <f>C3660&gt;T3660</f>
        <v>0</v>
      </c>
    </row>
    <row r="3661" spans="1:21" x14ac:dyDescent="0.25">
      <c r="A3661" t="s">
        <v>2175</v>
      </c>
      <c r="B3661" s="1">
        <v>45713</v>
      </c>
      <c r="C3661" s="1">
        <v>45714</v>
      </c>
      <c r="D3661" t="s">
        <v>114</v>
      </c>
      <c r="E3661" t="s">
        <v>115</v>
      </c>
      <c r="F3661" t="s">
        <v>24</v>
      </c>
      <c r="G3661" t="s">
        <v>116</v>
      </c>
      <c r="H3661" t="s">
        <v>48</v>
      </c>
      <c r="I3661" s="2">
        <v>6</v>
      </c>
      <c r="J3661" s="3">
        <v>165</v>
      </c>
      <c r="K3661" s="4">
        <v>0</v>
      </c>
      <c r="L3661" s="3">
        <v>990</v>
      </c>
      <c r="M3661" t="b">
        <v>1</v>
      </c>
      <c r="N3661" s="2">
        <f>YEAR(B3661)</f>
        <v>2025</v>
      </c>
      <c r="O3661" t="str">
        <f>INDEX(Agences!$C:$C,MATCH(F3661,Agences!$A:$A,0))</f>
        <v>Nord</v>
      </c>
      <c r="P3661" t="str">
        <f>INDEX(Produits!$C:$C,MATCH(H3661,Produits!$A:$A,0))</f>
        <v>Mobilier</v>
      </c>
      <c r="Q3661" s="3">
        <f>I3661*INDEX(Produits!$E:$E,MATCH(H3661,Produits!$A:$A,0))</f>
        <v>643.5</v>
      </c>
      <c r="R3661" s="3">
        <f>L3661-Q3661</f>
        <v>346.5</v>
      </c>
      <c r="S3661" s="2">
        <f>NETWORKDAYS(B3661,C3661)-1</f>
        <v>1</v>
      </c>
      <c r="T3661" s="1">
        <f>WORKDAY(B3661,5)</f>
        <v>45720</v>
      </c>
      <c r="U3661" t="b">
        <f>C3661&gt;T3661</f>
        <v>0</v>
      </c>
    </row>
    <row r="3662" spans="1:21" x14ac:dyDescent="0.25">
      <c r="A3662" t="s">
        <v>2176</v>
      </c>
      <c r="B3662" s="1">
        <v>45713</v>
      </c>
      <c r="C3662" s="1">
        <v>45716</v>
      </c>
      <c r="D3662" t="s">
        <v>300</v>
      </c>
      <c r="E3662" t="s">
        <v>172</v>
      </c>
      <c r="F3662" t="s">
        <v>99</v>
      </c>
      <c r="G3662" t="s">
        <v>210</v>
      </c>
      <c r="H3662" t="s">
        <v>108</v>
      </c>
      <c r="I3662" s="2">
        <v>15</v>
      </c>
      <c r="J3662" s="3">
        <v>24.5</v>
      </c>
      <c r="K3662" s="4">
        <v>0.08</v>
      </c>
      <c r="L3662" s="3">
        <v>338.1</v>
      </c>
      <c r="M3662" t="b">
        <v>1</v>
      </c>
      <c r="N3662" s="2">
        <f>YEAR(B3662)</f>
        <v>2025</v>
      </c>
      <c r="O3662" t="str">
        <f>INDEX(Agences!$C:$C,MATCH(F3662,Agences!$A:$A,0))</f>
        <v>Nord</v>
      </c>
      <c r="P3662" t="str">
        <f>INDEX(Produits!$C:$C,MATCH(H3662,Produits!$A:$A,0))</f>
        <v>Fournitures</v>
      </c>
      <c r="Q3662" s="3">
        <f>I3662*INDEX(Produits!$E:$E,MATCH(H3662,Produits!$A:$A,0))</f>
        <v>220.5</v>
      </c>
      <c r="R3662" s="3">
        <f>L3662-Q3662</f>
        <v>117.60000000000002</v>
      </c>
      <c r="S3662" s="2">
        <f>NETWORKDAYS(B3662,C3662)-1</f>
        <v>3</v>
      </c>
      <c r="T3662" s="1">
        <f>WORKDAY(B3662,5)</f>
        <v>45720</v>
      </c>
      <c r="U3662" t="b">
        <f>C3662&gt;T3662</f>
        <v>0</v>
      </c>
    </row>
    <row r="3663" spans="1:21" x14ac:dyDescent="0.25">
      <c r="A3663" t="s">
        <v>2176</v>
      </c>
      <c r="B3663" s="1">
        <v>45713</v>
      </c>
      <c r="C3663" s="1">
        <v>45716</v>
      </c>
      <c r="D3663" t="s">
        <v>300</v>
      </c>
      <c r="E3663" t="s">
        <v>172</v>
      </c>
      <c r="F3663" t="s">
        <v>99</v>
      </c>
      <c r="G3663" t="s">
        <v>210</v>
      </c>
      <c r="H3663" t="s">
        <v>79</v>
      </c>
      <c r="I3663" s="2">
        <v>5</v>
      </c>
      <c r="J3663" s="3">
        <v>14.9</v>
      </c>
      <c r="K3663" s="4">
        <v>0</v>
      </c>
      <c r="L3663" s="3">
        <v>74.5</v>
      </c>
      <c r="M3663" t="b">
        <v>1</v>
      </c>
      <c r="N3663" s="2">
        <f>YEAR(B3663)</f>
        <v>2025</v>
      </c>
      <c r="O3663" t="str">
        <f>INDEX(Agences!$C:$C,MATCH(F3663,Agences!$A:$A,0))</f>
        <v>Nord</v>
      </c>
      <c r="P3663" t="str">
        <f>INDEX(Produits!$C:$C,MATCH(H3663,Produits!$A:$A,0))</f>
        <v>Fournitures</v>
      </c>
      <c r="Q3663" s="3">
        <f>I3663*INDEX(Produits!$E:$E,MATCH(H3663,Produits!$A:$A,0))</f>
        <v>40.25</v>
      </c>
      <c r="R3663" s="3">
        <f>L3663-Q3663</f>
        <v>34.25</v>
      </c>
      <c r="S3663" s="2">
        <f>NETWORKDAYS(B3663,C3663)-1</f>
        <v>3</v>
      </c>
      <c r="T3663" s="1">
        <f>WORKDAY(B3663,5)</f>
        <v>45720</v>
      </c>
      <c r="U3663" t="b">
        <f>C3663&gt;T3663</f>
        <v>0</v>
      </c>
    </row>
    <row r="3664" spans="1:21" x14ac:dyDescent="0.25">
      <c r="A3664" t="s">
        <v>2176</v>
      </c>
      <c r="B3664" s="1">
        <v>45713</v>
      </c>
      <c r="C3664" s="1">
        <v>45716</v>
      </c>
      <c r="D3664" t="s">
        <v>300</v>
      </c>
      <c r="E3664" t="s">
        <v>172</v>
      </c>
      <c r="F3664" t="s">
        <v>99</v>
      </c>
      <c r="G3664" t="s">
        <v>210</v>
      </c>
      <c r="H3664" t="s">
        <v>83</v>
      </c>
      <c r="I3664" s="2">
        <v>4</v>
      </c>
      <c r="J3664" s="3">
        <v>49</v>
      </c>
      <c r="K3664" s="4">
        <v>0</v>
      </c>
      <c r="L3664" s="3">
        <v>196</v>
      </c>
      <c r="M3664" t="b">
        <v>1</v>
      </c>
      <c r="N3664" s="2">
        <f>YEAR(B3664)</f>
        <v>2025</v>
      </c>
      <c r="O3664" t="str">
        <f>INDEX(Agences!$C:$C,MATCH(F3664,Agences!$A:$A,0))</f>
        <v>Nord</v>
      </c>
      <c r="P3664" t="str">
        <f>INDEX(Produits!$C:$C,MATCH(H3664,Produits!$A:$A,0))</f>
        <v>Mobilier</v>
      </c>
      <c r="Q3664" s="3">
        <f>I3664*INDEX(Produits!$E:$E,MATCH(H3664,Produits!$A:$A,0))</f>
        <v>113.68</v>
      </c>
      <c r="R3664" s="3">
        <f>L3664-Q3664</f>
        <v>82.32</v>
      </c>
      <c r="S3664" s="2">
        <f>NETWORKDAYS(B3664,C3664)-1</f>
        <v>3</v>
      </c>
      <c r="T3664" s="1">
        <f>WORKDAY(B3664,5)</f>
        <v>45720</v>
      </c>
      <c r="U3664" t="b">
        <f>C3664&gt;T3664</f>
        <v>0</v>
      </c>
    </row>
    <row r="3665" spans="1:21" x14ac:dyDescent="0.25">
      <c r="A3665" t="s">
        <v>2176</v>
      </c>
      <c r="B3665" s="1">
        <v>45713</v>
      </c>
      <c r="C3665" s="1">
        <v>45716</v>
      </c>
      <c r="D3665" t="s">
        <v>300</v>
      </c>
      <c r="E3665" t="s">
        <v>172</v>
      </c>
      <c r="F3665" t="s">
        <v>99</v>
      </c>
      <c r="G3665" t="s">
        <v>210</v>
      </c>
      <c r="H3665" t="s">
        <v>33</v>
      </c>
      <c r="I3665" s="2">
        <v>2</v>
      </c>
      <c r="J3665" s="3">
        <v>219</v>
      </c>
      <c r="K3665" s="4">
        <v>0.02</v>
      </c>
      <c r="L3665" s="3">
        <v>429.24</v>
      </c>
      <c r="M3665" t="b">
        <v>1</v>
      </c>
      <c r="N3665" s="2">
        <f>YEAR(B3665)</f>
        <v>2025</v>
      </c>
      <c r="O3665" t="str">
        <f>INDEX(Agences!$C:$C,MATCH(F3665,Agences!$A:$A,0))</f>
        <v>Nord</v>
      </c>
      <c r="P3665" t="str">
        <f>INDEX(Produits!$C:$C,MATCH(H3665,Produits!$A:$A,0))</f>
        <v>Informatique</v>
      </c>
      <c r="Q3665" s="3">
        <f>I3665*INDEX(Produits!$E:$E,MATCH(H3665,Produits!$A:$A,0))</f>
        <v>359.16</v>
      </c>
      <c r="R3665" s="3">
        <f>L3665-Q3665</f>
        <v>70.07999999999998</v>
      </c>
      <c r="S3665" s="2">
        <f>NETWORKDAYS(B3665,C3665)-1</f>
        <v>3</v>
      </c>
      <c r="T3665" s="1">
        <f>WORKDAY(B3665,5)</f>
        <v>45720</v>
      </c>
      <c r="U3665" t="b">
        <f>C3665&gt;T3665</f>
        <v>0</v>
      </c>
    </row>
    <row r="3666" spans="1:21" x14ac:dyDescent="0.25">
      <c r="A3666" t="s">
        <v>2177</v>
      </c>
      <c r="B3666" s="1">
        <v>45713</v>
      </c>
      <c r="C3666" s="1">
        <v>45716</v>
      </c>
      <c r="D3666" t="s">
        <v>1845</v>
      </c>
      <c r="E3666" t="s">
        <v>185</v>
      </c>
      <c r="F3666" t="s">
        <v>31</v>
      </c>
      <c r="G3666" t="s">
        <v>32</v>
      </c>
      <c r="H3666" t="s">
        <v>57</v>
      </c>
      <c r="I3666" s="2">
        <v>1</v>
      </c>
      <c r="J3666" s="3">
        <v>149</v>
      </c>
      <c r="K3666" s="4">
        <v>0</v>
      </c>
      <c r="L3666" s="3">
        <v>149</v>
      </c>
      <c r="M3666" t="b">
        <v>1</v>
      </c>
      <c r="N3666" s="2">
        <f>YEAR(B3666)</f>
        <v>2025</v>
      </c>
      <c r="O3666" t="str">
        <f>INDEX(Agences!$C:$C,MATCH(F3666,Agences!$A:$A,0))</f>
        <v>Ouest</v>
      </c>
      <c r="P3666" t="str">
        <f>INDEX(Produits!$C:$C,MATCH(H3666,Produits!$A:$A,0))</f>
        <v>Informatique</v>
      </c>
      <c r="Q3666" s="3">
        <f>I3666*INDEX(Produits!$E:$E,MATCH(H3666,Produits!$A:$A,0))</f>
        <v>114.73</v>
      </c>
      <c r="R3666" s="3">
        <f>L3666-Q3666</f>
        <v>34.269999999999996</v>
      </c>
      <c r="S3666" s="2">
        <f>NETWORKDAYS(B3666,C3666)-1</f>
        <v>3</v>
      </c>
      <c r="T3666" s="1">
        <f>WORKDAY(B3666,5)</f>
        <v>45720</v>
      </c>
      <c r="U3666" t="b">
        <f>C3666&gt;T3666</f>
        <v>0</v>
      </c>
    </row>
    <row r="3667" spans="1:21" x14ac:dyDescent="0.25">
      <c r="A3667" t="s">
        <v>2177</v>
      </c>
      <c r="B3667" s="1">
        <v>45713</v>
      </c>
      <c r="C3667" s="1">
        <v>45716</v>
      </c>
      <c r="D3667" t="s">
        <v>1845</v>
      </c>
      <c r="E3667" t="s">
        <v>185</v>
      </c>
      <c r="F3667" t="s">
        <v>31</v>
      </c>
      <c r="G3667" t="s">
        <v>32</v>
      </c>
      <c r="H3667" t="s">
        <v>35</v>
      </c>
      <c r="I3667" s="2">
        <v>1</v>
      </c>
      <c r="J3667" s="3">
        <v>79</v>
      </c>
      <c r="K3667" s="4">
        <v>0.1</v>
      </c>
      <c r="L3667" s="3">
        <v>71.1</v>
      </c>
      <c r="M3667" t="b">
        <v>1</v>
      </c>
      <c r="N3667" s="2">
        <f>YEAR(B3667)</f>
        <v>2025</v>
      </c>
      <c r="O3667" t="str">
        <f>INDEX(Agences!$C:$C,MATCH(F3667,Agences!$A:$A,0))</f>
        <v>Ouest</v>
      </c>
      <c r="P3667" t="str">
        <f>INDEX(Produits!$C:$C,MATCH(H3667,Produits!$A:$A,0))</f>
        <v>Mobilier</v>
      </c>
      <c r="Q3667" s="3">
        <f>I3667*INDEX(Produits!$E:$E,MATCH(H3667,Produits!$A:$A,0))</f>
        <v>46.61</v>
      </c>
      <c r="R3667" s="3">
        <f>L3667-Q3667</f>
        <v>24.489999999999995</v>
      </c>
      <c r="S3667" s="2">
        <f>NETWORKDAYS(B3667,C3667)-1</f>
        <v>3</v>
      </c>
      <c r="T3667" s="1">
        <f>WORKDAY(B3667,5)</f>
        <v>45720</v>
      </c>
      <c r="U3667" t="b">
        <f>C3667&gt;T3667</f>
        <v>0</v>
      </c>
    </row>
    <row r="3668" spans="1:21" x14ac:dyDescent="0.25">
      <c r="A3668" t="s">
        <v>2178</v>
      </c>
      <c r="B3668" s="1">
        <v>45713</v>
      </c>
      <c r="C3668" s="1">
        <v>45715</v>
      </c>
      <c r="D3668" t="s">
        <v>1316</v>
      </c>
      <c r="E3668" t="s">
        <v>316</v>
      </c>
      <c r="F3668" t="s">
        <v>46</v>
      </c>
      <c r="G3668" t="s">
        <v>158</v>
      </c>
      <c r="H3668" t="s">
        <v>83</v>
      </c>
      <c r="I3668" s="2">
        <v>1</v>
      </c>
      <c r="J3668" s="3">
        <v>49</v>
      </c>
      <c r="K3668" s="4">
        <v>0</v>
      </c>
      <c r="L3668" s="3">
        <v>49</v>
      </c>
      <c r="M3668" t="b">
        <v>1</v>
      </c>
      <c r="N3668" s="2">
        <f>YEAR(B3668)</f>
        <v>2025</v>
      </c>
      <c r="O3668" t="str">
        <f>INDEX(Agences!$C:$C,MATCH(F3668,Agences!$A:$A,0))</f>
        <v>Est</v>
      </c>
      <c r="P3668" t="str">
        <f>INDEX(Produits!$C:$C,MATCH(H3668,Produits!$A:$A,0))</f>
        <v>Mobilier</v>
      </c>
      <c r="Q3668" s="3">
        <f>I3668*INDEX(Produits!$E:$E,MATCH(H3668,Produits!$A:$A,0))</f>
        <v>28.42</v>
      </c>
      <c r="R3668" s="3">
        <f>L3668-Q3668</f>
        <v>20.58</v>
      </c>
      <c r="S3668" s="2">
        <f>NETWORKDAYS(B3668,C3668)-1</f>
        <v>2</v>
      </c>
      <c r="T3668" s="1">
        <f>WORKDAY(B3668,5)</f>
        <v>45720</v>
      </c>
      <c r="U3668" t="b">
        <f>C3668&gt;T3668</f>
        <v>0</v>
      </c>
    </row>
    <row r="3669" spans="1:21" x14ac:dyDescent="0.25">
      <c r="A3669" t="s">
        <v>2178</v>
      </c>
      <c r="B3669" s="1">
        <v>45713</v>
      </c>
      <c r="C3669" s="1">
        <v>45715</v>
      </c>
      <c r="D3669" t="s">
        <v>1316</v>
      </c>
      <c r="E3669" t="s">
        <v>316</v>
      </c>
      <c r="F3669" t="s">
        <v>46</v>
      </c>
      <c r="G3669" t="s">
        <v>158</v>
      </c>
      <c r="H3669" t="s">
        <v>103</v>
      </c>
      <c r="I3669" s="2">
        <v>4</v>
      </c>
      <c r="J3669" s="3">
        <v>245</v>
      </c>
      <c r="K3669" s="4">
        <v>0</v>
      </c>
      <c r="L3669" s="3">
        <v>980</v>
      </c>
      <c r="M3669" t="b">
        <v>1</v>
      </c>
      <c r="N3669" s="2">
        <f>YEAR(B3669)</f>
        <v>2025</v>
      </c>
      <c r="O3669" t="str">
        <f>INDEX(Agences!$C:$C,MATCH(F3669,Agences!$A:$A,0))</f>
        <v>Est</v>
      </c>
      <c r="P3669" t="str">
        <f>INDEX(Produits!$C:$C,MATCH(H3669,Produits!$A:$A,0))</f>
        <v>Mobilier</v>
      </c>
      <c r="Q3669" s="3">
        <f>I3669*INDEX(Produits!$E:$E,MATCH(H3669,Produits!$A:$A,0))</f>
        <v>656.6</v>
      </c>
      <c r="R3669" s="3">
        <f>L3669-Q3669</f>
        <v>323.4</v>
      </c>
      <c r="S3669" s="2">
        <f>NETWORKDAYS(B3669,C3669)-1</f>
        <v>2</v>
      </c>
      <c r="T3669" s="1">
        <f>WORKDAY(B3669,5)</f>
        <v>45720</v>
      </c>
      <c r="U3669" t="b">
        <f>C3669&gt;T3669</f>
        <v>0</v>
      </c>
    </row>
    <row r="3670" spans="1:21" x14ac:dyDescent="0.25">
      <c r="A3670" t="s">
        <v>2179</v>
      </c>
      <c r="B3670" s="1">
        <v>45712</v>
      </c>
      <c r="C3670" s="1">
        <v>45714</v>
      </c>
      <c r="D3670" t="s">
        <v>1190</v>
      </c>
      <c r="E3670" t="s">
        <v>165</v>
      </c>
      <c r="F3670" t="s">
        <v>166</v>
      </c>
      <c r="G3670" t="s">
        <v>167</v>
      </c>
      <c r="H3670" t="s">
        <v>50</v>
      </c>
      <c r="I3670" s="2">
        <v>3</v>
      </c>
      <c r="J3670" s="3">
        <v>69</v>
      </c>
      <c r="K3670" s="4">
        <v>0.02</v>
      </c>
      <c r="L3670" s="3">
        <v>202.86</v>
      </c>
      <c r="M3670" t="b">
        <v>1</v>
      </c>
      <c r="N3670" s="2">
        <f>YEAR(B3670)</f>
        <v>2025</v>
      </c>
      <c r="O3670" t="str">
        <f>INDEX(Agences!$C:$C,MATCH(F3670,Agences!$A:$A,0))</f>
        <v>Ouest</v>
      </c>
      <c r="P3670" t="str">
        <f>INDEX(Produits!$C:$C,MATCH(H3670,Produits!$A:$A,0))</f>
        <v>Informatique</v>
      </c>
      <c r="Q3670" s="3">
        <f>I3670*INDEX(Produits!$E:$E,MATCH(H3670,Produits!$A:$A,0))</f>
        <v>163.53</v>
      </c>
      <c r="R3670" s="3">
        <f>L3670-Q3670</f>
        <v>39.33000000000001</v>
      </c>
      <c r="S3670" s="2">
        <f>NETWORKDAYS(B3670,C3670)-1</f>
        <v>2</v>
      </c>
      <c r="T3670" s="1">
        <f>WORKDAY(B3670,5)</f>
        <v>45719</v>
      </c>
      <c r="U3670" t="b">
        <f>C3670&gt;T3670</f>
        <v>0</v>
      </c>
    </row>
    <row r="3671" spans="1:21" x14ac:dyDescent="0.25">
      <c r="A3671" t="s">
        <v>2179</v>
      </c>
      <c r="B3671" s="1">
        <v>45712</v>
      </c>
      <c r="C3671" s="1">
        <v>45714</v>
      </c>
      <c r="D3671" t="s">
        <v>1190</v>
      </c>
      <c r="E3671" t="s">
        <v>165</v>
      </c>
      <c r="F3671" t="s">
        <v>166</v>
      </c>
      <c r="G3671" t="s">
        <v>167</v>
      </c>
      <c r="H3671" t="s">
        <v>64</v>
      </c>
      <c r="I3671" s="2">
        <v>5</v>
      </c>
      <c r="J3671" s="3">
        <v>16.8</v>
      </c>
      <c r="K3671" s="4">
        <v>0.08</v>
      </c>
      <c r="L3671" s="3">
        <v>77.28</v>
      </c>
      <c r="M3671" t="b">
        <v>1</v>
      </c>
      <c r="N3671" s="2">
        <f>YEAR(B3671)</f>
        <v>2025</v>
      </c>
      <c r="O3671" t="str">
        <f>INDEX(Agences!$C:$C,MATCH(F3671,Agences!$A:$A,0))</f>
        <v>Ouest</v>
      </c>
      <c r="P3671" t="str">
        <f>INDEX(Produits!$C:$C,MATCH(H3671,Produits!$A:$A,0))</f>
        <v>Fournitures</v>
      </c>
      <c r="Q3671" s="3">
        <f>I3671*INDEX(Produits!$E:$E,MATCH(H3671,Produits!$A:$A,0))</f>
        <v>43.7</v>
      </c>
      <c r="R3671" s="3">
        <f>L3671-Q3671</f>
        <v>33.58</v>
      </c>
      <c r="S3671" s="2">
        <f>NETWORKDAYS(B3671,C3671)-1</f>
        <v>2</v>
      </c>
      <c r="T3671" s="1">
        <f>WORKDAY(B3671,5)</f>
        <v>45719</v>
      </c>
      <c r="U3671" t="b">
        <f>C3671&gt;T3671</f>
        <v>0</v>
      </c>
    </row>
    <row r="3672" spans="1:21" x14ac:dyDescent="0.25">
      <c r="A3672" t="s">
        <v>2180</v>
      </c>
      <c r="B3672" s="1">
        <v>45712</v>
      </c>
      <c r="C3672" s="1">
        <v>45715</v>
      </c>
      <c r="D3672" t="s">
        <v>842</v>
      </c>
      <c r="E3672" t="s">
        <v>30</v>
      </c>
      <c r="F3672" t="s">
        <v>31</v>
      </c>
      <c r="G3672" t="s">
        <v>375</v>
      </c>
      <c r="H3672" t="s">
        <v>112</v>
      </c>
      <c r="I3672" s="2">
        <v>1</v>
      </c>
      <c r="J3672" s="3">
        <v>129</v>
      </c>
      <c r="K3672" s="4">
        <v>0.05</v>
      </c>
      <c r="L3672" s="3">
        <v>122.55</v>
      </c>
      <c r="M3672" t="b">
        <v>1</v>
      </c>
      <c r="N3672" s="2">
        <f>YEAR(B3672)</f>
        <v>2025</v>
      </c>
      <c r="O3672" t="str">
        <f>INDEX(Agences!$C:$C,MATCH(F3672,Agences!$A:$A,0))</f>
        <v>Ouest</v>
      </c>
      <c r="P3672" t="str">
        <f>INDEX(Produits!$C:$C,MATCH(H3672,Produits!$A:$A,0))</f>
        <v>Mobilier</v>
      </c>
      <c r="Q3672" s="3">
        <f>I3672*INDEX(Produits!$E:$E,MATCH(H3672,Produits!$A:$A,0))</f>
        <v>86.43</v>
      </c>
      <c r="R3672" s="3">
        <f>L3672-Q3672</f>
        <v>36.11999999999999</v>
      </c>
      <c r="S3672" s="2">
        <f>NETWORKDAYS(B3672,C3672)-1</f>
        <v>3</v>
      </c>
      <c r="T3672" s="1">
        <f>WORKDAY(B3672,5)</f>
        <v>45719</v>
      </c>
      <c r="U3672" t="b">
        <f>C3672&gt;T3672</f>
        <v>0</v>
      </c>
    </row>
    <row r="3673" spans="1:21" x14ac:dyDescent="0.25">
      <c r="A3673" t="s">
        <v>2180</v>
      </c>
      <c r="B3673" s="1">
        <v>45712</v>
      </c>
      <c r="C3673" s="1">
        <v>45715</v>
      </c>
      <c r="D3673" t="s">
        <v>842</v>
      </c>
      <c r="E3673" t="s">
        <v>30</v>
      </c>
      <c r="F3673" t="s">
        <v>31</v>
      </c>
      <c r="G3673" t="s">
        <v>375</v>
      </c>
      <c r="H3673" t="s">
        <v>233</v>
      </c>
      <c r="I3673" s="2">
        <v>10</v>
      </c>
      <c r="J3673" s="3">
        <v>27.5</v>
      </c>
      <c r="K3673" s="4">
        <v>0.05</v>
      </c>
      <c r="L3673" s="3">
        <v>261.25</v>
      </c>
      <c r="M3673" t="b">
        <v>1</v>
      </c>
      <c r="N3673" s="2">
        <f>YEAR(B3673)</f>
        <v>2025</v>
      </c>
      <c r="O3673" t="str">
        <f>INDEX(Agences!$C:$C,MATCH(F3673,Agences!$A:$A,0))</f>
        <v>Ouest</v>
      </c>
      <c r="P3673" t="str">
        <f>INDEX(Produits!$C:$C,MATCH(H3673,Produits!$A:$A,0))</f>
        <v>Fournitures</v>
      </c>
      <c r="Q3673" s="3">
        <f>I3673*INDEX(Produits!$E:$E,MATCH(H3673,Produits!$A:$A,0))</f>
        <v>154</v>
      </c>
      <c r="R3673" s="3">
        <f>L3673-Q3673</f>
        <v>107.25</v>
      </c>
      <c r="S3673" s="2">
        <f>NETWORKDAYS(B3673,C3673)-1</f>
        <v>3</v>
      </c>
      <c r="T3673" s="1">
        <f>WORKDAY(B3673,5)</f>
        <v>45719</v>
      </c>
      <c r="U3673" t="b">
        <f>C3673&gt;T3673</f>
        <v>0</v>
      </c>
    </row>
    <row r="3674" spans="1:21" x14ac:dyDescent="0.25">
      <c r="A3674" t="s">
        <v>2180</v>
      </c>
      <c r="B3674" s="1">
        <v>45712</v>
      </c>
      <c r="C3674" s="1">
        <v>45715</v>
      </c>
      <c r="D3674" t="s">
        <v>842</v>
      </c>
      <c r="E3674" t="s">
        <v>30</v>
      </c>
      <c r="F3674" t="s">
        <v>31</v>
      </c>
      <c r="G3674" t="s">
        <v>375</v>
      </c>
      <c r="H3674" t="s">
        <v>64</v>
      </c>
      <c r="I3674" s="2">
        <v>5</v>
      </c>
      <c r="J3674" s="3">
        <v>16.8</v>
      </c>
      <c r="K3674" s="4">
        <v>0</v>
      </c>
      <c r="L3674" s="3">
        <v>84</v>
      </c>
      <c r="M3674" t="b">
        <v>1</v>
      </c>
      <c r="N3674" s="2">
        <f>YEAR(B3674)</f>
        <v>2025</v>
      </c>
      <c r="O3674" t="str">
        <f>INDEX(Agences!$C:$C,MATCH(F3674,Agences!$A:$A,0))</f>
        <v>Ouest</v>
      </c>
      <c r="P3674" t="str">
        <f>INDEX(Produits!$C:$C,MATCH(H3674,Produits!$A:$A,0))</f>
        <v>Fournitures</v>
      </c>
      <c r="Q3674" s="3">
        <f>I3674*INDEX(Produits!$E:$E,MATCH(H3674,Produits!$A:$A,0))</f>
        <v>43.7</v>
      </c>
      <c r="R3674" s="3">
        <f>L3674-Q3674</f>
        <v>40.3</v>
      </c>
      <c r="S3674" s="2">
        <f>NETWORKDAYS(B3674,C3674)-1</f>
        <v>3</v>
      </c>
      <c r="T3674" s="1">
        <f>WORKDAY(B3674,5)</f>
        <v>45719</v>
      </c>
      <c r="U3674" t="b">
        <f>C3674&gt;T3674</f>
        <v>0</v>
      </c>
    </row>
    <row r="3675" spans="1:21" x14ac:dyDescent="0.25">
      <c r="A3675" t="s">
        <v>2181</v>
      </c>
      <c r="B3675" s="1">
        <v>45712</v>
      </c>
      <c r="C3675" s="1">
        <v>45715</v>
      </c>
      <c r="D3675" t="s">
        <v>844</v>
      </c>
      <c r="E3675" t="s">
        <v>236</v>
      </c>
      <c r="F3675" t="s">
        <v>39</v>
      </c>
      <c r="G3675" t="s">
        <v>40</v>
      </c>
      <c r="H3675" t="s">
        <v>196</v>
      </c>
      <c r="I3675" s="2">
        <v>5</v>
      </c>
      <c r="J3675" s="3">
        <v>18.5</v>
      </c>
      <c r="K3675" s="4">
        <v>0</v>
      </c>
      <c r="L3675" s="3">
        <v>92.5</v>
      </c>
      <c r="M3675" t="b">
        <v>1</v>
      </c>
      <c r="N3675" s="2">
        <f>YEAR(B3675)</f>
        <v>2025</v>
      </c>
      <c r="O3675" t="str">
        <f>INDEX(Agences!$C:$C,MATCH(F3675,Agences!$A:$A,0))</f>
        <v>Sud-Ouest</v>
      </c>
      <c r="P3675" t="str">
        <f>INDEX(Produits!$C:$C,MATCH(H3675,Produits!$A:$A,0))</f>
        <v>Fournitures</v>
      </c>
      <c r="Q3675" s="3">
        <f>I3675*INDEX(Produits!$E:$E,MATCH(H3675,Produits!$A:$A,0))</f>
        <v>47.199999999999996</v>
      </c>
      <c r="R3675" s="3">
        <f>L3675-Q3675</f>
        <v>45.300000000000004</v>
      </c>
      <c r="S3675" s="2">
        <f>NETWORKDAYS(B3675,C3675)-1</f>
        <v>3</v>
      </c>
      <c r="T3675" s="1">
        <f>WORKDAY(B3675,5)</f>
        <v>45719</v>
      </c>
      <c r="U3675" t="b">
        <f>C3675&gt;T3675</f>
        <v>0</v>
      </c>
    </row>
    <row r="3676" spans="1:21" x14ac:dyDescent="0.25">
      <c r="A3676" t="s">
        <v>2181</v>
      </c>
      <c r="B3676" s="1">
        <v>45712</v>
      </c>
      <c r="C3676" s="1">
        <v>45715</v>
      </c>
      <c r="D3676" t="s">
        <v>844</v>
      </c>
      <c r="E3676" t="s">
        <v>236</v>
      </c>
      <c r="F3676" t="s">
        <v>39</v>
      </c>
      <c r="G3676" t="s">
        <v>40</v>
      </c>
      <c r="H3676" t="s">
        <v>35</v>
      </c>
      <c r="I3676" s="2">
        <v>3</v>
      </c>
      <c r="J3676" s="3">
        <v>79</v>
      </c>
      <c r="K3676" s="4">
        <v>0</v>
      </c>
      <c r="L3676" s="3">
        <v>237</v>
      </c>
      <c r="M3676" t="b">
        <v>1</v>
      </c>
      <c r="N3676" s="2">
        <f>YEAR(B3676)</f>
        <v>2025</v>
      </c>
      <c r="O3676" t="str">
        <f>INDEX(Agences!$C:$C,MATCH(F3676,Agences!$A:$A,0))</f>
        <v>Sud-Ouest</v>
      </c>
      <c r="P3676" t="str">
        <f>INDEX(Produits!$C:$C,MATCH(H3676,Produits!$A:$A,0))</f>
        <v>Mobilier</v>
      </c>
      <c r="Q3676" s="3">
        <f>I3676*INDEX(Produits!$E:$E,MATCH(H3676,Produits!$A:$A,0))</f>
        <v>139.82999999999998</v>
      </c>
      <c r="R3676" s="3">
        <f>L3676-Q3676</f>
        <v>97.17000000000002</v>
      </c>
      <c r="S3676" s="2">
        <f>NETWORKDAYS(B3676,C3676)-1</f>
        <v>3</v>
      </c>
      <c r="T3676" s="1">
        <f>WORKDAY(B3676,5)</f>
        <v>45719</v>
      </c>
      <c r="U3676" t="b">
        <f>C3676&gt;T3676</f>
        <v>0</v>
      </c>
    </row>
    <row r="3677" spans="1:21" x14ac:dyDescent="0.25">
      <c r="A3677" t="s">
        <v>2182</v>
      </c>
      <c r="B3677" s="1">
        <v>45712</v>
      </c>
      <c r="C3677" s="1">
        <v>45715</v>
      </c>
      <c r="D3677" t="s">
        <v>664</v>
      </c>
      <c r="E3677" t="s">
        <v>87</v>
      </c>
      <c r="F3677" t="s">
        <v>88</v>
      </c>
      <c r="G3677" t="s">
        <v>226</v>
      </c>
      <c r="H3677" t="s">
        <v>107</v>
      </c>
      <c r="I3677" s="2">
        <v>2</v>
      </c>
      <c r="J3677" s="3">
        <v>99</v>
      </c>
      <c r="K3677" s="4">
        <v>0</v>
      </c>
      <c r="L3677" s="3">
        <v>198</v>
      </c>
      <c r="M3677" t="b">
        <v>1</v>
      </c>
      <c r="N3677" s="2">
        <f>YEAR(B3677)</f>
        <v>2025</v>
      </c>
      <c r="O3677" t="str">
        <f>INDEX(Agences!$C:$C,MATCH(F3677,Agences!$A:$A,0))</f>
        <v>Sud-Ouest</v>
      </c>
      <c r="P3677" t="str">
        <f>INDEX(Produits!$C:$C,MATCH(H3677,Produits!$A:$A,0))</f>
        <v>Informatique</v>
      </c>
      <c r="Q3677" s="3">
        <f>I3677*INDEX(Produits!$E:$E,MATCH(H3677,Produits!$A:$A,0))</f>
        <v>150.48</v>
      </c>
      <c r="R3677" s="3">
        <f>L3677-Q3677</f>
        <v>47.52000000000001</v>
      </c>
      <c r="S3677" s="2">
        <f>NETWORKDAYS(B3677,C3677)-1</f>
        <v>3</v>
      </c>
      <c r="T3677" s="1">
        <f>WORKDAY(B3677,5)</f>
        <v>45719</v>
      </c>
      <c r="U3677" t="b">
        <f>C3677&gt;T3677</f>
        <v>0</v>
      </c>
    </row>
    <row r="3678" spans="1:21" x14ac:dyDescent="0.25">
      <c r="A3678" t="s">
        <v>2183</v>
      </c>
      <c r="B3678" s="1">
        <v>45712</v>
      </c>
      <c r="C3678" s="1">
        <v>45713</v>
      </c>
      <c r="D3678" t="s">
        <v>686</v>
      </c>
      <c r="E3678" t="s">
        <v>256</v>
      </c>
      <c r="F3678" t="s">
        <v>88</v>
      </c>
      <c r="G3678" t="s">
        <v>89</v>
      </c>
      <c r="H3678" t="s">
        <v>64</v>
      </c>
      <c r="I3678" s="2">
        <v>5</v>
      </c>
      <c r="J3678" s="3">
        <v>16.8</v>
      </c>
      <c r="K3678" s="4">
        <v>0.02</v>
      </c>
      <c r="L3678" s="3">
        <v>82.32</v>
      </c>
      <c r="M3678" t="b">
        <v>1</v>
      </c>
      <c r="N3678" s="2">
        <f>YEAR(B3678)</f>
        <v>2025</v>
      </c>
      <c r="O3678" t="str">
        <f>INDEX(Agences!$C:$C,MATCH(F3678,Agences!$A:$A,0))</f>
        <v>Sud-Ouest</v>
      </c>
      <c r="P3678" t="str">
        <f>INDEX(Produits!$C:$C,MATCH(H3678,Produits!$A:$A,0))</f>
        <v>Fournitures</v>
      </c>
      <c r="Q3678" s="3">
        <f>I3678*INDEX(Produits!$E:$E,MATCH(H3678,Produits!$A:$A,0))</f>
        <v>43.7</v>
      </c>
      <c r="R3678" s="3">
        <f>L3678-Q3678</f>
        <v>38.61999999999999</v>
      </c>
      <c r="S3678" s="2">
        <f>NETWORKDAYS(B3678,C3678)-1</f>
        <v>1</v>
      </c>
      <c r="T3678" s="1">
        <f>WORKDAY(B3678,5)</f>
        <v>45719</v>
      </c>
      <c r="U3678" t="b">
        <f>C3678&gt;T3678</f>
        <v>0</v>
      </c>
    </row>
    <row r="3679" spans="1:21" x14ac:dyDescent="0.25">
      <c r="A3679" t="s">
        <v>2184</v>
      </c>
      <c r="B3679" s="1">
        <v>45712</v>
      </c>
      <c r="C3679" s="1">
        <v>45713</v>
      </c>
      <c r="D3679" t="s">
        <v>877</v>
      </c>
      <c r="E3679" t="s">
        <v>229</v>
      </c>
      <c r="F3679" t="s">
        <v>55</v>
      </c>
      <c r="G3679" t="s">
        <v>195</v>
      </c>
      <c r="H3679" t="s">
        <v>49</v>
      </c>
      <c r="I3679" s="2">
        <v>1</v>
      </c>
      <c r="J3679" s="3">
        <v>120</v>
      </c>
      <c r="K3679" s="4">
        <v>0</v>
      </c>
      <c r="L3679" s="3">
        <v>120</v>
      </c>
      <c r="M3679" t="b">
        <v>1</v>
      </c>
      <c r="N3679" s="2">
        <f>YEAR(B3679)</f>
        <v>2025</v>
      </c>
      <c r="O3679" t="str">
        <f>INDEX(Agences!$C:$C,MATCH(F3679,Agences!$A:$A,0))</f>
        <v>Est</v>
      </c>
      <c r="P3679" t="str">
        <f>INDEX(Produits!$C:$C,MATCH(H3679,Produits!$A:$A,0))</f>
        <v>Maintenance</v>
      </c>
      <c r="Q3679" s="3">
        <f>I3679*INDEX(Produits!$E:$E,MATCH(H3679,Produits!$A:$A,0))</f>
        <v>55.2</v>
      </c>
      <c r="R3679" s="3">
        <f>L3679-Q3679</f>
        <v>64.8</v>
      </c>
      <c r="S3679" s="2">
        <f>NETWORKDAYS(B3679,C3679)-1</f>
        <v>1</v>
      </c>
      <c r="T3679" s="1">
        <f>WORKDAY(B3679,5)</f>
        <v>45719</v>
      </c>
      <c r="U3679" t="b">
        <f>C3679&gt;T3679</f>
        <v>0</v>
      </c>
    </row>
    <row r="3680" spans="1:21" x14ac:dyDescent="0.25">
      <c r="A3680" t="s">
        <v>2184</v>
      </c>
      <c r="B3680" s="1">
        <v>45712</v>
      </c>
      <c r="C3680" s="1">
        <v>45713</v>
      </c>
      <c r="D3680" t="s">
        <v>877</v>
      </c>
      <c r="E3680" t="s">
        <v>229</v>
      </c>
      <c r="F3680" t="s">
        <v>55</v>
      </c>
      <c r="G3680" t="s">
        <v>195</v>
      </c>
      <c r="H3680" t="s">
        <v>50</v>
      </c>
      <c r="I3680" s="2">
        <v>1</v>
      </c>
      <c r="J3680" s="3">
        <v>69</v>
      </c>
      <c r="K3680" s="4">
        <v>0</v>
      </c>
      <c r="L3680" s="3">
        <v>69</v>
      </c>
      <c r="M3680" t="b">
        <v>1</v>
      </c>
      <c r="N3680" s="2">
        <f>YEAR(B3680)</f>
        <v>2025</v>
      </c>
      <c r="O3680" t="str">
        <f>INDEX(Agences!$C:$C,MATCH(F3680,Agences!$A:$A,0))</f>
        <v>Est</v>
      </c>
      <c r="P3680" t="str">
        <f>INDEX(Produits!$C:$C,MATCH(H3680,Produits!$A:$A,0))</f>
        <v>Informatique</v>
      </c>
      <c r="Q3680" s="3">
        <f>I3680*INDEX(Produits!$E:$E,MATCH(H3680,Produits!$A:$A,0))</f>
        <v>54.51</v>
      </c>
      <c r="R3680" s="3">
        <f>L3680-Q3680</f>
        <v>14.490000000000002</v>
      </c>
      <c r="S3680" s="2">
        <f>NETWORKDAYS(B3680,C3680)-1</f>
        <v>1</v>
      </c>
      <c r="T3680" s="1">
        <f>WORKDAY(B3680,5)</f>
        <v>45719</v>
      </c>
      <c r="U3680" t="b">
        <f>C3680&gt;T3680</f>
        <v>0</v>
      </c>
    </row>
    <row r="3681" spans="1:21" x14ac:dyDescent="0.25">
      <c r="A3681" t="s">
        <v>2185</v>
      </c>
      <c r="B3681" s="1">
        <v>45709</v>
      </c>
      <c r="C3681" s="1">
        <v>45716</v>
      </c>
      <c r="D3681" t="s">
        <v>1996</v>
      </c>
      <c r="E3681" t="s">
        <v>202</v>
      </c>
      <c r="F3681" t="s">
        <v>138</v>
      </c>
      <c r="G3681" t="s">
        <v>220</v>
      </c>
      <c r="H3681" t="s">
        <v>196</v>
      </c>
      <c r="I3681" s="2">
        <v>10</v>
      </c>
      <c r="J3681" s="3">
        <v>18.5</v>
      </c>
      <c r="K3681" s="4">
        <v>0</v>
      </c>
      <c r="L3681" s="3">
        <v>185</v>
      </c>
      <c r="M3681" t="b">
        <v>1</v>
      </c>
      <c r="N3681" s="2">
        <f>YEAR(B3681)</f>
        <v>2025</v>
      </c>
      <c r="O3681" t="str">
        <f>INDEX(Agences!$C:$C,MATCH(F3681,Agences!$A:$A,0))</f>
        <v>Île-de-France</v>
      </c>
      <c r="P3681" t="str">
        <f>INDEX(Produits!$C:$C,MATCH(H3681,Produits!$A:$A,0))</f>
        <v>Fournitures</v>
      </c>
      <c r="Q3681" s="3">
        <f>I3681*INDEX(Produits!$E:$E,MATCH(H3681,Produits!$A:$A,0))</f>
        <v>94.39999999999999</v>
      </c>
      <c r="R3681" s="3">
        <f>L3681-Q3681</f>
        <v>90.60000000000001</v>
      </c>
      <c r="S3681" s="2">
        <f>NETWORKDAYS(B3681,C3681)-1</f>
        <v>5</v>
      </c>
      <c r="T3681" s="1">
        <f>WORKDAY(B3681,5)</f>
        <v>45716</v>
      </c>
      <c r="U3681" t="b">
        <f>C3681&gt;T3681</f>
        <v>0</v>
      </c>
    </row>
    <row r="3682" spans="1:21" x14ac:dyDescent="0.25">
      <c r="A3682" t="s">
        <v>2186</v>
      </c>
      <c r="B3682" s="1">
        <v>45708</v>
      </c>
      <c r="C3682" s="1">
        <v>45713</v>
      </c>
      <c r="D3682" t="s">
        <v>480</v>
      </c>
      <c r="E3682" t="s">
        <v>399</v>
      </c>
      <c r="F3682" t="s">
        <v>166</v>
      </c>
      <c r="G3682" t="s">
        <v>167</v>
      </c>
      <c r="H3682" t="s">
        <v>49</v>
      </c>
      <c r="I3682" s="2">
        <v>3</v>
      </c>
      <c r="J3682" s="3">
        <v>120</v>
      </c>
      <c r="K3682" s="4">
        <v>0</v>
      </c>
      <c r="L3682" s="3">
        <v>360</v>
      </c>
      <c r="M3682" t="b">
        <v>1</v>
      </c>
      <c r="N3682" s="2">
        <f>YEAR(B3682)</f>
        <v>2025</v>
      </c>
      <c r="O3682" t="str">
        <f>INDEX(Agences!$C:$C,MATCH(F3682,Agences!$A:$A,0))</f>
        <v>Ouest</v>
      </c>
      <c r="P3682" t="str">
        <f>INDEX(Produits!$C:$C,MATCH(H3682,Produits!$A:$A,0))</f>
        <v>Maintenance</v>
      </c>
      <c r="Q3682" s="3">
        <f>I3682*INDEX(Produits!$E:$E,MATCH(H3682,Produits!$A:$A,0))</f>
        <v>165.60000000000002</v>
      </c>
      <c r="R3682" s="3">
        <f>L3682-Q3682</f>
        <v>194.39999999999998</v>
      </c>
      <c r="S3682" s="2">
        <f>NETWORKDAYS(B3682,C3682)-1</f>
        <v>3</v>
      </c>
      <c r="T3682" s="1">
        <f>WORKDAY(B3682,5)</f>
        <v>45715</v>
      </c>
      <c r="U3682" t="b">
        <f>C3682&gt;T3682</f>
        <v>0</v>
      </c>
    </row>
    <row r="3683" spans="1:21" x14ac:dyDescent="0.25">
      <c r="A3683" t="s">
        <v>2186</v>
      </c>
      <c r="B3683" s="1">
        <v>45708</v>
      </c>
      <c r="C3683" s="1">
        <v>45713</v>
      </c>
      <c r="D3683" t="s">
        <v>480</v>
      </c>
      <c r="E3683" t="s">
        <v>399</v>
      </c>
      <c r="F3683" t="s">
        <v>166</v>
      </c>
      <c r="G3683" t="s">
        <v>167</v>
      </c>
      <c r="H3683" t="s">
        <v>50</v>
      </c>
      <c r="I3683" s="2">
        <v>2</v>
      </c>
      <c r="J3683" s="3">
        <v>69</v>
      </c>
      <c r="K3683" s="4">
        <v>0</v>
      </c>
      <c r="L3683" s="3">
        <v>138</v>
      </c>
      <c r="M3683" t="b">
        <v>1</v>
      </c>
      <c r="N3683" s="2">
        <f>YEAR(B3683)</f>
        <v>2025</v>
      </c>
      <c r="O3683" t="str">
        <f>INDEX(Agences!$C:$C,MATCH(F3683,Agences!$A:$A,0))</f>
        <v>Ouest</v>
      </c>
      <c r="P3683" t="str">
        <f>INDEX(Produits!$C:$C,MATCH(H3683,Produits!$A:$A,0))</f>
        <v>Informatique</v>
      </c>
      <c r="Q3683" s="3">
        <f>I3683*INDEX(Produits!$E:$E,MATCH(H3683,Produits!$A:$A,0))</f>
        <v>109.02</v>
      </c>
      <c r="R3683" s="3">
        <f>L3683-Q3683</f>
        <v>28.980000000000004</v>
      </c>
      <c r="S3683" s="2">
        <f>NETWORKDAYS(B3683,C3683)-1</f>
        <v>3</v>
      </c>
      <c r="T3683" s="1">
        <f>WORKDAY(B3683,5)</f>
        <v>45715</v>
      </c>
      <c r="U3683" t="b">
        <f>C3683&gt;T3683</f>
        <v>0</v>
      </c>
    </row>
    <row r="3684" spans="1:21" x14ac:dyDescent="0.25">
      <c r="A3684" t="s">
        <v>2186</v>
      </c>
      <c r="B3684" s="1">
        <v>45708</v>
      </c>
      <c r="C3684" s="1">
        <v>45713</v>
      </c>
      <c r="D3684" t="s">
        <v>480</v>
      </c>
      <c r="E3684" t="s">
        <v>399</v>
      </c>
      <c r="F3684" t="s">
        <v>166</v>
      </c>
      <c r="G3684" t="s">
        <v>167</v>
      </c>
      <c r="H3684" t="s">
        <v>123</v>
      </c>
      <c r="I3684" s="2">
        <v>10</v>
      </c>
      <c r="J3684" s="3">
        <v>39.9</v>
      </c>
      <c r="K3684" s="4">
        <v>0.05</v>
      </c>
      <c r="L3684" s="3">
        <v>379.05</v>
      </c>
      <c r="M3684" t="b">
        <v>1</v>
      </c>
      <c r="N3684" s="2">
        <f>YEAR(B3684)</f>
        <v>2025</v>
      </c>
      <c r="O3684" t="str">
        <f>INDEX(Agences!$C:$C,MATCH(F3684,Agences!$A:$A,0))</f>
        <v>Ouest</v>
      </c>
      <c r="P3684" t="str">
        <f>INDEX(Produits!$C:$C,MATCH(H3684,Produits!$A:$A,0))</f>
        <v>Fournitures</v>
      </c>
      <c r="Q3684" s="3">
        <f>I3684*INDEX(Produits!$E:$E,MATCH(H3684,Produits!$A:$A,0))</f>
        <v>223.4</v>
      </c>
      <c r="R3684" s="3">
        <f>L3684-Q3684</f>
        <v>155.65</v>
      </c>
      <c r="S3684" s="2">
        <f>NETWORKDAYS(B3684,C3684)-1</f>
        <v>3</v>
      </c>
      <c r="T3684" s="1">
        <f>WORKDAY(B3684,5)</f>
        <v>45715</v>
      </c>
      <c r="U3684" t="b">
        <f>C3684&gt;T3684</f>
        <v>0</v>
      </c>
    </row>
    <row r="3685" spans="1:21" x14ac:dyDescent="0.25">
      <c r="A3685" t="s">
        <v>2186</v>
      </c>
      <c r="B3685" s="1">
        <v>45708</v>
      </c>
      <c r="C3685" s="1">
        <v>45713</v>
      </c>
      <c r="D3685" t="s">
        <v>480</v>
      </c>
      <c r="E3685" t="s">
        <v>399</v>
      </c>
      <c r="F3685" t="s">
        <v>166</v>
      </c>
      <c r="G3685" t="s">
        <v>167</v>
      </c>
      <c r="H3685" t="s">
        <v>34</v>
      </c>
      <c r="I3685" s="2">
        <v>2</v>
      </c>
      <c r="J3685" s="3">
        <v>340</v>
      </c>
      <c r="K3685" s="4">
        <v>0.02</v>
      </c>
      <c r="L3685" s="3">
        <v>666.4</v>
      </c>
      <c r="M3685" t="b">
        <v>1</v>
      </c>
      <c r="N3685" s="2">
        <f>YEAR(B3685)</f>
        <v>2025</v>
      </c>
      <c r="O3685" t="str">
        <f>INDEX(Agences!$C:$C,MATCH(F3685,Agences!$A:$A,0))</f>
        <v>Ouest</v>
      </c>
      <c r="P3685" t="str">
        <f>INDEX(Produits!$C:$C,MATCH(H3685,Produits!$A:$A,0))</f>
        <v>Informatique</v>
      </c>
      <c r="Q3685" s="3">
        <f>I3685*INDEX(Produits!$E:$E,MATCH(H3685,Produits!$A:$A,0))</f>
        <v>550.8</v>
      </c>
      <c r="R3685" s="3">
        <f>L3685-Q3685</f>
        <v>115.60000000000002</v>
      </c>
      <c r="S3685" s="2">
        <f>NETWORKDAYS(B3685,C3685)-1</f>
        <v>3</v>
      </c>
      <c r="T3685" s="1">
        <f>WORKDAY(B3685,5)</f>
        <v>45715</v>
      </c>
      <c r="U3685" t="b">
        <f>C3685&gt;T3685</f>
        <v>0</v>
      </c>
    </row>
    <row r="3686" spans="1:21" x14ac:dyDescent="0.25">
      <c r="A3686" t="s">
        <v>2187</v>
      </c>
      <c r="B3686" s="1">
        <v>45708</v>
      </c>
      <c r="C3686" s="1">
        <v>45714</v>
      </c>
      <c r="D3686" t="s">
        <v>1026</v>
      </c>
      <c r="E3686" t="s">
        <v>225</v>
      </c>
      <c r="F3686" t="s">
        <v>88</v>
      </c>
      <c r="G3686" t="s">
        <v>226</v>
      </c>
      <c r="H3686" t="s">
        <v>84</v>
      </c>
      <c r="I3686" s="2">
        <v>2</v>
      </c>
      <c r="J3686" s="3">
        <v>420</v>
      </c>
      <c r="K3686" s="4">
        <v>0</v>
      </c>
      <c r="L3686" s="3">
        <v>840</v>
      </c>
      <c r="M3686" t="b">
        <v>1</v>
      </c>
      <c r="N3686" s="2">
        <f>YEAR(B3686)</f>
        <v>2025</v>
      </c>
      <c r="O3686" t="str">
        <f>INDEX(Agences!$C:$C,MATCH(F3686,Agences!$A:$A,0))</f>
        <v>Sud-Ouest</v>
      </c>
      <c r="P3686" t="str">
        <f>INDEX(Produits!$C:$C,MATCH(H3686,Produits!$A:$A,0))</f>
        <v>Mobilier</v>
      </c>
      <c r="Q3686" s="3">
        <f>I3686*INDEX(Produits!$E:$E,MATCH(H3686,Produits!$A:$A,0))</f>
        <v>487.2</v>
      </c>
      <c r="R3686" s="3">
        <f>L3686-Q3686</f>
        <v>352.8</v>
      </c>
      <c r="S3686" s="2">
        <f>NETWORKDAYS(B3686,C3686)-1</f>
        <v>4</v>
      </c>
      <c r="T3686" s="1">
        <f>WORKDAY(B3686,5)</f>
        <v>45715</v>
      </c>
      <c r="U3686" t="b">
        <f>C3686&gt;T3686</f>
        <v>0</v>
      </c>
    </row>
    <row r="3687" spans="1:21" x14ac:dyDescent="0.25">
      <c r="A3687" t="s">
        <v>2188</v>
      </c>
      <c r="B3687" s="1">
        <v>45706</v>
      </c>
      <c r="C3687" s="1">
        <v>45708</v>
      </c>
      <c r="D3687" t="s">
        <v>867</v>
      </c>
      <c r="E3687" t="s">
        <v>202</v>
      </c>
      <c r="F3687" t="s">
        <v>138</v>
      </c>
      <c r="G3687" t="s">
        <v>220</v>
      </c>
      <c r="H3687" t="s">
        <v>42</v>
      </c>
      <c r="I3687" s="2">
        <v>1</v>
      </c>
      <c r="J3687" s="3">
        <v>55</v>
      </c>
      <c r="K3687" s="4">
        <v>0.08</v>
      </c>
      <c r="L3687" s="3">
        <v>50.6</v>
      </c>
      <c r="M3687" t="b">
        <v>1</v>
      </c>
      <c r="N3687" s="2">
        <f>YEAR(B3687)</f>
        <v>2025</v>
      </c>
      <c r="O3687" t="str">
        <f>INDEX(Agences!$C:$C,MATCH(F3687,Agences!$A:$A,0))</f>
        <v>Île-de-France</v>
      </c>
      <c r="P3687" t="str">
        <f>INDEX(Produits!$C:$C,MATCH(H3687,Produits!$A:$A,0))</f>
        <v>Maintenance</v>
      </c>
      <c r="Q3687" s="3">
        <f>I3687*INDEX(Produits!$E:$E,MATCH(H3687,Produits!$A:$A,0))</f>
        <v>24.75</v>
      </c>
      <c r="R3687" s="3">
        <f>L3687-Q3687</f>
        <v>25.85</v>
      </c>
      <c r="S3687" s="2">
        <f>NETWORKDAYS(B3687,C3687)-1</f>
        <v>2</v>
      </c>
      <c r="T3687" s="1">
        <f>WORKDAY(B3687,5)</f>
        <v>45713</v>
      </c>
      <c r="U3687" t="b">
        <f>C3687&gt;T3687</f>
        <v>0</v>
      </c>
    </row>
    <row r="3688" spans="1:21" x14ac:dyDescent="0.25">
      <c r="A3688" t="s">
        <v>2188</v>
      </c>
      <c r="B3688" s="1">
        <v>45706</v>
      </c>
      <c r="C3688" s="1">
        <v>45708</v>
      </c>
      <c r="D3688" t="s">
        <v>867</v>
      </c>
      <c r="E3688" t="s">
        <v>202</v>
      </c>
      <c r="F3688" t="s">
        <v>138</v>
      </c>
      <c r="G3688" t="s">
        <v>220</v>
      </c>
      <c r="H3688" t="s">
        <v>83</v>
      </c>
      <c r="I3688" s="2">
        <v>5</v>
      </c>
      <c r="J3688" s="3">
        <v>49</v>
      </c>
      <c r="K3688" s="4">
        <v>0.02</v>
      </c>
      <c r="L3688" s="3">
        <v>240.1</v>
      </c>
      <c r="M3688" t="b">
        <v>1</v>
      </c>
      <c r="N3688" s="2">
        <f>YEAR(B3688)</f>
        <v>2025</v>
      </c>
      <c r="O3688" t="str">
        <f>INDEX(Agences!$C:$C,MATCH(F3688,Agences!$A:$A,0))</f>
        <v>Île-de-France</v>
      </c>
      <c r="P3688" t="str">
        <f>INDEX(Produits!$C:$C,MATCH(H3688,Produits!$A:$A,0))</f>
        <v>Mobilier</v>
      </c>
      <c r="Q3688" s="3">
        <f>I3688*INDEX(Produits!$E:$E,MATCH(H3688,Produits!$A:$A,0))</f>
        <v>142.10000000000002</v>
      </c>
      <c r="R3688" s="3">
        <f>L3688-Q3688</f>
        <v>97.99999999999997</v>
      </c>
      <c r="S3688" s="2">
        <f>NETWORKDAYS(B3688,C3688)-1</f>
        <v>2</v>
      </c>
      <c r="T3688" s="1">
        <f>WORKDAY(B3688,5)</f>
        <v>45713</v>
      </c>
      <c r="U3688" t="b">
        <f>C3688&gt;T3688</f>
        <v>0</v>
      </c>
    </row>
    <row r="3689" spans="1:21" x14ac:dyDescent="0.25">
      <c r="A3689" t="s">
        <v>2188</v>
      </c>
      <c r="B3689" s="1">
        <v>45706</v>
      </c>
      <c r="C3689" s="1">
        <v>45708</v>
      </c>
      <c r="D3689" t="s">
        <v>867</v>
      </c>
      <c r="E3689" t="s">
        <v>202</v>
      </c>
      <c r="F3689" t="s">
        <v>138</v>
      </c>
      <c r="G3689" t="s">
        <v>220</v>
      </c>
      <c r="H3689" t="s">
        <v>48</v>
      </c>
      <c r="I3689" s="2">
        <v>2</v>
      </c>
      <c r="J3689" s="3">
        <v>165</v>
      </c>
      <c r="K3689" s="4">
        <v>0</v>
      </c>
      <c r="L3689" s="3">
        <v>330</v>
      </c>
      <c r="M3689" t="b">
        <v>1</v>
      </c>
      <c r="N3689" s="2">
        <f>YEAR(B3689)</f>
        <v>2025</v>
      </c>
      <c r="O3689" t="str">
        <f>INDEX(Agences!$C:$C,MATCH(F3689,Agences!$A:$A,0))</f>
        <v>Île-de-France</v>
      </c>
      <c r="P3689" t="str">
        <f>INDEX(Produits!$C:$C,MATCH(H3689,Produits!$A:$A,0))</f>
        <v>Mobilier</v>
      </c>
      <c r="Q3689" s="3">
        <f>I3689*INDEX(Produits!$E:$E,MATCH(H3689,Produits!$A:$A,0))</f>
        <v>214.5</v>
      </c>
      <c r="R3689" s="3">
        <f>L3689-Q3689</f>
        <v>115.5</v>
      </c>
      <c r="S3689" s="2">
        <f>NETWORKDAYS(B3689,C3689)-1</f>
        <v>2</v>
      </c>
      <c r="T3689" s="1">
        <f>WORKDAY(B3689,5)</f>
        <v>45713</v>
      </c>
      <c r="U3689" t="b">
        <f>C3689&gt;T3689</f>
        <v>0</v>
      </c>
    </row>
    <row r="3690" spans="1:21" x14ac:dyDescent="0.25">
      <c r="A3690" t="s">
        <v>2188</v>
      </c>
      <c r="B3690" s="1">
        <v>45706</v>
      </c>
      <c r="C3690" s="1">
        <v>45708</v>
      </c>
      <c r="D3690" t="s">
        <v>867</v>
      </c>
      <c r="E3690" t="s">
        <v>202</v>
      </c>
      <c r="F3690" t="s">
        <v>138</v>
      </c>
      <c r="G3690" t="s">
        <v>220</v>
      </c>
      <c r="H3690" t="s">
        <v>57</v>
      </c>
      <c r="I3690" s="2">
        <v>1</v>
      </c>
      <c r="J3690" s="3">
        <v>149</v>
      </c>
      <c r="K3690" s="4">
        <v>0.02</v>
      </c>
      <c r="L3690" s="3">
        <v>146.02</v>
      </c>
      <c r="M3690" t="b">
        <v>1</v>
      </c>
      <c r="N3690" s="2">
        <f>YEAR(B3690)</f>
        <v>2025</v>
      </c>
      <c r="O3690" t="str">
        <f>INDEX(Agences!$C:$C,MATCH(F3690,Agences!$A:$A,0))</f>
        <v>Île-de-France</v>
      </c>
      <c r="P3690" t="str">
        <f>INDEX(Produits!$C:$C,MATCH(H3690,Produits!$A:$A,0))</f>
        <v>Informatique</v>
      </c>
      <c r="Q3690" s="3">
        <f>I3690*INDEX(Produits!$E:$E,MATCH(H3690,Produits!$A:$A,0))</f>
        <v>114.73</v>
      </c>
      <c r="R3690" s="3">
        <f>L3690-Q3690</f>
        <v>31.290000000000006</v>
      </c>
      <c r="S3690" s="2">
        <f>NETWORKDAYS(B3690,C3690)-1</f>
        <v>2</v>
      </c>
      <c r="T3690" s="1">
        <f>WORKDAY(B3690,5)</f>
        <v>45713</v>
      </c>
      <c r="U3690" t="b">
        <f>C3690&gt;T3690</f>
        <v>0</v>
      </c>
    </row>
    <row r="3691" spans="1:21" x14ac:dyDescent="0.25">
      <c r="A3691" t="s">
        <v>2188</v>
      </c>
      <c r="B3691" s="1">
        <v>45706</v>
      </c>
      <c r="C3691" s="1">
        <v>45708</v>
      </c>
      <c r="D3691" t="s">
        <v>867</v>
      </c>
      <c r="E3691" t="s">
        <v>202</v>
      </c>
      <c r="F3691" t="s">
        <v>138</v>
      </c>
      <c r="G3691" t="s">
        <v>220</v>
      </c>
      <c r="H3691" t="s">
        <v>72</v>
      </c>
      <c r="I3691" s="2">
        <v>4</v>
      </c>
      <c r="J3691" s="3">
        <v>179</v>
      </c>
      <c r="K3691" s="4">
        <v>0.02</v>
      </c>
      <c r="L3691" s="3">
        <v>701.68</v>
      </c>
      <c r="M3691" t="b">
        <v>1</v>
      </c>
      <c r="N3691" s="2">
        <f>YEAR(B3691)</f>
        <v>2025</v>
      </c>
      <c r="O3691" t="str">
        <f>INDEX(Agences!$C:$C,MATCH(F3691,Agences!$A:$A,0))</f>
        <v>Île-de-France</v>
      </c>
      <c r="P3691" t="str">
        <f>INDEX(Produits!$C:$C,MATCH(H3691,Produits!$A:$A,0))</f>
        <v>Informatique</v>
      </c>
      <c r="Q3691" s="3">
        <f>I3691*INDEX(Produits!$E:$E,MATCH(H3691,Produits!$A:$A,0))</f>
        <v>587.12</v>
      </c>
      <c r="R3691" s="3">
        <f>L3691-Q3691</f>
        <v>114.55999999999995</v>
      </c>
      <c r="S3691" s="2">
        <f>NETWORKDAYS(B3691,C3691)-1</f>
        <v>2</v>
      </c>
      <c r="T3691" s="1">
        <f>WORKDAY(B3691,5)</f>
        <v>45713</v>
      </c>
      <c r="U3691" t="b">
        <f>C3691&gt;T3691</f>
        <v>0</v>
      </c>
    </row>
    <row r="3692" spans="1:21" x14ac:dyDescent="0.25">
      <c r="A3692" t="s">
        <v>2189</v>
      </c>
      <c r="B3692" s="1">
        <v>45706</v>
      </c>
      <c r="C3692" s="1">
        <v>45709</v>
      </c>
      <c r="D3692" t="s">
        <v>988</v>
      </c>
      <c r="E3692" t="s">
        <v>242</v>
      </c>
      <c r="F3692" t="s">
        <v>94</v>
      </c>
      <c r="G3692" t="s">
        <v>182</v>
      </c>
      <c r="H3692" t="s">
        <v>48</v>
      </c>
      <c r="I3692" s="2">
        <v>1</v>
      </c>
      <c r="J3692" s="3">
        <v>165</v>
      </c>
      <c r="K3692" s="4">
        <v>0.02</v>
      </c>
      <c r="L3692" s="3">
        <v>161.7</v>
      </c>
      <c r="M3692" t="b">
        <v>1</v>
      </c>
      <c r="N3692" s="2">
        <f>YEAR(B3692)</f>
        <v>2025</v>
      </c>
      <c r="O3692" t="str">
        <f>INDEX(Agences!$C:$C,MATCH(F3692,Agences!$A:$A,0))</f>
        <v>Méditerranée</v>
      </c>
      <c r="P3692" t="str">
        <f>INDEX(Produits!$C:$C,MATCH(H3692,Produits!$A:$A,0))</f>
        <v>Mobilier</v>
      </c>
      <c r="Q3692" s="3">
        <f>I3692*INDEX(Produits!$E:$E,MATCH(H3692,Produits!$A:$A,0))</f>
        <v>107.25</v>
      </c>
      <c r="R3692" s="3">
        <f>L3692-Q3692</f>
        <v>54.44999999999999</v>
      </c>
      <c r="S3692" s="2">
        <f>NETWORKDAYS(B3692,C3692)-1</f>
        <v>3</v>
      </c>
      <c r="T3692" s="1">
        <f>WORKDAY(B3692,5)</f>
        <v>45713</v>
      </c>
      <c r="U3692" t="b">
        <f>C3692&gt;T3692</f>
        <v>0</v>
      </c>
    </row>
    <row r="3693" spans="1:21" x14ac:dyDescent="0.25">
      <c r="A3693" t="s">
        <v>2189</v>
      </c>
      <c r="B3693" s="1">
        <v>45706</v>
      </c>
      <c r="C3693" s="1">
        <v>45709</v>
      </c>
      <c r="D3693" t="s">
        <v>988</v>
      </c>
      <c r="E3693" t="s">
        <v>242</v>
      </c>
      <c r="F3693" t="s">
        <v>94</v>
      </c>
      <c r="G3693" t="s">
        <v>182</v>
      </c>
      <c r="H3693" t="s">
        <v>108</v>
      </c>
      <c r="I3693" s="2">
        <v>10</v>
      </c>
      <c r="J3693" s="3">
        <v>24.5</v>
      </c>
      <c r="K3693" s="4">
        <v>0.05</v>
      </c>
      <c r="L3693" s="3">
        <v>232.75</v>
      </c>
      <c r="M3693" t="b">
        <v>1</v>
      </c>
      <c r="N3693" s="2">
        <f>YEAR(B3693)</f>
        <v>2025</v>
      </c>
      <c r="O3693" t="str">
        <f>INDEX(Agences!$C:$C,MATCH(F3693,Agences!$A:$A,0))</f>
        <v>Méditerranée</v>
      </c>
      <c r="P3693" t="str">
        <f>INDEX(Produits!$C:$C,MATCH(H3693,Produits!$A:$A,0))</f>
        <v>Fournitures</v>
      </c>
      <c r="Q3693" s="3">
        <f>I3693*INDEX(Produits!$E:$E,MATCH(H3693,Produits!$A:$A,0))</f>
        <v>147</v>
      </c>
      <c r="R3693" s="3">
        <f>L3693-Q3693</f>
        <v>85.75</v>
      </c>
      <c r="S3693" s="2">
        <f>NETWORKDAYS(B3693,C3693)-1</f>
        <v>3</v>
      </c>
      <c r="T3693" s="1">
        <f>WORKDAY(B3693,5)</f>
        <v>45713</v>
      </c>
      <c r="U3693" t="b">
        <f>C3693&gt;T3693</f>
        <v>0</v>
      </c>
    </row>
    <row r="3694" spans="1:21" x14ac:dyDescent="0.25">
      <c r="A3694" t="s">
        <v>2190</v>
      </c>
      <c r="B3694" s="1">
        <v>45706</v>
      </c>
      <c r="C3694" s="1">
        <v>45707</v>
      </c>
      <c r="D3694" t="s">
        <v>292</v>
      </c>
      <c r="E3694" t="s">
        <v>45</v>
      </c>
      <c r="F3694" t="s">
        <v>46</v>
      </c>
      <c r="G3694" t="s">
        <v>111</v>
      </c>
      <c r="H3694" t="s">
        <v>112</v>
      </c>
      <c r="I3694" s="2">
        <v>1</v>
      </c>
      <c r="J3694" s="3">
        <v>129</v>
      </c>
      <c r="K3694" s="4">
        <v>0</v>
      </c>
      <c r="L3694" s="3">
        <v>129</v>
      </c>
      <c r="M3694" t="b">
        <v>1</v>
      </c>
      <c r="N3694" s="2">
        <f>YEAR(B3694)</f>
        <v>2025</v>
      </c>
      <c r="O3694" t="str">
        <f>INDEX(Agences!$C:$C,MATCH(F3694,Agences!$A:$A,0))</f>
        <v>Est</v>
      </c>
      <c r="P3694" t="str">
        <f>INDEX(Produits!$C:$C,MATCH(H3694,Produits!$A:$A,0))</f>
        <v>Mobilier</v>
      </c>
      <c r="Q3694" s="3">
        <f>I3694*INDEX(Produits!$E:$E,MATCH(H3694,Produits!$A:$A,0))</f>
        <v>86.43</v>
      </c>
      <c r="R3694" s="3">
        <f>L3694-Q3694</f>
        <v>42.56999999999999</v>
      </c>
      <c r="S3694" s="2">
        <f>NETWORKDAYS(B3694,C3694)-1</f>
        <v>1</v>
      </c>
      <c r="T3694" s="1">
        <f>WORKDAY(B3694,5)</f>
        <v>45713</v>
      </c>
      <c r="U3694" t="b">
        <f>C3694&gt;T3694</f>
        <v>0</v>
      </c>
    </row>
    <row r="3695" spans="1:21" x14ac:dyDescent="0.25">
      <c r="A3695" t="s">
        <v>2190</v>
      </c>
      <c r="B3695" s="1">
        <v>45706</v>
      </c>
      <c r="C3695" s="1">
        <v>45707</v>
      </c>
      <c r="D3695" t="s">
        <v>292</v>
      </c>
      <c r="E3695" t="s">
        <v>45</v>
      </c>
      <c r="F3695" t="s">
        <v>46</v>
      </c>
      <c r="G3695" t="s">
        <v>111</v>
      </c>
      <c r="H3695" t="s">
        <v>72</v>
      </c>
      <c r="I3695" s="2">
        <v>1</v>
      </c>
      <c r="J3695" s="3">
        <v>179</v>
      </c>
      <c r="K3695" s="4">
        <v>0</v>
      </c>
      <c r="L3695" s="3">
        <v>179</v>
      </c>
      <c r="M3695" t="b">
        <v>1</v>
      </c>
      <c r="N3695" s="2">
        <f>YEAR(B3695)</f>
        <v>2025</v>
      </c>
      <c r="O3695" t="str">
        <f>INDEX(Agences!$C:$C,MATCH(F3695,Agences!$A:$A,0))</f>
        <v>Est</v>
      </c>
      <c r="P3695" t="str">
        <f>INDEX(Produits!$C:$C,MATCH(H3695,Produits!$A:$A,0))</f>
        <v>Informatique</v>
      </c>
      <c r="Q3695" s="3">
        <f>I3695*INDEX(Produits!$E:$E,MATCH(H3695,Produits!$A:$A,0))</f>
        <v>146.78</v>
      </c>
      <c r="R3695" s="3">
        <f>L3695-Q3695</f>
        <v>32.22</v>
      </c>
      <c r="S3695" s="2">
        <f>NETWORKDAYS(B3695,C3695)-1</f>
        <v>1</v>
      </c>
      <c r="T3695" s="1">
        <f>WORKDAY(B3695,5)</f>
        <v>45713</v>
      </c>
      <c r="U3695" t="b">
        <f>C3695&gt;T3695</f>
        <v>0</v>
      </c>
    </row>
    <row r="3696" spans="1:21" x14ac:dyDescent="0.25">
      <c r="A3696" t="s">
        <v>2190</v>
      </c>
      <c r="B3696" s="1">
        <v>45706</v>
      </c>
      <c r="C3696" s="1">
        <v>45707</v>
      </c>
      <c r="D3696" t="s">
        <v>292</v>
      </c>
      <c r="E3696" t="s">
        <v>45</v>
      </c>
      <c r="F3696" t="s">
        <v>46</v>
      </c>
      <c r="G3696" t="s">
        <v>111</v>
      </c>
      <c r="H3696" t="s">
        <v>83</v>
      </c>
      <c r="I3696" s="2">
        <v>1</v>
      </c>
      <c r="J3696" s="3">
        <v>49</v>
      </c>
      <c r="K3696" s="4">
        <v>0.05</v>
      </c>
      <c r="L3696" s="3">
        <v>46.55</v>
      </c>
      <c r="M3696" t="b">
        <v>1</v>
      </c>
      <c r="N3696" s="2">
        <f>YEAR(B3696)</f>
        <v>2025</v>
      </c>
      <c r="O3696" t="str">
        <f>INDEX(Agences!$C:$C,MATCH(F3696,Agences!$A:$A,0))</f>
        <v>Est</v>
      </c>
      <c r="P3696" t="str">
        <f>INDEX(Produits!$C:$C,MATCH(H3696,Produits!$A:$A,0))</f>
        <v>Mobilier</v>
      </c>
      <c r="Q3696" s="3">
        <f>I3696*INDEX(Produits!$E:$E,MATCH(H3696,Produits!$A:$A,0))</f>
        <v>28.42</v>
      </c>
      <c r="R3696" s="3">
        <f>L3696-Q3696</f>
        <v>18.129999999999995</v>
      </c>
      <c r="S3696" s="2">
        <f>NETWORKDAYS(B3696,C3696)-1</f>
        <v>1</v>
      </c>
      <c r="T3696" s="1">
        <f>WORKDAY(B3696,5)</f>
        <v>45713</v>
      </c>
      <c r="U3696" t="b">
        <f>C3696&gt;T3696</f>
        <v>0</v>
      </c>
    </row>
    <row r="3697" spans="1:21" x14ac:dyDescent="0.25">
      <c r="A3697" t="s">
        <v>2190</v>
      </c>
      <c r="B3697" s="1">
        <v>45706</v>
      </c>
      <c r="C3697" s="1">
        <v>45707</v>
      </c>
      <c r="D3697" t="s">
        <v>292</v>
      </c>
      <c r="E3697" t="s">
        <v>45</v>
      </c>
      <c r="F3697" t="s">
        <v>46</v>
      </c>
      <c r="G3697" t="s">
        <v>111</v>
      </c>
      <c r="H3697" t="s">
        <v>233</v>
      </c>
      <c r="I3697" s="2">
        <v>5</v>
      </c>
      <c r="J3697" s="3">
        <v>27.5</v>
      </c>
      <c r="K3697" s="4">
        <v>0</v>
      </c>
      <c r="L3697" s="3">
        <v>137.5</v>
      </c>
      <c r="M3697" t="b">
        <v>1</v>
      </c>
      <c r="N3697" s="2">
        <f>YEAR(B3697)</f>
        <v>2025</v>
      </c>
      <c r="O3697" t="str">
        <f>INDEX(Agences!$C:$C,MATCH(F3697,Agences!$A:$A,0))</f>
        <v>Est</v>
      </c>
      <c r="P3697" t="str">
        <f>INDEX(Produits!$C:$C,MATCH(H3697,Produits!$A:$A,0))</f>
        <v>Fournitures</v>
      </c>
      <c r="Q3697" s="3">
        <f>I3697*INDEX(Produits!$E:$E,MATCH(H3697,Produits!$A:$A,0))</f>
        <v>77</v>
      </c>
      <c r="R3697" s="3">
        <f>L3697-Q3697</f>
        <v>60.5</v>
      </c>
      <c r="S3697" s="2">
        <f>NETWORKDAYS(B3697,C3697)-1</f>
        <v>1</v>
      </c>
      <c r="T3697" s="1">
        <f>WORKDAY(B3697,5)</f>
        <v>45713</v>
      </c>
      <c r="U3697" t="b">
        <f>C3697&gt;T3697</f>
        <v>0</v>
      </c>
    </row>
    <row r="3698" spans="1:21" x14ac:dyDescent="0.25">
      <c r="A3698" t="s">
        <v>2191</v>
      </c>
      <c r="B3698" s="1">
        <v>45705</v>
      </c>
      <c r="C3698" s="1">
        <v>45706</v>
      </c>
      <c r="D3698" t="s">
        <v>1098</v>
      </c>
      <c r="E3698" t="s">
        <v>122</v>
      </c>
      <c r="F3698" t="s">
        <v>24</v>
      </c>
      <c r="G3698" t="s">
        <v>25</v>
      </c>
      <c r="H3698" t="s">
        <v>34</v>
      </c>
      <c r="I3698" s="2">
        <v>1</v>
      </c>
      <c r="J3698" s="3">
        <v>340</v>
      </c>
      <c r="K3698" s="4">
        <v>0.05</v>
      </c>
      <c r="L3698" s="3">
        <v>323</v>
      </c>
      <c r="M3698" t="b">
        <v>1</v>
      </c>
      <c r="N3698" s="2">
        <f>YEAR(B3698)</f>
        <v>2025</v>
      </c>
      <c r="O3698" t="str">
        <f>INDEX(Agences!$C:$C,MATCH(F3698,Agences!$A:$A,0))</f>
        <v>Nord</v>
      </c>
      <c r="P3698" t="str">
        <f>INDEX(Produits!$C:$C,MATCH(H3698,Produits!$A:$A,0))</f>
        <v>Informatique</v>
      </c>
      <c r="Q3698" s="3">
        <f>I3698*INDEX(Produits!$E:$E,MATCH(H3698,Produits!$A:$A,0))</f>
        <v>275.4</v>
      </c>
      <c r="R3698" s="3">
        <f>L3698-Q3698</f>
        <v>47.60000000000002</v>
      </c>
      <c r="S3698" s="2">
        <f>NETWORKDAYS(B3698,C3698)-1</f>
        <v>1</v>
      </c>
      <c r="T3698" s="1">
        <f>WORKDAY(B3698,5)</f>
        <v>45712</v>
      </c>
      <c r="U3698" t="b">
        <f>C3698&gt;T3698</f>
        <v>0</v>
      </c>
    </row>
    <row r="3699" spans="1:21" x14ac:dyDescent="0.25">
      <c r="A3699" t="s">
        <v>2191</v>
      </c>
      <c r="B3699" s="1">
        <v>45705</v>
      </c>
      <c r="C3699" s="1">
        <v>45706</v>
      </c>
      <c r="D3699" t="s">
        <v>1098</v>
      </c>
      <c r="E3699" t="s">
        <v>122</v>
      </c>
      <c r="F3699" t="s">
        <v>24</v>
      </c>
      <c r="G3699" t="s">
        <v>25</v>
      </c>
      <c r="H3699" t="s">
        <v>112</v>
      </c>
      <c r="I3699" s="2">
        <v>1</v>
      </c>
      <c r="J3699" s="3">
        <v>129</v>
      </c>
      <c r="K3699" s="4">
        <v>0</v>
      </c>
      <c r="L3699" s="3">
        <v>129</v>
      </c>
      <c r="M3699" t="b">
        <v>1</v>
      </c>
      <c r="N3699" s="2">
        <f>YEAR(B3699)</f>
        <v>2025</v>
      </c>
      <c r="O3699" t="str">
        <f>INDEX(Agences!$C:$C,MATCH(F3699,Agences!$A:$A,0))</f>
        <v>Nord</v>
      </c>
      <c r="P3699" t="str">
        <f>INDEX(Produits!$C:$C,MATCH(H3699,Produits!$A:$A,0))</f>
        <v>Mobilier</v>
      </c>
      <c r="Q3699" s="3">
        <f>I3699*INDEX(Produits!$E:$E,MATCH(H3699,Produits!$A:$A,0))</f>
        <v>86.43</v>
      </c>
      <c r="R3699" s="3">
        <f>L3699-Q3699</f>
        <v>42.56999999999999</v>
      </c>
      <c r="S3699" s="2">
        <f>NETWORKDAYS(B3699,C3699)-1</f>
        <v>1</v>
      </c>
      <c r="T3699" s="1">
        <f>WORKDAY(B3699,5)</f>
        <v>45712</v>
      </c>
      <c r="U3699" t="b">
        <f>C3699&gt;T3699</f>
        <v>0</v>
      </c>
    </row>
    <row r="3700" spans="1:21" x14ac:dyDescent="0.25">
      <c r="A3700" t="s">
        <v>2191</v>
      </c>
      <c r="B3700" s="1">
        <v>45705</v>
      </c>
      <c r="C3700" s="1">
        <v>45706</v>
      </c>
      <c r="D3700" t="s">
        <v>1098</v>
      </c>
      <c r="E3700" t="s">
        <v>122</v>
      </c>
      <c r="F3700" t="s">
        <v>24</v>
      </c>
      <c r="G3700" t="s">
        <v>25</v>
      </c>
      <c r="H3700" t="s">
        <v>48</v>
      </c>
      <c r="I3700" s="2">
        <v>1</v>
      </c>
      <c r="J3700" s="3">
        <v>165</v>
      </c>
      <c r="K3700" s="4">
        <v>0</v>
      </c>
      <c r="L3700" s="3">
        <v>165</v>
      </c>
      <c r="M3700" t="b">
        <v>1</v>
      </c>
      <c r="N3700" s="2">
        <f>YEAR(B3700)</f>
        <v>2025</v>
      </c>
      <c r="O3700" t="str">
        <f>INDEX(Agences!$C:$C,MATCH(F3700,Agences!$A:$A,0))</f>
        <v>Nord</v>
      </c>
      <c r="P3700" t="str">
        <f>INDEX(Produits!$C:$C,MATCH(H3700,Produits!$A:$A,0))</f>
        <v>Mobilier</v>
      </c>
      <c r="Q3700" s="3">
        <f>I3700*INDEX(Produits!$E:$E,MATCH(H3700,Produits!$A:$A,0))</f>
        <v>107.25</v>
      </c>
      <c r="R3700" s="3">
        <f>L3700-Q3700</f>
        <v>57.75</v>
      </c>
      <c r="S3700" s="2">
        <f>NETWORKDAYS(B3700,C3700)-1</f>
        <v>1</v>
      </c>
      <c r="T3700" s="1">
        <f>WORKDAY(B3700,5)</f>
        <v>45712</v>
      </c>
      <c r="U3700" t="b">
        <f>C3700&gt;T3700</f>
        <v>0</v>
      </c>
    </row>
    <row r="3701" spans="1:21" x14ac:dyDescent="0.25">
      <c r="A3701" t="s">
        <v>2191</v>
      </c>
      <c r="B3701" s="1">
        <v>45705</v>
      </c>
      <c r="C3701" s="1">
        <v>45706</v>
      </c>
      <c r="D3701" t="s">
        <v>1098</v>
      </c>
      <c r="E3701" t="s">
        <v>122</v>
      </c>
      <c r="F3701" t="s">
        <v>24</v>
      </c>
      <c r="G3701" t="s">
        <v>25</v>
      </c>
      <c r="H3701" t="s">
        <v>72</v>
      </c>
      <c r="I3701" s="2">
        <v>2</v>
      </c>
      <c r="J3701" s="3">
        <v>179</v>
      </c>
      <c r="K3701" s="4">
        <v>0</v>
      </c>
      <c r="L3701" s="3">
        <v>358</v>
      </c>
      <c r="M3701" t="b">
        <v>1</v>
      </c>
      <c r="N3701" s="2">
        <f>YEAR(B3701)</f>
        <v>2025</v>
      </c>
      <c r="O3701" t="str">
        <f>INDEX(Agences!$C:$C,MATCH(F3701,Agences!$A:$A,0))</f>
        <v>Nord</v>
      </c>
      <c r="P3701" t="str">
        <f>INDEX(Produits!$C:$C,MATCH(H3701,Produits!$A:$A,0))</f>
        <v>Informatique</v>
      </c>
      <c r="Q3701" s="3">
        <f>I3701*INDEX(Produits!$E:$E,MATCH(H3701,Produits!$A:$A,0))</f>
        <v>293.56</v>
      </c>
      <c r="R3701" s="3">
        <f>L3701-Q3701</f>
        <v>64.44</v>
      </c>
      <c r="S3701" s="2">
        <f>NETWORKDAYS(B3701,C3701)-1</f>
        <v>1</v>
      </c>
      <c r="T3701" s="1">
        <f>WORKDAY(B3701,5)</f>
        <v>45712</v>
      </c>
      <c r="U3701" t="b">
        <f>C3701&gt;T3701</f>
        <v>0</v>
      </c>
    </row>
    <row r="3702" spans="1:21" x14ac:dyDescent="0.25">
      <c r="A3702" t="s">
        <v>2192</v>
      </c>
      <c r="B3702" s="1">
        <v>45705</v>
      </c>
      <c r="C3702" s="1">
        <v>45707</v>
      </c>
      <c r="D3702" t="s">
        <v>367</v>
      </c>
      <c r="E3702" t="s">
        <v>175</v>
      </c>
      <c r="F3702" t="s">
        <v>76</v>
      </c>
      <c r="G3702" t="s">
        <v>77</v>
      </c>
      <c r="H3702" t="s">
        <v>606</v>
      </c>
      <c r="I3702" s="2">
        <v>2</v>
      </c>
      <c r="J3702" s="3">
        <v>1150</v>
      </c>
      <c r="K3702" s="4">
        <v>0</v>
      </c>
      <c r="L3702" s="3">
        <v>2300</v>
      </c>
      <c r="M3702" t="b">
        <v>1</v>
      </c>
      <c r="N3702" s="2">
        <f>YEAR(B3702)</f>
        <v>2025</v>
      </c>
      <c r="O3702" t="str">
        <f>INDEX(Agences!$C:$C,MATCH(F3702,Agences!$A:$A,0))</f>
        <v>Île-de-France</v>
      </c>
      <c r="P3702" t="str">
        <f>INDEX(Produits!$C:$C,MATCH(H3702,Produits!$A:$A,0))</f>
        <v>Mobilier</v>
      </c>
      <c r="Q3702" s="3">
        <f>I3702*INDEX(Produits!$E:$E,MATCH(H3702,Produits!$A:$A,0))</f>
        <v>1426</v>
      </c>
      <c r="R3702" s="3">
        <f>L3702-Q3702</f>
        <v>874</v>
      </c>
      <c r="S3702" s="2">
        <f>NETWORKDAYS(B3702,C3702)-1</f>
        <v>2</v>
      </c>
      <c r="T3702" s="1">
        <f>WORKDAY(B3702,5)</f>
        <v>45712</v>
      </c>
      <c r="U3702" t="b">
        <f>C3702&gt;T3702</f>
        <v>0</v>
      </c>
    </row>
    <row r="3703" spans="1:21" x14ac:dyDescent="0.25">
      <c r="A3703" t="s">
        <v>2192</v>
      </c>
      <c r="B3703" s="1">
        <v>45705</v>
      </c>
      <c r="C3703" s="1">
        <v>45707</v>
      </c>
      <c r="D3703" t="s">
        <v>367</v>
      </c>
      <c r="E3703" t="s">
        <v>175</v>
      </c>
      <c r="F3703" t="s">
        <v>76</v>
      </c>
      <c r="G3703" t="s">
        <v>77</v>
      </c>
      <c r="H3703" t="s">
        <v>107</v>
      </c>
      <c r="I3703" s="2">
        <v>1</v>
      </c>
      <c r="J3703" s="3">
        <v>99</v>
      </c>
      <c r="K3703" s="4">
        <v>0</v>
      </c>
      <c r="L3703" s="3">
        <v>99</v>
      </c>
      <c r="M3703" t="b">
        <v>1</v>
      </c>
      <c r="N3703" s="2">
        <f>YEAR(B3703)</f>
        <v>2025</v>
      </c>
      <c r="O3703" t="str">
        <f>INDEX(Agences!$C:$C,MATCH(F3703,Agences!$A:$A,0))</f>
        <v>Île-de-France</v>
      </c>
      <c r="P3703" t="str">
        <f>INDEX(Produits!$C:$C,MATCH(H3703,Produits!$A:$A,0))</f>
        <v>Informatique</v>
      </c>
      <c r="Q3703" s="3">
        <f>I3703*INDEX(Produits!$E:$E,MATCH(H3703,Produits!$A:$A,0))</f>
        <v>75.24</v>
      </c>
      <c r="R3703" s="3">
        <f>L3703-Q3703</f>
        <v>23.760000000000005</v>
      </c>
      <c r="S3703" s="2">
        <f>NETWORKDAYS(B3703,C3703)-1</f>
        <v>2</v>
      </c>
      <c r="T3703" s="1">
        <f>WORKDAY(B3703,5)</f>
        <v>45712</v>
      </c>
      <c r="U3703" t="b">
        <f>C3703&gt;T3703</f>
        <v>0</v>
      </c>
    </row>
    <row r="3704" spans="1:21" x14ac:dyDescent="0.25">
      <c r="A3704" t="s">
        <v>2193</v>
      </c>
      <c r="B3704" s="1">
        <v>45705</v>
      </c>
      <c r="C3704" s="1">
        <v>45712</v>
      </c>
      <c r="D3704" t="s">
        <v>583</v>
      </c>
      <c r="E3704" t="s">
        <v>165</v>
      </c>
      <c r="F3704" t="s">
        <v>166</v>
      </c>
      <c r="G3704" t="s">
        <v>167</v>
      </c>
      <c r="H3704" t="s">
        <v>48</v>
      </c>
      <c r="I3704" s="2">
        <v>7</v>
      </c>
      <c r="J3704" s="3">
        <v>165</v>
      </c>
      <c r="K3704" s="4">
        <v>0.08</v>
      </c>
      <c r="L3704" s="3">
        <v>1062.6</v>
      </c>
      <c r="M3704" t="b">
        <v>1</v>
      </c>
      <c r="N3704" s="2">
        <f>YEAR(B3704)</f>
        <v>2025</v>
      </c>
      <c r="O3704" t="str">
        <f>INDEX(Agences!$C:$C,MATCH(F3704,Agences!$A:$A,0))</f>
        <v>Ouest</v>
      </c>
      <c r="P3704" t="str">
        <f>INDEX(Produits!$C:$C,MATCH(H3704,Produits!$A:$A,0))</f>
        <v>Mobilier</v>
      </c>
      <c r="Q3704" s="3">
        <f>I3704*INDEX(Produits!$E:$E,MATCH(H3704,Produits!$A:$A,0))</f>
        <v>750.75</v>
      </c>
      <c r="R3704" s="3">
        <f>L3704-Q3704</f>
        <v>311.8499999999999</v>
      </c>
      <c r="S3704" s="2">
        <f>NETWORKDAYS(B3704,C3704)-1</f>
        <v>5</v>
      </c>
      <c r="T3704" s="1">
        <f>WORKDAY(B3704,5)</f>
        <v>45712</v>
      </c>
      <c r="U3704" t="b">
        <f>C3704&gt;T3704</f>
        <v>0</v>
      </c>
    </row>
    <row r="3705" spans="1:21" x14ac:dyDescent="0.25">
      <c r="A3705" t="s">
        <v>2193</v>
      </c>
      <c r="B3705" s="1">
        <v>45705</v>
      </c>
      <c r="C3705" s="1">
        <v>45712</v>
      </c>
      <c r="D3705" t="s">
        <v>583</v>
      </c>
      <c r="E3705" t="s">
        <v>165</v>
      </c>
      <c r="F3705" t="s">
        <v>166</v>
      </c>
      <c r="G3705" t="s">
        <v>167</v>
      </c>
      <c r="H3705" t="s">
        <v>42</v>
      </c>
      <c r="I3705" s="2">
        <v>2</v>
      </c>
      <c r="J3705" s="3">
        <v>55</v>
      </c>
      <c r="K3705" s="4">
        <v>0</v>
      </c>
      <c r="L3705" s="3">
        <v>110</v>
      </c>
      <c r="M3705" t="b">
        <v>1</v>
      </c>
      <c r="N3705" s="2">
        <f>YEAR(B3705)</f>
        <v>2025</v>
      </c>
      <c r="O3705" t="str">
        <f>INDEX(Agences!$C:$C,MATCH(F3705,Agences!$A:$A,0))</f>
        <v>Ouest</v>
      </c>
      <c r="P3705" t="str">
        <f>INDEX(Produits!$C:$C,MATCH(H3705,Produits!$A:$A,0))</f>
        <v>Maintenance</v>
      </c>
      <c r="Q3705" s="3">
        <f>I3705*INDEX(Produits!$E:$E,MATCH(H3705,Produits!$A:$A,0))</f>
        <v>49.5</v>
      </c>
      <c r="R3705" s="3">
        <f>L3705-Q3705</f>
        <v>60.5</v>
      </c>
      <c r="S3705" s="2">
        <f>NETWORKDAYS(B3705,C3705)-1</f>
        <v>5</v>
      </c>
      <c r="T3705" s="1">
        <f>WORKDAY(B3705,5)</f>
        <v>45712</v>
      </c>
      <c r="U3705" t="b">
        <f>C3705&gt;T3705</f>
        <v>0</v>
      </c>
    </row>
    <row r="3706" spans="1:21" x14ac:dyDescent="0.25">
      <c r="A3706" t="s">
        <v>2193</v>
      </c>
      <c r="B3706" s="1">
        <v>45705</v>
      </c>
      <c r="C3706" s="1">
        <v>45712</v>
      </c>
      <c r="D3706" t="s">
        <v>583</v>
      </c>
      <c r="E3706" t="s">
        <v>165</v>
      </c>
      <c r="F3706" t="s">
        <v>166</v>
      </c>
      <c r="G3706" t="s">
        <v>167</v>
      </c>
      <c r="H3706" t="s">
        <v>72</v>
      </c>
      <c r="I3706" s="2">
        <v>1</v>
      </c>
      <c r="J3706" s="3">
        <v>179</v>
      </c>
      <c r="K3706" s="4">
        <v>0</v>
      </c>
      <c r="L3706" s="3">
        <v>179</v>
      </c>
      <c r="M3706" t="b">
        <v>1</v>
      </c>
      <c r="N3706" s="2">
        <f>YEAR(B3706)</f>
        <v>2025</v>
      </c>
      <c r="O3706" t="str">
        <f>INDEX(Agences!$C:$C,MATCH(F3706,Agences!$A:$A,0))</f>
        <v>Ouest</v>
      </c>
      <c r="P3706" t="str">
        <f>INDEX(Produits!$C:$C,MATCH(H3706,Produits!$A:$A,0))</f>
        <v>Informatique</v>
      </c>
      <c r="Q3706" s="3">
        <f>I3706*INDEX(Produits!$E:$E,MATCH(H3706,Produits!$A:$A,0))</f>
        <v>146.78</v>
      </c>
      <c r="R3706" s="3">
        <f>L3706-Q3706</f>
        <v>32.22</v>
      </c>
      <c r="S3706" s="2">
        <f>NETWORKDAYS(B3706,C3706)-1</f>
        <v>5</v>
      </c>
      <c r="T3706" s="1">
        <f>WORKDAY(B3706,5)</f>
        <v>45712</v>
      </c>
      <c r="U3706" t="b">
        <f>C3706&gt;T3706</f>
        <v>0</v>
      </c>
    </row>
    <row r="3707" spans="1:21" x14ac:dyDescent="0.25">
      <c r="A3707" t="s">
        <v>2194</v>
      </c>
      <c r="B3707" s="1">
        <v>45705</v>
      </c>
      <c r="C3707" s="1">
        <v>45708</v>
      </c>
      <c r="D3707" t="s">
        <v>585</v>
      </c>
      <c r="E3707" t="s">
        <v>336</v>
      </c>
      <c r="F3707" t="s">
        <v>166</v>
      </c>
      <c r="G3707" t="s">
        <v>179</v>
      </c>
      <c r="H3707" t="s">
        <v>35</v>
      </c>
      <c r="I3707" s="2">
        <v>1</v>
      </c>
      <c r="J3707" s="3">
        <v>79</v>
      </c>
      <c r="K3707" s="4">
        <v>0</v>
      </c>
      <c r="L3707" s="3">
        <v>79</v>
      </c>
      <c r="M3707" t="b">
        <v>1</v>
      </c>
      <c r="N3707" s="2">
        <f>YEAR(B3707)</f>
        <v>2025</v>
      </c>
      <c r="O3707" t="str">
        <f>INDEX(Agences!$C:$C,MATCH(F3707,Agences!$A:$A,0))</f>
        <v>Ouest</v>
      </c>
      <c r="P3707" t="str">
        <f>INDEX(Produits!$C:$C,MATCH(H3707,Produits!$A:$A,0))</f>
        <v>Mobilier</v>
      </c>
      <c r="Q3707" s="3">
        <f>I3707*INDEX(Produits!$E:$E,MATCH(H3707,Produits!$A:$A,0))</f>
        <v>46.61</v>
      </c>
      <c r="R3707" s="3">
        <f>L3707-Q3707</f>
        <v>32.39</v>
      </c>
      <c r="S3707" s="2">
        <f>NETWORKDAYS(B3707,C3707)-1</f>
        <v>3</v>
      </c>
      <c r="T3707" s="1">
        <f>WORKDAY(B3707,5)</f>
        <v>45712</v>
      </c>
      <c r="U3707" t="b">
        <f>C3707&gt;T3707</f>
        <v>0</v>
      </c>
    </row>
    <row r="3708" spans="1:21" x14ac:dyDescent="0.25">
      <c r="A3708" t="s">
        <v>2195</v>
      </c>
      <c r="B3708" s="1">
        <v>45705</v>
      </c>
      <c r="C3708" s="1">
        <v>45706</v>
      </c>
      <c r="D3708" t="s">
        <v>1845</v>
      </c>
      <c r="E3708" t="s">
        <v>185</v>
      </c>
      <c r="F3708" t="s">
        <v>31</v>
      </c>
      <c r="G3708" t="s">
        <v>32</v>
      </c>
      <c r="H3708" t="s">
        <v>42</v>
      </c>
      <c r="I3708" s="2">
        <v>1</v>
      </c>
      <c r="J3708" s="3">
        <v>55</v>
      </c>
      <c r="K3708" s="4">
        <v>0.05</v>
      </c>
      <c r="L3708" s="3">
        <v>52.25</v>
      </c>
      <c r="M3708" t="b">
        <v>1</v>
      </c>
      <c r="N3708" s="2">
        <f>YEAR(B3708)</f>
        <v>2025</v>
      </c>
      <c r="O3708" t="str">
        <f>INDEX(Agences!$C:$C,MATCH(F3708,Agences!$A:$A,0))</f>
        <v>Ouest</v>
      </c>
      <c r="P3708" t="str">
        <f>INDEX(Produits!$C:$C,MATCH(H3708,Produits!$A:$A,0))</f>
        <v>Maintenance</v>
      </c>
      <c r="Q3708" s="3">
        <f>I3708*INDEX(Produits!$E:$E,MATCH(H3708,Produits!$A:$A,0))</f>
        <v>24.75</v>
      </c>
      <c r="R3708" s="3">
        <f>L3708-Q3708</f>
        <v>27.5</v>
      </c>
      <c r="S3708" s="2">
        <f>NETWORKDAYS(B3708,C3708)-1</f>
        <v>1</v>
      </c>
      <c r="T3708" s="1">
        <f>WORKDAY(B3708,5)</f>
        <v>45712</v>
      </c>
      <c r="U3708" t="b">
        <f>C3708&gt;T3708</f>
        <v>0</v>
      </c>
    </row>
    <row r="3709" spans="1:21" x14ac:dyDescent="0.25">
      <c r="A3709" t="s">
        <v>2195</v>
      </c>
      <c r="B3709" s="1">
        <v>45705</v>
      </c>
      <c r="C3709" s="1">
        <v>45706</v>
      </c>
      <c r="D3709" t="s">
        <v>1845</v>
      </c>
      <c r="E3709" t="s">
        <v>185</v>
      </c>
      <c r="F3709" t="s">
        <v>31</v>
      </c>
      <c r="G3709" t="s">
        <v>32</v>
      </c>
      <c r="H3709" t="s">
        <v>48</v>
      </c>
      <c r="I3709" s="2">
        <v>1</v>
      </c>
      <c r="J3709" s="3">
        <v>165</v>
      </c>
      <c r="K3709" s="4">
        <v>0</v>
      </c>
      <c r="L3709" s="3">
        <v>165</v>
      </c>
      <c r="M3709" t="b">
        <v>1</v>
      </c>
      <c r="N3709" s="2">
        <f>YEAR(B3709)</f>
        <v>2025</v>
      </c>
      <c r="O3709" t="str">
        <f>INDEX(Agences!$C:$C,MATCH(F3709,Agences!$A:$A,0))</f>
        <v>Ouest</v>
      </c>
      <c r="P3709" t="str">
        <f>INDEX(Produits!$C:$C,MATCH(H3709,Produits!$A:$A,0))</f>
        <v>Mobilier</v>
      </c>
      <c r="Q3709" s="3">
        <f>I3709*INDEX(Produits!$E:$E,MATCH(H3709,Produits!$A:$A,0))</f>
        <v>107.25</v>
      </c>
      <c r="R3709" s="3">
        <f>L3709-Q3709</f>
        <v>57.75</v>
      </c>
      <c r="S3709" s="2">
        <f>NETWORKDAYS(B3709,C3709)-1</f>
        <v>1</v>
      </c>
      <c r="T3709" s="1">
        <f>WORKDAY(B3709,5)</f>
        <v>45712</v>
      </c>
      <c r="U3709" t="b">
        <f>C3709&gt;T3709</f>
        <v>0</v>
      </c>
    </row>
    <row r="3710" spans="1:21" x14ac:dyDescent="0.25">
      <c r="A3710" t="s">
        <v>2195</v>
      </c>
      <c r="B3710" s="1">
        <v>45705</v>
      </c>
      <c r="C3710" s="1">
        <v>45706</v>
      </c>
      <c r="D3710" t="s">
        <v>1845</v>
      </c>
      <c r="E3710" t="s">
        <v>185</v>
      </c>
      <c r="F3710" t="s">
        <v>31</v>
      </c>
      <c r="G3710" t="s">
        <v>32</v>
      </c>
      <c r="H3710" t="s">
        <v>58</v>
      </c>
      <c r="I3710" s="2">
        <v>2</v>
      </c>
      <c r="J3710" s="3">
        <v>649</v>
      </c>
      <c r="K3710" s="4">
        <v>0</v>
      </c>
      <c r="L3710" s="3">
        <v>1298</v>
      </c>
      <c r="M3710" t="b">
        <v>1</v>
      </c>
      <c r="N3710" s="2">
        <f>YEAR(B3710)</f>
        <v>2025</v>
      </c>
      <c r="O3710" t="str">
        <f>INDEX(Agences!$C:$C,MATCH(F3710,Agences!$A:$A,0))</f>
        <v>Ouest</v>
      </c>
      <c r="P3710" t="str">
        <f>INDEX(Produits!$C:$C,MATCH(H3710,Produits!$A:$A,0))</f>
        <v>Mobilier</v>
      </c>
      <c r="Q3710" s="3">
        <f>I3710*INDEX(Produits!$E:$E,MATCH(H3710,Produits!$A:$A,0))</f>
        <v>817.74</v>
      </c>
      <c r="R3710" s="3">
        <f>L3710-Q3710</f>
        <v>480.26</v>
      </c>
      <c r="S3710" s="2">
        <f>NETWORKDAYS(B3710,C3710)-1</f>
        <v>1</v>
      </c>
      <c r="T3710" s="1">
        <f>WORKDAY(B3710,5)</f>
        <v>45712</v>
      </c>
      <c r="U3710" t="b">
        <f>C3710&gt;T3710</f>
        <v>0</v>
      </c>
    </row>
    <row r="3711" spans="1:21" x14ac:dyDescent="0.25">
      <c r="A3711" t="s">
        <v>2195</v>
      </c>
      <c r="B3711" s="1">
        <v>45705</v>
      </c>
      <c r="C3711" s="1">
        <v>45706</v>
      </c>
      <c r="D3711" t="s">
        <v>1845</v>
      </c>
      <c r="E3711" t="s">
        <v>185</v>
      </c>
      <c r="F3711" t="s">
        <v>31</v>
      </c>
      <c r="G3711" t="s">
        <v>32</v>
      </c>
      <c r="H3711" t="s">
        <v>57</v>
      </c>
      <c r="I3711" s="2">
        <v>2</v>
      </c>
      <c r="J3711" s="3">
        <v>149</v>
      </c>
      <c r="K3711" s="4">
        <v>0</v>
      </c>
      <c r="L3711" s="3">
        <v>298</v>
      </c>
      <c r="M3711" t="b">
        <v>1</v>
      </c>
      <c r="N3711" s="2">
        <f>YEAR(B3711)</f>
        <v>2025</v>
      </c>
      <c r="O3711" t="str">
        <f>INDEX(Agences!$C:$C,MATCH(F3711,Agences!$A:$A,0))</f>
        <v>Ouest</v>
      </c>
      <c r="P3711" t="str">
        <f>INDEX(Produits!$C:$C,MATCH(H3711,Produits!$A:$A,0))</f>
        <v>Informatique</v>
      </c>
      <c r="Q3711" s="3">
        <f>I3711*INDEX(Produits!$E:$E,MATCH(H3711,Produits!$A:$A,0))</f>
        <v>229.46</v>
      </c>
      <c r="R3711" s="3">
        <f>L3711-Q3711</f>
        <v>68.53999999999999</v>
      </c>
      <c r="S3711" s="2">
        <f>NETWORKDAYS(B3711,C3711)-1</f>
        <v>1</v>
      </c>
      <c r="T3711" s="1">
        <f>WORKDAY(B3711,5)</f>
        <v>45712</v>
      </c>
      <c r="U3711" t="b">
        <f>C3711&gt;T3711</f>
        <v>0</v>
      </c>
    </row>
    <row r="3712" spans="1:21" x14ac:dyDescent="0.25">
      <c r="A3712" t="s">
        <v>2196</v>
      </c>
      <c r="B3712" s="1">
        <v>45705</v>
      </c>
      <c r="C3712" s="1">
        <v>45712</v>
      </c>
      <c r="D3712" t="s">
        <v>288</v>
      </c>
      <c r="E3712" t="s">
        <v>256</v>
      </c>
      <c r="F3712" t="s">
        <v>88</v>
      </c>
      <c r="G3712" t="s">
        <v>226</v>
      </c>
      <c r="H3712" t="s">
        <v>51</v>
      </c>
      <c r="I3712" s="2">
        <v>1</v>
      </c>
      <c r="J3712" s="3">
        <v>180</v>
      </c>
      <c r="K3712" s="4">
        <v>0.08</v>
      </c>
      <c r="L3712" s="3">
        <v>165.6</v>
      </c>
      <c r="M3712" t="b">
        <v>1</v>
      </c>
      <c r="N3712" s="2">
        <f>YEAR(B3712)</f>
        <v>2025</v>
      </c>
      <c r="O3712" t="str">
        <f>INDEX(Agences!$C:$C,MATCH(F3712,Agences!$A:$A,0))</f>
        <v>Sud-Ouest</v>
      </c>
      <c r="P3712" t="str">
        <f>INDEX(Produits!$C:$C,MATCH(H3712,Produits!$A:$A,0))</f>
        <v>Maintenance</v>
      </c>
      <c r="Q3712" s="3">
        <f>I3712*INDEX(Produits!$E:$E,MATCH(H3712,Produits!$A:$A,0))</f>
        <v>82.8</v>
      </c>
      <c r="R3712" s="3">
        <f>L3712-Q3712</f>
        <v>82.8</v>
      </c>
      <c r="S3712" s="2">
        <f>NETWORKDAYS(B3712,C3712)-1</f>
        <v>5</v>
      </c>
      <c r="T3712" s="1">
        <f>WORKDAY(B3712,5)</f>
        <v>45712</v>
      </c>
      <c r="U3712" t="b">
        <f>C3712&gt;T3712</f>
        <v>0</v>
      </c>
    </row>
    <row r="3713" spans="1:21" x14ac:dyDescent="0.25">
      <c r="A3713" t="s">
        <v>2196</v>
      </c>
      <c r="B3713" s="1">
        <v>45705</v>
      </c>
      <c r="C3713" s="1">
        <v>45712</v>
      </c>
      <c r="D3713" t="s">
        <v>288</v>
      </c>
      <c r="E3713" t="s">
        <v>256</v>
      </c>
      <c r="F3713" t="s">
        <v>88</v>
      </c>
      <c r="G3713" t="s">
        <v>226</v>
      </c>
      <c r="H3713" t="s">
        <v>112</v>
      </c>
      <c r="I3713" s="2">
        <v>4</v>
      </c>
      <c r="J3713" s="3">
        <v>129</v>
      </c>
      <c r="K3713" s="4">
        <v>0.1</v>
      </c>
      <c r="L3713" s="3">
        <v>464.4</v>
      </c>
      <c r="M3713" t="b">
        <v>1</v>
      </c>
      <c r="N3713" s="2">
        <f>YEAR(B3713)</f>
        <v>2025</v>
      </c>
      <c r="O3713" t="str">
        <f>INDEX(Agences!$C:$C,MATCH(F3713,Agences!$A:$A,0))</f>
        <v>Sud-Ouest</v>
      </c>
      <c r="P3713" t="str">
        <f>INDEX(Produits!$C:$C,MATCH(H3713,Produits!$A:$A,0))</f>
        <v>Mobilier</v>
      </c>
      <c r="Q3713" s="3">
        <f>I3713*INDEX(Produits!$E:$E,MATCH(H3713,Produits!$A:$A,0))</f>
        <v>345.72</v>
      </c>
      <c r="R3713" s="3">
        <f>L3713-Q3713</f>
        <v>118.67999999999995</v>
      </c>
      <c r="S3713" s="2">
        <f>NETWORKDAYS(B3713,C3713)-1</f>
        <v>5</v>
      </c>
      <c r="T3713" s="1">
        <f>WORKDAY(B3713,5)</f>
        <v>45712</v>
      </c>
      <c r="U3713" t="b">
        <f>C3713&gt;T3713</f>
        <v>0</v>
      </c>
    </row>
    <row r="3714" spans="1:21" x14ac:dyDescent="0.25">
      <c r="A3714" t="s">
        <v>2196</v>
      </c>
      <c r="B3714" s="1">
        <v>45705</v>
      </c>
      <c r="C3714" s="1">
        <v>45712</v>
      </c>
      <c r="D3714" t="s">
        <v>288</v>
      </c>
      <c r="E3714" t="s">
        <v>256</v>
      </c>
      <c r="F3714" t="s">
        <v>88</v>
      </c>
      <c r="G3714" t="s">
        <v>226</v>
      </c>
      <c r="H3714" t="s">
        <v>42</v>
      </c>
      <c r="I3714" s="2">
        <v>1</v>
      </c>
      <c r="J3714" s="3">
        <v>55</v>
      </c>
      <c r="K3714" s="4">
        <v>0</v>
      </c>
      <c r="L3714" s="3">
        <v>55</v>
      </c>
      <c r="M3714" t="b">
        <v>1</v>
      </c>
      <c r="N3714" s="2">
        <f>YEAR(B3714)</f>
        <v>2025</v>
      </c>
      <c r="O3714" t="str">
        <f>INDEX(Agences!$C:$C,MATCH(F3714,Agences!$A:$A,0))</f>
        <v>Sud-Ouest</v>
      </c>
      <c r="P3714" t="str">
        <f>INDEX(Produits!$C:$C,MATCH(H3714,Produits!$A:$A,0))</f>
        <v>Maintenance</v>
      </c>
      <c r="Q3714" s="3">
        <f>I3714*INDEX(Produits!$E:$E,MATCH(H3714,Produits!$A:$A,0))</f>
        <v>24.75</v>
      </c>
      <c r="R3714" s="3">
        <f>L3714-Q3714</f>
        <v>30.25</v>
      </c>
      <c r="S3714" s="2">
        <f>NETWORKDAYS(B3714,C3714)-1</f>
        <v>5</v>
      </c>
      <c r="T3714" s="1">
        <f>WORKDAY(B3714,5)</f>
        <v>45712</v>
      </c>
      <c r="U3714" t="b">
        <f>C3714&gt;T3714</f>
        <v>0</v>
      </c>
    </row>
    <row r="3715" spans="1:21" x14ac:dyDescent="0.25">
      <c r="A3715" t="s">
        <v>2197</v>
      </c>
      <c r="B3715" s="1">
        <v>45705</v>
      </c>
      <c r="C3715" s="1">
        <v>45708</v>
      </c>
      <c r="D3715" t="s">
        <v>391</v>
      </c>
      <c r="E3715" t="s">
        <v>61</v>
      </c>
      <c r="F3715" t="s">
        <v>62</v>
      </c>
      <c r="G3715" t="s">
        <v>68</v>
      </c>
      <c r="H3715" t="s">
        <v>50</v>
      </c>
      <c r="I3715" s="2">
        <v>2</v>
      </c>
      <c r="J3715" s="3">
        <v>69</v>
      </c>
      <c r="K3715" s="4">
        <v>0.08</v>
      </c>
      <c r="L3715" s="3">
        <v>126.96</v>
      </c>
      <c r="M3715" t="b">
        <v>1</v>
      </c>
      <c r="N3715" s="2">
        <f>YEAR(B3715)</f>
        <v>2025</v>
      </c>
      <c r="O3715" t="str">
        <f>INDEX(Agences!$C:$C,MATCH(F3715,Agences!$A:$A,0))</f>
        <v>Méditerranée</v>
      </c>
      <c r="P3715" t="str">
        <f>INDEX(Produits!$C:$C,MATCH(H3715,Produits!$A:$A,0))</f>
        <v>Informatique</v>
      </c>
      <c r="Q3715" s="3">
        <f>I3715*INDEX(Produits!$E:$E,MATCH(H3715,Produits!$A:$A,0))</f>
        <v>109.02</v>
      </c>
      <c r="R3715" s="3">
        <f>L3715-Q3715</f>
        <v>17.939999999999998</v>
      </c>
      <c r="S3715" s="2">
        <f>NETWORKDAYS(B3715,C3715)-1</f>
        <v>3</v>
      </c>
      <c r="T3715" s="1">
        <f>WORKDAY(B3715,5)</f>
        <v>45712</v>
      </c>
      <c r="U3715" t="b">
        <f>C3715&gt;T3715</f>
        <v>0</v>
      </c>
    </row>
    <row r="3716" spans="1:21" x14ac:dyDescent="0.25">
      <c r="A3716" t="s">
        <v>2197</v>
      </c>
      <c r="B3716" s="1">
        <v>45705</v>
      </c>
      <c r="C3716" s="1">
        <v>45708</v>
      </c>
      <c r="D3716" t="s">
        <v>391</v>
      </c>
      <c r="E3716" t="s">
        <v>61</v>
      </c>
      <c r="F3716" t="s">
        <v>62</v>
      </c>
      <c r="G3716" t="s">
        <v>68</v>
      </c>
      <c r="H3716" t="s">
        <v>58</v>
      </c>
      <c r="I3716" s="2">
        <v>3</v>
      </c>
      <c r="J3716" s="3">
        <v>649</v>
      </c>
      <c r="K3716" s="4">
        <v>0.05</v>
      </c>
      <c r="L3716" s="3">
        <v>1849.65</v>
      </c>
      <c r="M3716" t="b">
        <v>1</v>
      </c>
      <c r="N3716" s="2">
        <f>YEAR(B3716)</f>
        <v>2025</v>
      </c>
      <c r="O3716" t="str">
        <f>INDEX(Agences!$C:$C,MATCH(F3716,Agences!$A:$A,0))</f>
        <v>Méditerranée</v>
      </c>
      <c r="P3716" t="str">
        <f>INDEX(Produits!$C:$C,MATCH(H3716,Produits!$A:$A,0))</f>
        <v>Mobilier</v>
      </c>
      <c r="Q3716" s="3">
        <f>I3716*INDEX(Produits!$E:$E,MATCH(H3716,Produits!$A:$A,0))</f>
        <v>1226.6100000000001</v>
      </c>
      <c r="R3716" s="3">
        <f>L3716-Q3716</f>
        <v>623.04</v>
      </c>
      <c r="S3716" s="2">
        <f>NETWORKDAYS(B3716,C3716)-1</f>
        <v>3</v>
      </c>
      <c r="T3716" s="1">
        <f>WORKDAY(B3716,5)</f>
        <v>45712</v>
      </c>
      <c r="U3716" t="b">
        <f>C3716&gt;T3716</f>
        <v>0</v>
      </c>
    </row>
    <row r="3717" spans="1:21" x14ac:dyDescent="0.25">
      <c r="A3717" t="s">
        <v>2198</v>
      </c>
      <c r="B3717" s="1">
        <v>45705</v>
      </c>
      <c r="C3717" s="1">
        <v>45708</v>
      </c>
      <c r="D3717" t="s">
        <v>66</v>
      </c>
      <c r="E3717" t="s">
        <v>67</v>
      </c>
      <c r="F3717" t="s">
        <v>62</v>
      </c>
      <c r="G3717" t="s">
        <v>63</v>
      </c>
      <c r="H3717" t="s">
        <v>42</v>
      </c>
      <c r="I3717" s="2">
        <v>3</v>
      </c>
      <c r="J3717" s="3">
        <v>55</v>
      </c>
      <c r="K3717" s="4">
        <v>0.05</v>
      </c>
      <c r="L3717" s="3">
        <v>156.75</v>
      </c>
      <c r="M3717" t="b">
        <v>1</v>
      </c>
      <c r="N3717" s="2">
        <f>YEAR(B3717)</f>
        <v>2025</v>
      </c>
      <c r="O3717" t="str">
        <f>INDEX(Agences!$C:$C,MATCH(F3717,Agences!$A:$A,0))</f>
        <v>Méditerranée</v>
      </c>
      <c r="P3717" t="str">
        <f>INDEX(Produits!$C:$C,MATCH(H3717,Produits!$A:$A,0))</f>
        <v>Maintenance</v>
      </c>
      <c r="Q3717" s="3">
        <f>I3717*INDEX(Produits!$E:$E,MATCH(H3717,Produits!$A:$A,0))</f>
        <v>74.25</v>
      </c>
      <c r="R3717" s="3">
        <f>L3717-Q3717</f>
        <v>82.5</v>
      </c>
      <c r="S3717" s="2">
        <f>NETWORKDAYS(B3717,C3717)-1</f>
        <v>3</v>
      </c>
      <c r="T3717" s="1">
        <f>WORKDAY(B3717,5)</f>
        <v>45712</v>
      </c>
      <c r="U3717" t="b">
        <f>C3717&gt;T3717</f>
        <v>0</v>
      </c>
    </row>
    <row r="3718" spans="1:21" x14ac:dyDescent="0.25">
      <c r="A3718" t="s">
        <v>2198</v>
      </c>
      <c r="B3718" s="1">
        <v>45705</v>
      </c>
      <c r="C3718" s="1">
        <v>45708</v>
      </c>
      <c r="D3718" t="s">
        <v>66</v>
      </c>
      <c r="E3718" t="s">
        <v>67</v>
      </c>
      <c r="F3718" t="s">
        <v>62</v>
      </c>
      <c r="G3718" t="s">
        <v>63</v>
      </c>
      <c r="H3718" t="s">
        <v>79</v>
      </c>
      <c r="I3718" s="2">
        <v>10</v>
      </c>
      <c r="J3718" s="3">
        <v>14.9</v>
      </c>
      <c r="K3718" s="4">
        <v>0</v>
      </c>
      <c r="L3718" s="3">
        <v>149</v>
      </c>
      <c r="M3718" t="b">
        <v>1</v>
      </c>
      <c r="N3718" s="2">
        <f>YEAR(B3718)</f>
        <v>2025</v>
      </c>
      <c r="O3718" t="str">
        <f>INDEX(Agences!$C:$C,MATCH(F3718,Agences!$A:$A,0))</f>
        <v>Méditerranée</v>
      </c>
      <c r="P3718" t="str">
        <f>INDEX(Produits!$C:$C,MATCH(H3718,Produits!$A:$A,0))</f>
        <v>Fournitures</v>
      </c>
      <c r="Q3718" s="3">
        <f>I3718*INDEX(Produits!$E:$E,MATCH(H3718,Produits!$A:$A,0))</f>
        <v>80.5</v>
      </c>
      <c r="R3718" s="3">
        <f>L3718-Q3718</f>
        <v>68.5</v>
      </c>
      <c r="S3718" s="2">
        <f>NETWORKDAYS(B3718,C3718)-1</f>
        <v>3</v>
      </c>
      <c r="T3718" s="1">
        <f>WORKDAY(B3718,5)</f>
        <v>45712</v>
      </c>
      <c r="U3718" t="b">
        <f>C3718&gt;T3718</f>
        <v>0</v>
      </c>
    </row>
    <row r="3719" spans="1:21" x14ac:dyDescent="0.25">
      <c r="A3719" t="s">
        <v>2199</v>
      </c>
      <c r="B3719" s="1">
        <v>45705</v>
      </c>
      <c r="C3719" s="1">
        <v>45709</v>
      </c>
      <c r="D3719" t="s">
        <v>893</v>
      </c>
      <c r="E3719" t="s">
        <v>153</v>
      </c>
      <c r="F3719" t="s">
        <v>94</v>
      </c>
      <c r="G3719" t="s">
        <v>182</v>
      </c>
      <c r="H3719" t="s">
        <v>57</v>
      </c>
      <c r="I3719" s="2">
        <v>2</v>
      </c>
      <c r="J3719" s="3">
        <v>149</v>
      </c>
      <c r="K3719" s="4">
        <v>0</v>
      </c>
      <c r="L3719" s="3">
        <v>298</v>
      </c>
      <c r="M3719" t="b">
        <v>1</v>
      </c>
      <c r="N3719" s="2">
        <f>YEAR(B3719)</f>
        <v>2025</v>
      </c>
      <c r="O3719" t="str">
        <f>INDEX(Agences!$C:$C,MATCH(F3719,Agences!$A:$A,0))</f>
        <v>Méditerranée</v>
      </c>
      <c r="P3719" t="str">
        <f>INDEX(Produits!$C:$C,MATCH(H3719,Produits!$A:$A,0))</f>
        <v>Informatique</v>
      </c>
      <c r="Q3719" s="3">
        <f>I3719*INDEX(Produits!$E:$E,MATCH(H3719,Produits!$A:$A,0))</f>
        <v>229.46</v>
      </c>
      <c r="R3719" s="3">
        <f>L3719-Q3719</f>
        <v>68.53999999999999</v>
      </c>
      <c r="S3719" s="2">
        <f>NETWORKDAYS(B3719,C3719)-1</f>
        <v>4</v>
      </c>
      <c r="T3719" s="1">
        <f>WORKDAY(B3719,5)</f>
        <v>45712</v>
      </c>
      <c r="U3719" t="b">
        <f>C3719&gt;T3719</f>
        <v>0</v>
      </c>
    </row>
    <row r="3720" spans="1:21" x14ac:dyDescent="0.25">
      <c r="A3720" t="s">
        <v>2199</v>
      </c>
      <c r="B3720" s="1">
        <v>45705</v>
      </c>
      <c r="C3720" s="1">
        <v>45709</v>
      </c>
      <c r="D3720" t="s">
        <v>893</v>
      </c>
      <c r="E3720" t="s">
        <v>153</v>
      </c>
      <c r="F3720" t="s">
        <v>94</v>
      </c>
      <c r="G3720" t="s">
        <v>182</v>
      </c>
      <c r="H3720" t="s">
        <v>51</v>
      </c>
      <c r="I3720" s="2">
        <v>2</v>
      </c>
      <c r="J3720" s="3">
        <v>180</v>
      </c>
      <c r="K3720" s="4">
        <v>0.08</v>
      </c>
      <c r="L3720" s="3">
        <v>331.2</v>
      </c>
      <c r="M3720" t="b">
        <v>1</v>
      </c>
      <c r="N3720" s="2">
        <f>YEAR(B3720)</f>
        <v>2025</v>
      </c>
      <c r="O3720" t="str">
        <f>INDEX(Agences!$C:$C,MATCH(F3720,Agences!$A:$A,0))</f>
        <v>Méditerranée</v>
      </c>
      <c r="P3720" t="str">
        <f>INDEX(Produits!$C:$C,MATCH(H3720,Produits!$A:$A,0))</f>
        <v>Maintenance</v>
      </c>
      <c r="Q3720" s="3">
        <f>I3720*INDEX(Produits!$E:$E,MATCH(H3720,Produits!$A:$A,0))</f>
        <v>165.6</v>
      </c>
      <c r="R3720" s="3">
        <f>L3720-Q3720</f>
        <v>165.6</v>
      </c>
      <c r="S3720" s="2">
        <f>NETWORKDAYS(B3720,C3720)-1</f>
        <v>4</v>
      </c>
      <c r="T3720" s="1">
        <f>WORKDAY(B3720,5)</f>
        <v>45712</v>
      </c>
      <c r="U3720" t="b">
        <f>C3720&gt;T3720</f>
        <v>0</v>
      </c>
    </row>
    <row r="3721" spans="1:21" x14ac:dyDescent="0.25">
      <c r="A3721" t="s">
        <v>2199</v>
      </c>
      <c r="B3721" s="1">
        <v>45705</v>
      </c>
      <c r="C3721" s="1">
        <v>45709</v>
      </c>
      <c r="D3721" t="s">
        <v>893</v>
      </c>
      <c r="E3721" t="s">
        <v>153</v>
      </c>
      <c r="F3721" t="s">
        <v>94</v>
      </c>
      <c r="G3721" t="s">
        <v>182</v>
      </c>
      <c r="H3721" t="s">
        <v>108</v>
      </c>
      <c r="I3721" s="2">
        <v>5</v>
      </c>
      <c r="J3721" s="3">
        <v>24.5</v>
      </c>
      <c r="K3721" s="4">
        <v>0</v>
      </c>
      <c r="L3721" s="3">
        <v>122.5</v>
      </c>
      <c r="M3721" t="b">
        <v>1</v>
      </c>
      <c r="N3721" s="2">
        <f>YEAR(B3721)</f>
        <v>2025</v>
      </c>
      <c r="O3721" t="str">
        <f>INDEX(Agences!$C:$C,MATCH(F3721,Agences!$A:$A,0))</f>
        <v>Méditerranée</v>
      </c>
      <c r="P3721" t="str">
        <f>INDEX(Produits!$C:$C,MATCH(H3721,Produits!$A:$A,0))</f>
        <v>Fournitures</v>
      </c>
      <c r="Q3721" s="3">
        <f>I3721*INDEX(Produits!$E:$E,MATCH(H3721,Produits!$A:$A,0))</f>
        <v>73.5</v>
      </c>
      <c r="R3721" s="3">
        <f>L3721-Q3721</f>
        <v>49</v>
      </c>
      <c r="S3721" s="2">
        <f>NETWORKDAYS(B3721,C3721)-1</f>
        <v>4</v>
      </c>
      <c r="T3721" s="1">
        <f>WORKDAY(B3721,5)</f>
        <v>45712</v>
      </c>
      <c r="U3721" t="b">
        <f>C3721&gt;T3721</f>
        <v>0</v>
      </c>
    </row>
    <row r="3722" spans="1:21" x14ac:dyDescent="0.25">
      <c r="A3722" t="s">
        <v>2199</v>
      </c>
      <c r="B3722" s="1">
        <v>45705</v>
      </c>
      <c r="C3722" s="1">
        <v>45709</v>
      </c>
      <c r="D3722" t="s">
        <v>893</v>
      </c>
      <c r="E3722" t="s">
        <v>153</v>
      </c>
      <c r="F3722" t="s">
        <v>94</v>
      </c>
      <c r="G3722" t="s">
        <v>182</v>
      </c>
      <c r="H3722" t="s">
        <v>83</v>
      </c>
      <c r="I3722" s="2">
        <v>1</v>
      </c>
      <c r="J3722" s="3">
        <v>49</v>
      </c>
      <c r="K3722" s="4">
        <v>0.05</v>
      </c>
      <c r="L3722" s="3">
        <v>46.55</v>
      </c>
      <c r="M3722" t="b">
        <v>1</v>
      </c>
      <c r="N3722" s="2">
        <f>YEAR(B3722)</f>
        <v>2025</v>
      </c>
      <c r="O3722" t="str">
        <f>INDEX(Agences!$C:$C,MATCH(F3722,Agences!$A:$A,0))</f>
        <v>Méditerranée</v>
      </c>
      <c r="P3722" t="str">
        <f>INDEX(Produits!$C:$C,MATCH(H3722,Produits!$A:$A,0))</f>
        <v>Mobilier</v>
      </c>
      <c r="Q3722" s="3">
        <f>I3722*INDEX(Produits!$E:$E,MATCH(H3722,Produits!$A:$A,0))</f>
        <v>28.42</v>
      </c>
      <c r="R3722" s="3">
        <f>L3722-Q3722</f>
        <v>18.129999999999995</v>
      </c>
      <c r="S3722" s="2">
        <f>NETWORKDAYS(B3722,C3722)-1</f>
        <v>4</v>
      </c>
      <c r="T3722" s="1">
        <f>WORKDAY(B3722,5)</f>
        <v>45712</v>
      </c>
      <c r="U3722" t="b">
        <f>C3722&gt;T3722</f>
        <v>0</v>
      </c>
    </row>
    <row r="3723" spans="1:21" x14ac:dyDescent="0.25">
      <c r="A3723" t="s">
        <v>2200</v>
      </c>
      <c r="B3723" s="1">
        <v>45705</v>
      </c>
      <c r="C3723" s="1">
        <v>45708</v>
      </c>
      <c r="D3723" t="s">
        <v>701</v>
      </c>
      <c r="E3723" t="s">
        <v>229</v>
      </c>
      <c r="F3723" t="s">
        <v>55</v>
      </c>
      <c r="G3723" t="s">
        <v>195</v>
      </c>
      <c r="H3723" t="s">
        <v>107</v>
      </c>
      <c r="I3723" s="2">
        <v>2</v>
      </c>
      <c r="J3723" s="3">
        <v>99</v>
      </c>
      <c r="K3723" s="4">
        <v>0.08</v>
      </c>
      <c r="L3723" s="3">
        <v>182.16</v>
      </c>
      <c r="M3723" t="b">
        <v>1</v>
      </c>
      <c r="N3723" s="2">
        <f>YEAR(B3723)</f>
        <v>2025</v>
      </c>
      <c r="O3723" t="str">
        <f>INDEX(Agences!$C:$C,MATCH(F3723,Agences!$A:$A,0))</f>
        <v>Est</v>
      </c>
      <c r="P3723" t="str">
        <f>INDEX(Produits!$C:$C,MATCH(H3723,Produits!$A:$A,0))</f>
        <v>Informatique</v>
      </c>
      <c r="Q3723" s="3">
        <f>I3723*INDEX(Produits!$E:$E,MATCH(H3723,Produits!$A:$A,0))</f>
        <v>150.48</v>
      </c>
      <c r="R3723" s="3">
        <f>L3723-Q3723</f>
        <v>31.680000000000007</v>
      </c>
      <c r="S3723" s="2">
        <f>NETWORKDAYS(B3723,C3723)-1</f>
        <v>3</v>
      </c>
      <c r="T3723" s="1">
        <f>WORKDAY(B3723,5)</f>
        <v>45712</v>
      </c>
      <c r="U3723" t="b">
        <f>C3723&gt;T3723</f>
        <v>0</v>
      </c>
    </row>
    <row r="3724" spans="1:21" x14ac:dyDescent="0.25">
      <c r="A3724" t="s">
        <v>2200</v>
      </c>
      <c r="B3724" s="1">
        <v>45705</v>
      </c>
      <c r="C3724" s="1">
        <v>45708</v>
      </c>
      <c r="D3724" t="s">
        <v>701</v>
      </c>
      <c r="E3724" t="s">
        <v>229</v>
      </c>
      <c r="F3724" t="s">
        <v>55</v>
      </c>
      <c r="G3724" t="s">
        <v>195</v>
      </c>
      <c r="H3724" t="s">
        <v>196</v>
      </c>
      <c r="I3724" s="2">
        <v>15</v>
      </c>
      <c r="J3724" s="3">
        <v>18.5</v>
      </c>
      <c r="K3724" s="4">
        <v>0.02</v>
      </c>
      <c r="L3724" s="3">
        <v>271.95</v>
      </c>
      <c r="M3724" t="b">
        <v>1</v>
      </c>
      <c r="N3724" s="2">
        <f>YEAR(B3724)</f>
        <v>2025</v>
      </c>
      <c r="O3724" t="str">
        <f>INDEX(Agences!$C:$C,MATCH(F3724,Agences!$A:$A,0))</f>
        <v>Est</v>
      </c>
      <c r="P3724" t="str">
        <f>INDEX(Produits!$C:$C,MATCH(H3724,Produits!$A:$A,0))</f>
        <v>Fournitures</v>
      </c>
      <c r="Q3724" s="3">
        <f>I3724*INDEX(Produits!$E:$E,MATCH(H3724,Produits!$A:$A,0))</f>
        <v>141.6</v>
      </c>
      <c r="R3724" s="3">
        <f>L3724-Q3724</f>
        <v>130.35</v>
      </c>
      <c r="S3724" s="2">
        <f>NETWORKDAYS(B3724,C3724)-1</f>
        <v>3</v>
      </c>
      <c r="T3724" s="1">
        <f>WORKDAY(B3724,5)</f>
        <v>45712</v>
      </c>
      <c r="U3724" t="b">
        <f>C3724&gt;T3724</f>
        <v>0</v>
      </c>
    </row>
    <row r="3725" spans="1:21" x14ac:dyDescent="0.25">
      <c r="A3725" t="s">
        <v>2200</v>
      </c>
      <c r="B3725" s="1">
        <v>45705</v>
      </c>
      <c r="C3725" s="1">
        <v>45708</v>
      </c>
      <c r="D3725" t="s">
        <v>701</v>
      </c>
      <c r="E3725" t="s">
        <v>229</v>
      </c>
      <c r="F3725" t="s">
        <v>55</v>
      </c>
      <c r="G3725" t="s">
        <v>195</v>
      </c>
      <c r="H3725" t="s">
        <v>49</v>
      </c>
      <c r="I3725" s="2">
        <v>1</v>
      </c>
      <c r="J3725" s="3">
        <v>120</v>
      </c>
      <c r="K3725" s="4">
        <v>0</v>
      </c>
      <c r="L3725" s="3">
        <v>120</v>
      </c>
      <c r="M3725" t="b">
        <v>1</v>
      </c>
      <c r="N3725" s="2">
        <f>YEAR(B3725)</f>
        <v>2025</v>
      </c>
      <c r="O3725" t="str">
        <f>INDEX(Agences!$C:$C,MATCH(F3725,Agences!$A:$A,0))</f>
        <v>Est</v>
      </c>
      <c r="P3725" t="str">
        <f>INDEX(Produits!$C:$C,MATCH(H3725,Produits!$A:$A,0))</f>
        <v>Maintenance</v>
      </c>
      <c r="Q3725" s="3">
        <f>I3725*INDEX(Produits!$E:$E,MATCH(H3725,Produits!$A:$A,0))</f>
        <v>55.2</v>
      </c>
      <c r="R3725" s="3">
        <f>L3725-Q3725</f>
        <v>64.8</v>
      </c>
      <c r="S3725" s="2">
        <f>NETWORKDAYS(B3725,C3725)-1</f>
        <v>3</v>
      </c>
      <c r="T3725" s="1">
        <f>WORKDAY(B3725,5)</f>
        <v>45712</v>
      </c>
      <c r="U3725" t="b">
        <f>C3725&gt;T3725</f>
        <v>0</v>
      </c>
    </row>
    <row r="3726" spans="1:21" x14ac:dyDescent="0.25">
      <c r="A3726" t="s">
        <v>2200</v>
      </c>
      <c r="B3726" s="1">
        <v>45705</v>
      </c>
      <c r="C3726" s="1">
        <v>45708</v>
      </c>
      <c r="D3726" t="s">
        <v>701</v>
      </c>
      <c r="E3726" t="s">
        <v>229</v>
      </c>
      <c r="F3726" t="s">
        <v>55</v>
      </c>
      <c r="G3726" t="s">
        <v>195</v>
      </c>
      <c r="H3726" t="s">
        <v>206</v>
      </c>
      <c r="I3726" s="2">
        <v>5</v>
      </c>
      <c r="J3726" s="3">
        <v>34</v>
      </c>
      <c r="K3726" s="4">
        <v>0</v>
      </c>
      <c r="L3726" s="3">
        <v>170</v>
      </c>
      <c r="M3726" t="b">
        <v>1</v>
      </c>
      <c r="N3726" s="2">
        <f>YEAR(B3726)</f>
        <v>2025</v>
      </c>
      <c r="O3726" t="str">
        <f>INDEX(Agences!$C:$C,MATCH(F3726,Agences!$A:$A,0))</f>
        <v>Est</v>
      </c>
      <c r="P3726" t="str">
        <f>INDEX(Produits!$C:$C,MATCH(H3726,Produits!$A:$A,0))</f>
        <v>Fournitures</v>
      </c>
      <c r="Q3726" s="3">
        <f>I3726*INDEX(Produits!$E:$E,MATCH(H3726,Produits!$A:$A,0))</f>
        <v>96.89999999999999</v>
      </c>
      <c r="R3726" s="3">
        <f>L3726-Q3726</f>
        <v>73.10000000000001</v>
      </c>
      <c r="S3726" s="2">
        <f>NETWORKDAYS(B3726,C3726)-1</f>
        <v>3</v>
      </c>
      <c r="T3726" s="1">
        <f>WORKDAY(B3726,5)</f>
        <v>45712</v>
      </c>
      <c r="U3726" t="b">
        <f>C3726&gt;T3726</f>
        <v>0</v>
      </c>
    </row>
    <row r="3727" spans="1:21" x14ac:dyDescent="0.25">
      <c r="A3727" t="s">
        <v>2201</v>
      </c>
      <c r="B3727" s="1">
        <v>45702</v>
      </c>
      <c r="C3727" s="1">
        <v>45708</v>
      </c>
      <c r="D3727" t="s">
        <v>1411</v>
      </c>
      <c r="E3727" t="s">
        <v>333</v>
      </c>
      <c r="F3727" t="s">
        <v>138</v>
      </c>
      <c r="G3727" t="s">
        <v>220</v>
      </c>
      <c r="H3727" t="s">
        <v>108</v>
      </c>
      <c r="I3727" s="2">
        <v>10</v>
      </c>
      <c r="J3727" s="3">
        <v>24.5</v>
      </c>
      <c r="K3727" s="4">
        <v>0</v>
      </c>
      <c r="L3727" s="3">
        <v>245</v>
      </c>
      <c r="M3727" t="b">
        <v>1</v>
      </c>
      <c r="N3727" s="2">
        <f>YEAR(B3727)</f>
        <v>2025</v>
      </c>
      <c r="O3727" t="str">
        <f>INDEX(Agences!$C:$C,MATCH(F3727,Agences!$A:$A,0))</f>
        <v>Île-de-France</v>
      </c>
      <c r="P3727" t="str">
        <f>INDEX(Produits!$C:$C,MATCH(H3727,Produits!$A:$A,0))</f>
        <v>Fournitures</v>
      </c>
      <c r="Q3727" s="3">
        <f>I3727*INDEX(Produits!$E:$E,MATCH(H3727,Produits!$A:$A,0))</f>
        <v>147</v>
      </c>
      <c r="R3727" s="3">
        <f>L3727-Q3727</f>
        <v>98</v>
      </c>
      <c r="S3727" s="2">
        <f>NETWORKDAYS(B3727,C3727)-1</f>
        <v>4</v>
      </c>
      <c r="T3727" s="1">
        <f>WORKDAY(B3727,5)</f>
        <v>45709</v>
      </c>
      <c r="U3727" t="b">
        <f>C3727&gt;T3727</f>
        <v>0</v>
      </c>
    </row>
    <row r="3728" spans="1:21" x14ac:dyDescent="0.25">
      <c r="A3728" t="s">
        <v>2201</v>
      </c>
      <c r="B3728" s="1">
        <v>45702</v>
      </c>
      <c r="C3728" s="1">
        <v>45708</v>
      </c>
      <c r="D3728" t="s">
        <v>1411</v>
      </c>
      <c r="E3728" t="s">
        <v>333</v>
      </c>
      <c r="F3728" t="s">
        <v>138</v>
      </c>
      <c r="G3728" t="s">
        <v>220</v>
      </c>
      <c r="H3728" t="s">
        <v>162</v>
      </c>
      <c r="I3728" s="2">
        <v>1</v>
      </c>
      <c r="J3728" s="3">
        <v>289</v>
      </c>
      <c r="K3728" s="4">
        <v>0.02</v>
      </c>
      <c r="L3728" s="3">
        <v>283.22</v>
      </c>
      <c r="M3728" t="b">
        <v>1</v>
      </c>
      <c r="N3728" s="2">
        <f>YEAR(B3728)</f>
        <v>2025</v>
      </c>
      <c r="O3728" t="str">
        <f>INDEX(Agences!$C:$C,MATCH(F3728,Agences!$A:$A,0))</f>
        <v>Île-de-France</v>
      </c>
      <c r="P3728" t="str">
        <f>INDEX(Produits!$C:$C,MATCH(H3728,Produits!$A:$A,0))</f>
        <v>Mobilier</v>
      </c>
      <c r="Q3728" s="3">
        <f>I3728*INDEX(Produits!$E:$E,MATCH(H3728,Produits!$A:$A,0))</f>
        <v>193.63</v>
      </c>
      <c r="R3728" s="3">
        <f>L3728-Q3728</f>
        <v>89.59000000000003</v>
      </c>
      <c r="S3728" s="2">
        <f>NETWORKDAYS(B3728,C3728)-1</f>
        <v>4</v>
      </c>
      <c r="T3728" s="1">
        <f>WORKDAY(B3728,5)</f>
        <v>45709</v>
      </c>
      <c r="U3728" t="b">
        <f>C3728&gt;T3728</f>
        <v>0</v>
      </c>
    </row>
    <row r="3729" spans="1:21" x14ac:dyDescent="0.25">
      <c r="A3729" t="s">
        <v>2202</v>
      </c>
      <c r="B3729" s="1">
        <v>45702</v>
      </c>
      <c r="C3729" s="1">
        <v>45709</v>
      </c>
      <c r="D3729" t="s">
        <v>2203</v>
      </c>
      <c r="E3729" t="s">
        <v>175</v>
      </c>
      <c r="F3729" t="s">
        <v>76</v>
      </c>
      <c r="G3729" t="s">
        <v>77</v>
      </c>
      <c r="H3729" t="s">
        <v>41</v>
      </c>
      <c r="I3729" s="2">
        <v>1</v>
      </c>
      <c r="J3729" s="3">
        <v>790</v>
      </c>
      <c r="K3729" s="4">
        <v>0.08</v>
      </c>
      <c r="L3729" s="3">
        <v>726.8</v>
      </c>
      <c r="M3729" t="b">
        <v>1</v>
      </c>
      <c r="N3729" s="2">
        <f>YEAR(B3729)</f>
        <v>2025</v>
      </c>
      <c r="O3729" t="str">
        <f>INDEX(Agences!$C:$C,MATCH(F3729,Agences!$A:$A,0))</f>
        <v>Île-de-France</v>
      </c>
      <c r="P3729" t="str">
        <f>INDEX(Produits!$C:$C,MATCH(H3729,Produits!$A:$A,0))</f>
        <v>Informatique</v>
      </c>
      <c r="Q3729" s="3">
        <f>I3729*INDEX(Produits!$E:$E,MATCH(H3729,Produits!$A:$A,0))</f>
        <v>576.7</v>
      </c>
      <c r="R3729" s="3">
        <f>L3729-Q3729</f>
        <v>150.0999999999999</v>
      </c>
      <c r="S3729" s="2">
        <f>NETWORKDAYS(B3729,C3729)-1</f>
        <v>5</v>
      </c>
      <c r="T3729" s="1">
        <f>WORKDAY(B3729,5)</f>
        <v>45709</v>
      </c>
      <c r="U3729" t="b">
        <f>C3729&gt;T3729</f>
        <v>0</v>
      </c>
    </row>
    <row r="3730" spans="1:21" x14ac:dyDescent="0.25">
      <c r="A3730" t="s">
        <v>2204</v>
      </c>
      <c r="B3730" s="1">
        <v>45702</v>
      </c>
      <c r="C3730" s="1">
        <v>45705</v>
      </c>
      <c r="D3730" t="s">
        <v>861</v>
      </c>
      <c r="E3730" t="s">
        <v>175</v>
      </c>
      <c r="F3730" t="s">
        <v>76</v>
      </c>
      <c r="G3730" t="s">
        <v>77</v>
      </c>
      <c r="H3730" t="s">
        <v>233</v>
      </c>
      <c r="I3730" s="2">
        <v>5</v>
      </c>
      <c r="J3730" s="3">
        <v>27.5</v>
      </c>
      <c r="K3730" s="4">
        <v>0</v>
      </c>
      <c r="L3730" s="3">
        <v>137.5</v>
      </c>
      <c r="M3730" t="b">
        <v>1</v>
      </c>
      <c r="N3730" s="2">
        <f>YEAR(B3730)</f>
        <v>2025</v>
      </c>
      <c r="O3730" t="str">
        <f>INDEX(Agences!$C:$C,MATCH(F3730,Agences!$A:$A,0))</f>
        <v>Île-de-France</v>
      </c>
      <c r="P3730" t="str">
        <f>INDEX(Produits!$C:$C,MATCH(H3730,Produits!$A:$A,0))</f>
        <v>Fournitures</v>
      </c>
      <c r="Q3730" s="3">
        <f>I3730*INDEX(Produits!$E:$E,MATCH(H3730,Produits!$A:$A,0))</f>
        <v>77</v>
      </c>
      <c r="R3730" s="3">
        <f>L3730-Q3730</f>
        <v>60.5</v>
      </c>
      <c r="S3730" s="2">
        <f>NETWORKDAYS(B3730,C3730)-1</f>
        <v>1</v>
      </c>
      <c r="T3730" s="1">
        <f>WORKDAY(B3730,5)</f>
        <v>45709</v>
      </c>
      <c r="U3730" t="b">
        <f>C3730&gt;T3730</f>
        <v>0</v>
      </c>
    </row>
    <row r="3731" spans="1:21" x14ac:dyDescent="0.25">
      <c r="A3731" t="s">
        <v>2204</v>
      </c>
      <c r="B3731" s="1">
        <v>45702</v>
      </c>
      <c r="C3731" s="1">
        <v>45705</v>
      </c>
      <c r="D3731" t="s">
        <v>861</v>
      </c>
      <c r="E3731" t="s">
        <v>175</v>
      </c>
      <c r="F3731" t="s">
        <v>76</v>
      </c>
      <c r="G3731" t="s">
        <v>77</v>
      </c>
      <c r="H3731" t="s">
        <v>103</v>
      </c>
      <c r="I3731" s="2">
        <v>1</v>
      </c>
      <c r="J3731" s="3">
        <v>245</v>
      </c>
      <c r="K3731" s="4">
        <v>0</v>
      </c>
      <c r="L3731" s="3">
        <v>245</v>
      </c>
      <c r="M3731" t="b">
        <v>1</v>
      </c>
      <c r="N3731" s="2">
        <f>YEAR(B3731)</f>
        <v>2025</v>
      </c>
      <c r="O3731" t="str">
        <f>INDEX(Agences!$C:$C,MATCH(F3731,Agences!$A:$A,0))</f>
        <v>Île-de-France</v>
      </c>
      <c r="P3731" t="str">
        <f>INDEX(Produits!$C:$C,MATCH(H3731,Produits!$A:$A,0))</f>
        <v>Mobilier</v>
      </c>
      <c r="Q3731" s="3">
        <f>I3731*INDEX(Produits!$E:$E,MATCH(H3731,Produits!$A:$A,0))</f>
        <v>164.15</v>
      </c>
      <c r="R3731" s="3">
        <f>L3731-Q3731</f>
        <v>80.85</v>
      </c>
      <c r="S3731" s="2">
        <f>NETWORKDAYS(B3731,C3731)-1</f>
        <v>1</v>
      </c>
      <c r="T3731" s="1">
        <f>WORKDAY(B3731,5)</f>
        <v>45709</v>
      </c>
      <c r="U3731" t="b">
        <f>C3731&gt;T3731</f>
        <v>0</v>
      </c>
    </row>
    <row r="3732" spans="1:21" x14ac:dyDescent="0.25">
      <c r="A3732" t="s">
        <v>2204</v>
      </c>
      <c r="B3732" s="1">
        <v>45702</v>
      </c>
      <c r="C3732" s="1">
        <v>45705</v>
      </c>
      <c r="D3732" t="s">
        <v>861</v>
      </c>
      <c r="E3732" t="s">
        <v>175</v>
      </c>
      <c r="F3732" t="s">
        <v>76</v>
      </c>
      <c r="G3732" t="s">
        <v>77</v>
      </c>
      <c r="H3732" t="s">
        <v>51</v>
      </c>
      <c r="I3732" s="2">
        <v>1</v>
      </c>
      <c r="J3732" s="3">
        <v>180</v>
      </c>
      <c r="K3732" s="4">
        <v>0.05</v>
      </c>
      <c r="L3732" s="3">
        <v>171</v>
      </c>
      <c r="M3732" t="b">
        <v>1</v>
      </c>
      <c r="N3732" s="2">
        <f>YEAR(B3732)</f>
        <v>2025</v>
      </c>
      <c r="O3732" t="str">
        <f>INDEX(Agences!$C:$C,MATCH(F3732,Agences!$A:$A,0))</f>
        <v>Île-de-France</v>
      </c>
      <c r="P3732" t="str">
        <f>INDEX(Produits!$C:$C,MATCH(H3732,Produits!$A:$A,0))</f>
        <v>Maintenance</v>
      </c>
      <c r="Q3732" s="3">
        <f>I3732*INDEX(Produits!$E:$E,MATCH(H3732,Produits!$A:$A,0))</f>
        <v>82.8</v>
      </c>
      <c r="R3732" s="3">
        <f>L3732-Q3732</f>
        <v>88.2</v>
      </c>
      <c r="S3732" s="2">
        <f>NETWORKDAYS(B3732,C3732)-1</f>
        <v>1</v>
      </c>
      <c r="T3732" s="1">
        <f>WORKDAY(B3732,5)</f>
        <v>45709</v>
      </c>
      <c r="U3732" t="b">
        <f>C3732&gt;T3732</f>
        <v>0</v>
      </c>
    </row>
    <row r="3733" spans="1:21" x14ac:dyDescent="0.25">
      <c r="A3733" t="s">
        <v>2205</v>
      </c>
      <c r="B3733" s="1">
        <v>45702</v>
      </c>
      <c r="C3733" s="1">
        <v>45705</v>
      </c>
      <c r="D3733" t="s">
        <v>2083</v>
      </c>
      <c r="E3733" t="s">
        <v>165</v>
      </c>
      <c r="F3733" t="s">
        <v>166</v>
      </c>
      <c r="G3733" t="s">
        <v>248</v>
      </c>
      <c r="H3733" t="s">
        <v>35</v>
      </c>
      <c r="I3733" s="2">
        <v>1</v>
      </c>
      <c r="J3733" s="3">
        <v>79</v>
      </c>
      <c r="K3733" s="4">
        <v>0</v>
      </c>
      <c r="L3733" s="3">
        <v>79</v>
      </c>
      <c r="M3733" t="b">
        <v>1</v>
      </c>
      <c r="N3733" s="2">
        <f>YEAR(B3733)</f>
        <v>2025</v>
      </c>
      <c r="O3733" t="str">
        <f>INDEX(Agences!$C:$C,MATCH(F3733,Agences!$A:$A,0))</f>
        <v>Ouest</v>
      </c>
      <c r="P3733" t="str">
        <f>INDEX(Produits!$C:$C,MATCH(H3733,Produits!$A:$A,0))</f>
        <v>Mobilier</v>
      </c>
      <c r="Q3733" s="3">
        <f>I3733*INDEX(Produits!$E:$E,MATCH(H3733,Produits!$A:$A,0))</f>
        <v>46.61</v>
      </c>
      <c r="R3733" s="3">
        <f>L3733-Q3733</f>
        <v>32.39</v>
      </c>
      <c r="S3733" s="2">
        <f>NETWORKDAYS(B3733,C3733)-1</f>
        <v>1</v>
      </c>
      <c r="T3733" s="1">
        <f>WORKDAY(B3733,5)</f>
        <v>45709</v>
      </c>
      <c r="U3733" t="b">
        <f>C3733&gt;T3733</f>
        <v>0</v>
      </c>
    </row>
    <row r="3734" spans="1:21" x14ac:dyDescent="0.25">
      <c r="A3734" t="s">
        <v>2205</v>
      </c>
      <c r="B3734" s="1">
        <v>45702</v>
      </c>
      <c r="C3734" s="1">
        <v>45705</v>
      </c>
      <c r="D3734" t="s">
        <v>2083</v>
      </c>
      <c r="E3734" t="s">
        <v>165</v>
      </c>
      <c r="F3734" t="s">
        <v>166</v>
      </c>
      <c r="G3734" t="s">
        <v>248</v>
      </c>
      <c r="H3734" t="s">
        <v>83</v>
      </c>
      <c r="I3734" s="2">
        <v>2</v>
      </c>
      <c r="J3734" s="3">
        <v>49</v>
      </c>
      <c r="K3734" s="4">
        <v>0</v>
      </c>
      <c r="L3734" s="3">
        <v>98</v>
      </c>
      <c r="M3734" t="b">
        <v>1</v>
      </c>
      <c r="N3734" s="2">
        <f>YEAR(B3734)</f>
        <v>2025</v>
      </c>
      <c r="O3734" t="str">
        <f>INDEX(Agences!$C:$C,MATCH(F3734,Agences!$A:$A,0))</f>
        <v>Ouest</v>
      </c>
      <c r="P3734" t="str">
        <f>INDEX(Produits!$C:$C,MATCH(H3734,Produits!$A:$A,0))</f>
        <v>Mobilier</v>
      </c>
      <c r="Q3734" s="3">
        <f>I3734*INDEX(Produits!$E:$E,MATCH(H3734,Produits!$A:$A,0))</f>
        <v>56.84</v>
      </c>
      <c r="R3734" s="3">
        <f>L3734-Q3734</f>
        <v>41.16</v>
      </c>
      <c r="S3734" s="2">
        <f>NETWORKDAYS(B3734,C3734)-1</f>
        <v>1</v>
      </c>
      <c r="T3734" s="1">
        <f>WORKDAY(B3734,5)</f>
        <v>45709</v>
      </c>
      <c r="U3734" t="b">
        <f>C3734&gt;T3734</f>
        <v>0</v>
      </c>
    </row>
    <row r="3735" spans="1:21" x14ac:dyDescent="0.25">
      <c r="A3735" t="s">
        <v>2206</v>
      </c>
      <c r="B3735" s="1">
        <v>45702</v>
      </c>
      <c r="C3735" s="1">
        <v>45708</v>
      </c>
      <c r="D3735" t="s">
        <v>1511</v>
      </c>
      <c r="E3735" t="s">
        <v>336</v>
      </c>
      <c r="F3735" t="s">
        <v>166</v>
      </c>
      <c r="G3735" t="s">
        <v>167</v>
      </c>
      <c r="H3735" t="s">
        <v>103</v>
      </c>
      <c r="I3735" s="2">
        <v>1</v>
      </c>
      <c r="J3735" s="3">
        <v>245</v>
      </c>
      <c r="K3735" s="4">
        <v>0</v>
      </c>
      <c r="L3735" s="3">
        <v>245</v>
      </c>
      <c r="M3735" t="b">
        <v>1</v>
      </c>
      <c r="N3735" s="2">
        <f>YEAR(B3735)</f>
        <v>2025</v>
      </c>
      <c r="O3735" t="str">
        <f>INDEX(Agences!$C:$C,MATCH(F3735,Agences!$A:$A,0))</f>
        <v>Ouest</v>
      </c>
      <c r="P3735" t="str">
        <f>INDEX(Produits!$C:$C,MATCH(H3735,Produits!$A:$A,0))</f>
        <v>Mobilier</v>
      </c>
      <c r="Q3735" s="3">
        <f>I3735*INDEX(Produits!$E:$E,MATCH(H3735,Produits!$A:$A,0))</f>
        <v>164.15</v>
      </c>
      <c r="R3735" s="3">
        <f>L3735-Q3735</f>
        <v>80.85</v>
      </c>
      <c r="S3735" s="2">
        <f>NETWORKDAYS(B3735,C3735)-1</f>
        <v>4</v>
      </c>
      <c r="T3735" s="1">
        <f>WORKDAY(B3735,5)</f>
        <v>45709</v>
      </c>
      <c r="U3735" t="b">
        <f>C3735&gt;T3735</f>
        <v>0</v>
      </c>
    </row>
    <row r="3736" spans="1:21" x14ac:dyDescent="0.25">
      <c r="A3736" t="s">
        <v>2207</v>
      </c>
      <c r="B3736" s="1">
        <v>45702</v>
      </c>
      <c r="C3736" s="1">
        <v>45705</v>
      </c>
      <c r="D3736" t="s">
        <v>627</v>
      </c>
      <c r="E3736" t="s">
        <v>242</v>
      </c>
      <c r="F3736" t="s">
        <v>94</v>
      </c>
      <c r="G3736" t="s">
        <v>182</v>
      </c>
      <c r="H3736" t="s">
        <v>33</v>
      </c>
      <c r="I3736" s="2">
        <v>2</v>
      </c>
      <c r="J3736" s="3">
        <v>219</v>
      </c>
      <c r="K3736" s="4">
        <v>0</v>
      </c>
      <c r="L3736" s="3">
        <v>438</v>
      </c>
      <c r="M3736" t="b">
        <v>1</v>
      </c>
      <c r="N3736" s="2">
        <f>YEAR(B3736)</f>
        <v>2025</v>
      </c>
      <c r="O3736" t="str">
        <f>INDEX(Agences!$C:$C,MATCH(F3736,Agences!$A:$A,0))</f>
        <v>Méditerranée</v>
      </c>
      <c r="P3736" t="str">
        <f>INDEX(Produits!$C:$C,MATCH(H3736,Produits!$A:$A,0))</f>
        <v>Informatique</v>
      </c>
      <c r="Q3736" s="3">
        <f>I3736*INDEX(Produits!$E:$E,MATCH(H3736,Produits!$A:$A,0))</f>
        <v>359.16</v>
      </c>
      <c r="R3736" s="3">
        <f>L3736-Q3736</f>
        <v>78.83999999999997</v>
      </c>
      <c r="S3736" s="2">
        <f>NETWORKDAYS(B3736,C3736)-1</f>
        <v>1</v>
      </c>
      <c r="T3736" s="1">
        <f>WORKDAY(B3736,5)</f>
        <v>45709</v>
      </c>
      <c r="U3736" t="b">
        <f>C3736&gt;T3736</f>
        <v>0</v>
      </c>
    </row>
    <row r="3737" spans="1:21" x14ac:dyDescent="0.25">
      <c r="A3737" t="s">
        <v>2208</v>
      </c>
      <c r="B3737" s="1">
        <v>45702</v>
      </c>
      <c r="C3737" s="1">
        <v>45707</v>
      </c>
      <c r="D3737" t="s">
        <v>1070</v>
      </c>
      <c r="E3737" t="s">
        <v>384</v>
      </c>
      <c r="F3737" t="s">
        <v>46</v>
      </c>
      <c r="G3737" t="s">
        <v>158</v>
      </c>
      <c r="H3737" t="s">
        <v>150</v>
      </c>
      <c r="I3737" s="2">
        <v>1</v>
      </c>
      <c r="J3737" s="3">
        <v>790</v>
      </c>
      <c r="K3737" s="4">
        <v>0</v>
      </c>
      <c r="L3737" s="3">
        <v>790</v>
      </c>
      <c r="M3737" t="b">
        <v>1</v>
      </c>
      <c r="N3737" s="2">
        <f>YEAR(B3737)</f>
        <v>2025</v>
      </c>
      <c r="O3737" t="str">
        <f>INDEX(Agences!$C:$C,MATCH(F3737,Agences!$A:$A,0))</f>
        <v>Est</v>
      </c>
      <c r="P3737" t="str">
        <f>INDEX(Produits!$C:$C,MATCH(H3737,Produits!$A:$A,0))</f>
        <v>Informatique</v>
      </c>
      <c r="Q3737" s="3">
        <f>I3737*INDEX(Produits!$E:$E,MATCH(H3737,Produits!$A:$A,0))</f>
        <v>584.6</v>
      </c>
      <c r="R3737" s="3">
        <f>L3737-Q3737</f>
        <v>205.39999999999998</v>
      </c>
      <c r="S3737" s="2">
        <f>NETWORKDAYS(B3737,C3737)-1</f>
        <v>3</v>
      </c>
      <c r="T3737" s="1">
        <f>WORKDAY(B3737,5)</f>
        <v>45709</v>
      </c>
      <c r="U3737" t="b">
        <f>C3737&gt;T3737</f>
        <v>0</v>
      </c>
    </row>
    <row r="3738" spans="1:21" x14ac:dyDescent="0.25">
      <c r="A3738" t="s">
        <v>2209</v>
      </c>
      <c r="B3738" s="1">
        <v>45701</v>
      </c>
      <c r="C3738" s="1">
        <v>45705</v>
      </c>
      <c r="D3738" t="s">
        <v>414</v>
      </c>
      <c r="E3738" t="s">
        <v>172</v>
      </c>
      <c r="F3738" t="s">
        <v>99</v>
      </c>
      <c r="G3738" t="s">
        <v>265</v>
      </c>
      <c r="H3738" t="s">
        <v>50</v>
      </c>
      <c r="I3738" s="2">
        <v>2</v>
      </c>
      <c r="J3738" s="3">
        <v>69</v>
      </c>
      <c r="K3738" s="4">
        <v>0</v>
      </c>
      <c r="L3738" s="3">
        <v>138</v>
      </c>
      <c r="M3738" t="b">
        <v>1</v>
      </c>
      <c r="N3738" s="2">
        <f>YEAR(B3738)</f>
        <v>2025</v>
      </c>
      <c r="O3738" t="str">
        <f>INDEX(Agences!$C:$C,MATCH(F3738,Agences!$A:$A,0))</f>
        <v>Nord</v>
      </c>
      <c r="P3738" t="str">
        <f>INDEX(Produits!$C:$C,MATCH(H3738,Produits!$A:$A,0))</f>
        <v>Informatique</v>
      </c>
      <c r="Q3738" s="3">
        <f>I3738*INDEX(Produits!$E:$E,MATCH(H3738,Produits!$A:$A,0))</f>
        <v>109.02</v>
      </c>
      <c r="R3738" s="3">
        <f>L3738-Q3738</f>
        <v>28.980000000000004</v>
      </c>
      <c r="S3738" s="2">
        <f>NETWORKDAYS(B3738,C3738)-1</f>
        <v>2</v>
      </c>
      <c r="T3738" s="1">
        <f>WORKDAY(B3738,5)</f>
        <v>45708</v>
      </c>
      <c r="U3738" t="b">
        <f>C3738&gt;T3738</f>
        <v>0</v>
      </c>
    </row>
    <row r="3739" spans="1:21" x14ac:dyDescent="0.25">
      <c r="A3739" t="s">
        <v>2209</v>
      </c>
      <c r="B3739" s="1">
        <v>45701</v>
      </c>
      <c r="C3739" s="1">
        <v>45705</v>
      </c>
      <c r="D3739" t="s">
        <v>414</v>
      </c>
      <c r="E3739" t="s">
        <v>172</v>
      </c>
      <c r="F3739" t="s">
        <v>99</v>
      </c>
      <c r="G3739" t="s">
        <v>265</v>
      </c>
      <c r="H3739" t="s">
        <v>48</v>
      </c>
      <c r="I3739" s="2">
        <v>3</v>
      </c>
      <c r="J3739" s="3">
        <v>165</v>
      </c>
      <c r="K3739" s="4">
        <v>0</v>
      </c>
      <c r="L3739" s="3">
        <v>495</v>
      </c>
      <c r="M3739" t="b">
        <v>1</v>
      </c>
      <c r="N3739" s="2">
        <f>YEAR(B3739)</f>
        <v>2025</v>
      </c>
      <c r="O3739" t="str">
        <f>INDEX(Agences!$C:$C,MATCH(F3739,Agences!$A:$A,0))</f>
        <v>Nord</v>
      </c>
      <c r="P3739" t="str">
        <f>INDEX(Produits!$C:$C,MATCH(H3739,Produits!$A:$A,0))</f>
        <v>Mobilier</v>
      </c>
      <c r="Q3739" s="3">
        <f>I3739*INDEX(Produits!$E:$E,MATCH(H3739,Produits!$A:$A,0))</f>
        <v>321.75</v>
      </c>
      <c r="R3739" s="3">
        <f>L3739-Q3739</f>
        <v>173.25</v>
      </c>
      <c r="S3739" s="2">
        <f>NETWORKDAYS(B3739,C3739)-1</f>
        <v>2</v>
      </c>
      <c r="T3739" s="1">
        <f>WORKDAY(B3739,5)</f>
        <v>45708</v>
      </c>
      <c r="U3739" t="b">
        <f>C3739&gt;T3739</f>
        <v>0</v>
      </c>
    </row>
    <row r="3740" spans="1:21" x14ac:dyDescent="0.25">
      <c r="A3740" t="s">
        <v>2209</v>
      </c>
      <c r="B3740" s="1">
        <v>45701</v>
      </c>
      <c r="C3740" s="1">
        <v>45705</v>
      </c>
      <c r="D3740" t="s">
        <v>414</v>
      </c>
      <c r="E3740" t="s">
        <v>172</v>
      </c>
      <c r="F3740" t="s">
        <v>99</v>
      </c>
      <c r="G3740" t="s">
        <v>265</v>
      </c>
      <c r="H3740" t="s">
        <v>49</v>
      </c>
      <c r="I3740" s="2">
        <v>2</v>
      </c>
      <c r="J3740" s="3">
        <v>120</v>
      </c>
      <c r="K3740" s="4">
        <v>0</v>
      </c>
      <c r="L3740" s="3">
        <v>240</v>
      </c>
      <c r="M3740" t="b">
        <v>1</v>
      </c>
      <c r="N3740" s="2">
        <f>YEAR(B3740)</f>
        <v>2025</v>
      </c>
      <c r="O3740" t="str">
        <f>INDEX(Agences!$C:$C,MATCH(F3740,Agences!$A:$A,0))</f>
        <v>Nord</v>
      </c>
      <c r="P3740" t="str">
        <f>INDEX(Produits!$C:$C,MATCH(H3740,Produits!$A:$A,0))</f>
        <v>Maintenance</v>
      </c>
      <c r="Q3740" s="3">
        <f>I3740*INDEX(Produits!$E:$E,MATCH(H3740,Produits!$A:$A,0))</f>
        <v>110.4</v>
      </c>
      <c r="R3740" s="3">
        <f>L3740-Q3740</f>
        <v>129.6</v>
      </c>
      <c r="S3740" s="2">
        <f>NETWORKDAYS(B3740,C3740)-1</f>
        <v>2</v>
      </c>
      <c r="T3740" s="1">
        <f>WORKDAY(B3740,5)</f>
        <v>45708</v>
      </c>
      <c r="U3740" t="b">
        <f>C3740&gt;T3740</f>
        <v>0</v>
      </c>
    </row>
    <row r="3741" spans="1:21" x14ac:dyDescent="0.25">
      <c r="A3741" t="s">
        <v>2209</v>
      </c>
      <c r="B3741" s="1">
        <v>45701</v>
      </c>
      <c r="C3741" s="1">
        <v>45705</v>
      </c>
      <c r="D3741" t="s">
        <v>414</v>
      </c>
      <c r="E3741" t="s">
        <v>172</v>
      </c>
      <c r="F3741" t="s">
        <v>99</v>
      </c>
      <c r="G3741" t="s">
        <v>265</v>
      </c>
      <c r="H3741" t="s">
        <v>57</v>
      </c>
      <c r="I3741" s="2">
        <v>1</v>
      </c>
      <c r="J3741" s="3">
        <v>149</v>
      </c>
      <c r="K3741" s="4">
        <v>0</v>
      </c>
      <c r="L3741" s="3">
        <v>149</v>
      </c>
      <c r="M3741" t="b">
        <v>1</v>
      </c>
      <c r="N3741" s="2">
        <f>YEAR(B3741)</f>
        <v>2025</v>
      </c>
      <c r="O3741" t="str">
        <f>INDEX(Agences!$C:$C,MATCH(F3741,Agences!$A:$A,0))</f>
        <v>Nord</v>
      </c>
      <c r="P3741" t="str">
        <f>INDEX(Produits!$C:$C,MATCH(H3741,Produits!$A:$A,0))</f>
        <v>Informatique</v>
      </c>
      <c r="Q3741" s="3">
        <f>I3741*INDEX(Produits!$E:$E,MATCH(H3741,Produits!$A:$A,0))</f>
        <v>114.73</v>
      </c>
      <c r="R3741" s="3">
        <f>L3741-Q3741</f>
        <v>34.269999999999996</v>
      </c>
      <c r="S3741" s="2">
        <f>NETWORKDAYS(B3741,C3741)-1</f>
        <v>2</v>
      </c>
      <c r="T3741" s="1">
        <f>WORKDAY(B3741,5)</f>
        <v>45708</v>
      </c>
      <c r="U3741" t="b">
        <f>C3741&gt;T3741</f>
        <v>0</v>
      </c>
    </row>
    <row r="3742" spans="1:21" x14ac:dyDescent="0.25">
      <c r="A3742" t="s">
        <v>2210</v>
      </c>
      <c r="B3742" s="1">
        <v>45701</v>
      </c>
      <c r="C3742" s="1">
        <v>45706</v>
      </c>
      <c r="D3742" t="s">
        <v>740</v>
      </c>
      <c r="E3742" t="s">
        <v>172</v>
      </c>
      <c r="F3742" t="s">
        <v>99</v>
      </c>
      <c r="G3742" t="s">
        <v>210</v>
      </c>
      <c r="H3742" t="s">
        <v>33</v>
      </c>
      <c r="I3742" s="2">
        <v>1</v>
      </c>
      <c r="J3742" s="3">
        <v>219</v>
      </c>
      <c r="K3742" s="4">
        <v>0.02</v>
      </c>
      <c r="L3742" s="3">
        <v>214.62</v>
      </c>
      <c r="M3742" t="b">
        <v>1</v>
      </c>
      <c r="N3742" s="2">
        <f>YEAR(B3742)</f>
        <v>2025</v>
      </c>
      <c r="O3742" t="str">
        <f>INDEX(Agences!$C:$C,MATCH(F3742,Agences!$A:$A,0))</f>
        <v>Nord</v>
      </c>
      <c r="P3742" t="str">
        <f>INDEX(Produits!$C:$C,MATCH(H3742,Produits!$A:$A,0))</f>
        <v>Informatique</v>
      </c>
      <c r="Q3742" s="3">
        <f>I3742*INDEX(Produits!$E:$E,MATCH(H3742,Produits!$A:$A,0))</f>
        <v>179.58</v>
      </c>
      <c r="R3742" s="3">
        <f>L3742-Q3742</f>
        <v>35.03999999999999</v>
      </c>
      <c r="S3742" s="2">
        <f>NETWORKDAYS(B3742,C3742)-1</f>
        <v>3</v>
      </c>
      <c r="T3742" s="1">
        <f>WORKDAY(B3742,5)</f>
        <v>45708</v>
      </c>
      <c r="U3742" t="b">
        <f>C3742&gt;T3742</f>
        <v>0</v>
      </c>
    </row>
    <row r="3743" spans="1:21" x14ac:dyDescent="0.25">
      <c r="A3743" t="s">
        <v>2210</v>
      </c>
      <c r="B3743" s="1">
        <v>45701</v>
      </c>
      <c r="C3743" s="1">
        <v>45706</v>
      </c>
      <c r="D3743" t="s">
        <v>740</v>
      </c>
      <c r="E3743" t="s">
        <v>172</v>
      </c>
      <c r="F3743" t="s">
        <v>99</v>
      </c>
      <c r="G3743" t="s">
        <v>210</v>
      </c>
      <c r="H3743" t="s">
        <v>112</v>
      </c>
      <c r="I3743" s="2">
        <v>2</v>
      </c>
      <c r="J3743" s="3">
        <v>129</v>
      </c>
      <c r="K3743" s="4">
        <v>0.02</v>
      </c>
      <c r="L3743" s="3">
        <v>252.84</v>
      </c>
      <c r="M3743" t="b">
        <v>1</v>
      </c>
      <c r="N3743" s="2">
        <f>YEAR(B3743)</f>
        <v>2025</v>
      </c>
      <c r="O3743" t="str">
        <f>INDEX(Agences!$C:$C,MATCH(F3743,Agences!$A:$A,0))</f>
        <v>Nord</v>
      </c>
      <c r="P3743" t="str">
        <f>INDEX(Produits!$C:$C,MATCH(H3743,Produits!$A:$A,0))</f>
        <v>Mobilier</v>
      </c>
      <c r="Q3743" s="3">
        <f>I3743*INDEX(Produits!$E:$E,MATCH(H3743,Produits!$A:$A,0))</f>
        <v>172.86</v>
      </c>
      <c r="R3743" s="3">
        <f>L3743-Q3743</f>
        <v>79.97999999999999</v>
      </c>
      <c r="S3743" s="2">
        <f>NETWORKDAYS(B3743,C3743)-1</f>
        <v>3</v>
      </c>
      <c r="T3743" s="1">
        <f>WORKDAY(B3743,5)</f>
        <v>45708</v>
      </c>
      <c r="U3743" t="b">
        <f>C3743&gt;T3743</f>
        <v>0</v>
      </c>
    </row>
    <row r="3744" spans="1:21" x14ac:dyDescent="0.25">
      <c r="A3744" t="s">
        <v>2210</v>
      </c>
      <c r="B3744" s="1">
        <v>45701</v>
      </c>
      <c r="C3744" s="1">
        <v>45706</v>
      </c>
      <c r="D3744" t="s">
        <v>740</v>
      </c>
      <c r="E3744" t="s">
        <v>172</v>
      </c>
      <c r="F3744" t="s">
        <v>99</v>
      </c>
      <c r="G3744" t="s">
        <v>210</v>
      </c>
      <c r="H3744" t="s">
        <v>107</v>
      </c>
      <c r="I3744" s="2">
        <v>4</v>
      </c>
      <c r="J3744" s="3">
        <v>99</v>
      </c>
      <c r="K3744" s="4">
        <v>0</v>
      </c>
      <c r="L3744" s="3">
        <v>396</v>
      </c>
      <c r="M3744" t="b">
        <v>1</v>
      </c>
      <c r="N3744" s="2">
        <f>YEAR(B3744)</f>
        <v>2025</v>
      </c>
      <c r="O3744" t="str">
        <f>INDEX(Agences!$C:$C,MATCH(F3744,Agences!$A:$A,0))</f>
        <v>Nord</v>
      </c>
      <c r="P3744" t="str">
        <f>INDEX(Produits!$C:$C,MATCH(H3744,Produits!$A:$A,0))</f>
        <v>Informatique</v>
      </c>
      <c r="Q3744" s="3">
        <f>I3744*INDEX(Produits!$E:$E,MATCH(H3744,Produits!$A:$A,0))</f>
        <v>300.96</v>
      </c>
      <c r="R3744" s="3">
        <f>L3744-Q3744</f>
        <v>95.04000000000002</v>
      </c>
      <c r="S3744" s="2">
        <f>NETWORKDAYS(B3744,C3744)-1</f>
        <v>3</v>
      </c>
      <c r="T3744" s="1">
        <f>WORKDAY(B3744,5)</f>
        <v>45708</v>
      </c>
      <c r="U3744" t="b">
        <f>C3744&gt;T3744</f>
        <v>0</v>
      </c>
    </row>
    <row r="3745" spans="1:21" x14ac:dyDescent="0.25">
      <c r="A3745" t="s">
        <v>2210</v>
      </c>
      <c r="B3745" s="1">
        <v>45701</v>
      </c>
      <c r="C3745" s="1">
        <v>45706</v>
      </c>
      <c r="D3745" t="s">
        <v>740</v>
      </c>
      <c r="E3745" t="s">
        <v>172</v>
      </c>
      <c r="F3745" t="s">
        <v>99</v>
      </c>
      <c r="G3745" t="s">
        <v>210</v>
      </c>
      <c r="H3745" t="s">
        <v>83</v>
      </c>
      <c r="I3745" s="2">
        <v>2</v>
      </c>
      <c r="J3745" s="3">
        <v>49</v>
      </c>
      <c r="K3745" s="4">
        <v>0</v>
      </c>
      <c r="L3745" s="3">
        <v>98</v>
      </c>
      <c r="M3745" t="b">
        <v>1</v>
      </c>
      <c r="N3745" s="2">
        <f>YEAR(B3745)</f>
        <v>2025</v>
      </c>
      <c r="O3745" t="str">
        <f>INDEX(Agences!$C:$C,MATCH(F3745,Agences!$A:$A,0))</f>
        <v>Nord</v>
      </c>
      <c r="P3745" t="str">
        <f>INDEX(Produits!$C:$C,MATCH(H3745,Produits!$A:$A,0))</f>
        <v>Mobilier</v>
      </c>
      <c r="Q3745" s="3">
        <f>I3745*INDEX(Produits!$E:$E,MATCH(H3745,Produits!$A:$A,0))</f>
        <v>56.84</v>
      </c>
      <c r="R3745" s="3">
        <f>L3745-Q3745</f>
        <v>41.16</v>
      </c>
      <c r="S3745" s="2">
        <f>NETWORKDAYS(B3745,C3745)-1</f>
        <v>3</v>
      </c>
      <c r="T3745" s="1">
        <f>WORKDAY(B3745,5)</f>
        <v>45708</v>
      </c>
      <c r="U3745" t="b">
        <f>C3745&gt;T3745</f>
        <v>0</v>
      </c>
    </row>
    <row r="3746" spans="1:21" x14ac:dyDescent="0.25">
      <c r="A3746" t="s">
        <v>2211</v>
      </c>
      <c r="B3746" s="1">
        <v>45701</v>
      </c>
      <c r="C3746" s="1">
        <v>45707</v>
      </c>
      <c r="D3746" t="s">
        <v>488</v>
      </c>
      <c r="E3746" t="s">
        <v>333</v>
      </c>
      <c r="F3746" t="s">
        <v>138</v>
      </c>
      <c r="G3746" t="s">
        <v>214</v>
      </c>
      <c r="H3746" t="s">
        <v>107</v>
      </c>
      <c r="I3746" s="2">
        <v>1</v>
      </c>
      <c r="J3746" s="3">
        <v>99</v>
      </c>
      <c r="K3746" s="4">
        <v>0</v>
      </c>
      <c r="L3746" s="3">
        <v>99</v>
      </c>
      <c r="M3746" t="b">
        <v>1</v>
      </c>
      <c r="N3746" s="2">
        <f>YEAR(B3746)</f>
        <v>2025</v>
      </c>
      <c r="O3746" t="str">
        <f>INDEX(Agences!$C:$C,MATCH(F3746,Agences!$A:$A,0))</f>
        <v>Île-de-France</v>
      </c>
      <c r="P3746" t="str">
        <f>INDEX(Produits!$C:$C,MATCH(H3746,Produits!$A:$A,0))</f>
        <v>Informatique</v>
      </c>
      <c r="Q3746" s="3">
        <f>I3746*INDEX(Produits!$E:$E,MATCH(H3746,Produits!$A:$A,0))</f>
        <v>75.24</v>
      </c>
      <c r="R3746" s="3">
        <f>L3746-Q3746</f>
        <v>23.760000000000005</v>
      </c>
      <c r="S3746" s="2">
        <f>NETWORKDAYS(B3746,C3746)-1</f>
        <v>4</v>
      </c>
      <c r="T3746" s="1">
        <f>WORKDAY(B3746,5)</f>
        <v>45708</v>
      </c>
      <c r="U3746" t="b">
        <f>C3746&gt;T3746</f>
        <v>0</v>
      </c>
    </row>
    <row r="3747" spans="1:21" x14ac:dyDescent="0.25">
      <c r="A3747" t="s">
        <v>2211</v>
      </c>
      <c r="B3747" s="1">
        <v>45701</v>
      </c>
      <c r="C3747" s="1">
        <v>45707</v>
      </c>
      <c r="D3747" t="s">
        <v>488</v>
      </c>
      <c r="E3747" t="s">
        <v>333</v>
      </c>
      <c r="F3747" t="s">
        <v>138</v>
      </c>
      <c r="G3747" t="s">
        <v>214</v>
      </c>
      <c r="H3747" t="s">
        <v>79</v>
      </c>
      <c r="I3747" s="2">
        <v>20</v>
      </c>
      <c r="J3747" s="3">
        <v>14.9</v>
      </c>
      <c r="K3747" s="4">
        <v>0</v>
      </c>
      <c r="L3747" s="3">
        <v>298</v>
      </c>
      <c r="M3747" t="b">
        <v>1</v>
      </c>
      <c r="N3747" s="2">
        <f>YEAR(B3747)</f>
        <v>2025</v>
      </c>
      <c r="O3747" t="str">
        <f>INDEX(Agences!$C:$C,MATCH(F3747,Agences!$A:$A,0))</f>
        <v>Île-de-France</v>
      </c>
      <c r="P3747" t="str">
        <f>INDEX(Produits!$C:$C,MATCH(H3747,Produits!$A:$A,0))</f>
        <v>Fournitures</v>
      </c>
      <c r="Q3747" s="3">
        <f>I3747*INDEX(Produits!$E:$E,MATCH(H3747,Produits!$A:$A,0))</f>
        <v>161</v>
      </c>
      <c r="R3747" s="3">
        <f>L3747-Q3747</f>
        <v>137</v>
      </c>
      <c r="S3747" s="2">
        <f>NETWORKDAYS(B3747,C3747)-1</f>
        <v>4</v>
      </c>
      <c r="T3747" s="1">
        <f>WORKDAY(B3747,5)</f>
        <v>45708</v>
      </c>
      <c r="U3747" t="b">
        <f>C3747&gt;T3747</f>
        <v>0</v>
      </c>
    </row>
    <row r="3748" spans="1:21" x14ac:dyDescent="0.25">
      <c r="A3748" t="s">
        <v>2211</v>
      </c>
      <c r="B3748" s="1">
        <v>45701</v>
      </c>
      <c r="C3748" s="1">
        <v>45707</v>
      </c>
      <c r="D3748" t="s">
        <v>488</v>
      </c>
      <c r="E3748" t="s">
        <v>333</v>
      </c>
      <c r="F3748" t="s">
        <v>138</v>
      </c>
      <c r="G3748" t="s">
        <v>214</v>
      </c>
      <c r="H3748" t="s">
        <v>42</v>
      </c>
      <c r="I3748" s="2">
        <v>1</v>
      </c>
      <c r="J3748" s="3">
        <v>55</v>
      </c>
      <c r="K3748" s="4">
        <v>0.05</v>
      </c>
      <c r="L3748" s="3">
        <v>52.25</v>
      </c>
      <c r="M3748" t="b">
        <v>1</v>
      </c>
      <c r="N3748" s="2">
        <f>YEAR(B3748)</f>
        <v>2025</v>
      </c>
      <c r="O3748" t="str">
        <f>INDEX(Agences!$C:$C,MATCH(F3748,Agences!$A:$A,0))</f>
        <v>Île-de-France</v>
      </c>
      <c r="P3748" t="str">
        <f>INDEX(Produits!$C:$C,MATCH(H3748,Produits!$A:$A,0))</f>
        <v>Maintenance</v>
      </c>
      <c r="Q3748" s="3">
        <f>I3748*INDEX(Produits!$E:$E,MATCH(H3748,Produits!$A:$A,0))</f>
        <v>24.75</v>
      </c>
      <c r="R3748" s="3">
        <f>L3748-Q3748</f>
        <v>27.5</v>
      </c>
      <c r="S3748" s="2">
        <f>NETWORKDAYS(B3748,C3748)-1</f>
        <v>4</v>
      </c>
      <c r="T3748" s="1">
        <f>WORKDAY(B3748,5)</f>
        <v>45708</v>
      </c>
      <c r="U3748" t="b">
        <f>C3748&gt;T3748</f>
        <v>0</v>
      </c>
    </row>
    <row r="3749" spans="1:21" x14ac:dyDescent="0.25">
      <c r="A3749" t="s">
        <v>2211</v>
      </c>
      <c r="B3749" s="1">
        <v>45701</v>
      </c>
      <c r="C3749" s="1">
        <v>45707</v>
      </c>
      <c r="D3749" t="s">
        <v>488</v>
      </c>
      <c r="E3749" t="s">
        <v>333</v>
      </c>
      <c r="F3749" t="s">
        <v>138</v>
      </c>
      <c r="G3749" t="s">
        <v>214</v>
      </c>
      <c r="H3749" t="s">
        <v>35</v>
      </c>
      <c r="I3749" s="2">
        <v>2</v>
      </c>
      <c r="J3749" s="3">
        <v>79</v>
      </c>
      <c r="K3749" s="4">
        <v>0</v>
      </c>
      <c r="L3749" s="3">
        <v>158</v>
      </c>
      <c r="M3749" t="b">
        <v>1</v>
      </c>
      <c r="N3749" s="2">
        <f>YEAR(B3749)</f>
        <v>2025</v>
      </c>
      <c r="O3749" t="str">
        <f>INDEX(Agences!$C:$C,MATCH(F3749,Agences!$A:$A,0))</f>
        <v>Île-de-France</v>
      </c>
      <c r="P3749" t="str">
        <f>INDEX(Produits!$C:$C,MATCH(H3749,Produits!$A:$A,0))</f>
        <v>Mobilier</v>
      </c>
      <c r="Q3749" s="3">
        <f>I3749*INDEX(Produits!$E:$E,MATCH(H3749,Produits!$A:$A,0))</f>
        <v>93.22</v>
      </c>
      <c r="R3749" s="3">
        <f>L3749-Q3749</f>
        <v>64.78</v>
      </c>
      <c r="S3749" s="2">
        <f>NETWORKDAYS(B3749,C3749)-1</f>
        <v>4</v>
      </c>
      <c r="T3749" s="1">
        <f>WORKDAY(B3749,5)</f>
        <v>45708</v>
      </c>
      <c r="U3749" t="b">
        <f>C3749&gt;T3749</f>
        <v>0</v>
      </c>
    </row>
    <row r="3750" spans="1:21" x14ac:dyDescent="0.25">
      <c r="A3750" t="s">
        <v>2212</v>
      </c>
      <c r="B3750" s="1">
        <v>45701</v>
      </c>
      <c r="C3750" s="1">
        <v>45707</v>
      </c>
      <c r="D3750" t="s">
        <v>235</v>
      </c>
      <c r="E3750" t="s">
        <v>236</v>
      </c>
      <c r="F3750" t="s">
        <v>39</v>
      </c>
      <c r="G3750" t="s">
        <v>131</v>
      </c>
      <c r="H3750" t="s">
        <v>42</v>
      </c>
      <c r="I3750" s="2">
        <v>1</v>
      </c>
      <c r="J3750" s="3">
        <v>55</v>
      </c>
      <c r="K3750" s="4">
        <v>0.05</v>
      </c>
      <c r="L3750" s="3">
        <v>52.25</v>
      </c>
      <c r="M3750" t="b">
        <v>1</v>
      </c>
      <c r="N3750" s="2">
        <f>YEAR(B3750)</f>
        <v>2025</v>
      </c>
      <c r="O3750" t="str">
        <f>INDEX(Agences!$C:$C,MATCH(F3750,Agences!$A:$A,0))</f>
        <v>Sud-Ouest</v>
      </c>
      <c r="P3750" t="str">
        <f>INDEX(Produits!$C:$C,MATCH(H3750,Produits!$A:$A,0))</f>
        <v>Maintenance</v>
      </c>
      <c r="Q3750" s="3">
        <f>I3750*INDEX(Produits!$E:$E,MATCH(H3750,Produits!$A:$A,0))</f>
        <v>24.75</v>
      </c>
      <c r="R3750" s="3">
        <f>L3750-Q3750</f>
        <v>27.5</v>
      </c>
      <c r="S3750" s="2">
        <f>NETWORKDAYS(B3750,C3750)-1</f>
        <v>4</v>
      </c>
      <c r="T3750" s="1">
        <f>WORKDAY(B3750,5)</f>
        <v>45708</v>
      </c>
      <c r="U3750" t="b">
        <f>C3750&gt;T3750</f>
        <v>0</v>
      </c>
    </row>
    <row r="3751" spans="1:21" x14ac:dyDescent="0.25">
      <c r="A3751" t="s">
        <v>2213</v>
      </c>
      <c r="B3751" s="1">
        <v>45701</v>
      </c>
      <c r="C3751" s="1">
        <v>45705</v>
      </c>
      <c r="D3751" t="s">
        <v>2214</v>
      </c>
      <c r="E3751" t="s">
        <v>82</v>
      </c>
      <c r="F3751" t="s">
        <v>39</v>
      </c>
      <c r="G3751" t="s">
        <v>131</v>
      </c>
      <c r="H3751" t="s">
        <v>51</v>
      </c>
      <c r="I3751" s="2">
        <v>1</v>
      </c>
      <c r="J3751" s="3">
        <v>180</v>
      </c>
      <c r="K3751" s="4">
        <v>0</v>
      </c>
      <c r="L3751" s="3">
        <v>180</v>
      </c>
      <c r="M3751" t="b">
        <v>1</v>
      </c>
      <c r="N3751" s="2">
        <f>YEAR(B3751)</f>
        <v>2025</v>
      </c>
      <c r="O3751" t="str">
        <f>INDEX(Agences!$C:$C,MATCH(F3751,Agences!$A:$A,0))</f>
        <v>Sud-Ouest</v>
      </c>
      <c r="P3751" t="str">
        <f>INDEX(Produits!$C:$C,MATCH(H3751,Produits!$A:$A,0))</f>
        <v>Maintenance</v>
      </c>
      <c r="Q3751" s="3">
        <f>I3751*INDEX(Produits!$E:$E,MATCH(H3751,Produits!$A:$A,0))</f>
        <v>82.8</v>
      </c>
      <c r="R3751" s="3">
        <f>L3751-Q3751</f>
        <v>97.2</v>
      </c>
      <c r="S3751" s="2">
        <f>NETWORKDAYS(B3751,C3751)-1</f>
        <v>2</v>
      </c>
      <c r="T3751" s="1">
        <f>WORKDAY(B3751,5)</f>
        <v>45708</v>
      </c>
      <c r="U3751" t="b">
        <f>C3751&gt;T3751</f>
        <v>0</v>
      </c>
    </row>
    <row r="3752" spans="1:21" x14ac:dyDescent="0.25">
      <c r="A3752" t="s">
        <v>2213</v>
      </c>
      <c r="B3752" s="1">
        <v>45701</v>
      </c>
      <c r="C3752" s="1">
        <v>45705</v>
      </c>
      <c r="D3752" t="s">
        <v>2214</v>
      </c>
      <c r="E3752" t="s">
        <v>82</v>
      </c>
      <c r="F3752" t="s">
        <v>39</v>
      </c>
      <c r="G3752" t="s">
        <v>131</v>
      </c>
      <c r="H3752" t="s">
        <v>27</v>
      </c>
      <c r="I3752" s="2">
        <v>1</v>
      </c>
      <c r="J3752" s="3">
        <v>310</v>
      </c>
      <c r="K3752" s="4">
        <v>0.08</v>
      </c>
      <c r="L3752" s="3">
        <v>285.2</v>
      </c>
      <c r="M3752" t="b">
        <v>1</v>
      </c>
      <c r="N3752" s="2">
        <f>YEAR(B3752)</f>
        <v>2025</v>
      </c>
      <c r="O3752" t="str">
        <f>INDEX(Agences!$C:$C,MATCH(F3752,Agences!$A:$A,0))</f>
        <v>Sud-Ouest</v>
      </c>
      <c r="P3752" t="str">
        <f>INDEX(Produits!$C:$C,MATCH(H3752,Produits!$A:$A,0))</f>
        <v>Mobilier</v>
      </c>
      <c r="Q3752" s="3">
        <f>I3752*INDEX(Produits!$E:$E,MATCH(H3752,Produits!$A:$A,0))</f>
        <v>186</v>
      </c>
      <c r="R3752" s="3">
        <f>L3752-Q3752</f>
        <v>99.19999999999999</v>
      </c>
      <c r="S3752" s="2">
        <f>NETWORKDAYS(B3752,C3752)-1</f>
        <v>2</v>
      </c>
      <c r="T3752" s="1">
        <f>WORKDAY(B3752,5)</f>
        <v>45708</v>
      </c>
      <c r="U3752" t="b">
        <f>C3752&gt;T3752</f>
        <v>0</v>
      </c>
    </row>
    <row r="3753" spans="1:21" x14ac:dyDescent="0.25">
      <c r="A3753" t="s">
        <v>2213</v>
      </c>
      <c r="B3753" s="1">
        <v>45701</v>
      </c>
      <c r="C3753" s="1">
        <v>45705</v>
      </c>
      <c r="D3753" t="s">
        <v>2214</v>
      </c>
      <c r="E3753" t="s">
        <v>82</v>
      </c>
      <c r="F3753" t="s">
        <v>39</v>
      </c>
      <c r="G3753" t="s">
        <v>131</v>
      </c>
      <c r="H3753" t="s">
        <v>127</v>
      </c>
      <c r="I3753" s="2">
        <v>3</v>
      </c>
      <c r="J3753" s="3">
        <v>649</v>
      </c>
      <c r="K3753" s="4">
        <v>0.05</v>
      </c>
      <c r="L3753" s="3">
        <v>1849.65</v>
      </c>
      <c r="M3753" t="b">
        <v>1</v>
      </c>
      <c r="N3753" s="2">
        <f>YEAR(B3753)</f>
        <v>2025</v>
      </c>
      <c r="O3753" t="str">
        <f>INDEX(Agences!$C:$C,MATCH(F3753,Agences!$A:$A,0))</f>
        <v>Sud-Ouest</v>
      </c>
      <c r="P3753" t="str">
        <f>INDEX(Produits!$C:$C,MATCH(H3753,Produits!$A:$A,0))</f>
        <v>Informatique</v>
      </c>
      <c r="Q3753" s="3">
        <f>I3753*INDEX(Produits!$E:$E,MATCH(H3753,Produits!$A:$A,0))</f>
        <v>1440.78</v>
      </c>
      <c r="R3753" s="3">
        <f>L3753-Q3753</f>
        <v>408.8700000000001</v>
      </c>
      <c r="S3753" s="2">
        <f>NETWORKDAYS(B3753,C3753)-1</f>
        <v>2</v>
      </c>
      <c r="T3753" s="1">
        <f>WORKDAY(B3753,5)</f>
        <v>45708</v>
      </c>
      <c r="U3753" t="b">
        <f>C3753&gt;T3753</f>
        <v>0</v>
      </c>
    </row>
    <row r="3754" spans="1:21" x14ac:dyDescent="0.25">
      <c r="A3754" t="s">
        <v>2213</v>
      </c>
      <c r="B3754" s="1">
        <v>45701</v>
      </c>
      <c r="C3754" s="1">
        <v>45705</v>
      </c>
      <c r="D3754" t="s">
        <v>2214</v>
      </c>
      <c r="E3754" t="s">
        <v>82</v>
      </c>
      <c r="F3754" t="s">
        <v>39</v>
      </c>
      <c r="G3754" t="s">
        <v>131</v>
      </c>
      <c r="H3754" t="s">
        <v>49</v>
      </c>
      <c r="I3754" s="2">
        <v>1</v>
      </c>
      <c r="J3754" s="3">
        <v>120</v>
      </c>
      <c r="K3754" s="4">
        <v>0</v>
      </c>
      <c r="L3754" s="3">
        <v>120</v>
      </c>
      <c r="M3754" t="b">
        <v>1</v>
      </c>
      <c r="N3754" s="2">
        <f>YEAR(B3754)</f>
        <v>2025</v>
      </c>
      <c r="O3754" t="str">
        <f>INDEX(Agences!$C:$C,MATCH(F3754,Agences!$A:$A,0))</f>
        <v>Sud-Ouest</v>
      </c>
      <c r="P3754" t="str">
        <f>INDEX(Produits!$C:$C,MATCH(H3754,Produits!$A:$A,0))</f>
        <v>Maintenance</v>
      </c>
      <c r="Q3754" s="3">
        <f>I3754*INDEX(Produits!$E:$E,MATCH(H3754,Produits!$A:$A,0))</f>
        <v>55.2</v>
      </c>
      <c r="R3754" s="3">
        <f>L3754-Q3754</f>
        <v>64.8</v>
      </c>
      <c r="S3754" s="2">
        <f>NETWORKDAYS(B3754,C3754)-1</f>
        <v>2</v>
      </c>
      <c r="T3754" s="1">
        <f>WORKDAY(B3754,5)</f>
        <v>45708</v>
      </c>
      <c r="U3754" t="b">
        <f>C3754&gt;T3754</f>
        <v>0</v>
      </c>
    </row>
    <row r="3755" spans="1:21" x14ac:dyDescent="0.25">
      <c r="A3755" t="s">
        <v>2213</v>
      </c>
      <c r="B3755" s="1">
        <v>45701</v>
      </c>
      <c r="C3755" s="1">
        <v>45705</v>
      </c>
      <c r="D3755" t="s">
        <v>2214</v>
      </c>
      <c r="E3755" t="s">
        <v>82</v>
      </c>
      <c r="F3755" t="s">
        <v>39</v>
      </c>
      <c r="G3755" t="s">
        <v>131</v>
      </c>
      <c r="H3755" t="s">
        <v>83</v>
      </c>
      <c r="I3755" s="2">
        <v>1</v>
      </c>
      <c r="J3755" s="3">
        <v>49</v>
      </c>
      <c r="K3755" s="4">
        <v>0</v>
      </c>
      <c r="L3755" s="3">
        <v>49</v>
      </c>
      <c r="M3755" t="b">
        <v>1</v>
      </c>
      <c r="N3755" s="2">
        <f>YEAR(B3755)</f>
        <v>2025</v>
      </c>
      <c r="O3755" t="str">
        <f>INDEX(Agences!$C:$C,MATCH(F3755,Agences!$A:$A,0))</f>
        <v>Sud-Ouest</v>
      </c>
      <c r="P3755" t="str">
        <f>INDEX(Produits!$C:$C,MATCH(H3755,Produits!$A:$A,0))</f>
        <v>Mobilier</v>
      </c>
      <c r="Q3755" s="3">
        <f>I3755*INDEX(Produits!$E:$E,MATCH(H3755,Produits!$A:$A,0))</f>
        <v>28.42</v>
      </c>
      <c r="R3755" s="3">
        <f>L3755-Q3755</f>
        <v>20.58</v>
      </c>
      <c r="S3755" s="2">
        <f>NETWORKDAYS(B3755,C3755)-1</f>
        <v>2</v>
      </c>
      <c r="T3755" s="1">
        <f>WORKDAY(B3755,5)</f>
        <v>45708</v>
      </c>
      <c r="U3755" t="b">
        <f>C3755&gt;T3755</f>
        <v>0</v>
      </c>
    </row>
    <row r="3756" spans="1:21" x14ac:dyDescent="0.25">
      <c r="A3756" t="s">
        <v>2215</v>
      </c>
      <c r="B3756" s="1">
        <v>45701</v>
      </c>
      <c r="C3756" s="1">
        <v>45705</v>
      </c>
      <c r="D3756" t="s">
        <v>1305</v>
      </c>
      <c r="E3756" t="s">
        <v>236</v>
      </c>
      <c r="F3756" t="s">
        <v>39</v>
      </c>
      <c r="G3756" t="s">
        <v>40</v>
      </c>
      <c r="H3756" t="s">
        <v>108</v>
      </c>
      <c r="I3756" s="2">
        <v>5</v>
      </c>
      <c r="J3756" s="3">
        <v>24.5</v>
      </c>
      <c r="K3756" s="4">
        <v>0.02</v>
      </c>
      <c r="L3756" s="3">
        <v>120.05</v>
      </c>
      <c r="M3756" t="b">
        <v>1</v>
      </c>
      <c r="N3756" s="2">
        <f>YEAR(B3756)</f>
        <v>2025</v>
      </c>
      <c r="O3756" t="str">
        <f>INDEX(Agences!$C:$C,MATCH(F3756,Agences!$A:$A,0))</f>
        <v>Sud-Ouest</v>
      </c>
      <c r="P3756" t="str">
        <f>INDEX(Produits!$C:$C,MATCH(H3756,Produits!$A:$A,0))</f>
        <v>Fournitures</v>
      </c>
      <c r="Q3756" s="3">
        <f>I3756*INDEX(Produits!$E:$E,MATCH(H3756,Produits!$A:$A,0))</f>
        <v>73.5</v>
      </c>
      <c r="R3756" s="3">
        <f>L3756-Q3756</f>
        <v>46.55</v>
      </c>
      <c r="S3756" s="2">
        <f>NETWORKDAYS(B3756,C3756)-1</f>
        <v>2</v>
      </c>
      <c r="T3756" s="1">
        <f>WORKDAY(B3756,5)</f>
        <v>45708</v>
      </c>
      <c r="U3756" t="b">
        <f>C3756&gt;T3756</f>
        <v>0</v>
      </c>
    </row>
    <row r="3757" spans="1:21" x14ac:dyDescent="0.25">
      <c r="A3757" t="s">
        <v>2216</v>
      </c>
      <c r="B3757" s="1">
        <v>45701</v>
      </c>
      <c r="C3757" s="1">
        <v>45708</v>
      </c>
      <c r="D3757" t="s">
        <v>2217</v>
      </c>
      <c r="E3757" t="s">
        <v>87</v>
      </c>
      <c r="F3757" t="s">
        <v>88</v>
      </c>
      <c r="G3757" t="s">
        <v>142</v>
      </c>
      <c r="H3757" t="s">
        <v>50</v>
      </c>
      <c r="I3757" s="2">
        <v>2</v>
      </c>
      <c r="J3757" s="3">
        <v>69</v>
      </c>
      <c r="K3757" s="4">
        <v>0</v>
      </c>
      <c r="L3757" s="3">
        <v>138</v>
      </c>
      <c r="M3757" t="b">
        <v>1</v>
      </c>
      <c r="N3757" s="2">
        <f>YEAR(B3757)</f>
        <v>2025</v>
      </c>
      <c r="O3757" t="str">
        <f>INDEX(Agences!$C:$C,MATCH(F3757,Agences!$A:$A,0))</f>
        <v>Sud-Ouest</v>
      </c>
      <c r="P3757" t="str">
        <f>INDEX(Produits!$C:$C,MATCH(H3757,Produits!$A:$A,0))</f>
        <v>Informatique</v>
      </c>
      <c r="Q3757" s="3">
        <f>I3757*INDEX(Produits!$E:$E,MATCH(H3757,Produits!$A:$A,0))</f>
        <v>109.02</v>
      </c>
      <c r="R3757" s="3">
        <f>L3757-Q3757</f>
        <v>28.980000000000004</v>
      </c>
      <c r="S3757" s="2">
        <f>NETWORKDAYS(B3757,C3757)-1</f>
        <v>5</v>
      </c>
      <c r="T3757" s="1">
        <f>WORKDAY(B3757,5)</f>
        <v>45708</v>
      </c>
      <c r="U3757" t="b">
        <f>C3757&gt;T3757</f>
        <v>0</v>
      </c>
    </row>
    <row r="3758" spans="1:21" x14ac:dyDescent="0.25">
      <c r="A3758" t="s">
        <v>2216</v>
      </c>
      <c r="B3758" s="1">
        <v>45701</v>
      </c>
      <c r="C3758" s="1">
        <v>45708</v>
      </c>
      <c r="D3758" t="s">
        <v>2217</v>
      </c>
      <c r="E3758" t="s">
        <v>87</v>
      </c>
      <c r="F3758" t="s">
        <v>88</v>
      </c>
      <c r="G3758" t="s">
        <v>142</v>
      </c>
      <c r="H3758" t="s">
        <v>217</v>
      </c>
      <c r="I3758" s="2">
        <v>1</v>
      </c>
      <c r="J3758" s="3">
        <v>1090</v>
      </c>
      <c r="K3758" s="4">
        <v>0.08</v>
      </c>
      <c r="L3758" s="3">
        <v>1002.8</v>
      </c>
      <c r="M3758" t="b">
        <v>1</v>
      </c>
      <c r="N3758" s="2">
        <f>YEAR(B3758)</f>
        <v>2025</v>
      </c>
      <c r="O3758" t="str">
        <f>INDEX(Agences!$C:$C,MATCH(F3758,Agences!$A:$A,0))</f>
        <v>Sud-Ouest</v>
      </c>
      <c r="P3758" t="str">
        <f>INDEX(Produits!$C:$C,MATCH(H3758,Produits!$A:$A,0))</f>
        <v>Informatique</v>
      </c>
      <c r="Q3758" s="3">
        <f>I3758*INDEX(Produits!$E:$E,MATCH(H3758,Produits!$A:$A,0))</f>
        <v>817.5</v>
      </c>
      <c r="R3758" s="3">
        <f>L3758-Q3758</f>
        <v>185.29999999999995</v>
      </c>
      <c r="S3758" s="2">
        <f>NETWORKDAYS(B3758,C3758)-1</f>
        <v>5</v>
      </c>
      <c r="T3758" s="1">
        <f>WORKDAY(B3758,5)</f>
        <v>45708</v>
      </c>
      <c r="U3758" t="b">
        <f>C3758&gt;T3758</f>
        <v>0</v>
      </c>
    </row>
    <row r="3759" spans="1:21" x14ac:dyDescent="0.25">
      <c r="A3759" t="s">
        <v>2216</v>
      </c>
      <c r="B3759" s="1">
        <v>45701</v>
      </c>
      <c r="C3759" s="1">
        <v>45708</v>
      </c>
      <c r="D3759" t="s">
        <v>2217</v>
      </c>
      <c r="E3759" t="s">
        <v>87</v>
      </c>
      <c r="F3759" t="s">
        <v>88</v>
      </c>
      <c r="G3759" t="s">
        <v>142</v>
      </c>
      <c r="H3759" t="s">
        <v>49</v>
      </c>
      <c r="I3759" s="2">
        <v>2</v>
      </c>
      <c r="J3759" s="3">
        <v>120</v>
      </c>
      <c r="K3759" s="4">
        <v>0.02</v>
      </c>
      <c r="L3759" s="3">
        <v>235.2</v>
      </c>
      <c r="M3759" t="b">
        <v>1</v>
      </c>
      <c r="N3759" s="2">
        <f>YEAR(B3759)</f>
        <v>2025</v>
      </c>
      <c r="O3759" t="str">
        <f>INDEX(Agences!$C:$C,MATCH(F3759,Agences!$A:$A,0))</f>
        <v>Sud-Ouest</v>
      </c>
      <c r="P3759" t="str">
        <f>INDEX(Produits!$C:$C,MATCH(H3759,Produits!$A:$A,0))</f>
        <v>Maintenance</v>
      </c>
      <c r="Q3759" s="3">
        <f>I3759*INDEX(Produits!$E:$E,MATCH(H3759,Produits!$A:$A,0))</f>
        <v>110.4</v>
      </c>
      <c r="R3759" s="3">
        <f>L3759-Q3759</f>
        <v>124.79999999999998</v>
      </c>
      <c r="S3759" s="2">
        <f>NETWORKDAYS(B3759,C3759)-1</f>
        <v>5</v>
      </c>
      <c r="T3759" s="1">
        <f>WORKDAY(B3759,5)</f>
        <v>45708</v>
      </c>
      <c r="U3759" t="b">
        <f>C3759&gt;T3759</f>
        <v>0</v>
      </c>
    </row>
    <row r="3760" spans="1:21" x14ac:dyDescent="0.25">
      <c r="A3760" t="s">
        <v>2218</v>
      </c>
      <c r="B3760" s="1">
        <v>45701</v>
      </c>
      <c r="C3760" s="1">
        <v>45706</v>
      </c>
      <c r="D3760" t="s">
        <v>765</v>
      </c>
      <c r="E3760" t="s">
        <v>419</v>
      </c>
      <c r="F3760" t="s">
        <v>62</v>
      </c>
      <c r="G3760" t="s">
        <v>63</v>
      </c>
      <c r="H3760" t="s">
        <v>26</v>
      </c>
      <c r="I3760" s="2">
        <v>1</v>
      </c>
      <c r="J3760" s="3">
        <v>290</v>
      </c>
      <c r="K3760" s="4">
        <v>0.05</v>
      </c>
      <c r="L3760" s="3">
        <v>275.5</v>
      </c>
      <c r="M3760" t="b">
        <v>1</v>
      </c>
      <c r="N3760" s="2">
        <f>YEAR(B3760)</f>
        <v>2025</v>
      </c>
      <c r="O3760" t="str">
        <f>INDEX(Agences!$C:$C,MATCH(F3760,Agences!$A:$A,0))</f>
        <v>Méditerranée</v>
      </c>
      <c r="P3760" t="str">
        <f>INDEX(Produits!$C:$C,MATCH(H3760,Produits!$A:$A,0))</f>
        <v>Maintenance</v>
      </c>
      <c r="Q3760" s="3">
        <f>I3760*INDEX(Produits!$E:$E,MATCH(H3760,Produits!$A:$A,0))</f>
        <v>139.2</v>
      </c>
      <c r="R3760" s="3">
        <f>L3760-Q3760</f>
        <v>136.3</v>
      </c>
      <c r="S3760" s="2">
        <f>NETWORKDAYS(B3760,C3760)-1</f>
        <v>3</v>
      </c>
      <c r="T3760" s="1">
        <f>WORKDAY(B3760,5)</f>
        <v>45708</v>
      </c>
      <c r="U3760" t="b">
        <f>C3760&gt;T3760</f>
        <v>0</v>
      </c>
    </row>
    <row r="3761" spans="1:21" x14ac:dyDescent="0.25">
      <c r="A3761" t="s">
        <v>2219</v>
      </c>
      <c r="B3761" s="1">
        <v>45700</v>
      </c>
      <c r="C3761" s="1">
        <v>45702</v>
      </c>
      <c r="D3761" t="s">
        <v>2220</v>
      </c>
      <c r="E3761" t="s">
        <v>172</v>
      </c>
      <c r="F3761" t="s">
        <v>99</v>
      </c>
      <c r="G3761" t="s">
        <v>265</v>
      </c>
      <c r="H3761" t="s">
        <v>107</v>
      </c>
      <c r="I3761" s="2">
        <v>1</v>
      </c>
      <c r="J3761" s="3">
        <v>99</v>
      </c>
      <c r="K3761" s="4">
        <v>0</v>
      </c>
      <c r="L3761" s="3">
        <v>99</v>
      </c>
      <c r="M3761" t="b">
        <v>1</v>
      </c>
      <c r="N3761" s="2">
        <f>YEAR(B3761)</f>
        <v>2025</v>
      </c>
      <c r="O3761" t="str">
        <f>INDEX(Agences!$C:$C,MATCH(F3761,Agences!$A:$A,0))</f>
        <v>Nord</v>
      </c>
      <c r="P3761" t="str">
        <f>INDEX(Produits!$C:$C,MATCH(H3761,Produits!$A:$A,0))</f>
        <v>Informatique</v>
      </c>
      <c r="Q3761" s="3">
        <f>I3761*INDEX(Produits!$E:$E,MATCH(H3761,Produits!$A:$A,0))</f>
        <v>75.24</v>
      </c>
      <c r="R3761" s="3">
        <f>L3761-Q3761</f>
        <v>23.760000000000005</v>
      </c>
      <c r="S3761" s="2">
        <f>NETWORKDAYS(B3761,C3761)-1</f>
        <v>2</v>
      </c>
      <c r="T3761" s="1">
        <f>WORKDAY(B3761,5)</f>
        <v>45707</v>
      </c>
      <c r="U3761" t="b">
        <f>C3761&gt;T3761</f>
        <v>0</v>
      </c>
    </row>
    <row r="3762" spans="1:21" x14ac:dyDescent="0.25">
      <c r="A3762" t="s">
        <v>2219</v>
      </c>
      <c r="B3762" s="1">
        <v>45700</v>
      </c>
      <c r="C3762" s="1">
        <v>45702</v>
      </c>
      <c r="D3762" t="s">
        <v>2220</v>
      </c>
      <c r="E3762" t="s">
        <v>172</v>
      </c>
      <c r="F3762" t="s">
        <v>99</v>
      </c>
      <c r="G3762" t="s">
        <v>265</v>
      </c>
      <c r="H3762" t="s">
        <v>51</v>
      </c>
      <c r="I3762" s="2">
        <v>1</v>
      </c>
      <c r="J3762" s="3">
        <v>180</v>
      </c>
      <c r="K3762" s="4">
        <v>0</v>
      </c>
      <c r="L3762" s="3">
        <v>180</v>
      </c>
      <c r="M3762" t="b">
        <v>1</v>
      </c>
      <c r="N3762" s="2">
        <f>YEAR(B3762)</f>
        <v>2025</v>
      </c>
      <c r="O3762" t="str">
        <f>INDEX(Agences!$C:$C,MATCH(F3762,Agences!$A:$A,0))</f>
        <v>Nord</v>
      </c>
      <c r="P3762" t="str">
        <f>INDEX(Produits!$C:$C,MATCH(H3762,Produits!$A:$A,0))</f>
        <v>Maintenance</v>
      </c>
      <c r="Q3762" s="3">
        <f>I3762*INDEX(Produits!$E:$E,MATCH(H3762,Produits!$A:$A,0))</f>
        <v>82.8</v>
      </c>
      <c r="R3762" s="3">
        <f>L3762-Q3762</f>
        <v>97.2</v>
      </c>
      <c r="S3762" s="2">
        <f>NETWORKDAYS(B3762,C3762)-1</f>
        <v>2</v>
      </c>
      <c r="T3762" s="1">
        <f>WORKDAY(B3762,5)</f>
        <v>45707</v>
      </c>
      <c r="U3762" t="b">
        <f>C3762&gt;T3762</f>
        <v>0</v>
      </c>
    </row>
    <row r="3763" spans="1:21" x14ac:dyDescent="0.25">
      <c r="A3763" t="s">
        <v>2221</v>
      </c>
      <c r="B3763" s="1">
        <v>45700</v>
      </c>
      <c r="C3763" s="1">
        <v>45706</v>
      </c>
      <c r="D3763" t="s">
        <v>511</v>
      </c>
      <c r="E3763" t="s">
        <v>242</v>
      </c>
      <c r="F3763" t="s">
        <v>94</v>
      </c>
      <c r="G3763" t="s">
        <v>182</v>
      </c>
      <c r="H3763" t="s">
        <v>83</v>
      </c>
      <c r="I3763" s="2">
        <v>3</v>
      </c>
      <c r="J3763" s="3">
        <v>49</v>
      </c>
      <c r="K3763" s="4">
        <v>0</v>
      </c>
      <c r="L3763" s="3">
        <v>147</v>
      </c>
      <c r="M3763" t="b">
        <v>1</v>
      </c>
      <c r="N3763" s="2">
        <f>YEAR(B3763)</f>
        <v>2025</v>
      </c>
      <c r="O3763" t="str">
        <f>INDEX(Agences!$C:$C,MATCH(F3763,Agences!$A:$A,0))</f>
        <v>Méditerranée</v>
      </c>
      <c r="P3763" t="str">
        <f>INDEX(Produits!$C:$C,MATCH(H3763,Produits!$A:$A,0))</f>
        <v>Mobilier</v>
      </c>
      <c r="Q3763" s="3">
        <f>I3763*INDEX(Produits!$E:$E,MATCH(H3763,Produits!$A:$A,0))</f>
        <v>85.26</v>
      </c>
      <c r="R3763" s="3">
        <f>L3763-Q3763</f>
        <v>61.739999999999995</v>
      </c>
      <c r="S3763" s="2">
        <f>NETWORKDAYS(B3763,C3763)-1</f>
        <v>4</v>
      </c>
      <c r="T3763" s="1">
        <f>WORKDAY(B3763,5)</f>
        <v>45707</v>
      </c>
      <c r="U3763" t="b">
        <f>C3763&gt;T3763</f>
        <v>0</v>
      </c>
    </row>
    <row r="3764" spans="1:21" x14ac:dyDescent="0.25">
      <c r="A3764" t="s">
        <v>2222</v>
      </c>
      <c r="B3764" s="1">
        <v>45700</v>
      </c>
      <c r="C3764" s="1">
        <v>45707</v>
      </c>
      <c r="D3764" t="s">
        <v>467</v>
      </c>
      <c r="E3764" t="s">
        <v>157</v>
      </c>
      <c r="F3764" t="s">
        <v>46</v>
      </c>
      <c r="G3764" t="s">
        <v>47</v>
      </c>
      <c r="H3764" t="s">
        <v>108</v>
      </c>
      <c r="I3764" s="2">
        <v>5</v>
      </c>
      <c r="J3764" s="3">
        <v>24.5</v>
      </c>
      <c r="K3764" s="4">
        <v>0</v>
      </c>
      <c r="L3764" s="3">
        <v>122.5</v>
      </c>
      <c r="M3764" t="b">
        <v>1</v>
      </c>
      <c r="N3764" s="2">
        <f>YEAR(B3764)</f>
        <v>2025</v>
      </c>
      <c r="O3764" t="str">
        <f>INDEX(Agences!$C:$C,MATCH(F3764,Agences!$A:$A,0))</f>
        <v>Est</v>
      </c>
      <c r="P3764" t="str">
        <f>INDEX(Produits!$C:$C,MATCH(H3764,Produits!$A:$A,0))</f>
        <v>Fournitures</v>
      </c>
      <c r="Q3764" s="3">
        <f>I3764*INDEX(Produits!$E:$E,MATCH(H3764,Produits!$A:$A,0))</f>
        <v>73.5</v>
      </c>
      <c r="R3764" s="3">
        <f>L3764-Q3764</f>
        <v>49</v>
      </c>
      <c r="S3764" s="2">
        <f>NETWORKDAYS(B3764,C3764)-1</f>
        <v>5</v>
      </c>
      <c r="T3764" s="1">
        <f>WORKDAY(B3764,5)</f>
        <v>45707</v>
      </c>
      <c r="U3764" t="b">
        <f>C3764&gt;T3764</f>
        <v>0</v>
      </c>
    </row>
    <row r="3765" spans="1:21" x14ac:dyDescent="0.25">
      <c r="A3765" t="s">
        <v>2222</v>
      </c>
      <c r="B3765" s="1">
        <v>45700</v>
      </c>
      <c r="C3765" s="1">
        <v>45707</v>
      </c>
      <c r="D3765" t="s">
        <v>467</v>
      </c>
      <c r="E3765" t="s">
        <v>157</v>
      </c>
      <c r="F3765" t="s">
        <v>46</v>
      </c>
      <c r="G3765" t="s">
        <v>47</v>
      </c>
      <c r="H3765" t="s">
        <v>127</v>
      </c>
      <c r="I3765" s="2">
        <v>2</v>
      </c>
      <c r="J3765" s="3">
        <v>649</v>
      </c>
      <c r="K3765" s="4">
        <v>0.1</v>
      </c>
      <c r="L3765" s="3">
        <v>1168.2</v>
      </c>
      <c r="M3765" t="b">
        <v>1</v>
      </c>
      <c r="N3765" s="2">
        <f>YEAR(B3765)</f>
        <v>2025</v>
      </c>
      <c r="O3765" t="str">
        <f>INDEX(Agences!$C:$C,MATCH(F3765,Agences!$A:$A,0))</f>
        <v>Est</v>
      </c>
      <c r="P3765" t="str">
        <f>INDEX(Produits!$C:$C,MATCH(H3765,Produits!$A:$A,0))</f>
        <v>Informatique</v>
      </c>
      <c r="Q3765" s="3">
        <f>I3765*INDEX(Produits!$E:$E,MATCH(H3765,Produits!$A:$A,0))</f>
        <v>960.52</v>
      </c>
      <c r="R3765" s="3">
        <f>L3765-Q3765</f>
        <v>207.68000000000006</v>
      </c>
      <c r="S3765" s="2">
        <f>NETWORKDAYS(B3765,C3765)-1</f>
        <v>5</v>
      </c>
      <c r="T3765" s="1">
        <f>WORKDAY(B3765,5)</f>
        <v>45707</v>
      </c>
      <c r="U3765" t="b">
        <f>C3765&gt;T3765</f>
        <v>0</v>
      </c>
    </row>
    <row r="3766" spans="1:21" x14ac:dyDescent="0.25">
      <c r="A3766" t="s">
        <v>2223</v>
      </c>
      <c r="B3766" s="1">
        <v>45699</v>
      </c>
      <c r="C3766" s="1">
        <v>45702</v>
      </c>
      <c r="D3766" t="s">
        <v>401</v>
      </c>
      <c r="E3766" t="s">
        <v>175</v>
      </c>
      <c r="F3766" t="s">
        <v>76</v>
      </c>
      <c r="G3766" t="s">
        <v>232</v>
      </c>
      <c r="H3766" t="s">
        <v>51</v>
      </c>
      <c r="I3766" s="2">
        <v>1</v>
      </c>
      <c r="J3766" s="3">
        <v>180</v>
      </c>
      <c r="K3766" s="4">
        <v>0.02</v>
      </c>
      <c r="L3766" s="3">
        <v>176.4</v>
      </c>
      <c r="M3766" t="b">
        <v>1</v>
      </c>
      <c r="N3766" s="2">
        <f>YEAR(B3766)</f>
        <v>2025</v>
      </c>
      <c r="O3766" t="str">
        <f>INDEX(Agences!$C:$C,MATCH(F3766,Agences!$A:$A,0))</f>
        <v>Île-de-France</v>
      </c>
      <c r="P3766" t="str">
        <f>INDEX(Produits!$C:$C,MATCH(H3766,Produits!$A:$A,0))</f>
        <v>Maintenance</v>
      </c>
      <c r="Q3766" s="3">
        <f>I3766*INDEX(Produits!$E:$E,MATCH(H3766,Produits!$A:$A,0))</f>
        <v>82.8</v>
      </c>
      <c r="R3766" s="3">
        <f>L3766-Q3766</f>
        <v>93.60000000000001</v>
      </c>
      <c r="S3766" s="2">
        <f>NETWORKDAYS(B3766,C3766)-1</f>
        <v>3</v>
      </c>
      <c r="T3766" s="1">
        <f>WORKDAY(B3766,5)</f>
        <v>45706</v>
      </c>
      <c r="U3766" t="b">
        <f>C3766&gt;T3766</f>
        <v>0</v>
      </c>
    </row>
    <row r="3767" spans="1:21" x14ac:dyDescent="0.25">
      <c r="A3767" t="s">
        <v>2224</v>
      </c>
      <c r="B3767" s="1">
        <v>45699</v>
      </c>
      <c r="C3767" s="1">
        <v>45701</v>
      </c>
      <c r="D3767" t="s">
        <v>134</v>
      </c>
      <c r="E3767" t="s">
        <v>45</v>
      </c>
      <c r="F3767" t="s">
        <v>46</v>
      </c>
      <c r="G3767" t="s">
        <v>158</v>
      </c>
      <c r="H3767" t="s">
        <v>83</v>
      </c>
      <c r="I3767" s="2">
        <v>1</v>
      </c>
      <c r="J3767" s="3">
        <v>49</v>
      </c>
      <c r="K3767" s="4">
        <v>0</v>
      </c>
      <c r="L3767" s="3">
        <v>49</v>
      </c>
      <c r="M3767" t="b">
        <v>1</v>
      </c>
      <c r="N3767" s="2">
        <f>YEAR(B3767)</f>
        <v>2025</v>
      </c>
      <c r="O3767" t="str">
        <f>INDEX(Agences!$C:$C,MATCH(F3767,Agences!$A:$A,0))</f>
        <v>Est</v>
      </c>
      <c r="P3767" t="str">
        <f>INDEX(Produits!$C:$C,MATCH(H3767,Produits!$A:$A,0))</f>
        <v>Mobilier</v>
      </c>
      <c r="Q3767" s="3">
        <f>I3767*INDEX(Produits!$E:$E,MATCH(H3767,Produits!$A:$A,0))</f>
        <v>28.42</v>
      </c>
      <c r="R3767" s="3">
        <f>L3767-Q3767</f>
        <v>20.58</v>
      </c>
      <c r="S3767" s="2">
        <f>NETWORKDAYS(B3767,C3767)-1</f>
        <v>2</v>
      </c>
      <c r="T3767" s="1">
        <f>WORKDAY(B3767,5)</f>
        <v>45706</v>
      </c>
      <c r="U3767" t="b">
        <f>C3767&gt;T3767</f>
        <v>0</v>
      </c>
    </row>
    <row r="3768" spans="1:21" x14ac:dyDescent="0.25">
      <c r="A3768" t="s">
        <v>2224</v>
      </c>
      <c r="B3768" s="1">
        <v>45699</v>
      </c>
      <c r="C3768" s="1">
        <v>45701</v>
      </c>
      <c r="D3768" t="s">
        <v>134</v>
      </c>
      <c r="E3768" t="s">
        <v>45</v>
      </c>
      <c r="F3768" t="s">
        <v>46</v>
      </c>
      <c r="G3768" t="s">
        <v>158</v>
      </c>
      <c r="H3768" t="s">
        <v>42</v>
      </c>
      <c r="I3768" s="2">
        <v>1</v>
      </c>
      <c r="J3768" s="3">
        <v>55</v>
      </c>
      <c r="K3768" s="4">
        <v>0.02</v>
      </c>
      <c r="L3768" s="3">
        <v>53.9</v>
      </c>
      <c r="M3768" t="b">
        <v>1</v>
      </c>
      <c r="N3768" s="2">
        <f>YEAR(B3768)</f>
        <v>2025</v>
      </c>
      <c r="O3768" t="str">
        <f>INDEX(Agences!$C:$C,MATCH(F3768,Agences!$A:$A,0))</f>
        <v>Est</v>
      </c>
      <c r="P3768" t="str">
        <f>INDEX(Produits!$C:$C,MATCH(H3768,Produits!$A:$A,0))</f>
        <v>Maintenance</v>
      </c>
      <c r="Q3768" s="3">
        <f>I3768*INDEX(Produits!$E:$E,MATCH(H3768,Produits!$A:$A,0))</f>
        <v>24.75</v>
      </c>
      <c r="R3768" s="3">
        <f>L3768-Q3768</f>
        <v>29.15</v>
      </c>
      <c r="S3768" s="2">
        <f>NETWORKDAYS(B3768,C3768)-1</f>
        <v>2</v>
      </c>
      <c r="T3768" s="1">
        <f>WORKDAY(B3768,5)</f>
        <v>45706</v>
      </c>
      <c r="U3768" t="b">
        <f>C3768&gt;T3768</f>
        <v>0</v>
      </c>
    </row>
    <row r="3769" spans="1:21" x14ac:dyDescent="0.25">
      <c r="A3769" t="s">
        <v>2224</v>
      </c>
      <c r="B3769" s="1">
        <v>45699</v>
      </c>
      <c r="C3769" s="1">
        <v>45701</v>
      </c>
      <c r="D3769" t="s">
        <v>134</v>
      </c>
      <c r="E3769" t="s">
        <v>45</v>
      </c>
      <c r="F3769" t="s">
        <v>46</v>
      </c>
      <c r="G3769" t="s">
        <v>158</v>
      </c>
      <c r="H3769" t="s">
        <v>58</v>
      </c>
      <c r="I3769" s="2">
        <v>1</v>
      </c>
      <c r="J3769" s="3">
        <v>649</v>
      </c>
      <c r="K3769" s="4">
        <v>0.02</v>
      </c>
      <c r="L3769" s="3">
        <v>636.02</v>
      </c>
      <c r="M3769" t="b">
        <v>1</v>
      </c>
      <c r="N3769" s="2">
        <f>YEAR(B3769)</f>
        <v>2025</v>
      </c>
      <c r="O3769" t="str">
        <f>INDEX(Agences!$C:$C,MATCH(F3769,Agences!$A:$A,0))</f>
        <v>Est</v>
      </c>
      <c r="P3769" t="str">
        <f>INDEX(Produits!$C:$C,MATCH(H3769,Produits!$A:$A,0))</f>
        <v>Mobilier</v>
      </c>
      <c r="Q3769" s="3">
        <f>I3769*INDEX(Produits!$E:$E,MATCH(H3769,Produits!$A:$A,0))</f>
        <v>408.87</v>
      </c>
      <c r="R3769" s="3">
        <f>L3769-Q3769</f>
        <v>227.14999999999998</v>
      </c>
      <c r="S3769" s="2">
        <f>NETWORKDAYS(B3769,C3769)-1</f>
        <v>2</v>
      </c>
      <c r="T3769" s="1">
        <f>WORKDAY(B3769,5)</f>
        <v>45706</v>
      </c>
      <c r="U3769" t="b">
        <f>C3769&gt;T3769</f>
        <v>0</v>
      </c>
    </row>
    <row r="3770" spans="1:21" x14ac:dyDescent="0.25">
      <c r="A3770" t="s">
        <v>2224</v>
      </c>
      <c r="B3770" s="1">
        <v>45699</v>
      </c>
      <c r="C3770" s="1">
        <v>45701</v>
      </c>
      <c r="D3770" t="s">
        <v>134</v>
      </c>
      <c r="E3770" t="s">
        <v>45</v>
      </c>
      <c r="F3770" t="s">
        <v>46</v>
      </c>
      <c r="G3770" t="s">
        <v>158</v>
      </c>
      <c r="H3770" t="s">
        <v>64</v>
      </c>
      <c r="I3770" s="2">
        <v>5</v>
      </c>
      <c r="J3770" s="3">
        <v>16.8</v>
      </c>
      <c r="K3770" s="4">
        <v>0</v>
      </c>
      <c r="L3770" s="3">
        <v>84</v>
      </c>
      <c r="M3770" t="b">
        <v>1</v>
      </c>
      <c r="N3770" s="2">
        <f>YEAR(B3770)</f>
        <v>2025</v>
      </c>
      <c r="O3770" t="str">
        <f>INDEX(Agences!$C:$C,MATCH(F3770,Agences!$A:$A,0))</f>
        <v>Est</v>
      </c>
      <c r="P3770" t="str">
        <f>INDEX(Produits!$C:$C,MATCH(H3770,Produits!$A:$A,0))</f>
        <v>Fournitures</v>
      </c>
      <c r="Q3770" s="3">
        <f>I3770*INDEX(Produits!$E:$E,MATCH(H3770,Produits!$A:$A,0))</f>
        <v>43.7</v>
      </c>
      <c r="R3770" s="3">
        <f>L3770-Q3770</f>
        <v>40.3</v>
      </c>
      <c r="S3770" s="2">
        <f>NETWORKDAYS(B3770,C3770)-1</f>
        <v>2</v>
      </c>
      <c r="T3770" s="1">
        <f>WORKDAY(B3770,5)</f>
        <v>45706</v>
      </c>
      <c r="U3770" t="b">
        <f>C3770&gt;T3770</f>
        <v>0</v>
      </c>
    </row>
    <row r="3771" spans="1:21" x14ac:dyDescent="0.25">
      <c r="A3771" t="s">
        <v>2225</v>
      </c>
      <c r="B3771" s="1">
        <v>45698</v>
      </c>
      <c r="C3771" s="1">
        <v>45701</v>
      </c>
      <c r="D3771" t="s">
        <v>1878</v>
      </c>
      <c r="E3771" t="s">
        <v>236</v>
      </c>
      <c r="F3771" t="s">
        <v>39</v>
      </c>
      <c r="G3771" t="s">
        <v>131</v>
      </c>
      <c r="H3771" t="s">
        <v>83</v>
      </c>
      <c r="I3771" s="2">
        <v>4</v>
      </c>
      <c r="J3771" s="3">
        <v>49</v>
      </c>
      <c r="K3771" s="4">
        <v>0</v>
      </c>
      <c r="L3771" s="3">
        <v>196</v>
      </c>
      <c r="M3771" t="b">
        <v>1</v>
      </c>
      <c r="N3771" s="2">
        <f>YEAR(B3771)</f>
        <v>2025</v>
      </c>
      <c r="O3771" t="str">
        <f>INDEX(Agences!$C:$C,MATCH(F3771,Agences!$A:$A,0))</f>
        <v>Sud-Ouest</v>
      </c>
      <c r="P3771" t="str">
        <f>INDEX(Produits!$C:$C,MATCH(H3771,Produits!$A:$A,0))</f>
        <v>Mobilier</v>
      </c>
      <c r="Q3771" s="3">
        <f>I3771*INDEX(Produits!$E:$E,MATCH(H3771,Produits!$A:$A,0))</f>
        <v>113.68</v>
      </c>
      <c r="R3771" s="3">
        <f>L3771-Q3771</f>
        <v>82.32</v>
      </c>
      <c r="S3771" s="2">
        <f>NETWORKDAYS(B3771,C3771)-1</f>
        <v>3</v>
      </c>
      <c r="T3771" s="1">
        <f>WORKDAY(B3771,5)</f>
        <v>45705</v>
      </c>
      <c r="U3771" t="b">
        <f>C3771&gt;T3771</f>
        <v>0</v>
      </c>
    </row>
    <row r="3772" spans="1:21" x14ac:dyDescent="0.25">
      <c r="A3772" t="s">
        <v>2226</v>
      </c>
      <c r="B3772" s="1">
        <v>45698</v>
      </c>
      <c r="C3772" s="1">
        <v>45702</v>
      </c>
      <c r="D3772" t="s">
        <v>1641</v>
      </c>
      <c r="E3772" t="s">
        <v>45</v>
      </c>
      <c r="F3772" t="s">
        <v>46</v>
      </c>
      <c r="G3772" t="s">
        <v>158</v>
      </c>
      <c r="H3772" t="s">
        <v>83</v>
      </c>
      <c r="I3772" s="2">
        <v>2</v>
      </c>
      <c r="J3772" s="3">
        <v>49</v>
      </c>
      <c r="K3772" s="4">
        <v>0</v>
      </c>
      <c r="L3772" s="3">
        <v>98</v>
      </c>
      <c r="M3772" t="b">
        <v>1</v>
      </c>
      <c r="N3772" s="2">
        <f>YEAR(B3772)</f>
        <v>2025</v>
      </c>
      <c r="O3772" t="str">
        <f>INDEX(Agences!$C:$C,MATCH(F3772,Agences!$A:$A,0))</f>
        <v>Est</v>
      </c>
      <c r="P3772" t="str">
        <f>INDEX(Produits!$C:$C,MATCH(H3772,Produits!$A:$A,0))</f>
        <v>Mobilier</v>
      </c>
      <c r="Q3772" s="3">
        <f>I3772*INDEX(Produits!$E:$E,MATCH(H3772,Produits!$A:$A,0))</f>
        <v>56.84</v>
      </c>
      <c r="R3772" s="3">
        <f>L3772-Q3772</f>
        <v>41.16</v>
      </c>
      <c r="S3772" s="2">
        <f>NETWORKDAYS(B3772,C3772)-1</f>
        <v>4</v>
      </c>
      <c r="T3772" s="1">
        <f>WORKDAY(B3772,5)</f>
        <v>45705</v>
      </c>
      <c r="U3772" t="b">
        <f>C3772&gt;T3772</f>
        <v>0</v>
      </c>
    </row>
    <row r="3773" spans="1:21" x14ac:dyDescent="0.25">
      <c r="A3773" t="s">
        <v>2227</v>
      </c>
      <c r="B3773" s="1">
        <v>45698</v>
      </c>
      <c r="C3773" s="1">
        <v>45699</v>
      </c>
      <c r="D3773" t="s">
        <v>395</v>
      </c>
      <c r="E3773" t="s">
        <v>229</v>
      </c>
      <c r="F3773" t="s">
        <v>55</v>
      </c>
      <c r="G3773" t="s">
        <v>195</v>
      </c>
      <c r="H3773" t="s">
        <v>42</v>
      </c>
      <c r="I3773" s="2">
        <v>1</v>
      </c>
      <c r="J3773" s="3">
        <v>55</v>
      </c>
      <c r="K3773" s="4">
        <v>0.1</v>
      </c>
      <c r="L3773" s="3">
        <v>49.5</v>
      </c>
      <c r="M3773" t="b">
        <v>1</v>
      </c>
      <c r="N3773" s="2">
        <f>YEAR(B3773)</f>
        <v>2025</v>
      </c>
      <c r="O3773" t="str">
        <f>INDEX(Agences!$C:$C,MATCH(F3773,Agences!$A:$A,0))</f>
        <v>Est</v>
      </c>
      <c r="P3773" t="str">
        <f>INDEX(Produits!$C:$C,MATCH(H3773,Produits!$A:$A,0))</f>
        <v>Maintenance</v>
      </c>
      <c r="Q3773" s="3">
        <f>I3773*INDEX(Produits!$E:$E,MATCH(H3773,Produits!$A:$A,0))</f>
        <v>24.75</v>
      </c>
      <c r="R3773" s="3">
        <f>L3773-Q3773</f>
        <v>24.75</v>
      </c>
      <c r="S3773" s="2">
        <f>NETWORKDAYS(B3773,C3773)-1</f>
        <v>1</v>
      </c>
      <c r="T3773" s="1">
        <f>WORKDAY(B3773,5)</f>
        <v>45705</v>
      </c>
      <c r="U3773" t="b">
        <f>C3773&gt;T3773</f>
        <v>0</v>
      </c>
    </row>
    <row r="3774" spans="1:21" x14ac:dyDescent="0.25">
      <c r="A3774" t="s">
        <v>2227</v>
      </c>
      <c r="B3774" s="1">
        <v>45698</v>
      </c>
      <c r="C3774" s="1">
        <v>45699</v>
      </c>
      <c r="D3774" t="s">
        <v>395</v>
      </c>
      <c r="E3774" t="s">
        <v>229</v>
      </c>
      <c r="F3774" t="s">
        <v>55</v>
      </c>
      <c r="G3774" t="s">
        <v>195</v>
      </c>
      <c r="H3774" t="s">
        <v>51</v>
      </c>
      <c r="I3774" s="2">
        <v>1</v>
      </c>
      <c r="J3774" s="3">
        <v>180</v>
      </c>
      <c r="K3774" s="4">
        <v>0</v>
      </c>
      <c r="L3774" s="3">
        <v>180</v>
      </c>
      <c r="M3774" t="b">
        <v>1</v>
      </c>
      <c r="N3774" s="2">
        <f>YEAR(B3774)</f>
        <v>2025</v>
      </c>
      <c r="O3774" t="str">
        <f>INDEX(Agences!$C:$C,MATCH(F3774,Agences!$A:$A,0))</f>
        <v>Est</v>
      </c>
      <c r="P3774" t="str">
        <f>INDEX(Produits!$C:$C,MATCH(H3774,Produits!$A:$A,0))</f>
        <v>Maintenance</v>
      </c>
      <c r="Q3774" s="3">
        <f>I3774*INDEX(Produits!$E:$E,MATCH(H3774,Produits!$A:$A,0))</f>
        <v>82.8</v>
      </c>
      <c r="R3774" s="3">
        <f>L3774-Q3774</f>
        <v>97.2</v>
      </c>
      <c r="S3774" s="2">
        <f>NETWORKDAYS(B3774,C3774)-1</f>
        <v>1</v>
      </c>
      <c r="T3774" s="1">
        <f>WORKDAY(B3774,5)</f>
        <v>45705</v>
      </c>
      <c r="U3774" t="b">
        <f>C3774&gt;T3774</f>
        <v>0</v>
      </c>
    </row>
    <row r="3775" spans="1:21" x14ac:dyDescent="0.25">
      <c r="A3775" t="s">
        <v>2227</v>
      </c>
      <c r="B3775" s="1">
        <v>45698</v>
      </c>
      <c r="C3775" s="1">
        <v>45699</v>
      </c>
      <c r="D3775" t="s">
        <v>395</v>
      </c>
      <c r="E3775" t="s">
        <v>229</v>
      </c>
      <c r="F3775" t="s">
        <v>55</v>
      </c>
      <c r="G3775" t="s">
        <v>195</v>
      </c>
      <c r="H3775" t="s">
        <v>127</v>
      </c>
      <c r="I3775" s="2">
        <v>2</v>
      </c>
      <c r="J3775" s="3">
        <v>649</v>
      </c>
      <c r="K3775" s="4">
        <v>0</v>
      </c>
      <c r="L3775" s="3">
        <v>1298</v>
      </c>
      <c r="M3775" t="b">
        <v>1</v>
      </c>
      <c r="N3775" s="2">
        <f>YEAR(B3775)</f>
        <v>2025</v>
      </c>
      <c r="O3775" t="str">
        <f>INDEX(Agences!$C:$C,MATCH(F3775,Agences!$A:$A,0))</f>
        <v>Est</v>
      </c>
      <c r="P3775" t="str">
        <f>INDEX(Produits!$C:$C,MATCH(H3775,Produits!$A:$A,0))</f>
        <v>Informatique</v>
      </c>
      <c r="Q3775" s="3">
        <f>I3775*INDEX(Produits!$E:$E,MATCH(H3775,Produits!$A:$A,0))</f>
        <v>960.52</v>
      </c>
      <c r="R3775" s="3">
        <f>L3775-Q3775</f>
        <v>337.48</v>
      </c>
      <c r="S3775" s="2">
        <f>NETWORKDAYS(B3775,C3775)-1</f>
        <v>1</v>
      </c>
      <c r="T3775" s="1">
        <f>WORKDAY(B3775,5)</f>
        <v>45705</v>
      </c>
      <c r="U3775" t="b">
        <f>C3775&gt;T3775</f>
        <v>0</v>
      </c>
    </row>
    <row r="3776" spans="1:21" x14ac:dyDescent="0.25">
      <c r="A3776" t="s">
        <v>2228</v>
      </c>
      <c r="B3776" s="1">
        <v>45695</v>
      </c>
      <c r="C3776" s="1">
        <v>45701</v>
      </c>
      <c r="D3776" t="s">
        <v>742</v>
      </c>
      <c r="E3776" t="s">
        <v>98</v>
      </c>
      <c r="F3776" t="s">
        <v>99</v>
      </c>
      <c r="G3776" t="s">
        <v>265</v>
      </c>
      <c r="H3776" t="s">
        <v>35</v>
      </c>
      <c r="I3776" s="2">
        <v>5</v>
      </c>
      <c r="J3776" s="3">
        <v>79</v>
      </c>
      <c r="K3776" s="4">
        <v>0.08</v>
      </c>
      <c r="L3776" s="3">
        <v>363.4</v>
      </c>
      <c r="M3776" t="b">
        <v>1</v>
      </c>
      <c r="N3776" s="2">
        <f>YEAR(B3776)</f>
        <v>2025</v>
      </c>
      <c r="O3776" t="str">
        <f>INDEX(Agences!$C:$C,MATCH(F3776,Agences!$A:$A,0))</f>
        <v>Nord</v>
      </c>
      <c r="P3776" t="str">
        <f>INDEX(Produits!$C:$C,MATCH(H3776,Produits!$A:$A,0))</f>
        <v>Mobilier</v>
      </c>
      <c r="Q3776" s="3">
        <f>I3776*INDEX(Produits!$E:$E,MATCH(H3776,Produits!$A:$A,0))</f>
        <v>233.05</v>
      </c>
      <c r="R3776" s="3">
        <f>L3776-Q3776</f>
        <v>130.34999999999997</v>
      </c>
      <c r="S3776" s="2">
        <f>NETWORKDAYS(B3776,C3776)-1</f>
        <v>4</v>
      </c>
      <c r="T3776" s="1">
        <f>WORKDAY(B3776,5)</f>
        <v>45702</v>
      </c>
      <c r="U3776" t="b">
        <f>C3776&gt;T3776</f>
        <v>0</v>
      </c>
    </row>
    <row r="3777" spans="1:21" x14ac:dyDescent="0.25">
      <c r="A3777" t="s">
        <v>2229</v>
      </c>
      <c r="B3777" s="1">
        <v>45695</v>
      </c>
      <c r="C3777" s="1">
        <v>45700</v>
      </c>
      <c r="D3777" t="s">
        <v>359</v>
      </c>
      <c r="E3777" t="s">
        <v>137</v>
      </c>
      <c r="F3777" t="s">
        <v>138</v>
      </c>
      <c r="G3777" t="s">
        <v>214</v>
      </c>
      <c r="H3777" t="s">
        <v>50</v>
      </c>
      <c r="I3777" s="2">
        <v>1</v>
      </c>
      <c r="J3777" s="3">
        <v>69</v>
      </c>
      <c r="K3777" s="4">
        <v>0</v>
      </c>
      <c r="L3777" s="3">
        <v>69</v>
      </c>
      <c r="M3777" t="b">
        <v>1</v>
      </c>
      <c r="N3777" s="2">
        <f>YEAR(B3777)</f>
        <v>2025</v>
      </c>
      <c r="O3777" t="str">
        <f>INDEX(Agences!$C:$C,MATCH(F3777,Agences!$A:$A,0))</f>
        <v>Île-de-France</v>
      </c>
      <c r="P3777" t="str">
        <f>INDEX(Produits!$C:$C,MATCH(H3777,Produits!$A:$A,0))</f>
        <v>Informatique</v>
      </c>
      <c r="Q3777" s="3">
        <f>I3777*INDEX(Produits!$E:$E,MATCH(H3777,Produits!$A:$A,0))</f>
        <v>54.51</v>
      </c>
      <c r="R3777" s="3">
        <f>L3777-Q3777</f>
        <v>14.490000000000002</v>
      </c>
      <c r="S3777" s="2">
        <f>NETWORKDAYS(B3777,C3777)-1</f>
        <v>3</v>
      </c>
      <c r="T3777" s="1">
        <f>WORKDAY(B3777,5)</f>
        <v>45702</v>
      </c>
      <c r="U3777" t="b">
        <f>C3777&gt;T3777</f>
        <v>0</v>
      </c>
    </row>
    <row r="3778" spans="1:21" x14ac:dyDescent="0.25">
      <c r="A3778" t="s">
        <v>2230</v>
      </c>
      <c r="B3778" s="1">
        <v>45695</v>
      </c>
      <c r="C3778" s="1">
        <v>45700</v>
      </c>
      <c r="D3778" t="s">
        <v>324</v>
      </c>
      <c r="E3778" t="s">
        <v>130</v>
      </c>
      <c r="F3778" t="s">
        <v>39</v>
      </c>
      <c r="G3778" t="s">
        <v>131</v>
      </c>
      <c r="H3778" t="s">
        <v>51</v>
      </c>
      <c r="I3778" s="2">
        <v>1</v>
      </c>
      <c r="J3778" s="3">
        <v>180</v>
      </c>
      <c r="K3778" s="4">
        <v>0.08</v>
      </c>
      <c r="L3778" s="3">
        <v>165.6</v>
      </c>
      <c r="M3778" t="b">
        <v>1</v>
      </c>
      <c r="N3778" s="2">
        <f>YEAR(B3778)</f>
        <v>2025</v>
      </c>
      <c r="O3778" t="str">
        <f>INDEX(Agences!$C:$C,MATCH(F3778,Agences!$A:$A,0))</f>
        <v>Sud-Ouest</v>
      </c>
      <c r="P3778" t="str">
        <f>INDEX(Produits!$C:$C,MATCH(H3778,Produits!$A:$A,0))</f>
        <v>Maintenance</v>
      </c>
      <c r="Q3778" s="3">
        <f>I3778*INDEX(Produits!$E:$E,MATCH(H3778,Produits!$A:$A,0))</f>
        <v>82.8</v>
      </c>
      <c r="R3778" s="3">
        <f>L3778-Q3778</f>
        <v>82.8</v>
      </c>
      <c r="S3778" s="2">
        <f>NETWORKDAYS(B3778,C3778)-1</f>
        <v>3</v>
      </c>
      <c r="T3778" s="1">
        <f>WORKDAY(B3778,5)</f>
        <v>45702</v>
      </c>
      <c r="U3778" t="b">
        <f>C3778&gt;T3778</f>
        <v>0</v>
      </c>
    </row>
    <row r="3779" spans="1:21" x14ac:dyDescent="0.25">
      <c r="A3779" t="s">
        <v>2230</v>
      </c>
      <c r="B3779" s="1">
        <v>45695</v>
      </c>
      <c r="C3779" s="1">
        <v>45700</v>
      </c>
      <c r="D3779" t="s">
        <v>324</v>
      </c>
      <c r="E3779" t="s">
        <v>130</v>
      </c>
      <c r="F3779" t="s">
        <v>39</v>
      </c>
      <c r="G3779" t="s">
        <v>131</v>
      </c>
      <c r="H3779" t="s">
        <v>112</v>
      </c>
      <c r="I3779" s="2">
        <v>6</v>
      </c>
      <c r="J3779" s="3">
        <v>129</v>
      </c>
      <c r="K3779" s="4">
        <v>0</v>
      </c>
      <c r="L3779" s="3">
        <v>774</v>
      </c>
      <c r="M3779" t="b">
        <v>1</v>
      </c>
      <c r="N3779" s="2">
        <f>YEAR(B3779)</f>
        <v>2025</v>
      </c>
      <c r="O3779" t="str">
        <f>INDEX(Agences!$C:$C,MATCH(F3779,Agences!$A:$A,0))</f>
        <v>Sud-Ouest</v>
      </c>
      <c r="P3779" t="str">
        <f>INDEX(Produits!$C:$C,MATCH(H3779,Produits!$A:$A,0))</f>
        <v>Mobilier</v>
      </c>
      <c r="Q3779" s="3">
        <f>I3779*INDEX(Produits!$E:$E,MATCH(H3779,Produits!$A:$A,0))</f>
        <v>518.58</v>
      </c>
      <c r="R3779" s="3">
        <f>L3779-Q3779</f>
        <v>255.41999999999996</v>
      </c>
      <c r="S3779" s="2">
        <f>NETWORKDAYS(B3779,C3779)-1</f>
        <v>3</v>
      </c>
      <c r="T3779" s="1">
        <f>WORKDAY(B3779,5)</f>
        <v>45702</v>
      </c>
      <c r="U3779" t="b">
        <f>C3779&gt;T3779</f>
        <v>0</v>
      </c>
    </row>
    <row r="3780" spans="1:21" x14ac:dyDescent="0.25">
      <c r="A3780" t="s">
        <v>2230</v>
      </c>
      <c r="B3780" s="1">
        <v>45695</v>
      </c>
      <c r="C3780" s="1">
        <v>45700</v>
      </c>
      <c r="D3780" t="s">
        <v>324</v>
      </c>
      <c r="E3780" t="s">
        <v>130</v>
      </c>
      <c r="F3780" t="s">
        <v>39</v>
      </c>
      <c r="G3780" t="s">
        <v>131</v>
      </c>
      <c r="H3780" t="s">
        <v>83</v>
      </c>
      <c r="I3780" s="2">
        <v>3</v>
      </c>
      <c r="J3780" s="3">
        <v>49</v>
      </c>
      <c r="K3780" s="4">
        <v>0.05</v>
      </c>
      <c r="L3780" s="3">
        <v>139.65</v>
      </c>
      <c r="M3780" t="b">
        <v>1</v>
      </c>
      <c r="N3780" s="2">
        <f>YEAR(B3780)</f>
        <v>2025</v>
      </c>
      <c r="O3780" t="str">
        <f>INDEX(Agences!$C:$C,MATCH(F3780,Agences!$A:$A,0))</f>
        <v>Sud-Ouest</v>
      </c>
      <c r="P3780" t="str">
        <f>INDEX(Produits!$C:$C,MATCH(H3780,Produits!$A:$A,0))</f>
        <v>Mobilier</v>
      </c>
      <c r="Q3780" s="3">
        <f>I3780*INDEX(Produits!$E:$E,MATCH(H3780,Produits!$A:$A,0))</f>
        <v>85.26</v>
      </c>
      <c r="R3780" s="3">
        <f>L3780-Q3780</f>
        <v>54.39</v>
      </c>
      <c r="S3780" s="2">
        <f>NETWORKDAYS(B3780,C3780)-1</f>
        <v>3</v>
      </c>
      <c r="T3780" s="1">
        <f>WORKDAY(B3780,5)</f>
        <v>45702</v>
      </c>
      <c r="U3780" t="b">
        <f>C3780&gt;T3780</f>
        <v>0</v>
      </c>
    </row>
    <row r="3781" spans="1:21" x14ac:dyDescent="0.25">
      <c r="A3781" t="s">
        <v>2231</v>
      </c>
      <c r="B3781" s="1">
        <v>45695</v>
      </c>
      <c r="C3781" s="1">
        <v>45699</v>
      </c>
      <c r="D3781" t="s">
        <v>951</v>
      </c>
      <c r="E3781" t="s">
        <v>384</v>
      </c>
      <c r="F3781" t="s">
        <v>46</v>
      </c>
      <c r="G3781" t="s">
        <v>47</v>
      </c>
      <c r="H3781" t="s">
        <v>42</v>
      </c>
      <c r="I3781" s="2">
        <v>4</v>
      </c>
      <c r="J3781" s="3">
        <v>55</v>
      </c>
      <c r="K3781" s="4">
        <v>0</v>
      </c>
      <c r="L3781" s="3">
        <v>220</v>
      </c>
      <c r="M3781" t="b">
        <v>1</v>
      </c>
      <c r="N3781" s="2">
        <f>YEAR(B3781)</f>
        <v>2025</v>
      </c>
      <c r="O3781" t="str">
        <f>INDEX(Agences!$C:$C,MATCH(F3781,Agences!$A:$A,0))</f>
        <v>Est</v>
      </c>
      <c r="P3781" t="str">
        <f>INDEX(Produits!$C:$C,MATCH(H3781,Produits!$A:$A,0))</f>
        <v>Maintenance</v>
      </c>
      <c r="Q3781" s="3">
        <f>I3781*INDEX(Produits!$E:$E,MATCH(H3781,Produits!$A:$A,0))</f>
        <v>99</v>
      </c>
      <c r="R3781" s="3">
        <f>L3781-Q3781</f>
        <v>121</v>
      </c>
      <c r="S3781" s="2">
        <f>NETWORKDAYS(B3781,C3781)-1</f>
        <v>2</v>
      </c>
      <c r="T3781" s="1">
        <f>WORKDAY(B3781,5)</f>
        <v>45702</v>
      </c>
      <c r="U3781" t="b">
        <f>C3781&gt;T3781</f>
        <v>0</v>
      </c>
    </row>
    <row r="3782" spans="1:21" x14ac:dyDescent="0.25">
      <c r="A3782" t="s">
        <v>2231</v>
      </c>
      <c r="B3782" s="1">
        <v>45695</v>
      </c>
      <c r="C3782" s="1">
        <v>45699</v>
      </c>
      <c r="D3782" t="s">
        <v>951</v>
      </c>
      <c r="E3782" t="s">
        <v>384</v>
      </c>
      <c r="F3782" t="s">
        <v>46</v>
      </c>
      <c r="G3782" t="s">
        <v>47</v>
      </c>
      <c r="H3782" t="s">
        <v>49</v>
      </c>
      <c r="I3782" s="2">
        <v>1</v>
      </c>
      <c r="J3782" s="3">
        <v>120</v>
      </c>
      <c r="K3782" s="4">
        <v>0.05</v>
      </c>
      <c r="L3782" s="3">
        <v>114</v>
      </c>
      <c r="M3782" t="b">
        <v>1</v>
      </c>
      <c r="N3782" s="2">
        <f>YEAR(B3782)</f>
        <v>2025</v>
      </c>
      <c r="O3782" t="str">
        <f>INDEX(Agences!$C:$C,MATCH(F3782,Agences!$A:$A,0))</f>
        <v>Est</v>
      </c>
      <c r="P3782" t="str">
        <f>INDEX(Produits!$C:$C,MATCH(H3782,Produits!$A:$A,0))</f>
        <v>Maintenance</v>
      </c>
      <c r="Q3782" s="3">
        <f>I3782*INDEX(Produits!$E:$E,MATCH(H3782,Produits!$A:$A,0))</f>
        <v>55.2</v>
      </c>
      <c r="R3782" s="3">
        <f>L3782-Q3782</f>
        <v>58.8</v>
      </c>
      <c r="S3782" s="2">
        <f>NETWORKDAYS(B3782,C3782)-1</f>
        <v>2</v>
      </c>
      <c r="T3782" s="1">
        <f>WORKDAY(B3782,5)</f>
        <v>45702</v>
      </c>
      <c r="U3782" t="b">
        <f>C3782&gt;T3782</f>
        <v>0</v>
      </c>
    </row>
    <row r="3783" spans="1:21" x14ac:dyDescent="0.25">
      <c r="A3783" t="s">
        <v>2231</v>
      </c>
      <c r="B3783" s="1">
        <v>45695</v>
      </c>
      <c r="C3783" s="1">
        <v>45699</v>
      </c>
      <c r="D3783" t="s">
        <v>951</v>
      </c>
      <c r="E3783" t="s">
        <v>384</v>
      </c>
      <c r="F3783" t="s">
        <v>46</v>
      </c>
      <c r="G3783" t="s">
        <v>47</v>
      </c>
      <c r="H3783" t="s">
        <v>162</v>
      </c>
      <c r="I3783" s="2">
        <v>1</v>
      </c>
      <c r="J3783" s="3">
        <v>289</v>
      </c>
      <c r="K3783" s="4">
        <v>0</v>
      </c>
      <c r="L3783" s="3">
        <v>289</v>
      </c>
      <c r="M3783" t="b">
        <v>1</v>
      </c>
      <c r="N3783" s="2">
        <f>YEAR(B3783)</f>
        <v>2025</v>
      </c>
      <c r="O3783" t="str">
        <f>INDEX(Agences!$C:$C,MATCH(F3783,Agences!$A:$A,0))</f>
        <v>Est</v>
      </c>
      <c r="P3783" t="str">
        <f>INDEX(Produits!$C:$C,MATCH(H3783,Produits!$A:$A,0))</f>
        <v>Mobilier</v>
      </c>
      <c r="Q3783" s="3">
        <f>I3783*INDEX(Produits!$E:$E,MATCH(H3783,Produits!$A:$A,0))</f>
        <v>193.63</v>
      </c>
      <c r="R3783" s="3">
        <f>L3783-Q3783</f>
        <v>95.37</v>
      </c>
      <c r="S3783" s="2">
        <f>NETWORKDAYS(B3783,C3783)-1</f>
        <v>2</v>
      </c>
      <c r="T3783" s="1">
        <f>WORKDAY(B3783,5)</f>
        <v>45702</v>
      </c>
      <c r="U3783" t="b">
        <f>C3783&gt;T3783</f>
        <v>0</v>
      </c>
    </row>
    <row r="3784" spans="1:21" x14ac:dyDescent="0.25">
      <c r="A3784" t="s">
        <v>2232</v>
      </c>
      <c r="B3784" s="1">
        <v>45695</v>
      </c>
      <c r="C3784" s="1">
        <v>45700</v>
      </c>
      <c r="D3784" t="s">
        <v>719</v>
      </c>
      <c r="E3784" t="s">
        <v>229</v>
      </c>
      <c r="F3784" t="s">
        <v>55</v>
      </c>
      <c r="G3784" t="s">
        <v>71</v>
      </c>
      <c r="H3784" t="s">
        <v>237</v>
      </c>
      <c r="I3784" s="2">
        <v>2</v>
      </c>
      <c r="J3784" s="3">
        <v>890</v>
      </c>
      <c r="K3784" s="4">
        <v>0</v>
      </c>
      <c r="L3784" s="3">
        <v>1780</v>
      </c>
      <c r="M3784" t="b">
        <v>1</v>
      </c>
      <c r="N3784" s="2">
        <f>YEAR(B3784)</f>
        <v>2025</v>
      </c>
      <c r="O3784" t="str">
        <f>INDEX(Agences!$C:$C,MATCH(F3784,Agences!$A:$A,0))</f>
        <v>Est</v>
      </c>
      <c r="P3784" t="str">
        <f>INDEX(Produits!$C:$C,MATCH(H3784,Produits!$A:$A,0))</f>
        <v>Mobilier</v>
      </c>
      <c r="Q3784" s="3">
        <f>I3784*INDEX(Produits!$E:$E,MATCH(H3784,Produits!$A:$A,0))</f>
        <v>1192.6</v>
      </c>
      <c r="R3784" s="3">
        <f>L3784-Q3784</f>
        <v>587.4000000000001</v>
      </c>
      <c r="S3784" s="2">
        <f>NETWORKDAYS(B3784,C3784)-1</f>
        <v>3</v>
      </c>
      <c r="T3784" s="1">
        <f>WORKDAY(B3784,5)</f>
        <v>45702</v>
      </c>
      <c r="U3784" t="b">
        <f>C3784&gt;T3784</f>
        <v>0</v>
      </c>
    </row>
    <row r="3785" spans="1:21" x14ac:dyDescent="0.25">
      <c r="A3785" t="s">
        <v>2232</v>
      </c>
      <c r="B3785" s="1">
        <v>45695</v>
      </c>
      <c r="C3785" s="1">
        <v>45700</v>
      </c>
      <c r="D3785" t="s">
        <v>719</v>
      </c>
      <c r="E3785" t="s">
        <v>229</v>
      </c>
      <c r="F3785" t="s">
        <v>55</v>
      </c>
      <c r="G3785" t="s">
        <v>71</v>
      </c>
      <c r="H3785" t="s">
        <v>50</v>
      </c>
      <c r="I3785" s="2">
        <v>2</v>
      </c>
      <c r="J3785" s="3">
        <v>69</v>
      </c>
      <c r="K3785" s="4">
        <v>0</v>
      </c>
      <c r="L3785" s="3">
        <v>138</v>
      </c>
      <c r="M3785" t="b">
        <v>1</v>
      </c>
      <c r="N3785" s="2">
        <f>YEAR(B3785)</f>
        <v>2025</v>
      </c>
      <c r="O3785" t="str">
        <f>INDEX(Agences!$C:$C,MATCH(F3785,Agences!$A:$A,0))</f>
        <v>Est</v>
      </c>
      <c r="P3785" t="str">
        <f>INDEX(Produits!$C:$C,MATCH(H3785,Produits!$A:$A,0))</f>
        <v>Informatique</v>
      </c>
      <c r="Q3785" s="3">
        <f>I3785*INDEX(Produits!$E:$E,MATCH(H3785,Produits!$A:$A,0))</f>
        <v>109.02</v>
      </c>
      <c r="R3785" s="3">
        <f>L3785-Q3785</f>
        <v>28.980000000000004</v>
      </c>
      <c r="S3785" s="2">
        <f>NETWORKDAYS(B3785,C3785)-1</f>
        <v>3</v>
      </c>
      <c r="T3785" s="1">
        <f>WORKDAY(B3785,5)</f>
        <v>45702</v>
      </c>
      <c r="U3785" t="b">
        <f>C3785&gt;T3785</f>
        <v>0</v>
      </c>
    </row>
    <row r="3786" spans="1:21" x14ac:dyDescent="0.25">
      <c r="A3786" t="s">
        <v>2233</v>
      </c>
      <c r="B3786" s="1">
        <v>45694</v>
      </c>
      <c r="C3786" s="1">
        <v>45698</v>
      </c>
      <c r="D3786" t="s">
        <v>198</v>
      </c>
      <c r="E3786" t="s">
        <v>122</v>
      </c>
      <c r="F3786" t="s">
        <v>24</v>
      </c>
      <c r="G3786" t="s">
        <v>116</v>
      </c>
      <c r="H3786" t="s">
        <v>83</v>
      </c>
      <c r="I3786" s="2">
        <v>2</v>
      </c>
      <c r="J3786" s="3">
        <v>49</v>
      </c>
      <c r="K3786" s="4">
        <v>0</v>
      </c>
      <c r="L3786" s="3">
        <v>98</v>
      </c>
      <c r="M3786" t="b">
        <v>1</v>
      </c>
      <c r="N3786" s="2">
        <f>YEAR(B3786)</f>
        <v>2025</v>
      </c>
      <c r="O3786" t="str">
        <f>INDEX(Agences!$C:$C,MATCH(F3786,Agences!$A:$A,0))</f>
        <v>Nord</v>
      </c>
      <c r="P3786" t="str">
        <f>INDEX(Produits!$C:$C,MATCH(H3786,Produits!$A:$A,0))</f>
        <v>Mobilier</v>
      </c>
      <c r="Q3786" s="3">
        <f>I3786*INDEX(Produits!$E:$E,MATCH(H3786,Produits!$A:$A,0))</f>
        <v>56.84</v>
      </c>
      <c r="R3786" s="3">
        <f>L3786-Q3786</f>
        <v>41.16</v>
      </c>
      <c r="S3786" s="2">
        <f>NETWORKDAYS(B3786,C3786)-1</f>
        <v>2</v>
      </c>
      <c r="T3786" s="1">
        <f>WORKDAY(B3786,5)</f>
        <v>45701</v>
      </c>
      <c r="U3786" t="b">
        <f>C3786&gt;T3786</f>
        <v>0</v>
      </c>
    </row>
    <row r="3787" spans="1:21" x14ac:dyDescent="0.25">
      <c r="A3787" t="s">
        <v>2233</v>
      </c>
      <c r="B3787" s="1">
        <v>45694</v>
      </c>
      <c r="C3787" s="1">
        <v>45698</v>
      </c>
      <c r="D3787" t="s">
        <v>198</v>
      </c>
      <c r="E3787" t="s">
        <v>122</v>
      </c>
      <c r="F3787" t="s">
        <v>24</v>
      </c>
      <c r="G3787" t="s">
        <v>116</v>
      </c>
      <c r="H3787" t="s">
        <v>107</v>
      </c>
      <c r="I3787" s="2">
        <v>1</v>
      </c>
      <c r="J3787" s="3">
        <v>99</v>
      </c>
      <c r="K3787" s="4">
        <v>0</v>
      </c>
      <c r="L3787" s="3">
        <v>99</v>
      </c>
      <c r="M3787" t="b">
        <v>1</v>
      </c>
      <c r="N3787" s="2">
        <f>YEAR(B3787)</f>
        <v>2025</v>
      </c>
      <c r="O3787" t="str">
        <f>INDEX(Agences!$C:$C,MATCH(F3787,Agences!$A:$A,0))</f>
        <v>Nord</v>
      </c>
      <c r="P3787" t="str">
        <f>INDEX(Produits!$C:$C,MATCH(H3787,Produits!$A:$A,0))</f>
        <v>Informatique</v>
      </c>
      <c r="Q3787" s="3">
        <f>I3787*INDEX(Produits!$E:$E,MATCH(H3787,Produits!$A:$A,0))</f>
        <v>75.24</v>
      </c>
      <c r="R3787" s="3">
        <f>L3787-Q3787</f>
        <v>23.760000000000005</v>
      </c>
      <c r="S3787" s="2">
        <f>NETWORKDAYS(B3787,C3787)-1</f>
        <v>2</v>
      </c>
      <c r="T3787" s="1">
        <f>WORKDAY(B3787,5)</f>
        <v>45701</v>
      </c>
      <c r="U3787" t="b">
        <f>C3787&gt;T3787</f>
        <v>0</v>
      </c>
    </row>
    <row r="3788" spans="1:21" x14ac:dyDescent="0.25">
      <c r="A3788" t="s">
        <v>2233</v>
      </c>
      <c r="B3788" s="1">
        <v>45694</v>
      </c>
      <c r="C3788" s="1">
        <v>45698</v>
      </c>
      <c r="D3788" t="s">
        <v>198</v>
      </c>
      <c r="E3788" t="s">
        <v>122</v>
      </c>
      <c r="F3788" t="s">
        <v>24</v>
      </c>
      <c r="G3788" t="s">
        <v>116</v>
      </c>
      <c r="H3788" t="s">
        <v>33</v>
      </c>
      <c r="I3788" s="2">
        <v>2</v>
      </c>
      <c r="J3788" s="3">
        <v>219</v>
      </c>
      <c r="K3788" s="4">
        <v>0</v>
      </c>
      <c r="L3788" s="3">
        <v>438</v>
      </c>
      <c r="M3788" t="b">
        <v>1</v>
      </c>
      <c r="N3788" s="2">
        <f>YEAR(B3788)</f>
        <v>2025</v>
      </c>
      <c r="O3788" t="str">
        <f>INDEX(Agences!$C:$C,MATCH(F3788,Agences!$A:$A,0))</f>
        <v>Nord</v>
      </c>
      <c r="P3788" t="str">
        <f>INDEX(Produits!$C:$C,MATCH(H3788,Produits!$A:$A,0))</f>
        <v>Informatique</v>
      </c>
      <c r="Q3788" s="3">
        <f>I3788*INDEX(Produits!$E:$E,MATCH(H3788,Produits!$A:$A,0))</f>
        <v>359.16</v>
      </c>
      <c r="R3788" s="3">
        <f>L3788-Q3788</f>
        <v>78.83999999999997</v>
      </c>
      <c r="S3788" s="2">
        <f>NETWORKDAYS(B3788,C3788)-1</f>
        <v>2</v>
      </c>
      <c r="T3788" s="1">
        <f>WORKDAY(B3788,5)</f>
        <v>45701</v>
      </c>
      <c r="U3788" t="b">
        <f>C3788&gt;T3788</f>
        <v>0</v>
      </c>
    </row>
    <row r="3789" spans="1:21" x14ac:dyDescent="0.25">
      <c r="A3789" t="s">
        <v>2233</v>
      </c>
      <c r="B3789" s="1">
        <v>45694</v>
      </c>
      <c r="C3789" s="1">
        <v>45698</v>
      </c>
      <c r="D3789" t="s">
        <v>198</v>
      </c>
      <c r="E3789" t="s">
        <v>122</v>
      </c>
      <c r="F3789" t="s">
        <v>24</v>
      </c>
      <c r="G3789" t="s">
        <v>116</v>
      </c>
      <c r="H3789" t="s">
        <v>50</v>
      </c>
      <c r="I3789" s="2">
        <v>1</v>
      </c>
      <c r="J3789" s="3">
        <v>69</v>
      </c>
      <c r="K3789" s="4">
        <v>0</v>
      </c>
      <c r="L3789" s="3">
        <v>69</v>
      </c>
      <c r="M3789" t="b">
        <v>1</v>
      </c>
      <c r="N3789" s="2">
        <f>YEAR(B3789)</f>
        <v>2025</v>
      </c>
      <c r="O3789" t="str">
        <f>INDEX(Agences!$C:$C,MATCH(F3789,Agences!$A:$A,0))</f>
        <v>Nord</v>
      </c>
      <c r="P3789" t="str">
        <f>INDEX(Produits!$C:$C,MATCH(H3789,Produits!$A:$A,0))</f>
        <v>Informatique</v>
      </c>
      <c r="Q3789" s="3">
        <f>I3789*INDEX(Produits!$E:$E,MATCH(H3789,Produits!$A:$A,0))</f>
        <v>54.51</v>
      </c>
      <c r="R3789" s="3">
        <f>L3789-Q3789</f>
        <v>14.490000000000002</v>
      </c>
      <c r="S3789" s="2">
        <f>NETWORKDAYS(B3789,C3789)-1</f>
        <v>2</v>
      </c>
      <c r="T3789" s="1">
        <f>WORKDAY(B3789,5)</f>
        <v>45701</v>
      </c>
      <c r="U3789" t="b">
        <f>C3789&gt;T3789</f>
        <v>0</v>
      </c>
    </row>
    <row r="3790" spans="1:21" x14ac:dyDescent="0.25">
      <c r="A3790" t="s">
        <v>2234</v>
      </c>
      <c r="B3790" s="1">
        <v>45694</v>
      </c>
      <c r="C3790" s="1">
        <v>45699</v>
      </c>
      <c r="D3790" t="s">
        <v>1051</v>
      </c>
      <c r="E3790" t="s">
        <v>333</v>
      </c>
      <c r="F3790" t="s">
        <v>138</v>
      </c>
      <c r="G3790" t="s">
        <v>220</v>
      </c>
      <c r="H3790" t="s">
        <v>58</v>
      </c>
      <c r="I3790" s="2">
        <v>1</v>
      </c>
      <c r="J3790" s="3">
        <v>649</v>
      </c>
      <c r="K3790" s="4">
        <v>0.1</v>
      </c>
      <c r="L3790" s="3">
        <v>584.1</v>
      </c>
      <c r="M3790" t="b">
        <v>1</v>
      </c>
      <c r="N3790" s="2">
        <f>YEAR(B3790)</f>
        <v>2025</v>
      </c>
      <c r="O3790" t="str">
        <f>INDEX(Agences!$C:$C,MATCH(F3790,Agences!$A:$A,0))</f>
        <v>Île-de-France</v>
      </c>
      <c r="P3790" t="str">
        <f>INDEX(Produits!$C:$C,MATCH(H3790,Produits!$A:$A,0))</f>
        <v>Mobilier</v>
      </c>
      <c r="Q3790" s="3">
        <f>I3790*INDEX(Produits!$E:$E,MATCH(H3790,Produits!$A:$A,0))</f>
        <v>408.87</v>
      </c>
      <c r="R3790" s="3">
        <f>L3790-Q3790</f>
        <v>175.23000000000002</v>
      </c>
      <c r="S3790" s="2">
        <f>NETWORKDAYS(B3790,C3790)-1</f>
        <v>3</v>
      </c>
      <c r="T3790" s="1">
        <f>WORKDAY(B3790,5)</f>
        <v>45701</v>
      </c>
      <c r="U3790" t="b">
        <f>C3790&gt;T3790</f>
        <v>0</v>
      </c>
    </row>
    <row r="3791" spans="1:21" x14ac:dyDescent="0.25">
      <c r="A3791" t="s">
        <v>2234</v>
      </c>
      <c r="B3791" s="1">
        <v>45694</v>
      </c>
      <c r="C3791" s="1">
        <v>45699</v>
      </c>
      <c r="D3791" t="s">
        <v>1051</v>
      </c>
      <c r="E3791" t="s">
        <v>333</v>
      </c>
      <c r="F3791" t="s">
        <v>138</v>
      </c>
      <c r="G3791" t="s">
        <v>220</v>
      </c>
      <c r="H3791" t="s">
        <v>72</v>
      </c>
      <c r="I3791" s="2">
        <v>4</v>
      </c>
      <c r="J3791" s="3">
        <v>179</v>
      </c>
      <c r="K3791" s="4">
        <v>0.08</v>
      </c>
      <c r="L3791" s="3">
        <v>658.72</v>
      </c>
      <c r="M3791" t="b">
        <v>1</v>
      </c>
      <c r="N3791" s="2">
        <f>YEAR(B3791)</f>
        <v>2025</v>
      </c>
      <c r="O3791" t="str">
        <f>INDEX(Agences!$C:$C,MATCH(F3791,Agences!$A:$A,0))</f>
        <v>Île-de-France</v>
      </c>
      <c r="P3791" t="str">
        <f>INDEX(Produits!$C:$C,MATCH(H3791,Produits!$A:$A,0))</f>
        <v>Informatique</v>
      </c>
      <c r="Q3791" s="3">
        <f>I3791*INDEX(Produits!$E:$E,MATCH(H3791,Produits!$A:$A,0))</f>
        <v>587.12</v>
      </c>
      <c r="R3791" s="3">
        <f>L3791-Q3791</f>
        <v>71.60000000000002</v>
      </c>
      <c r="S3791" s="2">
        <f>NETWORKDAYS(B3791,C3791)-1</f>
        <v>3</v>
      </c>
      <c r="T3791" s="1">
        <f>WORKDAY(B3791,5)</f>
        <v>45701</v>
      </c>
      <c r="U3791" t="b">
        <f>C3791&gt;T3791</f>
        <v>0</v>
      </c>
    </row>
    <row r="3792" spans="1:21" x14ac:dyDescent="0.25">
      <c r="A3792" t="s">
        <v>2235</v>
      </c>
      <c r="B3792" s="1">
        <v>45694</v>
      </c>
      <c r="C3792" s="1">
        <v>45695</v>
      </c>
      <c r="D3792" t="s">
        <v>561</v>
      </c>
      <c r="E3792" t="s">
        <v>137</v>
      </c>
      <c r="F3792" t="s">
        <v>138</v>
      </c>
      <c r="G3792" t="s">
        <v>220</v>
      </c>
      <c r="H3792" t="s">
        <v>83</v>
      </c>
      <c r="I3792" s="2">
        <v>4</v>
      </c>
      <c r="J3792" s="3">
        <v>49</v>
      </c>
      <c r="K3792" s="4">
        <v>0</v>
      </c>
      <c r="L3792" s="3">
        <v>196</v>
      </c>
      <c r="M3792" t="b">
        <v>1</v>
      </c>
      <c r="N3792" s="2">
        <f>YEAR(B3792)</f>
        <v>2025</v>
      </c>
      <c r="O3792" t="str">
        <f>INDEX(Agences!$C:$C,MATCH(F3792,Agences!$A:$A,0))</f>
        <v>Île-de-France</v>
      </c>
      <c r="P3792" t="str">
        <f>INDEX(Produits!$C:$C,MATCH(H3792,Produits!$A:$A,0))</f>
        <v>Mobilier</v>
      </c>
      <c r="Q3792" s="3">
        <f>I3792*INDEX(Produits!$E:$E,MATCH(H3792,Produits!$A:$A,0))</f>
        <v>113.68</v>
      </c>
      <c r="R3792" s="3">
        <f>L3792-Q3792</f>
        <v>82.32</v>
      </c>
      <c r="S3792" s="2">
        <f>NETWORKDAYS(B3792,C3792)-1</f>
        <v>1</v>
      </c>
      <c r="T3792" s="1">
        <f>WORKDAY(B3792,5)</f>
        <v>45701</v>
      </c>
      <c r="U3792" t="b">
        <f>C3792&gt;T3792</f>
        <v>0</v>
      </c>
    </row>
    <row r="3793" spans="1:21" x14ac:dyDescent="0.25">
      <c r="A3793" t="s">
        <v>2235</v>
      </c>
      <c r="B3793" s="1">
        <v>45694</v>
      </c>
      <c r="C3793" s="1">
        <v>45695</v>
      </c>
      <c r="D3793" t="s">
        <v>561</v>
      </c>
      <c r="E3793" t="s">
        <v>137</v>
      </c>
      <c r="F3793" t="s">
        <v>138</v>
      </c>
      <c r="G3793" t="s">
        <v>220</v>
      </c>
      <c r="H3793" t="s">
        <v>319</v>
      </c>
      <c r="I3793" s="2">
        <v>3</v>
      </c>
      <c r="J3793" s="3">
        <v>289</v>
      </c>
      <c r="K3793" s="4">
        <v>0</v>
      </c>
      <c r="L3793" s="3">
        <v>867</v>
      </c>
      <c r="M3793" t="b">
        <v>1</v>
      </c>
      <c r="N3793" s="2">
        <f>YEAR(B3793)</f>
        <v>2025</v>
      </c>
      <c r="O3793" t="str">
        <f>INDEX(Agences!$C:$C,MATCH(F3793,Agences!$A:$A,0))</f>
        <v>Île-de-France</v>
      </c>
      <c r="P3793" t="str">
        <f>INDEX(Produits!$C:$C,MATCH(H3793,Produits!$A:$A,0))</f>
        <v>Informatique</v>
      </c>
      <c r="Q3793" s="3">
        <f>I3793*INDEX(Produits!$E:$E,MATCH(H3793,Produits!$A:$A,0))</f>
        <v>641.58</v>
      </c>
      <c r="R3793" s="3">
        <f>L3793-Q3793</f>
        <v>225.41999999999996</v>
      </c>
      <c r="S3793" s="2">
        <f>NETWORKDAYS(B3793,C3793)-1</f>
        <v>1</v>
      </c>
      <c r="T3793" s="1">
        <f>WORKDAY(B3793,5)</f>
        <v>45701</v>
      </c>
      <c r="U3793" t="b">
        <f>C3793&gt;T3793</f>
        <v>0</v>
      </c>
    </row>
    <row r="3794" spans="1:21" x14ac:dyDescent="0.25">
      <c r="A3794" t="s">
        <v>2235</v>
      </c>
      <c r="B3794" s="1">
        <v>45694</v>
      </c>
      <c r="C3794" s="1">
        <v>45695</v>
      </c>
      <c r="D3794" t="s">
        <v>561</v>
      </c>
      <c r="E3794" t="s">
        <v>137</v>
      </c>
      <c r="F3794" t="s">
        <v>138</v>
      </c>
      <c r="G3794" t="s">
        <v>220</v>
      </c>
      <c r="H3794" t="s">
        <v>42</v>
      </c>
      <c r="I3794" s="2">
        <v>1</v>
      </c>
      <c r="J3794" s="3">
        <v>55</v>
      </c>
      <c r="K3794" s="4">
        <v>0</v>
      </c>
      <c r="L3794" s="3">
        <v>55</v>
      </c>
      <c r="M3794" t="b">
        <v>1</v>
      </c>
      <c r="N3794" s="2">
        <f>YEAR(B3794)</f>
        <v>2025</v>
      </c>
      <c r="O3794" t="str">
        <f>INDEX(Agences!$C:$C,MATCH(F3794,Agences!$A:$A,0))</f>
        <v>Île-de-France</v>
      </c>
      <c r="P3794" t="str">
        <f>INDEX(Produits!$C:$C,MATCH(H3794,Produits!$A:$A,0))</f>
        <v>Maintenance</v>
      </c>
      <c r="Q3794" s="3">
        <f>I3794*INDEX(Produits!$E:$E,MATCH(H3794,Produits!$A:$A,0))</f>
        <v>24.75</v>
      </c>
      <c r="R3794" s="3">
        <f>L3794-Q3794</f>
        <v>30.25</v>
      </c>
      <c r="S3794" s="2">
        <f>NETWORKDAYS(B3794,C3794)-1</f>
        <v>1</v>
      </c>
      <c r="T3794" s="1">
        <f>WORKDAY(B3794,5)</f>
        <v>45701</v>
      </c>
      <c r="U3794" t="b">
        <f>C3794&gt;T3794</f>
        <v>0</v>
      </c>
    </row>
    <row r="3795" spans="1:21" x14ac:dyDescent="0.25">
      <c r="A3795" t="s">
        <v>2235</v>
      </c>
      <c r="B3795" s="1">
        <v>45694</v>
      </c>
      <c r="C3795" s="1">
        <v>45695</v>
      </c>
      <c r="D3795" t="s">
        <v>561</v>
      </c>
      <c r="E3795" t="s">
        <v>137</v>
      </c>
      <c r="F3795" t="s">
        <v>138</v>
      </c>
      <c r="G3795" t="s">
        <v>220</v>
      </c>
      <c r="H3795" t="s">
        <v>26</v>
      </c>
      <c r="I3795" s="2">
        <v>2</v>
      </c>
      <c r="J3795" s="3">
        <v>290</v>
      </c>
      <c r="K3795" s="4">
        <v>0</v>
      </c>
      <c r="L3795" s="3">
        <v>580</v>
      </c>
      <c r="M3795" t="b">
        <v>1</v>
      </c>
      <c r="N3795" s="2">
        <f>YEAR(B3795)</f>
        <v>2025</v>
      </c>
      <c r="O3795" t="str">
        <f>INDEX(Agences!$C:$C,MATCH(F3795,Agences!$A:$A,0))</f>
        <v>Île-de-France</v>
      </c>
      <c r="P3795" t="str">
        <f>INDEX(Produits!$C:$C,MATCH(H3795,Produits!$A:$A,0))</f>
        <v>Maintenance</v>
      </c>
      <c r="Q3795" s="3">
        <f>I3795*INDEX(Produits!$E:$E,MATCH(H3795,Produits!$A:$A,0))</f>
        <v>278.4</v>
      </c>
      <c r="R3795" s="3">
        <f>L3795-Q3795</f>
        <v>301.6</v>
      </c>
      <c r="S3795" s="2">
        <f>NETWORKDAYS(B3795,C3795)-1</f>
        <v>1</v>
      </c>
      <c r="T3795" s="1">
        <f>WORKDAY(B3795,5)</f>
        <v>45701</v>
      </c>
      <c r="U3795" t="b">
        <f>C3795&gt;T3795</f>
        <v>0</v>
      </c>
    </row>
    <row r="3796" spans="1:21" x14ac:dyDescent="0.25">
      <c r="A3796" t="s">
        <v>2236</v>
      </c>
      <c r="B3796" s="1">
        <v>45694</v>
      </c>
      <c r="C3796" s="1">
        <v>45699</v>
      </c>
      <c r="D3796" t="s">
        <v>1343</v>
      </c>
      <c r="E3796" t="s">
        <v>374</v>
      </c>
      <c r="F3796" t="s">
        <v>31</v>
      </c>
      <c r="G3796" t="s">
        <v>186</v>
      </c>
      <c r="H3796" t="s">
        <v>41</v>
      </c>
      <c r="I3796" s="2">
        <v>1</v>
      </c>
      <c r="J3796" s="3">
        <v>790</v>
      </c>
      <c r="K3796" s="4">
        <v>0.05</v>
      </c>
      <c r="L3796" s="3">
        <v>750.5</v>
      </c>
      <c r="M3796" t="b">
        <v>1</v>
      </c>
      <c r="N3796" s="2">
        <f>YEAR(B3796)</f>
        <v>2025</v>
      </c>
      <c r="O3796" t="str">
        <f>INDEX(Agences!$C:$C,MATCH(F3796,Agences!$A:$A,0))</f>
        <v>Ouest</v>
      </c>
      <c r="P3796" t="str">
        <f>INDEX(Produits!$C:$C,MATCH(H3796,Produits!$A:$A,0))</f>
        <v>Informatique</v>
      </c>
      <c r="Q3796" s="3">
        <f>I3796*INDEX(Produits!$E:$E,MATCH(H3796,Produits!$A:$A,0))</f>
        <v>576.7</v>
      </c>
      <c r="R3796" s="3">
        <f>L3796-Q3796</f>
        <v>173.79999999999995</v>
      </c>
      <c r="S3796" s="2">
        <f>NETWORKDAYS(B3796,C3796)-1</f>
        <v>3</v>
      </c>
      <c r="T3796" s="1">
        <f>WORKDAY(B3796,5)</f>
        <v>45701</v>
      </c>
      <c r="U3796" t="b">
        <f>C3796&gt;T3796</f>
        <v>0</v>
      </c>
    </row>
    <row r="3797" spans="1:21" x14ac:dyDescent="0.25">
      <c r="A3797" t="s">
        <v>2236</v>
      </c>
      <c r="B3797" s="1">
        <v>45694</v>
      </c>
      <c r="C3797" s="1">
        <v>45699</v>
      </c>
      <c r="D3797" t="s">
        <v>1343</v>
      </c>
      <c r="E3797" t="s">
        <v>374</v>
      </c>
      <c r="F3797" t="s">
        <v>31</v>
      </c>
      <c r="G3797" t="s">
        <v>186</v>
      </c>
      <c r="H3797" t="s">
        <v>90</v>
      </c>
      <c r="I3797" s="2">
        <v>5</v>
      </c>
      <c r="J3797" s="3">
        <v>22.9</v>
      </c>
      <c r="K3797" s="4">
        <v>0</v>
      </c>
      <c r="L3797" s="3">
        <v>114.5</v>
      </c>
      <c r="M3797" t="b">
        <v>1</v>
      </c>
      <c r="N3797" s="2">
        <f>YEAR(B3797)</f>
        <v>2025</v>
      </c>
      <c r="O3797" t="str">
        <f>INDEX(Agences!$C:$C,MATCH(F3797,Agences!$A:$A,0))</f>
        <v>Ouest</v>
      </c>
      <c r="P3797" t="str">
        <f>INDEX(Produits!$C:$C,MATCH(H3797,Produits!$A:$A,0))</f>
        <v>Fournitures</v>
      </c>
      <c r="Q3797" s="3">
        <f>I3797*INDEX(Produits!$E:$E,MATCH(H3797,Produits!$A:$A,0))</f>
        <v>64.1</v>
      </c>
      <c r="R3797" s="3">
        <f>L3797-Q3797</f>
        <v>50.400000000000006</v>
      </c>
      <c r="S3797" s="2">
        <f>NETWORKDAYS(B3797,C3797)-1</f>
        <v>3</v>
      </c>
      <c r="T3797" s="1">
        <f>WORKDAY(B3797,5)</f>
        <v>45701</v>
      </c>
      <c r="U3797" t="b">
        <f>C3797&gt;T3797</f>
        <v>0</v>
      </c>
    </row>
    <row r="3798" spans="1:21" x14ac:dyDescent="0.25">
      <c r="A3798" t="s">
        <v>2236</v>
      </c>
      <c r="B3798" s="1">
        <v>45694</v>
      </c>
      <c r="C3798" s="1">
        <v>45699</v>
      </c>
      <c r="D3798" t="s">
        <v>1343</v>
      </c>
      <c r="E3798" t="s">
        <v>374</v>
      </c>
      <c r="F3798" t="s">
        <v>31</v>
      </c>
      <c r="G3798" t="s">
        <v>186</v>
      </c>
      <c r="H3798" t="s">
        <v>107</v>
      </c>
      <c r="I3798" s="2">
        <v>4</v>
      </c>
      <c r="J3798" s="3">
        <v>99</v>
      </c>
      <c r="K3798" s="4">
        <v>0</v>
      </c>
      <c r="L3798" s="3">
        <v>396</v>
      </c>
      <c r="M3798" t="b">
        <v>1</v>
      </c>
      <c r="N3798" s="2">
        <f>YEAR(B3798)</f>
        <v>2025</v>
      </c>
      <c r="O3798" t="str">
        <f>INDEX(Agences!$C:$C,MATCH(F3798,Agences!$A:$A,0))</f>
        <v>Ouest</v>
      </c>
      <c r="P3798" t="str">
        <f>INDEX(Produits!$C:$C,MATCH(H3798,Produits!$A:$A,0))</f>
        <v>Informatique</v>
      </c>
      <c r="Q3798" s="3">
        <f>I3798*INDEX(Produits!$E:$E,MATCH(H3798,Produits!$A:$A,0))</f>
        <v>300.96</v>
      </c>
      <c r="R3798" s="3">
        <f>L3798-Q3798</f>
        <v>95.04000000000002</v>
      </c>
      <c r="S3798" s="2">
        <f>NETWORKDAYS(B3798,C3798)-1</f>
        <v>3</v>
      </c>
      <c r="T3798" s="1">
        <f>WORKDAY(B3798,5)</f>
        <v>45701</v>
      </c>
      <c r="U3798" t="b">
        <f>C3798&gt;T3798</f>
        <v>0</v>
      </c>
    </row>
    <row r="3799" spans="1:21" x14ac:dyDescent="0.25">
      <c r="A3799" t="s">
        <v>2236</v>
      </c>
      <c r="B3799" s="1">
        <v>45694</v>
      </c>
      <c r="C3799" s="1">
        <v>45699</v>
      </c>
      <c r="D3799" t="s">
        <v>1343</v>
      </c>
      <c r="E3799" t="s">
        <v>374</v>
      </c>
      <c r="F3799" t="s">
        <v>31</v>
      </c>
      <c r="G3799" t="s">
        <v>186</v>
      </c>
      <c r="H3799" t="s">
        <v>42</v>
      </c>
      <c r="I3799" s="2">
        <v>1</v>
      </c>
      <c r="J3799" s="3">
        <v>55</v>
      </c>
      <c r="K3799" s="4">
        <v>0</v>
      </c>
      <c r="L3799" s="3">
        <v>55</v>
      </c>
      <c r="M3799" t="b">
        <v>1</v>
      </c>
      <c r="N3799" s="2">
        <f>YEAR(B3799)</f>
        <v>2025</v>
      </c>
      <c r="O3799" t="str">
        <f>INDEX(Agences!$C:$C,MATCH(F3799,Agences!$A:$A,0))</f>
        <v>Ouest</v>
      </c>
      <c r="P3799" t="str">
        <f>INDEX(Produits!$C:$C,MATCH(H3799,Produits!$A:$A,0))</f>
        <v>Maintenance</v>
      </c>
      <c r="Q3799" s="3">
        <f>I3799*INDEX(Produits!$E:$E,MATCH(H3799,Produits!$A:$A,0))</f>
        <v>24.75</v>
      </c>
      <c r="R3799" s="3">
        <f>L3799-Q3799</f>
        <v>30.25</v>
      </c>
      <c r="S3799" s="2">
        <f>NETWORKDAYS(B3799,C3799)-1</f>
        <v>3</v>
      </c>
      <c r="T3799" s="1">
        <f>WORKDAY(B3799,5)</f>
        <v>45701</v>
      </c>
      <c r="U3799" t="b">
        <f>C3799&gt;T3799</f>
        <v>0</v>
      </c>
    </row>
    <row r="3800" spans="1:21" x14ac:dyDescent="0.25">
      <c r="A3800" t="s">
        <v>2237</v>
      </c>
      <c r="B3800" s="1">
        <v>45694</v>
      </c>
      <c r="C3800" s="1">
        <v>45698</v>
      </c>
      <c r="D3800" t="s">
        <v>309</v>
      </c>
      <c r="E3800" t="s">
        <v>256</v>
      </c>
      <c r="F3800" t="s">
        <v>88</v>
      </c>
      <c r="G3800" t="s">
        <v>226</v>
      </c>
      <c r="H3800" t="s">
        <v>112</v>
      </c>
      <c r="I3800" s="2">
        <v>2</v>
      </c>
      <c r="J3800" s="3">
        <v>129</v>
      </c>
      <c r="K3800" s="4">
        <v>0.02</v>
      </c>
      <c r="L3800" s="3">
        <v>252.84</v>
      </c>
      <c r="M3800" t="b">
        <v>1</v>
      </c>
      <c r="N3800" s="2">
        <f>YEAR(B3800)</f>
        <v>2025</v>
      </c>
      <c r="O3800" t="str">
        <f>INDEX(Agences!$C:$C,MATCH(F3800,Agences!$A:$A,0))</f>
        <v>Sud-Ouest</v>
      </c>
      <c r="P3800" t="str">
        <f>INDEX(Produits!$C:$C,MATCH(H3800,Produits!$A:$A,0))</f>
        <v>Mobilier</v>
      </c>
      <c r="Q3800" s="3">
        <f>I3800*INDEX(Produits!$E:$E,MATCH(H3800,Produits!$A:$A,0))</f>
        <v>172.86</v>
      </c>
      <c r="R3800" s="3">
        <f>L3800-Q3800</f>
        <v>79.97999999999999</v>
      </c>
      <c r="S3800" s="2">
        <f>NETWORKDAYS(B3800,C3800)-1</f>
        <v>2</v>
      </c>
      <c r="T3800" s="1">
        <f>WORKDAY(B3800,5)</f>
        <v>45701</v>
      </c>
      <c r="U3800" t="b">
        <f>C3800&gt;T3800</f>
        <v>0</v>
      </c>
    </row>
    <row r="3801" spans="1:21" x14ac:dyDescent="0.25">
      <c r="A3801" t="s">
        <v>2237</v>
      </c>
      <c r="B3801" s="1">
        <v>45694</v>
      </c>
      <c r="C3801" s="1">
        <v>45698</v>
      </c>
      <c r="D3801" t="s">
        <v>309</v>
      </c>
      <c r="E3801" t="s">
        <v>256</v>
      </c>
      <c r="F3801" t="s">
        <v>88</v>
      </c>
      <c r="G3801" t="s">
        <v>226</v>
      </c>
      <c r="H3801" t="s">
        <v>27</v>
      </c>
      <c r="I3801" s="2">
        <v>1</v>
      </c>
      <c r="J3801" s="3">
        <v>310</v>
      </c>
      <c r="K3801" s="4">
        <v>0</v>
      </c>
      <c r="L3801" s="3">
        <v>310</v>
      </c>
      <c r="M3801" t="b">
        <v>1</v>
      </c>
      <c r="N3801" s="2">
        <f>YEAR(B3801)</f>
        <v>2025</v>
      </c>
      <c r="O3801" t="str">
        <f>INDEX(Agences!$C:$C,MATCH(F3801,Agences!$A:$A,0))</f>
        <v>Sud-Ouest</v>
      </c>
      <c r="P3801" t="str">
        <f>INDEX(Produits!$C:$C,MATCH(H3801,Produits!$A:$A,0))</f>
        <v>Mobilier</v>
      </c>
      <c r="Q3801" s="3">
        <f>I3801*INDEX(Produits!$E:$E,MATCH(H3801,Produits!$A:$A,0))</f>
        <v>186</v>
      </c>
      <c r="R3801" s="3">
        <f>L3801-Q3801</f>
        <v>124</v>
      </c>
      <c r="S3801" s="2">
        <f>NETWORKDAYS(B3801,C3801)-1</f>
        <v>2</v>
      </c>
      <c r="T3801" s="1">
        <f>WORKDAY(B3801,5)</f>
        <v>45701</v>
      </c>
      <c r="U3801" t="b">
        <f>C3801&gt;T3801</f>
        <v>0</v>
      </c>
    </row>
    <row r="3802" spans="1:21" x14ac:dyDescent="0.25">
      <c r="A3802" t="s">
        <v>2237</v>
      </c>
      <c r="B3802" s="1">
        <v>45694</v>
      </c>
      <c r="C3802" s="1">
        <v>45698</v>
      </c>
      <c r="D3802" t="s">
        <v>309</v>
      </c>
      <c r="E3802" t="s">
        <v>256</v>
      </c>
      <c r="F3802" t="s">
        <v>88</v>
      </c>
      <c r="G3802" t="s">
        <v>226</v>
      </c>
      <c r="H3802" t="s">
        <v>33</v>
      </c>
      <c r="I3802" s="2">
        <v>2</v>
      </c>
      <c r="J3802" s="3">
        <v>219</v>
      </c>
      <c r="K3802" s="4">
        <v>0</v>
      </c>
      <c r="L3802" s="3">
        <v>438</v>
      </c>
      <c r="M3802" t="b">
        <v>1</v>
      </c>
      <c r="N3802" s="2">
        <f>YEAR(B3802)</f>
        <v>2025</v>
      </c>
      <c r="O3802" t="str">
        <f>INDEX(Agences!$C:$C,MATCH(F3802,Agences!$A:$A,0))</f>
        <v>Sud-Ouest</v>
      </c>
      <c r="P3802" t="str">
        <f>INDEX(Produits!$C:$C,MATCH(H3802,Produits!$A:$A,0))</f>
        <v>Informatique</v>
      </c>
      <c r="Q3802" s="3">
        <f>I3802*INDEX(Produits!$E:$E,MATCH(H3802,Produits!$A:$A,0))</f>
        <v>359.16</v>
      </c>
      <c r="R3802" s="3">
        <f>L3802-Q3802</f>
        <v>78.83999999999997</v>
      </c>
      <c r="S3802" s="2">
        <f>NETWORKDAYS(B3802,C3802)-1</f>
        <v>2</v>
      </c>
      <c r="T3802" s="1">
        <f>WORKDAY(B3802,5)</f>
        <v>45701</v>
      </c>
      <c r="U3802" t="b">
        <f>C3802&gt;T3802</f>
        <v>0</v>
      </c>
    </row>
    <row r="3803" spans="1:21" x14ac:dyDescent="0.25">
      <c r="A3803" t="s">
        <v>2238</v>
      </c>
      <c r="B3803" s="1">
        <v>45694</v>
      </c>
      <c r="C3803" s="1">
        <v>45699</v>
      </c>
      <c r="D3803" t="s">
        <v>972</v>
      </c>
      <c r="E3803" t="s">
        <v>316</v>
      </c>
      <c r="F3803" t="s">
        <v>46</v>
      </c>
      <c r="G3803" t="s">
        <v>158</v>
      </c>
      <c r="H3803" t="s">
        <v>64</v>
      </c>
      <c r="I3803" s="2">
        <v>10</v>
      </c>
      <c r="J3803" s="3">
        <v>16.8</v>
      </c>
      <c r="K3803" s="4">
        <v>0</v>
      </c>
      <c r="L3803" s="3">
        <v>168</v>
      </c>
      <c r="M3803" t="b">
        <v>1</v>
      </c>
      <c r="N3803" s="2">
        <f>YEAR(B3803)</f>
        <v>2025</v>
      </c>
      <c r="O3803" t="str">
        <f>INDEX(Agences!$C:$C,MATCH(F3803,Agences!$A:$A,0))</f>
        <v>Est</v>
      </c>
      <c r="P3803" t="str">
        <f>INDEX(Produits!$C:$C,MATCH(H3803,Produits!$A:$A,0))</f>
        <v>Fournitures</v>
      </c>
      <c r="Q3803" s="3">
        <f>I3803*INDEX(Produits!$E:$E,MATCH(H3803,Produits!$A:$A,0))</f>
        <v>87.4</v>
      </c>
      <c r="R3803" s="3">
        <f>L3803-Q3803</f>
        <v>80.6</v>
      </c>
      <c r="S3803" s="2">
        <f>NETWORKDAYS(B3803,C3803)-1</f>
        <v>3</v>
      </c>
      <c r="T3803" s="1">
        <f>WORKDAY(B3803,5)</f>
        <v>45701</v>
      </c>
      <c r="U3803" t="b">
        <f>C3803&gt;T3803</f>
        <v>0</v>
      </c>
    </row>
    <row r="3804" spans="1:21" x14ac:dyDescent="0.25">
      <c r="A3804" t="s">
        <v>2239</v>
      </c>
      <c r="B3804" s="1">
        <v>45693</v>
      </c>
      <c r="C3804" s="1">
        <v>45699</v>
      </c>
      <c r="D3804" t="s">
        <v>190</v>
      </c>
      <c r="E3804" t="s">
        <v>191</v>
      </c>
      <c r="F3804" t="s">
        <v>62</v>
      </c>
      <c r="G3804" t="s">
        <v>106</v>
      </c>
      <c r="H3804" t="s">
        <v>107</v>
      </c>
      <c r="I3804" s="2">
        <v>1</v>
      </c>
      <c r="J3804" s="3">
        <v>99</v>
      </c>
      <c r="K3804" s="4">
        <v>0.02</v>
      </c>
      <c r="L3804" s="3">
        <v>97.02</v>
      </c>
      <c r="M3804" t="b">
        <v>1</v>
      </c>
      <c r="N3804" s="2">
        <f>YEAR(B3804)</f>
        <v>2025</v>
      </c>
      <c r="O3804" t="str">
        <f>INDEX(Agences!$C:$C,MATCH(F3804,Agences!$A:$A,0))</f>
        <v>Méditerranée</v>
      </c>
      <c r="P3804" t="str">
        <f>INDEX(Produits!$C:$C,MATCH(H3804,Produits!$A:$A,0))</f>
        <v>Informatique</v>
      </c>
      <c r="Q3804" s="3">
        <f>I3804*INDEX(Produits!$E:$E,MATCH(H3804,Produits!$A:$A,0))</f>
        <v>75.24</v>
      </c>
      <c r="R3804" s="3">
        <f>L3804-Q3804</f>
        <v>21.78</v>
      </c>
      <c r="S3804" s="2">
        <f>NETWORKDAYS(B3804,C3804)-1</f>
        <v>4</v>
      </c>
      <c r="T3804" s="1">
        <f>WORKDAY(B3804,5)</f>
        <v>45700</v>
      </c>
      <c r="U3804" t="b">
        <f>C3804&gt;T3804</f>
        <v>0</v>
      </c>
    </row>
    <row r="3805" spans="1:21" x14ac:dyDescent="0.25">
      <c r="A3805" t="s">
        <v>2239</v>
      </c>
      <c r="B3805" s="1">
        <v>45693</v>
      </c>
      <c r="C3805" s="1">
        <v>45699</v>
      </c>
      <c r="D3805" t="s">
        <v>190</v>
      </c>
      <c r="E3805" t="s">
        <v>191</v>
      </c>
      <c r="F3805" t="s">
        <v>62</v>
      </c>
      <c r="G3805" t="s">
        <v>106</v>
      </c>
      <c r="H3805" t="s">
        <v>33</v>
      </c>
      <c r="I3805" s="2">
        <v>3</v>
      </c>
      <c r="J3805" s="3">
        <v>219</v>
      </c>
      <c r="K3805" s="4">
        <v>0.05</v>
      </c>
      <c r="L3805" s="3">
        <v>624.15</v>
      </c>
      <c r="M3805" t="b">
        <v>1</v>
      </c>
      <c r="N3805" s="2">
        <f>YEAR(B3805)</f>
        <v>2025</v>
      </c>
      <c r="O3805" t="str">
        <f>INDEX(Agences!$C:$C,MATCH(F3805,Agences!$A:$A,0))</f>
        <v>Méditerranée</v>
      </c>
      <c r="P3805" t="str">
        <f>INDEX(Produits!$C:$C,MATCH(H3805,Produits!$A:$A,0))</f>
        <v>Informatique</v>
      </c>
      <c r="Q3805" s="3">
        <f>I3805*INDEX(Produits!$E:$E,MATCH(H3805,Produits!$A:$A,0))</f>
        <v>538.74</v>
      </c>
      <c r="R3805" s="3">
        <f>L3805-Q3805</f>
        <v>85.40999999999997</v>
      </c>
      <c r="S3805" s="2">
        <f>NETWORKDAYS(B3805,C3805)-1</f>
        <v>4</v>
      </c>
      <c r="T3805" s="1">
        <f>WORKDAY(B3805,5)</f>
        <v>45700</v>
      </c>
      <c r="U3805" t="b">
        <f>C3805&gt;T3805</f>
        <v>0</v>
      </c>
    </row>
    <row r="3806" spans="1:21" x14ac:dyDescent="0.25">
      <c r="A3806" t="s">
        <v>2239</v>
      </c>
      <c r="B3806" s="1">
        <v>45693</v>
      </c>
      <c r="C3806" s="1">
        <v>45699</v>
      </c>
      <c r="D3806" t="s">
        <v>190</v>
      </c>
      <c r="E3806" t="s">
        <v>191</v>
      </c>
      <c r="F3806" t="s">
        <v>62</v>
      </c>
      <c r="G3806" t="s">
        <v>106</v>
      </c>
      <c r="H3806" t="s">
        <v>72</v>
      </c>
      <c r="I3806" s="2">
        <v>4</v>
      </c>
      <c r="J3806" s="3">
        <v>179</v>
      </c>
      <c r="K3806" s="4">
        <v>0</v>
      </c>
      <c r="L3806" s="3">
        <v>716</v>
      </c>
      <c r="M3806" t="b">
        <v>1</v>
      </c>
      <c r="N3806" s="2">
        <f>YEAR(B3806)</f>
        <v>2025</v>
      </c>
      <c r="O3806" t="str">
        <f>INDEX(Agences!$C:$C,MATCH(F3806,Agences!$A:$A,0))</f>
        <v>Méditerranée</v>
      </c>
      <c r="P3806" t="str">
        <f>INDEX(Produits!$C:$C,MATCH(H3806,Produits!$A:$A,0))</f>
        <v>Informatique</v>
      </c>
      <c r="Q3806" s="3">
        <f>I3806*INDEX(Produits!$E:$E,MATCH(H3806,Produits!$A:$A,0))</f>
        <v>587.12</v>
      </c>
      <c r="R3806" s="3">
        <f>L3806-Q3806</f>
        <v>128.88</v>
      </c>
      <c r="S3806" s="2">
        <f>NETWORKDAYS(B3806,C3806)-1</f>
        <v>4</v>
      </c>
      <c r="T3806" s="1">
        <f>WORKDAY(B3806,5)</f>
        <v>45700</v>
      </c>
      <c r="U3806" t="b">
        <f>C3806&gt;T3806</f>
        <v>0</v>
      </c>
    </row>
    <row r="3807" spans="1:21" x14ac:dyDescent="0.25">
      <c r="A3807" t="s">
        <v>2240</v>
      </c>
      <c r="B3807" s="1">
        <v>45693</v>
      </c>
      <c r="C3807" s="1">
        <v>45695</v>
      </c>
      <c r="D3807" t="s">
        <v>988</v>
      </c>
      <c r="E3807" t="s">
        <v>242</v>
      </c>
      <c r="F3807" t="s">
        <v>94</v>
      </c>
      <c r="G3807" t="s">
        <v>95</v>
      </c>
      <c r="H3807" t="s">
        <v>72</v>
      </c>
      <c r="I3807" s="2">
        <v>3</v>
      </c>
      <c r="J3807" s="3">
        <v>179</v>
      </c>
      <c r="K3807" s="4">
        <v>0.05</v>
      </c>
      <c r="L3807" s="3">
        <v>510.15</v>
      </c>
      <c r="M3807" t="b">
        <v>1</v>
      </c>
      <c r="N3807" s="2">
        <f>YEAR(B3807)</f>
        <v>2025</v>
      </c>
      <c r="O3807" t="str">
        <f>INDEX(Agences!$C:$C,MATCH(F3807,Agences!$A:$A,0))</f>
        <v>Méditerranée</v>
      </c>
      <c r="P3807" t="str">
        <f>INDEX(Produits!$C:$C,MATCH(H3807,Produits!$A:$A,0))</f>
        <v>Informatique</v>
      </c>
      <c r="Q3807" s="3">
        <f>I3807*INDEX(Produits!$E:$E,MATCH(H3807,Produits!$A:$A,0))</f>
        <v>440.34000000000003</v>
      </c>
      <c r="R3807" s="3">
        <f>L3807-Q3807</f>
        <v>69.80999999999995</v>
      </c>
      <c r="S3807" s="2">
        <f>NETWORKDAYS(B3807,C3807)-1</f>
        <v>2</v>
      </c>
      <c r="T3807" s="1">
        <f>WORKDAY(B3807,5)</f>
        <v>45700</v>
      </c>
      <c r="U3807" t="b">
        <f>C3807&gt;T3807</f>
        <v>0</v>
      </c>
    </row>
    <row r="3808" spans="1:21" x14ac:dyDescent="0.25">
      <c r="A3808" t="s">
        <v>2240</v>
      </c>
      <c r="B3808" s="1">
        <v>45693</v>
      </c>
      <c r="C3808" s="1">
        <v>45695</v>
      </c>
      <c r="D3808" t="s">
        <v>988</v>
      </c>
      <c r="E3808" t="s">
        <v>242</v>
      </c>
      <c r="F3808" t="s">
        <v>94</v>
      </c>
      <c r="G3808" t="s">
        <v>95</v>
      </c>
      <c r="H3808" t="s">
        <v>42</v>
      </c>
      <c r="I3808" s="2">
        <v>1</v>
      </c>
      <c r="J3808" s="3">
        <v>55</v>
      </c>
      <c r="K3808" s="4">
        <v>0.08</v>
      </c>
      <c r="L3808" s="3">
        <v>50.6</v>
      </c>
      <c r="M3808" t="b">
        <v>1</v>
      </c>
      <c r="N3808" s="2">
        <f>YEAR(B3808)</f>
        <v>2025</v>
      </c>
      <c r="O3808" t="str">
        <f>INDEX(Agences!$C:$C,MATCH(F3808,Agences!$A:$A,0))</f>
        <v>Méditerranée</v>
      </c>
      <c r="P3808" t="str">
        <f>INDEX(Produits!$C:$C,MATCH(H3808,Produits!$A:$A,0))</f>
        <v>Maintenance</v>
      </c>
      <c r="Q3808" s="3">
        <f>I3808*INDEX(Produits!$E:$E,MATCH(H3808,Produits!$A:$A,0))</f>
        <v>24.75</v>
      </c>
      <c r="R3808" s="3">
        <f>L3808-Q3808</f>
        <v>25.85</v>
      </c>
      <c r="S3808" s="2">
        <f>NETWORKDAYS(B3808,C3808)-1</f>
        <v>2</v>
      </c>
      <c r="T3808" s="1">
        <f>WORKDAY(B3808,5)</f>
        <v>45700</v>
      </c>
      <c r="U3808" t="b">
        <f>C3808&gt;T3808</f>
        <v>0</v>
      </c>
    </row>
    <row r="3809" spans="1:21" x14ac:dyDescent="0.25">
      <c r="A3809" t="s">
        <v>2240</v>
      </c>
      <c r="B3809" s="1">
        <v>45693</v>
      </c>
      <c r="C3809" s="1">
        <v>45695</v>
      </c>
      <c r="D3809" t="s">
        <v>988</v>
      </c>
      <c r="E3809" t="s">
        <v>242</v>
      </c>
      <c r="F3809" t="s">
        <v>94</v>
      </c>
      <c r="G3809" t="s">
        <v>95</v>
      </c>
      <c r="H3809" t="s">
        <v>205</v>
      </c>
      <c r="I3809" s="2">
        <v>3</v>
      </c>
      <c r="J3809" s="3">
        <v>359</v>
      </c>
      <c r="K3809" s="4">
        <v>0.08</v>
      </c>
      <c r="L3809" s="3">
        <v>990.84</v>
      </c>
      <c r="M3809" t="b">
        <v>1</v>
      </c>
      <c r="N3809" s="2">
        <f>YEAR(B3809)</f>
        <v>2025</v>
      </c>
      <c r="O3809" t="str">
        <f>INDEX(Agences!$C:$C,MATCH(F3809,Agences!$A:$A,0))</f>
        <v>Méditerranée</v>
      </c>
      <c r="P3809" t="str">
        <f>INDEX(Produits!$C:$C,MATCH(H3809,Produits!$A:$A,0))</f>
        <v>Mobilier</v>
      </c>
      <c r="Q3809" s="3">
        <f>I3809*INDEX(Produits!$E:$E,MATCH(H3809,Produits!$A:$A,0))</f>
        <v>613.89</v>
      </c>
      <c r="R3809" s="3">
        <f>L3809-Q3809</f>
        <v>376.95000000000005</v>
      </c>
      <c r="S3809" s="2">
        <f>NETWORKDAYS(B3809,C3809)-1</f>
        <v>2</v>
      </c>
      <c r="T3809" s="1">
        <f>WORKDAY(B3809,5)</f>
        <v>45700</v>
      </c>
      <c r="U3809" t="b">
        <f>C3809&gt;T3809</f>
        <v>0</v>
      </c>
    </row>
    <row r="3810" spans="1:21" x14ac:dyDescent="0.25">
      <c r="A3810" t="s">
        <v>2240</v>
      </c>
      <c r="B3810" s="1">
        <v>45693</v>
      </c>
      <c r="C3810" s="1">
        <v>45695</v>
      </c>
      <c r="D3810" t="s">
        <v>988</v>
      </c>
      <c r="E3810" t="s">
        <v>242</v>
      </c>
      <c r="F3810" t="s">
        <v>94</v>
      </c>
      <c r="G3810" t="s">
        <v>95</v>
      </c>
      <c r="H3810" t="s">
        <v>112</v>
      </c>
      <c r="I3810" s="2">
        <v>2</v>
      </c>
      <c r="J3810" s="3">
        <v>129</v>
      </c>
      <c r="K3810" s="4">
        <v>0</v>
      </c>
      <c r="L3810" s="3">
        <v>258</v>
      </c>
      <c r="M3810" t="b">
        <v>1</v>
      </c>
      <c r="N3810" s="2">
        <f>YEAR(B3810)</f>
        <v>2025</v>
      </c>
      <c r="O3810" t="str">
        <f>INDEX(Agences!$C:$C,MATCH(F3810,Agences!$A:$A,0))</f>
        <v>Méditerranée</v>
      </c>
      <c r="P3810" t="str">
        <f>INDEX(Produits!$C:$C,MATCH(H3810,Produits!$A:$A,0))</f>
        <v>Mobilier</v>
      </c>
      <c r="Q3810" s="3">
        <f>I3810*INDEX(Produits!$E:$E,MATCH(H3810,Produits!$A:$A,0))</f>
        <v>172.86</v>
      </c>
      <c r="R3810" s="3">
        <f>L3810-Q3810</f>
        <v>85.13999999999999</v>
      </c>
      <c r="S3810" s="2">
        <f>NETWORKDAYS(B3810,C3810)-1</f>
        <v>2</v>
      </c>
      <c r="T3810" s="1">
        <f>WORKDAY(B3810,5)</f>
        <v>45700</v>
      </c>
      <c r="U3810" t="b">
        <f>C3810&gt;T3810</f>
        <v>0</v>
      </c>
    </row>
    <row r="3811" spans="1:21" x14ac:dyDescent="0.25">
      <c r="A3811" t="s">
        <v>2240</v>
      </c>
      <c r="B3811" s="1">
        <v>45693</v>
      </c>
      <c r="C3811" s="1">
        <v>45695</v>
      </c>
      <c r="D3811" t="s">
        <v>988</v>
      </c>
      <c r="E3811" t="s">
        <v>242</v>
      </c>
      <c r="F3811" t="s">
        <v>94</v>
      </c>
      <c r="G3811" t="s">
        <v>95</v>
      </c>
      <c r="H3811" t="s">
        <v>64</v>
      </c>
      <c r="I3811" s="2">
        <v>5</v>
      </c>
      <c r="J3811" s="3">
        <v>16.8</v>
      </c>
      <c r="K3811" s="4">
        <v>0</v>
      </c>
      <c r="L3811" s="3">
        <v>84</v>
      </c>
      <c r="M3811" t="b">
        <v>1</v>
      </c>
      <c r="N3811" s="2">
        <f>YEAR(B3811)</f>
        <v>2025</v>
      </c>
      <c r="O3811" t="str">
        <f>INDEX(Agences!$C:$C,MATCH(F3811,Agences!$A:$A,0))</f>
        <v>Méditerranée</v>
      </c>
      <c r="P3811" t="str">
        <f>INDEX(Produits!$C:$C,MATCH(H3811,Produits!$A:$A,0))</f>
        <v>Fournitures</v>
      </c>
      <c r="Q3811" s="3">
        <f>I3811*INDEX(Produits!$E:$E,MATCH(H3811,Produits!$A:$A,0))</f>
        <v>43.7</v>
      </c>
      <c r="R3811" s="3">
        <f>L3811-Q3811</f>
        <v>40.3</v>
      </c>
      <c r="S3811" s="2">
        <f>NETWORKDAYS(B3811,C3811)-1</f>
        <v>2</v>
      </c>
      <c r="T3811" s="1">
        <f>WORKDAY(B3811,5)</f>
        <v>45700</v>
      </c>
      <c r="U3811" t="b">
        <f>C3811&gt;T3811</f>
        <v>0</v>
      </c>
    </row>
    <row r="3812" spans="1:21" x14ac:dyDescent="0.25">
      <c r="A3812" t="s">
        <v>2241</v>
      </c>
      <c r="B3812" s="1">
        <v>45692</v>
      </c>
      <c r="C3812" s="1">
        <v>45694</v>
      </c>
      <c r="D3812" t="s">
        <v>264</v>
      </c>
      <c r="E3812" t="s">
        <v>98</v>
      </c>
      <c r="F3812" t="s">
        <v>99</v>
      </c>
      <c r="G3812" t="s">
        <v>265</v>
      </c>
      <c r="H3812" t="s">
        <v>35</v>
      </c>
      <c r="I3812" s="2">
        <v>1</v>
      </c>
      <c r="J3812" s="3">
        <v>79</v>
      </c>
      <c r="K3812" s="4">
        <v>0.02</v>
      </c>
      <c r="L3812" s="3">
        <v>77.42</v>
      </c>
      <c r="M3812" t="b">
        <v>1</v>
      </c>
      <c r="N3812" s="2">
        <f>YEAR(B3812)</f>
        <v>2025</v>
      </c>
      <c r="O3812" t="str">
        <f>INDEX(Agences!$C:$C,MATCH(F3812,Agences!$A:$A,0))</f>
        <v>Nord</v>
      </c>
      <c r="P3812" t="str">
        <f>INDEX(Produits!$C:$C,MATCH(H3812,Produits!$A:$A,0))</f>
        <v>Mobilier</v>
      </c>
      <c r="Q3812" s="3">
        <f>I3812*INDEX(Produits!$E:$E,MATCH(H3812,Produits!$A:$A,0))</f>
        <v>46.61</v>
      </c>
      <c r="R3812" s="3">
        <f>L3812-Q3812</f>
        <v>30.810000000000002</v>
      </c>
      <c r="S3812" s="2">
        <f>NETWORKDAYS(B3812,C3812)-1</f>
        <v>2</v>
      </c>
      <c r="T3812" s="1">
        <f>WORKDAY(B3812,5)</f>
        <v>45699</v>
      </c>
      <c r="U3812" t="b">
        <f>C3812&gt;T3812</f>
        <v>0</v>
      </c>
    </row>
    <row r="3813" spans="1:21" x14ac:dyDescent="0.25">
      <c r="A3813" t="s">
        <v>2241</v>
      </c>
      <c r="B3813" s="1">
        <v>45692</v>
      </c>
      <c r="C3813" s="1">
        <v>45694</v>
      </c>
      <c r="D3813" t="s">
        <v>264</v>
      </c>
      <c r="E3813" t="s">
        <v>98</v>
      </c>
      <c r="F3813" t="s">
        <v>99</v>
      </c>
      <c r="G3813" t="s">
        <v>265</v>
      </c>
      <c r="H3813" t="s">
        <v>112</v>
      </c>
      <c r="I3813" s="2">
        <v>1</v>
      </c>
      <c r="J3813" s="3">
        <v>129</v>
      </c>
      <c r="K3813" s="4">
        <v>0</v>
      </c>
      <c r="L3813" s="3">
        <v>129</v>
      </c>
      <c r="M3813" t="b">
        <v>1</v>
      </c>
      <c r="N3813" s="2">
        <f>YEAR(B3813)</f>
        <v>2025</v>
      </c>
      <c r="O3813" t="str">
        <f>INDEX(Agences!$C:$C,MATCH(F3813,Agences!$A:$A,0))</f>
        <v>Nord</v>
      </c>
      <c r="P3813" t="str">
        <f>INDEX(Produits!$C:$C,MATCH(H3813,Produits!$A:$A,0))</f>
        <v>Mobilier</v>
      </c>
      <c r="Q3813" s="3">
        <f>I3813*INDEX(Produits!$E:$E,MATCH(H3813,Produits!$A:$A,0))</f>
        <v>86.43</v>
      </c>
      <c r="R3813" s="3">
        <f>L3813-Q3813</f>
        <v>42.56999999999999</v>
      </c>
      <c r="S3813" s="2">
        <f>NETWORKDAYS(B3813,C3813)-1</f>
        <v>2</v>
      </c>
      <c r="T3813" s="1">
        <f>WORKDAY(B3813,5)</f>
        <v>45699</v>
      </c>
      <c r="U3813" t="b">
        <f>C3813&gt;T3813</f>
        <v>0</v>
      </c>
    </row>
    <row r="3814" spans="1:21" x14ac:dyDescent="0.25">
      <c r="A3814" t="s">
        <v>2242</v>
      </c>
      <c r="B3814" s="1">
        <v>45692</v>
      </c>
      <c r="C3814" s="1">
        <v>45694</v>
      </c>
      <c r="D3814" t="s">
        <v>1643</v>
      </c>
      <c r="E3814" t="s">
        <v>137</v>
      </c>
      <c r="F3814" t="s">
        <v>138</v>
      </c>
      <c r="G3814" t="s">
        <v>220</v>
      </c>
      <c r="H3814" t="s">
        <v>83</v>
      </c>
      <c r="I3814" s="2">
        <v>2</v>
      </c>
      <c r="J3814" s="3">
        <v>49</v>
      </c>
      <c r="K3814" s="4">
        <v>0.08</v>
      </c>
      <c r="L3814" s="3">
        <v>90.16</v>
      </c>
      <c r="M3814" t="b">
        <v>1</v>
      </c>
      <c r="N3814" s="2">
        <f>YEAR(B3814)</f>
        <v>2025</v>
      </c>
      <c r="O3814" t="str">
        <f>INDEX(Agences!$C:$C,MATCH(F3814,Agences!$A:$A,0))</f>
        <v>Île-de-France</v>
      </c>
      <c r="P3814" t="str">
        <f>INDEX(Produits!$C:$C,MATCH(H3814,Produits!$A:$A,0))</f>
        <v>Mobilier</v>
      </c>
      <c r="Q3814" s="3">
        <f>I3814*INDEX(Produits!$E:$E,MATCH(H3814,Produits!$A:$A,0))</f>
        <v>56.84</v>
      </c>
      <c r="R3814" s="3">
        <f>L3814-Q3814</f>
        <v>33.31999999999999</v>
      </c>
      <c r="S3814" s="2">
        <f>NETWORKDAYS(B3814,C3814)-1</f>
        <v>2</v>
      </c>
      <c r="T3814" s="1">
        <f>WORKDAY(B3814,5)</f>
        <v>45699</v>
      </c>
      <c r="U3814" t="b">
        <f>C3814&gt;T3814</f>
        <v>0</v>
      </c>
    </row>
    <row r="3815" spans="1:21" x14ac:dyDescent="0.25">
      <c r="A3815" t="s">
        <v>2242</v>
      </c>
      <c r="B3815" s="1">
        <v>45692</v>
      </c>
      <c r="C3815" s="1">
        <v>45694</v>
      </c>
      <c r="D3815" t="s">
        <v>1643</v>
      </c>
      <c r="E3815" t="s">
        <v>137</v>
      </c>
      <c r="F3815" t="s">
        <v>138</v>
      </c>
      <c r="G3815" t="s">
        <v>220</v>
      </c>
      <c r="H3815" t="s">
        <v>103</v>
      </c>
      <c r="I3815" s="2">
        <v>3</v>
      </c>
      <c r="J3815" s="3">
        <v>245</v>
      </c>
      <c r="K3815" s="4">
        <v>0</v>
      </c>
      <c r="L3815" s="3">
        <v>735</v>
      </c>
      <c r="M3815" t="b">
        <v>1</v>
      </c>
      <c r="N3815" s="2">
        <f>YEAR(B3815)</f>
        <v>2025</v>
      </c>
      <c r="O3815" t="str">
        <f>INDEX(Agences!$C:$C,MATCH(F3815,Agences!$A:$A,0))</f>
        <v>Île-de-France</v>
      </c>
      <c r="P3815" t="str">
        <f>INDEX(Produits!$C:$C,MATCH(H3815,Produits!$A:$A,0))</f>
        <v>Mobilier</v>
      </c>
      <c r="Q3815" s="3">
        <f>I3815*INDEX(Produits!$E:$E,MATCH(H3815,Produits!$A:$A,0))</f>
        <v>492.45000000000005</v>
      </c>
      <c r="R3815" s="3">
        <f>L3815-Q3815</f>
        <v>242.54999999999995</v>
      </c>
      <c r="S3815" s="2">
        <f>NETWORKDAYS(B3815,C3815)-1</f>
        <v>2</v>
      </c>
      <c r="T3815" s="1">
        <f>WORKDAY(B3815,5)</f>
        <v>45699</v>
      </c>
      <c r="U3815" t="b">
        <f>C3815&gt;T3815</f>
        <v>0</v>
      </c>
    </row>
    <row r="3816" spans="1:21" x14ac:dyDescent="0.25">
      <c r="A3816" t="s">
        <v>2243</v>
      </c>
      <c r="B3816" s="1">
        <v>45692</v>
      </c>
      <c r="C3816" s="1">
        <v>45695</v>
      </c>
      <c r="D3816" t="s">
        <v>74</v>
      </c>
      <c r="E3816" t="s">
        <v>75</v>
      </c>
      <c r="F3816" t="s">
        <v>76</v>
      </c>
      <c r="G3816" t="s">
        <v>176</v>
      </c>
      <c r="H3816" t="s">
        <v>42</v>
      </c>
      <c r="I3816" s="2">
        <v>2</v>
      </c>
      <c r="J3816" s="3">
        <v>55</v>
      </c>
      <c r="K3816" s="4">
        <v>0</v>
      </c>
      <c r="L3816" s="3">
        <v>110</v>
      </c>
      <c r="M3816" t="b">
        <v>1</v>
      </c>
      <c r="N3816" s="2">
        <f>YEAR(B3816)</f>
        <v>2025</v>
      </c>
      <c r="O3816" t="str">
        <f>INDEX(Agences!$C:$C,MATCH(F3816,Agences!$A:$A,0))</f>
        <v>Île-de-France</v>
      </c>
      <c r="P3816" t="str">
        <f>INDEX(Produits!$C:$C,MATCH(H3816,Produits!$A:$A,0))</f>
        <v>Maintenance</v>
      </c>
      <c r="Q3816" s="3">
        <f>I3816*INDEX(Produits!$E:$E,MATCH(H3816,Produits!$A:$A,0))</f>
        <v>49.5</v>
      </c>
      <c r="R3816" s="3">
        <f>L3816-Q3816</f>
        <v>60.5</v>
      </c>
      <c r="S3816" s="2">
        <f>NETWORKDAYS(B3816,C3816)-1</f>
        <v>3</v>
      </c>
      <c r="T3816" s="1">
        <f>WORKDAY(B3816,5)</f>
        <v>45699</v>
      </c>
      <c r="U3816" t="b">
        <f>C3816&gt;T3816</f>
        <v>0</v>
      </c>
    </row>
    <row r="3817" spans="1:21" x14ac:dyDescent="0.25">
      <c r="A3817" t="s">
        <v>2243</v>
      </c>
      <c r="B3817" s="1">
        <v>45692</v>
      </c>
      <c r="C3817" s="1">
        <v>45695</v>
      </c>
      <c r="D3817" t="s">
        <v>74</v>
      </c>
      <c r="E3817" t="s">
        <v>75</v>
      </c>
      <c r="F3817" t="s">
        <v>76</v>
      </c>
      <c r="G3817" t="s">
        <v>176</v>
      </c>
      <c r="H3817" t="s">
        <v>83</v>
      </c>
      <c r="I3817" s="2">
        <v>1</v>
      </c>
      <c r="J3817" s="3">
        <v>49</v>
      </c>
      <c r="K3817" s="4">
        <v>0</v>
      </c>
      <c r="L3817" s="3">
        <v>49</v>
      </c>
      <c r="M3817" t="b">
        <v>1</v>
      </c>
      <c r="N3817" s="2">
        <f>YEAR(B3817)</f>
        <v>2025</v>
      </c>
      <c r="O3817" t="str">
        <f>INDEX(Agences!$C:$C,MATCH(F3817,Agences!$A:$A,0))</f>
        <v>Île-de-France</v>
      </c>
      <c r="P3817" t="str">
        <f>INDEX(Produits!$C:$C,MATCH(H3817,Produits!$A:$A,0))</f>
        <v>Mobilier</v>
      </c>
      <c r="Q3817" s="3">
        <f>I3817*INDEX(Produits!$E:$E,MATCH(H3817,Produits!$A:$A,0))</f>
        <v>28.42</v>
      </c>
      <c r="R3817" s="3">
        <f>L3817-Q3817</f>
        <v>20.58</v>
      </c>
      <c r="S3817" s="2">
        <f>NETWORKDAYS(B3817,C3817)-1</f>
        <v>3</v>
      </c>
      <c r="T3817" s="1">
        <f>WORKDAY(B3817,5)</f>
        <v>45699</v>
      </c>
      <c r="U3817" t="b">
        <f>C3817&gt;T3817</f>
        <v>0</v>
      </c>
    </row>
    <row r="3818" spans="1:21" x14ac:dyDescent="0.25">
      <c r="A3818" t="s">
        <v>2244</v>
      </c>
      <c r="B3818" s="1">
        <v>45692</v>
      </c>
      <c r="C3818" s="1">
        <v>45694</v>
      </c>
      <c r="D3818" t="s">
        <v>1628</v>
      </c>
      <c r="E3818" t="s">
        <v>251</v>
      </c>
      <c r="F3818" t="s">
        <v>166</v>
      </c>
      <c r="G3818" t="s">
        <v>167</v>
      </c>
      <c r="H3818" t="s">
        <v>83</v>
      </c>
      <c r="I3818" s="2">
        <v>2</v>
      </c>
      <c r="J3818" s="3">
        <v>49</v>
      </c>
      <c r="K3818" s="4">
        <v>0.05</v>
      </c>
      <c r="L3818" s="3">
        <v>93.1</v>
      </c>
      <c r="M3818" t="b">
        <v>1</v>
      </c>
      <c r="N3818" s="2">
        <f>YEAR(B3818)</f>
        <v>2025</v>
      </c>
      <c r="O3818" t="str">
        <f>INDEX(Agences!$C:$C,MATCH(F3818,Agences!$A:$A,0))</f>
        <v>Ouest</v>
      </c>
      <c r="P3818" t="str">
        <f>INDEX(Produits!$C:$C,MATCH(H3818,Produits!$A:$A,0))</f>
        <v>Mobilier</v>
      </c>
      <c r="Q3818" s="3">
        <f>I3818*INDEX(Produits!$E:$E,MATCH(H3818,Produits!$A:$A,0))</f>
        <v>56.84</v>
      </c>
      <c r="R3818" s="3">
        <f>L3818-Q3818</f>
        <v>36.25999999999999</v>
      </c>
      <c r="S3818" s="2">
        <f>NETWORKDAYS(B3818,C3818)-1</f>
        <v>2</v>
      </c>
      <c r="T3818" s="1">
        <f>WORKDAY(B3818,5)</f>
        <v>45699</v>
      </c>
      <c r="U3818" t="b">
        <f>C3818&gt;T3818</f>
        <v>0</v>
      </c>
    </row>
    <row r="3819" spans="1:21" x14ac:dyDescent="0.25">
      <c r="A3819" t="s">
        <v>2244</v>
      </c>
      <c r="B3819" s="1">
        <v>45692</v>
      </c>
      <c r="C3819" s="1">
        <v>45694</v>
      </c>
      <c r="D3819" t="s">
        <v>1628</v>
      </c>
      <c r="E3819" t="s">
        <v>251</v>
      </c>
      <c r="F3819" t="s">
        <v>166</v>
      </c>
      <c r="G3819" t="s">
        <v>167</v>
      </c>
      <c r="H3819" t="s">
        <v>35</v>
      </c>
      <c r="I3819" s="2">
        <v>3</v>
      </c>
      <c r="J3819" s="3">
        <v>79</v>
      </c>
      <c r="K3819" s="4">
        <v>0.05</v>
      </c>
      <c r="L3819" s="3">
        <v>225.15</v>
      </c>
      <c r="M3819" t="b">
        <v>1</v>
      </c>
      <c r="N3819" s="2">
        <f>YEAR(B3819)</f>
        <v>2025</v>
      </c>
      <c r="O3819" t="str">
        <f>INDEX(Agences!$C:$C,MATCH(F3819,Agences!$A:$A,0))</f>
        <v>Ouest</v>
      </c>
      <c r="P3819" t="str">
        <f>INDEX(Produits!$C:$C,MATCH(H3819,Produits!$A:$A,0))</f>
        <v>Mobilier</v>
      </c>
      <c r="Q3819" s="3">
        <f>I3819*INDEX(Produits!$E:$E,MATCH(H3819,Produits!$A:$A,0))</f>
        <v>139.82999999999998</v>
      </c>
      <c r="R3819" s="3">
        <f>L3819-Q3819</f>
        <v>85.32000000000002</v>
      </c>
      <c r="S3819" s="2">
        <f>NETWORKDAYS(B3819,C3819)-1</f>
        <v>2</v>
      </c>
      <c r="T3819" s="1">
        <f>WORKDAY(B3819,5)</f>
        <v>45699</v>
      </c>
      <c r="U3819" t="b">
        <f>C3819&gt;T3819</f>
        <v>0</v>
      </c>
    </row>
    <row r="3820" spans="1:21" x14ac:dyDescent="0.25">
      <c r="A3820" t="s">
        <v>2244</v>
      </c>
      <c r="B3820" s="1">
        <v>45692</v>
      </c>
      <c r="C3820" s="1">
        <v>45694</v>
      </c>
      <c r="D3820" t="s">
        <v>1628</v>
      </c>
      <c r="E3820" t="s">
        <v>251</v>
      </c>
      <c r="F3820" t="s">
        <v>166</v>
      </c>
      <c r="G3820" t="s">
        <v>167</v>
      </c>
      <c r="H3820" t="s">
        <v>127</v>
      </c>
      <c r="I3820" s="2">
        <v>1</v>
      </c>
      <c r="J3820" s="3">
        <v>649</v>
      </c>
      <c r="K3820" s="4">
        <v>0</v>
      </c>
      <c r="L3820" s="3">
        <v>649</v>
      </c>
      <c r="M3820" t="b">
        <v>1</v>
      </c>
      <c r="N3820" s="2">
        <f>YEAR(B3820)</f>
        <v>2025</v>
      </c>
      <c r="O3820" t="str">
        <f>INDEX(Agences!$C:$C,MATCH(F3820,Agences!$A:$A,0))</f>
        <v>Ouest</v>
      </c>
      <c r="P3820" t="str">
        <f>INDEX(Produits!$C:$C,MATCH(H3820,Produits!$A:$A,0))</f>
        <v>Informatique</v>
      </c>
      <c r="Q3820" s="3">
        <f>I3820*INDEX(Produits!$E:$E,MATCH(H3820,Produits!$A:$A,0))</f>
        <v>480.26</v>
      </c>
      <c r="R3820" s="3">
        <f>L3820-Q3820</f>
        <v>168.74</v>
      </c>
      <c r="S3820" s="2">
        <f>NETWORKDAYS(B3820,C3820)-1</f>
        <v>2</v>
      </c>
      <c r="T3820" s="1">
        <f>WORKDAY(B3820,5)</f>
        <v>45699</v>
      </c>
      <c r="U3820" t="b">
        <f>C3820&gt;T3820</f>
        <v>0</v>
      </c>
    </row>
    <row r="3821" spans="1:21" x14ac:dyDescent="0.25">
      <c r="A3821" t="s">
        <v>2244</v>
      </c>
      <c r="B3821" s="1">
        <v>45692</v>
      </c>
      <c r="C3821" s="1">
        <v>45694</v>
      </c>
      <c r="D3821" t="s">
        <v>1628</v>
      </c>
      <c r="E3821" t="s">
        <v>251</v>
      </c>
      <c r="F3821" t="s">
        <v>166</v>
      </c>
      <c r="G3821" t="s">
        <v>167</v>
      </c>
      <c r="H3821" t="s">
        <v>42</v>
      </c>
      <c r="I3821" s="2">
        <v>1</v>
      </c>
      <c r="J3821" s="3">
        <v>55</v>
      </c>
      <c r="K3821" s="4">
        <v>0.08</v>
      </c>
      <c r="L3821" s="3">
        <v>50.6</v>
      </c>
      <c r="M3821" t="b">
        <v>1</v>
      </c>
      <c r="N3821" s="2">
        <f>YEAR(B3821)</f>
        <v>2025</v>
      </c>
      <c r="O3821" t="str">
        <f>INDEX(Agences!$C:$C,MATCH(F3821,Agences!$A:$A,0))</f>
        <v>Ouest</v>
      </c>
      <c r="P3821" t="str">
        <f>INDEX(Produits!$C:$C,MATCH(H3821,Produits!$A:$A,0))</f>
        <v>Maintenance</v>
      </c>
      <c r="Q3821" s="3">
        <f>I3821*INDEX(Produits!$E:$E,MATCH(H3821,Produits!$A:$A,0))</f>
        <v>24.75</v>
      </c>
      <c r="R3821" s="3">
        <f>L3821-Q3821</f>
        <v>25.85</v>
      </c>
      <c r="S3821" s="2">
        <f>NETWORKDAYS(B3821,C3821)-1</f>
        <v>2</v>
      </c>
      <c r="T3821" s="1">
        <f>WORKDAY(B3821,5)</f>
        <v>45699</v>
      </c>
      <c r="U3821" t="b">
        <f>C3821&gt;T3821</f>
        <v>0</v>
      </c>
    </row>
    <row r="3822" spans="1:21" x14ac:dyDescent="0.25">
      <c r="A3822" t="s">
        <v>2245</v>
      </c>
      <c r="B3822" s="1">
        <v>45692</v>
      </c>
      <c r="C3822" s="1">
        <v>45693</v>
      </c>
      <c r="D3822" t="s">
        <v>2246</v>
      </c>
      <c r="E3822" t="s">
        <v>374</v>
      </c>
      <c r="F3822" t="s">
        <v>31</v>
      </c>
      <c r="G3822" t="s">
        <v>375</v>
      </c>
      <c r="H3822" t="s">
        <v>42</v>
      </c>
      <c r="I3822" s="2">
        <v>1</v>
      </c>
      <c r="J3822" s="3">
        <v>55</v>
      </c>
      <c r="K3822" s="4">
        <v>0.08</v>
      </c>
      <c r="L3822" s="3">
        <v>50.6</v>
      </c>
      <c r="M3822" t="b">
        <v>1</v>
      </c>
      <c r="N3822" s="2">
        <f>YEAR(B3822)</f>
        <v>2025</v>
      </c>
      <c r="O3822" t="str">
        <f>INDEX(Agences!$C:$C,MATCH(F3822,Agences!$A:$A,0))</f>
        <v>Ouest</v>
      </c>
      <c r="P3822" t="str">
        <f>INDEX(Produits!$C:$C,MATCH(H3822,Produits!$A:$A,0))</f>
        <v>Maintenance</v>
      </c>
      <c r="Q3822" s="3">
        <f>I3822*INDEX(Produits!$E:$E,MATCH(H3822,Produits!$A:$A,0))</f>
        <v>24.75</v>
      </c>
      <c r="R3822" s="3">
        <f>L3822-Q3822</f>
        <v>25.85</v>
      </c>
      <c r="S3822" s="2">
        <f>NETWORKDAYS(B3822,C3822)-1</f>
        <v>1</v>
      </c>
      <c r="T3822" s="1">
        <f>WORKDAY(B3822,5)</f>
        <v>45699</v>
      </c>
      <c r="U3822" t="b">
        <f>C3822&gt;T3822</f>
        <v>0</v>
      </c>
    </row>
    <row r="3823" spans="1:21" x14ac:dyDescent="0.25">
      <c r="A3823" t="s">
        <v>2247</v>
      </c>
      <c r="B3823" s="1">
        <v>45692</v>
      </c>
      <c r="C3823" s="1">
        <v>45694</v>
      </c>
      <c r="D3823" t="s">
        <v>832</v>
      </c>
      <c r="E3823" t="s">
        <v>256</v>
      </c>
      <c r="F3823" t="s">
        <v>88</v>
      </c>
      <c r="G3823" t="s">
        <v>142</v>
      </c>
      <c r="H3823" t="s">
        <v>79</v>
      </c>
      <c r="I3823" s="2">
        <v>15</v>
      </c>
      <c r="J3823" s="3">
        <v>14.9</v>
      </c>
      <c r="K3823" s="4">
        <v>0</v>
      </c>
      <c r="L3823" s="3">
        <v>223.5</v>
      </c>
      <c r="M3823" t="b">
        <v>1</v>
      </c>
      <c r="N3823" s="2">
        <f>YEAR(B3823)</f>
        <v>2025</v>
      </c>
      <c r="O3823" t="str">
        <f>INDEX(Agences!$C:$C,MATCH(F3823,Agences!$A:$A,0))</f>
        <v>Sud-Ouest</v>
      </c>
      <c r="P3823" t="str">
        <f>INDEX(Produits!$C:$C,MATCH(H3823,Produits!$A:$A,0))</f>
        <v>Fournitures</v>
      </c>
      <c r="Q3823" s="3">
        <f>I3823*INDEX(Produits!$E:$E,MATCH(H3823,Produits!$A:$A,0))</f>
        <v>120.75000000000001</v>
      </c>
      <c r="R3823" s="3">
        <f>L3823-Q3823</f>
        <v>102.74999999999999</v>
      </c>
      <c r="S3823" s="2">
        <f>NETWORKDAYS(B3823,C3823)-1</f>
        <v>2</v>
      </c>
      <c r="T3823" s="1">
        <f>WORKDAY(B3823,5)</f>
        <v>45699</v>
      </c>
      <c r="U3823" t="b">
        <f>C3823&gt;T3823</f>
        <v>0</v>
      </c>
    </row>
    <row r="3824" spans="1:21" x14ac:dyDescent="0.25">
      <c r="A3824" t="s">
        <v>2248</v>
      </c>
      <c r="B3824" s="1">
        <v>45692</v>
      </c>
      <c r="C3824" s="1">
        <v>45693</v>
      </c>
      <c r="D3824" t="s">
        <v>1070</v>
      </c>
      <c r="E3824" t="s">
        <v>384</v>
      </c>
      <c r="F3824" t="s">
        <v>46</v>
      </c>
      <c r="G3824" t="s">
        <v>47</v>
      </c>
      <c r="H3824" t="s">
        <v>42</v>
      </c>
      <c r="I3824" s="2">
        <v>1</v>
      </c>
      <c r="J3824" s="3">
        <v>55</v>
      </c>
      <c r="K3824" s="4">
        <v>0</v>
      </c>
      <c r="L3824" s="3">
        <v>55</v>
      </c>
      <c r="M3824" t="b">
        <v>1</v>
      </c>
      <c r="N3824" s="2">
        <f>YEAR(B3824)</f>
        <v>2025</v>
      </c>
      <c r="O3824" t="str">
        <f>INDEX(Agences!$C:$C,MATCH(F3824,Agences!$A:$A,0))</f>
        <v>Est</v>
      </c>
      <c r="P3824" t="str">
        <f>INDEX(Produits!$C:$C,MATCH(H3824,Produits!$A:$A,0))</f>
        <v>Maintenance</v>
      </c>
      <c r="Q3824" s="3">
        <f>I3824*INDEX(Produits!$E:$E,MATCH(H3824,Produits!$A:$A,0))</f>
        <v>24.75</v>
      </c>
      <c r="R3824" s="3">
        <f>L3824-Q3824</f>
        <v>30.25</v>
      </c>
      <c r="S3824" s="2">
        <f>NETWORKDAYS(B3824,C3824)-1</f>
        <v>1</v>
      </c>
      <c r="T3824" s="1">
        <f>WORKDAY(B3824,5)</f>
        <v>45699</v>
      </c>
      <c r="U3824" t="b">
        <f>C3824&gt;T3824</f>
        <v>0</v>
      </c>
    </row>
    <row r="3825" spans="1:21" x14ac:dyDescent="0.25">
      <c r="A3825" t="s">
        <v>2248</v>
      </c>
      <c r="B3825" s="1">
        <v>45692</v>
      </c>
      <c r="C3825" s="1">
        <v>45693</v>
      </c>
      <c r="D3825" t="s">
        <v>1070</v>
      </c>
      <c r="E3825" t="s">
        <v>384</v>
      </c>
      <c r="F3825" t="s">
        <v>46</v>
      </c>
      <c r="G3825" t="s">
        <v>47</v>
      </c>
      <c r="H3825" t="s">
        <v>49</v>
      </c>
      <c r="I3825" s="2">
        <v>1</v>
      </c>
      <c r="J3825" s="3">
        <v>120</v>
      </c>
      <c r="K3825" s="4">
        <v>0</v>
      </c>
      <c r="L3825" s="3">
        <v>120</v>
      </c>
      <c r="M3825" t="b">
        <v>1</v>
      </c>
      <c r="N3825" s="2">
        <f>YEAR(B3825)</f>
        <v>2025</v>
      </c>
      <c r="O3825" t="str">
        <f>INDEX(Agences!$C:$C,MATCH(F3825,Agences!$A:$A,0))</f>
        <v>Est</v>
      </c>
      <c r="P3825" t="str">
        <f>INDEX(Produits!$C:$C,MATCH(H3825,Produits!$A:$A,0))</f>
        <v>Maintenance</v>
      </c>
      <c r="Q3825" s="3">
        <f>I3825*INDEX(Produits!$E:$E,MATCH(H3825,Produits!$A:$A,0))</f>
        <v>55.2</v>
      </c>
      <c r="R3825" s="3">
        <f>L3825-Q3825</f>
        <v>64.8</v>
      </c>
      <c r="S3825" s="2">
        <f>NETWORKDAYS(B3825,C3825)-1</f>
        <v>1</v>
      </c>
      <c r="T3825" s="1">
        <f>WORKDAY(B3825,5)</f>
        <v>45699</v>
      </c>
      <c r="U3825" t="b">
        <f>C3825&gt;T3825</f>
        <v>0</v>
      </c>
    </row>
    <row r="3826" spans="1:21" x14ac:dyDescent="0.25">
      <c r="A3826" t="s">
        <v>2249</v>
      </c>
      <c r="B3826" s="1">
        <v>45691</v>
      </c>
      <c r="C3826" s="1">
        <v>45694</v>
      </c>
      <c r="D3826" t="s">
        <v>787</v>
      </c>
      <c r="E3826" t="s">
        <v>23</v>
      </c>
      <c r="F3826" t="s">
        <v>24</v>
      </c>
      <c r="G3826" t="s">
        <v>116</v>
      </c>
      <c r="H3826" t="s">
        <v>196</v>
      </c>
      <c r="I3826" s="2">
        <v>10</v>
      </c>
      <c r="J3826" s="3">
        <v>18.5</v>
      </c>
      <c r="K3826" s="4">
        <v>0.08</v>
      </c>
      <c r="L3826" s="3">
        <v>170.2</v>
      </c>
      <c r="M3826" t="b">
        <v>1</v>
      </c>
      <c r="N3826" s="2">
        <f>YEAR(B3826)</f>
        <v>2025</v>
      </c>
      <c r="O3826" t="str">
        <f>INDEX(Agences!$C:$C,MATCH(F3826,Agences!$A:$A,0))</f>
        <v>Nord</v>
      </c>
      <c r="P3826" t="str">
        <f>INDEX(Produits!$C:$C,MATCH(H3826,Produits!$A:$A,0))</f>
        <v>Fournitures</v>
      </c>
      <c r="Q3826" s="3">
        <f>I3826*INDEX(Produits!$E:$E,MATCH(H3826,Produits!$A:$A,0))</f>
        <v>94.39999999999999</v>
      </c>
      <c r="R3826" s="3">
        <f>L3826-Q3826</f>
        <v>75.8</v>
      </c>
      <c r="S3826" s="2">
        <f>NETWORKDAYS(B3826,C3826)-1</f>
        <v>3</v>
      </c>
      <c r="T3826" s="1">
        <f>WORKDAY(B3826,5)</f>
        <v>45698</v>
      </c>
      <c r="U3826" t="b">
        <f>C3826&gt;T3826</f>
        <v>0</v>
      </c>
    </row>
    <row r="3827" spans="1:21" x14ac:dyDescent="0.25">
      <c r="A3827" t="s">
        <v>2249</v>
      </c>
      <c r="B3827" s="1">
        <v>45691</v>
      </c>
      <c r="C3827" s="1">
        <v>45694</v>
      </c>
      <c r="D3827" t="s">
        <v>787</v>
      </c>
      <c r="E3827" t="s">
        <v>23</v>
      </c>
      <c r="F3827" t="s">
        <v>24</v>
      </c>
      <c r="G3827" t="s">
        <v>116</v>
      </c>
      <c r="H3827" t="s">
        <v>42</v>
      </c>
      <c r="I3827" s="2">
        <v>1</v>
      </c>
      <c r="J3827" s="3">
        <v>55</v>
      </c>
      <c r="K3827" s="4">
        <v>0</v>
      </c>
      <c r="L3827" s="3">
        <v>55</v>
      </c>
      <c r="M3827" t="b">
        <v>1</v>
      </c>
      <c r="N3827" s="2">
        <f>YEAR(B3827)</f>
        <v>2025</v>
      </c>
      <c r="O3827" t="str">
        <f>INDEX(Agences!$C:$C,MATCH(F3827,Agences!$A:$A,0))</f>
        <v>Nord</v>
      </c>
      <c r="P3827" t="str">
        <f>INDEX(Produits!$C:$C,MATCH(H3827,Produits!$A:$A,0))</f>
        <v>Maintenance</v>
      </c>
      <c r="Q3827" s="3">
        <f>I3827*INDEX(Produits!$E:$E,MATCH(H3827,Produits!$A:$A,0))</f>
        <v>24.75</v>
      </c>
      <c r="R3827" s="3">
        <f>L3827-Q3827</f>
        <v>30.25</v>
      </c>
      <c r="S3827" s="2">
        <f>NETWORKDAYS(B3827,C3827)-1</f>
        <v>3</v>
      </c>
      <c r="T3827" s="1">
        <f>WORKDAY(B3827,5)</f>
        <v>45698</v>
      </c>
      <c r="U3827" t="b">
        <f>C3827&gt;T3827</f>
        <v>0</v>
      </c>
    </row>
    <row r="3828" spans="1:21" x14ac:dyDescent="0.25">
      <c r="A3828" t="s">
        <v>2249</v>
      </c>
      <c r="B3828" s="1">
        <v>45691</v>
      </c>
      <c r="C3828" s="1">
        <v>45694</v>
      </c>
      <c r="D3828" t="s">
        <v>787</v>
      </c>
      <c r="E3828" t="s">
        <v>23</v>
      </c>
      <c r="F3828" t="s">
        <v>24</v>
      </c>
      <c r="G3828" t="s">
        <v>116</v>
      </c>
      <c r="H3828" t="s">
        <v>83</v>
      </c>
      <c r="I3828" s="2">
        <v>1</v>
      </c>
      <c r="J3828" s="3">
        <v>49</v>
      </c>
      <c r="K3828" s="4">
        <v>0.05</v>
      </c>
      <c r="L3828" s="3">
        <v>46.55</v>
      </c>
      <c r="M3828" t="b">
        <v>1</v>
      </c>
      <c r="N3828" s="2">
        <f>YEAR(B3828)</f>
        <v>2025</v>
      </c>
      <c r="O3828" t="str">
        <f>INDEX(Agences!$C:$C,MATCH(F3828,Agences!$A:$A,0))</f>
        <v>Nord</v>
      </c>
      <c r="P3828" t="str">
        <f>INDEX(Produits!$C:$C,MATCH(H3828,Produits!$A:$A,0))</f>
        <v>Mobilier</v>
      </c>
      <c r="Q3828" s="3">
        <f>I3828*INDEX(Produits!$E:$E,MATCH(H3828,Produits!$A:$A,0))</f>
        <v>28.42</v>
      </c>
      <c r="R3828" s="3">
        <f>L3828-Q3828</f>
        <v>18.129999999999995</v>
      </c>
      <c r="S3828" s="2">
        <f>NETWORKDAYS(B3828,C3828)-1</f>
        <v>3</v>
      </c>
      <c r="T3828" s="1">
        <f>WORKDAY(B3828,5)</f>
        <v>45698</v>
      </c>
      <c r="U3828" t="b">
        <f>C3828&gt;T3828</f>
        <v>0</v>
      </c>
    </row>
    <row r="3829" spans="1:21" x14ac:dyDescent="0.25">
      <c r="A3829" t="s">
        <v>2250</v>
      </c>
      <c r="B3829" s="1">
        <v>45691</v>
      </c>
      <c r="C3829" s="1">
        <v>45693</v>
      </c>
      <c r="D3829" t="s">
        <v>2251</v>
      </c>
      <c r="E3829" t="s">
        <v>122</v>
      </c>
      <c r="F3829" t="s">
        <v>24</v>
      </c>
      <c r="G3829" t="s">
        <v>199</v>
      </c>
      <c r="H3829" t="s">
        <v>42</v>
      </c>
      <c r="I3829" s="2">
        <v>2</v>
      </c>
      <c r="J3829" s="3">
        <v>55</v>
      </c>
      <c r="K3829" s="4">
        <v>0</v>
      </c>
      <c r="L3829" s="3">
        <v>110</v>
      </c>
      <c r="M3829" t="b">
        <v>1</v>
      </c>
      <c r="N3829" s="2">
        <f>YEAR(B3829)</f>
        <v>2025</v>
      </c>
      <c r="O3829" t="str">
        <f>INDEX(Agences!$C:$C,MATCH(F3829,Agences!$A:$A,0))</f>
        <v>Nord</v>
      </c>
      <c r="P3829" t="str">
        <f>INDEX(Produits!$C:$C,MATCH(H3829,Produits!$A:$A,0))</f>
        <v>Maintenance</v>
      </c>
      <c r="Q3829" s="3">
        <f>I3829*INDEX(Produits!$E:$E,MATCH(H3829,Produits!$A:$A,0))</f>
        <v>49.5</v>
      </c>
      <c r="R3829" s="3">
        <f>L3829-Q3829</f>
        <v>60.5</v>
      </c>
      <c r="S3829" s="2">
        <f>NETWORKDAYS(B3829,C3829)-1</f>
        <v>2</v>
      </c>
      <c r="T3829" s="1">
        <f>WORKDAY(B3829,5)</f>
        <v>45698</v>
      </c>
      <c r="U3829" t="b">
        <f>C3829&gt;T3829</f>
        <v>0</v>
      </c>
    </row>
    <row r="3830" spans="1:21" x14ac:dyDescent="0.25">
      <c r="A3830" t="s">
        <v>2250</v>
      </c>
      <c r="B3830" s="1">
        <v>45691</v>
      </c>
      <c r="C3830" s="1">
        <v>45693</v>
      </c>
      <c r="D3830" t="s">
        <v>2251</v>
      </c>
      <c r="E3830" t="s">
        <v>122</v>
      </c>
      <c r="F3830" t="s">
        <v>24</v>
      </c>
      <c r="G3830" t="s">
        <v>199</v>
      </c>
      <c r="H3830" t="s">
        <v>83</v>
      </c>
      <c r="I3830" s="2">
        <v>1</v>
      </c>
      <c r="J3830" s="3">
        <v>49</v>
      </c>
      <c r="K3830" s="4">
        <v>0</v>
      </c>
      <c r="L3830" s="3">
        <v>49</v>
      </c>
      <c r="M3830" t="b">
        <v>1</v>
      </c>
      <c r="N3830" s="2">
        <f>YEAR(B3830)</f>
        <v>2025</v>
      </c>
      <c r="O3830" t="str">
        <f>INDEX(Agences!$C:$C,MATCH(F3830,Agences!$A:$A,0))</f>
        <v>Nord</v>
      </c>
      <c r="P3830" t="str">
        <f>INDEX(Produits!$C:$C,MATCH(H3830,Produits!$A:$A,0))</f>
        <v>Mobilier</v>
      </c>
      <c r="Q3830" s="3">
        <f>I3830*INDEX(Produits!$E:$E,MATCH(H3830,Produits!$A:$A,0))</f>
        <v>28.42</v>
      </c>
      <c r="R3830" s="3">
        <f>L3830-Q3830</f>
        <v>20.58</v>
      </c>
      <c r="S3830" s="2">
        <f>NETWORKDAYS(B3830,C3830)-1</f>
        <v>2</v>
      </c>
      <c r="T3830" s="1">
        <f>WORKDAY(B3830,5)</f>
        <v>45698</v>
      </c>
      <c r="U3830" t="b">
        <f>C3830&gt;T3830</f>
        <v>0</v>
      </c>
    </row>
    <row r="3831" spans="1:21" x14ac:dyDescent="0.25">
      <c r="A3831" t="s">
        <v>2250</v>
      </c>
      <c r="B3831" s="1">
        <v>45691</v>
      </c>
      <c r="C3831" s="1">
        <v>45693</v>
      </c>
      <c r="D3831" t="s">
        <v>2251</v>
      </c>
      <c r="E3831" t="s">
        <v>122</v>
      </c>
      <c r="F3831" t="s">
        <v>24</v>
      </c>
      <c r="G3831" t="s">
        <v>199</v>
      </c>
      <c r="H3831" t="s">
        <v>49</v>
      </c>
      <c r="I3831" s="2">
        <v>2</v>
      </c>
      <c r="J3831" s="3">
        <v>120</v>
      </c>
      <c r="K3831" s="4">
        <v>0.02</v>
      </c>
      <c r="L3831" s="3">
        <v>235.2</v>
      </c>
      <c r="M3831" t="b">
        <v>1</v>
      </c>
      <c r="N3831" s="2">
        <f>YEAR(B3831)</f>
        <v>2025</v>
      </c>
      <c r="O3831" t="str">
        <f>INDEX(Agences!$C:$C,MATCH(F3831,Agences!$A:$A,0))</f>
        <v>Nord</v>
      </c>
      <c r="P3831" t="str">
        <f>INDEX(Produits!$C:$C,MATCH(H3831,Produits!$A:$A,0))</f>
        <v>Maintenance</v>
      </c>
      <c r="Q3831" s="3">
        <f>I3831*INDEX(Produits!$E:$E,MATCH(H3831,Produits!$A:$A,0))</f>
        <v>110.4</v>
      </c>
      <c r="R3831" s="3">
        <f>L3831-Q3831</f>
        <v>124.79999999999998</v>
      </c>
      <c r="S3831" s="2">
        <f>NETWORKDAYS(B3831,C3831)-1</f>
        <v>2</v>
      </c>
      <c r="T3831" s="1">
        <f>WORKDAY(B3831,5)</f>
        <v>45698</v>
      </c>
      <c r="U3831" t="b">
        <f>C3831&gt;T3831</f>
        <v>0</v>
      </c>
    </row>
    <row r="3832" spans="1:21" x14ac:dyDescent="0.25">
      <c r="A3832" t="s">
        <v>2250</v>
      </c>
      <c r="B3832" s="1">
        <v>45691</v>
      </c>
      <c r="C3832" s="1">
        <v>45693</v>
      </c>
      <c r="D3832" t="s">
        <v>2251</v>
      </c>
      <c r="E3832" t="s">
        <v>122</v>
      </c>
      <c r="F3832" t="s">
        <v>24</v>
      </c>
      <c r="G3832" t="s">
        <v>199</v>
      </c>
      <c r="H3832" t="s">
        <v>51</v>
      </c>
      <c r="I3832" s="2">
        <v>1</v>
      </c>
      <c r="J3832" s="3">
        <v>180</v>
      </c>
      <c r="K3832" s="4">
        <v>0.02</v>
      </c>
      <c r="L3832" s="3">
        <v>176.4</v>
      </c>
      <c r="M3832" t="b">
        <v>1</v>
      </c>
      <c r="N3832" s="2">
        <f>YEAR(B3832)</f>
        <v>2025</v>
      </c>
      <c r="O3832" t="str">
        <f>INDEX(Agences!$C:$C,MATCH(F3832,Agences!$A:$A,0))</f>
        <v>Nord</v>
      </c>
      <c r="P3832" t="str">
        <f>INDEX(Produits!$C:$C,MATCH(H3832,Produits!$A:$A,0))</f>
        <v>Maintenance</v>
      </c>
      <c r="Q3832" s="3">
        <f>I3832*INDEX(Produits!$E:$E,MATCH(H3832,Produits!$A:$A,0))</f>
        <v>82.8</v>
      </c>
      <c r="R3832" s="3">
        <f>L3832-Q3832</f>
        <v>93.60000000000001</v>
      </c>
      <c r="S3832" s="2">
        <f>NETWORKDAYS(B3832,C3832)-1</f>
        <v>2</v>
      </c>
      <c r="T3832" s="1">
        <f>WORKDAY(B3832,5)</f>
        <v>45698</v>
      </c>
      <c r="U3832" t="b">
        <f>C3832&gt;T3832</f>
        <v>0</v>
      </c>
    </row>
    <row r="3833" spans="1:21" x14ac:dyDescent="0.25">
      <c r="A3833" t="s">
        <v>2252</v>
      </c>
      <c r="B3833" s="1">
        <v>45691</v>
      </c>
      <c r="C3833" s="1">
        <v>45695</v>
      </c>
      <c r="D3833" t="s">
        <v>338</v>
      </c>
      <c r="E3833" t="s">
        <v>339</v>
      </c>
      <c r="F3833" t="s">
        <v>31</v>
      </c>
      <c r="G3833" t="s">
        <v>186</v>
      </c>
      <c r="H3833" t="s">
        <v>26</v>
      </c>
      <c r="I3833" s="2">
        <v>1</v>
      </c>
      <c r="J3833" s="3">
        <v>290</v>
      </c>
      <c r="K3833" s="4">
        <v>0</v>
      </c>
      <c r="L3833" s="3">
        <v>290</v>
      </c>
      <c r="M3833" t="b">
        <v>1</v>
      </c>
      <c r="N3833" s="2">
        <f>YEAR(B3833)</f>
        <v>2025</v>
      </c>
      <c r="O3833" t="str">
        <f>INDEX(Agences!$C:$C,MATCH(F3833,Agences!$A:$A,0))</f>
        <v>Ouest</v>
      </c>
      <c r="P3833" t="str">
        <f>INDEX(Produits!$C:$C,MATCH(H3833,Produits!$A:$A,0))</f>
        <v>Maintenance</v>
      </c>
      <c r="Q3833" s="3">
        <f>I3833*INDEX(Produits!$E:$E,MATCH(H3833,Produits!$A:$A,0))</f>
        <v>139.2</v>
      </c>
      <c r="R3833" s="3">
        <f>L3833-Q3833</f>
        <v>150.8</v>
      </c>
      <c r="S3833" s="2">
        <f>NETWORKDAYS(B3833,C3833)-1</f>
        <v>4</v>
      </c>
      <c r="T3833" s="1">
        <f>WORKDAY(B3833,5)</f>
        <v>45698</v>
      </c>
      <c r="U3833" t="b">
        <f>C3833&gt;T3833</f>
        <v>0</v>
      </c>
    </row>
    <row r="3834" spans="1:21" x14ac:dyDescent="0.25">
      <c r="A3834" t="s">
        <v>2253</v>
      </c>
      <c r="B3834" s="1">
        <v>45691</v>
      </c>
      <c r="C3834" s="1">
        <v>45692</v>
      </c>
      <c r="D3834" t="s">
        <v>957</v>
      </c>
      <c r="E3834" t="s">
        <v>38</v>
      </c>
      <c r="F3834" t="s">
        <v>39</v>
      </c>
      <c r="G3834" t="s">
        <v>131</v>
      </c>
      <c r="H3834" t="s">
        <v>83</v>
      </c>
      <c r="I3834" s="2">
        <v>8</v>
      </c>
      <c r="J3834" s="3">
        <v>49</v>
      </c>
      <c r="K3834" s="4">
        <v>0.02</v>
      </c>
      <c r="L3834" s="3">
        <v>384.16</v>
      </c>
      <c r="M3834" t="b">
        <v>1</v>
      </c>
      <c r="N3834" s="2">
        <f>YEAR(B3834)</f>
        <v>2025</v>
      </c>
      <c r="O3834" t="str">
        <f>INDEX(Agences!$C:$C,MATCH(F3834,Agences!$A:$A,0))</f>
        <v>Sud-Ouest</v>
      </c>
      <c r="P3834" t="str">
        <f>INDEX(Produits!$C:$C,MATCH(H3834,Produits!$A:$A,0))</f>
        <v>Mobilier</v>
      </c>
      <c r="Q3834" s="3">
        <f>I3834*INDEX(Produits!$E:$E,MATCH(H3834,Produits!$A:$A,0))</f>
        <v>227.36</v>
      </c>
      <c r="R3834" s="3">
        <f>L3834-Q3834</f>
        <v>156.8</v>
      </c>
      <c r="S3834" s="2">
        <f>NETWORKDAYS(B3834,C3834)-1</f>
        <v>1</v>
      </c>
      <c r="T3834" s="1">
        <f>WORKDAY(B3834,5)</f>
        <v>45698</v>
      </c>
      <c r="U3834" t="b">
        <f>C3834&gt;T3834</f>
        <v>0</v>
      </c>
    </row>
    <row r="3835" spans="1:21" x14ac:dyDescent="0.25">
      <c r="A3835" t="s">
        <v>2253</v>
      </c>
      <c r="B3835" s="1">
        <v>45691</v>
      </c>
      <c r="C3835" s="1">
        <v>45692</v>
      </c>
      <c r="D3835" t="s">
        <v>957</v>
      </c>
      <c r="E3835" t="s">
        <v>38</v>
      </c>
      <c r="F3835" t="s">
        <v>39</v>
      </c>
      <c r="G3835" t="s">
        <v>131</v>
      </c>
      <c r="H3835" t="s">
        <v>161</v>
      </c>
      <c r="I3835" s="2">
        <v>10</v>
      </c>
      <c r="J3835" s="3">
        <v>32</v>
      </c>
      <c r="K3835" s="4">
        <v>0</v>
      </c>
      <c r="L3835" s="3">
        <v>320</v>
      </c>
      <c r="M3835" t="b">
        <v>1</v>
      </c>
      <c r="N3835" s="2">
        <f>YEAR(B3835)</f>
        <v>2025</v>
      </c>
      <c r="O3835" t="str">
        <f>INDEX(Agences!$C:$C,MATCH(F3835,Agences!$A:$A,0))</f>
        <v>Sud-Ouest</v>
      </c>
      <c r="P3835" t="str">
        <f>INDEX(Produits!$C:$C,MATCH(H3835,Produits!$A:$A,0))</f>
        <v>Fournitures</v>
      </c>
      <c r="Q3835" s="3">
        <f>I3835*INDEX(Produits!$E:$E,MATCH(H3835,Produits!$A:$A,0))</f>
        <v>176</v>
      </c>
      <c r="R3835" s="3">
        <f>L3835-Q3835</f>
        <v>144</v>
      </c>
      <c r="S3835" s="2">
        <f>NETWORKDAYS(B3835,C3835)-1</f>
        <v>1</v>
      </c>
      <c r="T3835" s="1">
        <f>WORKDAY(B3835,5)</f>
        <v>45698</v>
      </c>
      <c r="U3835" t="b">
        <f>C3835&gt;T3835</f>
        <v>0</v>
      </c>
    </row>
    <row r="3836" spans="1:21" x14ac:dyDescent="0.25">
      <c r="A3836" t="s">
        <v>2254</v>
      </c>
      <c r="B3836" s="1">
        <v>45691</v>
      </c>
      <c r="C3836" s="1">
        <v>45692</v>
      </c>
      <c r="D3836" t="s">
        <v>446</v>
      </c>
      <c r="E3836" t="s">
        <v>191</v>
      </c>
      <c r="F3836" t="s">
        <v>62</v>
      </c>
      <c r="G3836" t="s">
        <v>68</v>
      </c>
      <c r="H3836" t="s">
        <v>57</v>
      </c>
      <c r="I3836" s="2">
        <v>2</v>
      </c>
      <c r="J3836" s="3">
        <v>149</v>
      </c>
      <c r="K3836" s="4">
        <v>0</v>
      </c>
      <c r="L3836" s="3">
        <v>298</v>
      </c>
      <c r="M3836" t="b">
        <v>1</v>
      </c>
      <c r="N3836" s="2">
        <f>YEAR(B3836)</f>
        <v>2025</v>
      </c>
      <c r="O3836" t="str">
        <f>INDEX(Agences!$C:$C,MATCH(F3836,Agences!$A:$A,0))</f>
        <v>Méditerranée</v>
      </c>
      <c r="P3836" t="str">
        <f>INDEX(Produits!$C:$C,MATCH(H3836,Produits!$A:$A,0))</f>
        <v>Informatique</v>
      </c>
      <c r="Q3836" s="3">
        <f>I3836*INDEX(Produits!$E:$E,MATCH(H3836,Produits!$A:$A,0))</f>
        <v>229.46</v>
      </c>
      <c r="R3836" s="3">
        <f>L3836-Q3836</f>
        <v>68.53999999999999</v>
      </c>
      <c r="S3836" s="2">
        <f>NETWORKDAYS(B3836,C3836)-1</f>
        <v>1</v>
      </c>
      <c r="T3836" s="1">
        <f>WORKDAY(B3836,5)</f>
        <v>45698</v>
      </c>
      <c r="U3836" t="b">
        <f>C3836&gt;T3836</f>
        <v>0</v>
      </c>
    </row>
    <row r="3837" spans="1:21" x14ac:dyDescent="0.25">
      <c r="A3837" t="s">
        <v>2254</v>
      </c>
      <c r="B3837" s="1">
        <v>45691</v>
      </c>
      <c r="C3837" s="1">
        <v>45692</v>
      </c>
      <c r="D3837" t="s">
        <v>446</v>
      </c>
      <c r="E3837" t="s">
        <v>191</v>
      </c>
      <c r="F3837" t="s">
        <v>62</v>
      </c>
      <c r="G3837" t="s">
        <v>68</v>
      </c>
      <c r="H3837" t="s">
        <v>50</v>
      </c>
      <c r="I3837" s="2">
        <v>1</v>
      </c>
      <c r="J3837" s="3">
        <v>69</v>
      </c>
      <c r="K3837" s="4">
        <v>0.05</v>
      </c>
      <c r="L3837" s="3">
        <v>65.55</v>
      </c>
      <c r="M3837" t="b">
        <v>1</v>
      </c>
      <c r="N3837" s="2">
        <f>YEAR(B3837)</f>
        <v>2025</v>
      </c>
      <c r="O3837" t="str">
        <f>INDEX(Agences!$C:$C,MATCH(F3837,Agences!$A:$A,0))</f>
        <v>Méditerranée</v>
      </c>
      <c r="P3837" t="str">
        <f>INDEX(Produits!$C:$C,MATCH(H3837,Produits!$A:$A,0))</f>
        <v>Informatique</v>
      </c>
      <c r="Q3837" s="3">
        <f>I3837*INDEX(Produits!$E:$E,MATCH(H3837,Produits!$A:$A,0))</f>
        <v>54.51</v>
      </c>
      <c r="R3837" s="3">
        <f>L3837-Q3837</f>
        <v>11.04</v>
      </c>
      <c r="S3837" s="2">
        <f>NETWORKDAYS(B3837,C3837)-1</f>
        <v>1</v>
      </c>
      <c r="T3837" s="1">
        <f>WORKDAY(B3837,5)</f>
        <v>45698</v>
      </c>
      <c r="U3837" t="b">
        <f>C3837&gt;T3837</f>
        <v>0</v>
      </c>
    </row>
    <row r="3838" spans="1:21" x14ac:dyDescent="0.25">
      <c r="A3838" t="s">
        <v>2254</v>
      </c>
      <c r="B3838" s="1">
        <v>45691</v>
      </c>
      <c r="C3838" s="1">
        <v>45692</v>
      </c>
      <c r="D3838" t="s">
        <v>446</v>
      </c>
      <c r="E3838" t="s">
        <v>191</v>
      </c>
      <c r="F3838" t="s">
        <v>62</v>
      </c>
      <c r="G3838" t="s">
        <v>68</v>
      </c>
      <c r="H3838" t="s">
        <v>48</v>
      </c>
      <c r="I3838" s="2">
        <v>1</v>
      </c>
      <c r="J3838" s="3">
        <v>165</v>
      </c>
      <c r="K3838" s="4">
        <v>0.08</v>
      </c>
      <c r="L3838" s="3">
        <v>151.8</v>
      </c>
      <c r="M3838" t="b">
        <v>1</v>
      </c>
      <c r="N3838" s="2">
        <f>YEAR(B3838)</f>
        <v>2025</v>
      </c>
      <c r="O3838" t="str">
        <f>INDEX(Agences!$C:$C,MATCH(F3838,Agences!$A:$A,0))</f>
        <v>Méditerranée</v>
      </c>
      <c r="P3838" t="str">
        <f>INDEX(Produits!$C:$C,MATCH(H3838,Produits!$A:$A,0))</f>
        <v>Mobilier</v>
      </c>
      <c r="Q3838" s="3">
        <f>I3838*INDEX(Produits!$E:$E,MATCH(H3838,Produits!$A:$A,0))</f>
        <v>107.25</v>
      </c>
      <c r="R3838" s="3">
        <f>L3838-Q3838</f>
        <v>44.55000000000001</v>
      </c>
      <c r="S3838" s="2">
        <f>NETWORKDAYS(B3838,C3838)-1</f>
        <v>1</v>
      </c>
      <c r="T3838" s="1">
        <f>WORKDAY(B3838,5)</f>
        <v>45698</v>
      </c>
      <c r="U3838" t="b">
        <f>C3838&gt;T3838</f>
        <v>0</v>
      </c>
    </row>
    <row r="3839" spans="1:21" x14ac:dyDescent="0.25">
      <c r="A3839" t="s">
        <v>2255</v>
      </c>
      <c r="B3839" s="1">
        <v>45688</v>
      </c>
      <c r="C3839" s="1">
        <v>45693</v>
      </c>
      <c r="D3839" t="s">
        <v>1648</v>
      </c>
      <c r="E3839" t="s">
        <v>119</v>
      </c>
      <c r="F3839" t="s">
        <v>24</v>
      </c>
      <c r="G3839" t="s">
        <v>199</v>
      </c>
      <c r="H3839" t="s">
        <v>72</v>
      </c>
      <c r="I3839" s="2">
        <v>1</v>
      </c>
      <c r="J3839" s="3">
        <v>179</v>
      </c>
      <c r="K3839" s="4">
        <v>0</v>
      </c>
      <c r="L3839" s="3">
        <v>179</v>
      </c>
      <c r="M3839" t="b">
        <v>1</v>
      </c>
      <c r="N3839" s="2">
        <f>YEAR(B3839)</f>
        <v>2025</v>
      </c>
      <c r="O3839" t="str">
        <f>INDEX(Agences!$C:$C,MATCH(F3839,Agences!$A:$A,0))</f>
        <v>Nord</v>
      </c>
      <c r="P3839" t="str">
        <f>INDEX(Produits!$C:$C,MATCH(H3839,Produits!$A:$A,0))</f>
        <v>Informatique</v>
      </c>
      <c r="Q3839" s="3">
        <f>I3839*INDEX(Produits!$E:$E,MATCH(H3839,Produits!$A:$A,0))</f>
        <v>146.78</v>
      </c>
      <c r="R3839" s="3">
        <f>L3839-Q3839</f>
        <v>32.22</v>
      </c>
      <c r="S3839" s="2">
        <f>NETWORKDAYS(B3839,C3839)-1</f>
        <v>3</v>
      </c>
      <c r="T3839" s="1">
        <f>WORKDAY(B3839,5)</f>
        <v>45695</v>
      </c>
      <c r="U3839" t="b">
        <f>C3839&gt;T3839</f>
        <v>0</v>
      </c>
    </row>
    <row r="3840" spans="1:21" x14ac:dyDescent="0.25">
      <c r="A3840" t="s">
        <v>2255</v>
      </c>
      <c r="B3840" s="1">
        <v>45688</v>
      </c>
      <c r="C3840" s="1">
        <v>45693</v>
      </c>
      <c r="D3840" t="s">
        <v>1648</v>
      </c>
      <c r="E3840" t="s">
        <v>119</v>
      </c>
      <c r="F3840" t="s">
        <v>24</v>
      </c>
      <c r="G3840" t="s">
        <v>199</v>
      </c>
      <c r="H3840" t="s">
        <v>112</v>
      </c>
      <c r="I3840" s="2">
        <v>6</v>
      </c>
      <c r="J3840" s="3">
        <v>129</v>
      </c>
      <c r="K3840" s="4">
        <v>0.05</v>
      </c>
      <c r="L3840" s="3">
        <v>735.3</v>
      </c>
      <c r="M3840" t="b">
        <v>1</v>
      </c>
      <c r="N3840" s="2">
        <f>YEAR(B3840)</f>
        <v>2025</v>
      </c>
      <c r="O3840" t="str">
        <f>INDEX(Agences!$C:$C,MATCH(F3840,Agences!$A:$A,0))</f>
        <v>Nord</v>
      </c>
      <c r="P3840" t="str">
        <f>INDEX(Produits!$C:$C,MATCH(H3840,Produits!$A:$A,0))</f>
        <v>Mobilier</v>
      </c>
      <c r="Q3840" s="3">
        <f>I3840*INDEX(Produits!$E:$E,MATCH(H3840,Produits!$A:$A,0))</f>
        <v>518.58</v>
      </c>
      <c r="R3840" s="3">
        <f>L3840-Q3840</f>
        <v>216.7199999999999</v>
      </c>
      <c r="S3840" s="2">
        <f>NETWORKDAYS(B3840,C3840)-1</f>
        <v>3</v>
      </c>
      <c r="T3840" s="1">
        <f>WORKDAY(B3840,5)</f>
        <v>45695</v>
      </c>
      <c r="U3840" t="b">
        <f>C3840&gt;T3840</f>
        <v>0</v>
      </c>
    </row>
    <row r="3841" spans="1:21" x14ac:dyDescent="0.25">
      <c r="A3841" t="s">
        <v>2255</v>
      </c>
      <c r="B3841" s="1">
        <v>45688</v>
      </c>
      <c r="C3841" s="1">
        <v>45693</v>
      </c>
      <c r="D3841" t="s">
        <v>1648</v>
      </c>
      <c r="E3841" t="s">
        <v>119</v>
      </c>
      <c r="F3841" t="s">
        <v>24</v>
      </c>
      <c r="G3841" t="s">
        <v>199</v>
      </c>
      <c r="H3841" t="s">
        <v>57</v>
      </c>
      <c r="I3841" s="2">
        <v>6</v>
      </c>
      <c r="J3841" s="3">
        <v>149</v>
      </c>
      <c r="K3841" s="4">
        <v>0</v>
      </c>
      <c r="L3841" s="3">
        <v>894</v>
      </c>
      <c r="M3841" t="b">
        <v>1</v>
      </c>
      <c r="N3841" s="2">
        <f>YEAR(B3841)</f>
        <v>2025</v>
      </c>
      <c r="O3841" t="str">
        <f>INDEX(Agences!$C:$C,MATCH(F3841,Agences!$A:$A,0))</f>
        <v>Nord</v>
      </c>
      <c r="P3841" t="str">
        <f>INDEX(Produits!$C:$C,MATCH(H3841,Produits!$A:$A,0))</f>
        <v>Informatique</v>
      </c>
      <c r="Q3841" s="3">
        <f>I3841*INDEX(Produits!$E:$E,MATCH(H3841,Produits!$A:$A,0))</f>
        <v>688.38</v>
      </c>
      <c r="R3841" s="3">
        <f>L3841-Q3841</f>
        <v>205.62</v>
      </c>
      <c r="S3841" s="2">
        <f>NETWORKDAYS(B3841,C3841)-1</f>
        <v>3</v>
      </c>
      <c r="T3841" s="1">
        <f>WORKDAY(B3841,5)</f>
        <v>45695</v>
      </c>
      <c r="U3841" t="b">
        <f>C3841&gt;T3841</f>
        <v>0</v>
      </c>
    </row>
    <row r="3842" spans="1:21" x14ac:dyDescent="0.25">
      <c r="A3842" t="s">
        <v>2256</v>
      </c>
      <c r="B3842" s="1">
        <v>45688</v>
      </c>
      <c r="C3842" s="1">
        <v>45695</v>
      </c>
      <c r="D3842" t="s">
        <v>823</v>
      </c>
      <c r="E3842" t="s">
        <v>399</v>
      </c>
      <c r="F3842" t="s">
        <v>166</v>
      </c>
      <c r="G3842" t="s">
        <v>248</v>
      </c>
      <c r="H3842" t="s">
        <v>57</v>
      </c>
      <c r="I3842" s="2">
        <v>1</v>
      </c>
      <c r="J3842" s="3">
        <v>149</v>
      </c>
      <c r="K3842" s="4">
        <v>0</v>
      </c>
      <c r="L3842" s="3">
        <v>149</v>
      </c>
      <c r="M3842" t="b">
        <v>1</v>
      </c>
      <c r="N3842" s="2">
        <f>YEAR(B3842)</f>
        <v>2025</v>
      </c>
      <c r="O3842" t="str">
        <f>INDEX(Agences!$C:$C,MATCH(F3842,Agences!$A:$A,0))</f>
        <v>Ouest</v>
      </c>
      <c r="P3842" t="str">
        <f>INDEX(Produits!$C:$C,MATCH(H3842,Produits!$A:$A,0))</f>
        <v>Informatique</v>
      </c>
      <c r="Q3842" s="3">
        <f>I3842*INDEX(Produits!$E:$E,MATCH(H3842,Produits!$A:$A,0))</f>
        <v>114.73</v>
      </c>
      <c r="R3842" s="3">
        <f>L3842-Q3842</f>
        <v>34.269999999999996</v>
      </c>
      <c r="S3842" s="2">
        <f>NETWORKDAYS(B3842,C3842)-1</f>
        <v>5</v>
      </c>
      <c r="T3842" s="1">
        <f>WORKDAY(B3842,5)</f>
        <v>45695</v>
      </c>
      <c r="U3842" t="b">
        <f>C3842&gt;T3842</f>
        <v>0</v>
      </c>
    </row>
    <row r="3843" spans="1:21" x14ac:dyDescent="0.25">
      <c r="A3843" t="s">
        <v>2256</v>
      </c>
      <c r="B3843" s="1">
        <v>45688</v>
      </c>
      <c r="C3843" s="1">
        <v>45695</v>
      </c>
      <c r="D3843" t="s">
        <v>823</v>
      </c>
      <c r="E3843" t="s">
        <v>399</v>
      </c>
      <c r="F3843" t="s">
        <v>166</v>
      </c>
      <c r="G3843" t="s">
        <v>248</v>
      </c>
      <c r="H3843" t="s">
        <v>49</v>
      </c>
      <c r="I3843" s="2">
        <v>1</v>
      </c>
      <c r="J3843" s="3">
        <v>120</v>
      </c>
      <c r="K3843" s="4">
        <v>0.02</v>
      </c>
      <c r="L3843" s="3">
        <v>117.6</v>
      </c>
      <c r="M3843" t="b">
        <v>1</v>
      </c>
      <c r="N3843" s="2">
        <f>YEAR(B3843)</f>
        <v>2025</v>
      </c>
      <c r="O3843" t="str">
        <f>INDEX(Agences!$C:$C,MATCH(F3843,Agences!$A:$A,0))</f>
        <v>Ouest</v>
      </c>
      <c r="P3843" t="str">
        <f>INDEX(Produits!$C:$C,MATCH(H3843,Produits!$A:$A,0))</f>
        <v>Maintenance</v>
      </c>
      <c r="Q3843" s="3">
        <f>I3843*INDEX(Produits!$E:$E,MATCH(H3843,Produits!$A:$A,0))</f>
        <v>55.2</v>
      </c>
      <c r="R3843" s="3">
        <f>L3843-Q3843</f>
        <v>62.39999999999999</v>
      </c>
      <c r="S3843" s="2">
        <f>NETWORKDAYS(B3843,C3843)-1</f>
        <v>5</v>
      </c>
      <c r="T3843" s="1">
        <f>WORKDAY(B3843,5)</f>
        <v>45695</v>
      </c>
      <c r="U3843" t="b">
        <f>C3843&gt;T3843</f>
        <v>0</v>
      </c>
    </row>
    <row r="3844" spans="1:21" x14ac:dyDescent="0.25">
      <c r="A3844" t="s">
        <v>2256</v>
      </c>
      <c r="B3844" s="1">
        <v>45688</v>
      </c>
      <c r="C3844" s="1">
        <v>45695</v>
      </c>
      <c r="D3844" t="s">
        <v>823</v>
      </c>
      <c r="E3844" t="s">
        <v>399</v>
      </c>
      <c r="F3844" t="s">
        <v>166</v>
      </c>
      <c r="G3844" t="s">
        <v>248</v>
      </c>
      <c r="H3844" t="s">
        <v>50</v>
      </c>
      <c r="I3844" s="2">
        <v>2</v>
      </c>
      <c r="J3844" s="3">
        <v>69</v>
      </c>
      <c r="K3844" s="4">
        <v>0</v>
      </c>
      <c r="L3844" s="3">
        <v>138</v>
      </c>
      <c r="M3844" t="b">
        <v>1</v>
      </c>
      <c r="N3844" s="2">
        <f>YEAR(B3844)</f>
        <v>2025</v>
      </c>
      <c r="O3844" t="str">
        <f>INDEX(Agences!$C:$C,MATCH(F3844,Agences!$A:$A,0))</f>
        <v>Ouest</v>
      </c>
      <c r="P3844" t="str">
        <f>INDEX(Produits!$C:$C,MATCH(H3844,Produits!$A:$A,0))</f>
        <v>Informatique</v>
      </c>
      <c r="Q3844" s="3">
        <f>I3844*INDEX(Produits!$E:$E,MATCH(H3844,Produits!$A:$A,0))</f>
        <v>109.02</v>
      </c>
      <c r="R3844" s="3">
        <f>L3844-Q3844</f>
        <v>28.980000000000004</v>
      </c>
      <c r="S3844" s="2">
        <f>NETWORKDAYS(B3844,C3844)-1</f>
        <v>5</v>
      </c>
      <c r="T3844" s="1">
        <f>WORKDAY(B3844,5)</f>
        <v>45695</v>
      </c>
      <c r="U3844" t="b">
        <f>C3844&gt;T3844</f>
        <v>0</v>
      </c>
    </row>
    <row r="3845" spans="1:21" x14ac:dyDescent="0.25">
      <c r="A3845" t="s">
        <v>2257</v>
      </c>
      <c r="B3845" s="1">
        <v>45688</v>
      </c>
      <c r="C3845" s="1">
        <v>45693</v>
      </c>
      <c r="D3845" t="s">
        <v>2258</v>
      </c>
      <c r="E3845" t="s">
        <v>185</v>
      </c>
      <c r="F3845" t="s">
        <v>31</v>
      </c>
      <c r="G3845" t="s">
        <v>186</v>
      </c>
      <c r="H3845" t="s">
        <v>49</v>
      </c>
      <c r="I3845" s="2">
        <v>2</v>
      </c>
      <c r="J3845" s="3">
        <v>120</v>
      </c>
      <c r="K3845" s="4">
        <v>0</v>
      </c>
      <c r="L3845" s="3">
        <v>240</v>
      </c>
      <c r="M3845" t="b">
        <v>1</v>
      </c>
      <c r="N3845" s="2">
        <f>YEAR(B3845)</f>
        <v>2025</v>
      </c>
      <c r="O3845" t="str">
        <f>INDEX(Agences!$C:$C,MATCH(F3845,Agences!$A:$A,0))</f>
        <v>Ouest</v>
      </c>
      <c r="P3845" t="str">
        <f>INDEX(Produits!$C:$C,MATCH(H3845,Produits!$A:$A,0))</f>
        <v>Maintenance</v>
      </c>
      <c r="Q3845" s="3">
        <f>I3845*INDEX(Produits!$E:$E,MATCH(H3845,Produits!$A:$A,0))</f>
        <v>110.4</v>
      </c>
      <c r="R3845" s="3">
        <f>L3845-Q3845</f>
        <v>129.6</v>
      </c>
      <c r="S3845" s="2">
        <f>NETWORKDAYS(B3845,C3845)-1</f>
        <v>3</v>
      </c>
      <c r="T3845" s="1">
        <f>WORKDAY(B3845,5)</f>
        <v>45695</v>
      </c>
      <c r="U3845" t="b">
        <f>C3845&gt;T3845</f>
        <v>0</v>
      </c>
    </row>
    <row r="3846" spans="1:21" x14ac:dyDescent="0.25">
      <c r="A3846" t="s">
        <v>2259</v>
      </c>
      <c r="B3846" s="1">
        <v>45687</v>
      </c>
      <c r="C3846" s="1">
        <v>45691</v>
      </c>
      <c r="D3846" t="s">
        <v>1996</v>
      </c>
      <c r="E3846" t="s">
        <v>202</v>
      </c>
      <c r="F3846" t="s">
        <v>138</v>
      </c>
      <c r="G3846" t="s">
        <v>214</v>
      </c>
      <c r="H3846" t="s">
        <v>162</v>
      </c>
      <c r="I3846" s="2">
        <v>4</v>
      </c>
      <c r="J3846" s="3">
        <v>289</v>
      </c>
      <c r="K3846" s="4">
        <v>0.02</v>
      </c>
      <c r="L3846" s="3">
        <v>1132.88</v>
      </c>
      <c r="M3846" t="b">
        <v>1</v>
      </c>
      <c r="N3846" s="2">
        <f>YEAR(B3846)</f>
        <v>2025</v>
      </c>
      <c r="O3846" t="str">
        <f>INDEX(Agences!$C:$C,MATCH(F3846,Agences!$A:$A,0))</f>
        <v>Île-de-France</v>
      </c>
      <c r="P3846" t="str">
        <f>INDEX(Produits!$C:$C,MATCH(H3846,Produits!$A:$A,0))</f>
        <v>Mobilier</v>
      </c>
      <c r="Q3846" s="3">
        <f>I3846*INDEX(Produits!$E:$E,MATCH(H3846,Produits!$A:$A,0))</f>
        <v>774.52</v>
      </c>
      <c r="R3846" s="3">
        <f>L3846-Q3846</f>
        <v>358.3600000000001</v>
      </c>
      <c r="S3846" s="2">
        <f>NETWORKDAYS(B3846,C3846)-1</f>
        <v>2</v>
      </c>
      <c r="T3846" s="1">
        <f>WORKDAY(B3846,5)</f>
        <v>45694</v>
      </c>
      <c r="U3846" t="b">
        <f>C3846&gt;T3846</f>
        <v>0</v>
      </c>
    </row>
    <row r="3847" spans="1:21" x14ac:dyDescent="0.25">
      <c r="A3847" t="s">
        <v>2259</v>
      </c>
      <c r="B3847" s="1">
        <v>45687</v>
      </c>
      <c r="C3847" s="1">
        <v>45691</v>
      </c>
      <c r="D3847" t="s">
        <v>1996</v>
      </c>
      <c r="E3847" t="s">
        <v>202</v>
      </c>
      <c r="F3847" t="s">
        <v>138</v>
      </c>
      <c r="G3847" t="s">
        <v>214</v>
      </c>
      <c r="H3847" t="s">
        <v>33</v>
      </c>
      <c r="I3847" s="2">
        <v>3</v>
      </c>
      <c r="J3847" s="3">
        <v>219</v>
      </c>
      <c r="K3847" s="4">
        <v>0</v>
      </c>
      <c r="L3847" s="3">
        <v>657</v>
      </c>
      <c r="M3847" t="b">
        <v>1</v>
      </c>
      <c r="N3847" s="2">
        <f>YEAR(B3847)</f>
        <v>2025</v>
      </c>
      <c r="O3847" t="str">
        <f>INDEX(Agences!$C:$C,MATCH(F3847,Agences!$A:$A,0))</f>
        <v>Île-de-France</v>
      </c>
      <c r="P3847" t="str">
        <f>INDEX(Produits!$C:$C,MATCH(H3847,Produits!$A:$A,0))</f>
        <v>Informatique</v>
      </c>
      <c r="Q3847" s="3">
        <f>I3847*INDEX(Produits!$E:$E,MATCH(H3847,Produits!$A:$A,0))</f>
        <v>538.74</v>
      </c>
      <c r="R3847" s="3">
        <f>L3847-Q3847</f>
        <v>118.25999999999999</v>
      </c>
      <c r="S3847" s="2">
        <f>NETWORKDAYS(B3847,C3847)-1</f>
        <v>2</v>
      </c>
      <c r="T3847" s="1">
        <f>WORKDAY(B3847,5)</f>
        <v>45694</v>
      </c>
      <c r="U3847" t="b">
        <f>C3847&gt;T3847</f>
        <v>0</v>
      </c>
    </row>
    <row r="3848" spans="1:21" x14ac:dyDescent="0.25">
      <c r="A3848" t="s">
        <v>2259</v>
      </c>
      <c r="B3848" s="1">
        <v>45687</v>
      </c>
      <c r="C3848" s="1">
        <v>45691</v>
      </c>
      <c r="D3848" t="s">
        <v>1996</v>
      </c>
      <c r="E3848" t="s">
        <v>202</v>
      </c>
      <c r="F3848" t="s">
        <v>138</v>
      </c>
      <c r="G3848" t="s">
        <v>214</v>
      </c>
      <c r="H3848" t="s">
        <v>34</v>
      </c>
      <c r="I3848" s="2">
        <v>2</v>
      </c>
      <c r="J3848" s="3">
        <v>340</v>
      </c>
      <c r="K3848" s="4">
        <v>0.02</v>
      </c>
      <c r="L3848" s="3">
        <v>666.4</v>
      </c>
      <c r="M3848" t="b">
        <v>1</v>
      </c>
      <c r="N3848" s="2">
        <f>YEAR(B3848)</f>
        <v>2025</v>
      </c>
      <c r="O3848" t="str">
        <f>INDEX(Agences!$C:$C,MATCH(F3848,Agences!$A:$A,0))</f>
        <v>Île-de-France</v>
      </c>
      <c r="P3848" t="str">
        <f>INDEX(Produits!$C:$C,MATCH(H3848,Produits!$A:$A,0))</f>
        <v>Informatique</v>
      </c>
      <c r="Q3848" s="3">
        <f>I3848*INDEX(Produits!$E:$E,MATCH(H3848,Produits!$A:$A,0))</f>
        <v>550.8</v>
      </c>
      <c r="R3848" s="3">
        <f>L3848-Q3848</f>
        <v>115.60000000000002</v>
      </c>
      <c r="S3848" s="2">
        <f>NETWORKDAYS(B3848,C3848)-1</f>
        <v>2</v>
      </c>
      <c r="T3848" s="1">
        <f>WORKDAY(B3848,5)</f>
        <v>45694</v>
      </c>
      <c r="U3848" t="b">
        <f>C3848&gt;T3848</f>
        <v>0</v>
      </c>
    </row>
    <row r="3849" spans="1:21" x14ac:dyDescent="0.25">
      <c r="A3849" t="s">
        <v>2260</v>
      </c>
      <c r="B3849" s="1">
        <v>45687</v>
      </c>
      <c r="C3849" s="1">
        <v>45691</v>
      </c>
      <c r="D3849" t="s">
        <v>1366</v>
      </c>
      <c r="E3849" t="s">
        <v>307</v>
      </c>
      <c r="F3849" t="s">
        <v>76</v>
      </c>
      <c r="G3849" t="s">
        <v>176</v>
      </c>
      <c r="H3849" t="s">
        <v>107</v>
      </c>
      <c r="I3849" s="2">
        <v>1</v>
      </c>
      <c r="J3849" s="3">
        <v>99</v>
      </c>
      <c r="K3849" s="4">
        <v>0.05</v>
      </c>
      <c r="L3849" s="3">
        <v>94.05</v>
      </c>
      <c r="M3849" t="b">
        <v>1</v>
      </c>
      <c r="N3849" s="2">
        <f>YEAR(B3849)</f>
        <v>2025</v>
      </c>
      <c r="O3849" t="str">
        <f>INDEX(Agences!$C:$C,MATCH(F3849,Agences!$A:$A,0))</f>
        <v>Île-de-France</v>
      </c>
      <c r="P3849" t="str">
        <f>INDEX(Produits!$C:$C,MATCH(H3849,Produits!$A:$A,0))</f>
        <v>Informatique</v>
      </c>
      <c r="Q3849" s="3">
        <f>I3849*INDEX(Produits!$E:$E,MATCH(H3849,Produits!$A:$A,0))</f>
        <v>75.24</v>
      </c>
      <c r="R3849" s="3">
        <f>L3849-Q3849</f>
        <v>18.810000000000002</v>
      </c>
      <c r="S3849" s="2">
        <f>NETWORKDAYS(B3849,C3849)-1</f>
        <v>2</v>
      </c>
      <c r="T3849" s="1">
        <f>WORKDAY(B3849,5)</f>
        <v>45694</v>
      </c>
      <c r="U3849" t="b">
        <f>C3849&gt;T3849</f>
        <v>0</v>
      </c>
    </row>
    <row r="3850" spans="1:21" x14ac:dyDescent="0.25">
      <c r="A3850" t="s">
        <v>2260</v>
      </c>
      <c r="B3850" s="1">
        <v>45687</v>
      </c>
      <c r="C3850" s="1">
        <v>45691</v>
      </c>
      <c r="D3850" t="s">
        <v>1366</v>
      </c>
      <c r="E3850" t="s">
        <v>307</v>
      </c>
      <c r="F3850" t="s">
        <v>76</v>
      </c>
      <c r="G3850" t="s">
        <v>176</v>
      </c>
      <c r="H3850" t="s">
        <v>33</v>
      </c>
      <c r="I3850" s="2">
        <v>2</v>
      </c>
      <c r="J3850" s="3">
        <v>219</v>
      </c>
      <c r="K3850" s="4">
        <v>0.05</v>
      </c>
      <c r="L3850" s="3">
        <v>416.1</v>
      </c>
      <c r="M3850" t="b">
        <v>1</v>
      </c>
      <c r="N3850" s="2">
        <f>YEAR(B3850)</f>
        <v>2025</v>
      </c>
      <c r="O3850" t="str">
        <f>INDEX(Agences!$C:$C,MATCH(F3850,Agences!$A:$A,0))</f>
        <v>Île-de-France</v>
      </c>
      <c r="P3850" t="str">
        <f>INDEX(Produits!$C:$C,MATCH(H3850,Produits!$A:$A,0))</f>
        <v>Informatique</v>
      </c>
      <c r="Q3850" s="3">
        <f>I3850*INDEX(Produits!$E:$E,MATCH(H3850,Produits!$A:$A,0))</f>
        <v>359.16</v>
      </c>
      <c r="R3850" s="3">
        <f>L3850-Q3850</f>
        <v>56.94</v>
      </c>
      <c r="S3850" s="2">
        <f>NETWORKDAYS(B3850,C3850)-1</f>
        <v>2</v>
      </c>
      <c r="T3850" s="1">
        <f>WORKDAY(B3850,5)</f>
        <v>45694</v>
      </c>
      <c r="U3850" t="b">
        <f>C3850&gt;T3850</f>
        <v>0</v>
      </c>
    </row>
    <row r="3851" spans="1:21" x14ac:dyDescent="0.25">
      <c r="A3851" t="s">
        <v>2260</v>
      </c>
      <c r="B3851" s="1">
        <v>45687</v>
      </c>
      <c r="C3851" s="1">
        <v>45691</v>
      </c>
      <c r="D3851" t="s">
        <v>1366</v>
      </c>
      <c r="E3851" t="s">
        <v>307</v>
      </c>
      <c r="F3851" t="s">
        <v>76</v>
      </c>
      <c r="G3851" t="s">
        <v>176</v>
      </c>
      <c r="H3851" t="s">
        <v>161</v>
      </c>
      <c r="I3851" s="2">
        <v>5</v>
      </c>
      <c r="J3851" s="3">
        <v>32</v>
      </c>
      <c r="K3851" s="4">
        <v>0</v>
      </c>
      <c r="L3851" s="3">
        <v>160</v>
      </c>
      <c r="M3851" t="b">
        <v>1</v>
      </c>
      <c r="N3851" s="2">
        <f>YEAR(B3851)</f>
        <v>2025</v>
      </c>
      <c r="O3851" t="str">
        <f>INDEX(Agences!$C:$C,MATCH(F3851,Agences!$A:$A,0))</f>
        <v>Île-de-France</v>
      </c>
      <c r="P3851" t="str">
        <f>INDEX(Produits!$C:$C,MATCH(H3851,Produits!$A:$A,0))</f>
        <v>Fournitures</v>
      </c>
      <c r="Q3851" s="3">
        <f>I3851*INDEX(Produits!$E:$E,MATCH(H3851,Produits!$A:$A,0))</f>
        <v>88</v>
      </c>
      <c r="R3851" s="3">
        <f>L3851-Q3851</f>
        <v>72</v>
      </c>
      <c r="S3851" s="2">
        <f>NETWORKDAYS(B3851,C3851)-1</f>
        <v>2</v>
      </c>
      <c r="T3851" s="1">
        <f>WORKDAY(B3851,5)</f>
        <v>45694</v>
      </c>
      <c r="U3851" t="b">
        <f>C3851&gt;T3851</f>
        <v>0</v>
      </c>
    </row>
    <row r="3852" spans="1:21" x14ac:dyDescent="0.25">
      <c r="A3852" t="s">
        <v>2260</v>
      </c>
      <c r="B3852" s="1">
        <v>45687</v>
      </c>
      <c r="C3852" s="1">
        <v>45691</v>
      </c>
      <c r="D3852" t="s">
        <v>1366</v>
      </c>
      <c r="E3852" t="s">
        <v>307</v>
      </c>
      <c r="F3852" t="s">
        <v>76</v>
      </c>
      <c r="G3852" t="s">
        <v>176</v>
      </c>
      <c r="H3852" t="s">
        <v>83</v>
      </c>
      <c r="I3852" s="2">
        <v>1</v>
      </c>
      <c r="J3852" s="3">
        <v>49</v>
      </c>
      <c r="K3852" s="4">
        <v>0.08</v>
      </c>
      <c r="L3852" s="3">
        <v>45.08</v>
      </c>
      <c r="M3852" t="b">
        <v>1</v>
      </c>
      <c r="N3852" s="2">
        <f>YEAR(B3852)</f>
        <v>2025</v>
      </c>
      <c r="O3852" t="str">
        <f>INDEX(Agences!$C:$C,MATCH(F3852,Agences!$A:$A,0))</f>
        <v>Île-de-France</v>
      </c>
      <c r="P3852" t="str">
        <f>INDEX(Produits!$C:$C,MATCH(H3852,Produits!$A:$A,0))</f>
        <v>Mobilier</v>
      </c>
      <c r="Q3852" s="3">
        <f>I3852*INDEX(Produits!$E:$E,MATCH(H3852,Produits!$A:$A,0))</f>
        <v>28.42</v>
      </c>
      <c r="R3852" s="3">
        <f>L3852-Q3852</f>
        <v>16.659999999999997</v>
      </c>
      <c r="S3852" s="2">
        <f>NETWORKDAYS(B3852,C3852)-1</f>
        <v>2</v>
      </c>
      <c r="T3852" s="1">
        <f>WORKDAY(B3852,5)</f>
        <v>45694</v>
      </c>
      <c r="U3852" t="b">
        <f>C3852&gt;T3852</f>
        <v>0</v>
      </c>
    </row>
    <row r="3853" spans="1:21" x14ac:dyDescent="0.25">
      <c r="A3853" t="s">
        <v>2261</v>
      </c>
      <c r="B3853" s="1">
        <v>45687</v>
      </c>
      <c r="C3853" s="1">
        <v>45688</v>
      </c>
      <c r="D3853" t="s">
        <v>581</v>
      </c>
      <c r="E3853" t="s">
        <v>75</v>
      </c>
      <c r="F3853" t="s">
        <v>76</v>
      </c>
      <c r="G3853" t="s">
        <v>77</v>
      </c>
      <c r="H3853" t="s">
        <v>83</v>
      </c>
      <c r="I3853" s="2">
        <v>1</v>
      </c>
      <c r="J3853" s="3">
        <v>49</v>
      </c>
      <c r="K3853" s="4">
        <v>0</v>
      </c>
      <c r="L3853" s="3">
        <v>49</v>
      </c>
      <c r="M3853" t="b">
        <v>1</v>
      </c>
      <c r="N3853" s="2">
        <f>YEAR(B3853)</f>
        <v>2025</v>
      </c>
      <c r="O3853" t="str">
        <f>INDEX(Agences!$C:$C,MATCH(F3853,Agences!$A:$A,0))</f>
        <v>Île-de-France</v>
      </c>
      <c r="P3853" t="str">
        <f>INDEX(Produits!$C:$C,MATCH(H3853,Produits!$A:$A,0))</f>
        <v>Mobilier</v>
      </c>
      <c r="Q3853" s="3">
        <f>I3853*INDEX(Produits!$E:$E,MATCH(H3853,Produits!$A:$A,0))</f>
        <v>28.42</v>
      </c>
      <c r="R3853" s="3">
        <f>L3853-Q3853</f>
        <v>20.58</v>
      </c>
      <c r="S3853" s="2">
        <f>NETWORKDAYS(B3853,C3853)-1</f>
        <v>1</v>
      </c>
      <c r="T3853" s="1">
        <f>WORKDAY(B3853,5)</f>
        <v>45694</v>
      </c>
      <c r="U3853" t="b">
        <f>C3853&gt;T3853</f>
        <v>0</v>
      </c>
    </row>
    <row r="3854" spans="1:21" x14ac:dyDescent="0.25">
      <c r="A3854" t="s">
        <v>2261</v>
      </c>
      <c r="B3854" s="1">
        <v>45687</v>
      </c>
      <c r="C3854" s="1">
        <v>45688</v>
      </c>
      <c r="D3854" t="s">
        <v>581</v>
      </c>
      <c r="E3854" t="s">
        <v>75</v>
      </c>
      <c r="F3854" t="s">
        <v>76</v>
      </c>
      <c r="G3854" t="s">
        <v>77</v>
      </c>
      <c r="H3854" t="s">
        <v>162</v>
      </c>
      <c r="I3854" s="2">
        <v>1</v>
      </c>
      <c r="J3854" s="3">
        <v>289</v>
      </c>
      <c r="K3854" s="4">
        <v>0.1</v>
      </c>
      <c r="L3854" s="3">
        <v>260.1</v>
      </c>
      <c r="M3854" t="b">
        <v>1</v>
      </c>
      <c r="N3854" s="2">
        <f>YEAR(B3854)</f>
        <v>2025</v>
      </c>
      <c r="O3854" t="str">
        <f>INDEX(Agences!$C:$C,MATCH(F3854,Agences!$A:$A,0))</f>
        <v>Île-de-France</v>
      </c>
      <c r="P3854" t="str">
        <f>INDEX(Produits!$C:$C,MATCH(H3854,Produits!$A:$A,0))</f>
        <v>Mobilier</v>
      </c>
      <c r="Q3854" s="3">
        <f>I3854*INDEX(Produits!$E:$E,MATCH(H3854,Produits!$A:$A,0))</f>
        <v>193.63</v>
      </c>
      <c r="R3854" s="3">
        <f>L3854-Q3854</f>
        <v>66.47000000000003</v>
      </c>
      <c r="S3854" s="2">
        <f>NETWORKDAYS(B3854,C3854)-1</f>
        <v>1</v>
      </c>
      <c r="T3854" s="1">
        <f>WORKDAY(B3854,5)</f>
        <v>45694</v>
      </c>
      <c r="U3854" t="b">
        <f>C3854&gt;T3854</f>
        <v>0</v>
      </c>
    </row>
    <row r="3855" spans="1:21" x14ac:dyDescent="0.25">
      <c r="A3855" t="s">
        <v>2261</v>
      </c>
      <c r="B3855" s="1">
        <v>45687</v>
      </c>
      <c r="C3855" s="1">
        <v>45688</v>
      </c>
      <c r="D3855" t="s">
        <v>581</v>
      </c>
      <c r="E3855" t="s">
        <v>75</v>
      </c>
      <c r="F3855" t="s">
        <v>76</v>
      </c>
      <c r="G3855" t="s">
        <v>77</v>
      </c>
      <c r="H3855" t="s">
        <v>50</v>
      </c>
      <c r="I3855" s="2">
        <v>2</v>
      </c>
      <c r="J3855" s="3">
        <v>69</v>
      </c>
      <c r="K3855" s="4">
        <v>0.1</v>
      </c>
      <c r="L3855" s="3">
        <v>124.2</v>
      </c>
      <c r="M3855" t="b">
        <v>1</v>
      </c>
      <c r="N3855" s="2">
        <f>YEAR(B3855)</f>
        <v>2025</v>
      </c>
      <c r="O3855" t="str">
        <f>INDEX(Agences!$C:$C,MATCH(F3855,Agences!$A:$A,0))</f>
        <v>Île-de-France</v>
      </c>
      <c r="P3855" t="str">
        <f>INDEX(Produits!$C:$C,MATCH(H3855,Produits!$A:$A,0))</f>
        <v>Informatique</v>
      </c>
      <c r="Q3855" s="3">
        <f>I3855*INDEX(Produits!$E:$E,MATCH(H3855,Produits!$A:$A,0))</f>
        <v>109.02</v>
      </c>
      <c r="R3855" s="3">
        <f>L3855-Q3855</f>
        <v>15.180000000000007</v>
      </c>
      <c r="S3855" s="2">
        <f>NETWORKDAYS(B3855,C3855)-1</f>
        <v>1</v>
      </c>
      <c r="T3855" s="1">
        <f>WORKDAY(B3855,5)</f>
        <v>45694</v>
      </c>
      <c r="U3855" t="b">
        <f>C3855&gt;T3855</f>
        <v>0</v>
      </c>
    </row>
    <row r="3856" spans="1:21" x14ac:dyDescent="0.25">
      <c r="A3856" t="s">
        <v>2262</v>
      </c>
      <c r="B3856" s="1">
        <v>45687</v>
      </c>
      <c r="C3856" s="1">
        <v>45692</v>
      </c>
      <c r="D3856" t="s">
        <v>129</v>
      </c>
      <c r="E3856" t="s">
        <v>130</v>
      </c>
      <c r="F3856" t="s">
        <v>39</v>
      </c>
      <c r="G3856" t="s">
        <v>40</v>
      </c>
      <c r="H3856" t="s">
        <v>42</v>
      </c>
      <c r="I3856" s="2">
        <v>1</v>
      </c>
      <c r="J3856" s="3">
        <v>55</v>
      </c>
      <c r="K3856" s="4">
        <v>0</v>
      </c>
      <c r="L3856" s="3">
        <v>55</v>
      </c>
      <c r="M3856" t="b">
        <v>1</v>
      </c>
      <c r="N3856" s="2">
        <f>YEAR(B3856)</f>
        <v>2025</v>
      </c>
      <c r="O3856" t="str">
        <f>INDEX(Agences!$C:$C,MATCH(F3856,Agences!$A:$A,0))</f>
        <v>Sud-Ouest</v>
      </c>
      <c r="P3856" t="str">
        <f>INDEX(Produits!$C:$C,MATCH(H3856,Produits!$A:$A,0))</f>
        <v>Maintenance</v>
      </c>
      <c r="Q3856" s="3">
        <f>I3856*INDEX(Produits!$E:$E,MATCH(H3856,Produits!$A:$A,0))</f>
        <v>24.75</v>
      </c>
      <c r="R3856" s="3">
        <f>L3856-Q3856</f>
        <v>30.25</v>
      </c>
      <c r="S3856" s="2">
        <f>NETWORKDAYS(B3856,C3856)-1</f>
        <v>3</v>
      </c>
      <c r="T3856" s="1">
        <f>WORKDAY(B3856,5)</f>
        <v>45694</v>
      </c>
      <c r="U3856" t="b">
        <f>C3856&gt;T3856</f>
        <v>0</v>
      </c>
    </row>
    <row r="3857" spans="1:21" x14ac:dyDescent="0.25">
      <c r="A3857" t="s">
        <v>2262</v>
      </c>
      <c r="B3857" s="1">
        <v>45687</v>
      </c>
      <c r="C3857" s="1">
        <v>45692</v>
      </c>
      <c r="D3857" t="s">
        <v>129</v>
      </c>
      <c r="E3857" t="s">
        <v>130</v>
      </c>
      <c r="F3857" t="s">
        <v>39</v>
      </c>
      <c r="G3857" t="s">
        <v>40</v>
      </c>
      <c r="H3857" t="s">
        <v>112</v>
      </c>
      <c r="I3857" s="2">
        <v>3</v>
      </c>
      <c r="J3857" s="3">
        <v>129</v>
      </c>
      <c r="K3857" s="4">
        <v>0.02</v>
      </c>
      <c r="L3857" s="3">
        <v>379.26</v>
      </c>
      <c r="M3857" t="b">
        <v>1</v>
      </c>
      <c r="N3857" s="2">
        <f>YEAR(B3857)</f>
        <v>2025</v>
      </c>
      <c r="O3857" t="str">
        <f>INDEX(Agences!$C:$C,MATCH(F3857,Agences!$A:$A,0))</f>
        <v>Sud-Ouest</v>
      </c>
      <c r="P3857" t="str">
        <f>INDEX(Produits!$C:$C,MATCH(H3857,Produits!$A:$A,0))</f>
        <v>Mobilier</v>
      </c>
      <c r="Q3857" s="3">
        <f>I3857*INDEX(Produits!$E:$E,MATCH(H3857,Produits!$A:$A,0))</f>
        <v>259.29</v>
      </c>
      <c r="R3857" s="3">
        <f>L3857-Q3857</f>
        <v>119.96999999999997</v>
      </c>
      <c r="S3857" s="2">
        <f>NETWORKDAYS(B3857,C3857)-1</f>
        <v>3</v>
      </c>
      <c r="T3857" s="1">
        <f>WORKDAY(B3857,5)</f>
        <v>45694</v>
      </c>
      <c r="U3857" t="b">
        <f>C3857&gt;T3857</f>
        <v>0</v>
      </c>
    </row>
    <row r="3858" spans="1:21" x14ac:dyDescent="0.25">
      <c r="A3858" t="s">
        <v>2263</v>
      </c>
      <c r="B3858" s="1">
        <v>45687</v>
      </c>
      <c r="C3858" s="1">
        <v>45692</v>
      </c>
      <c r="D3858" t="s">
        <v>2264</v>
      </c>
      <c r="E3858" t="s">
        <v>87</v>
      </c>
      <c r="F3858" t="s">
        <v>88</v>
      </c>
      <c r="G3858" t="s">
        <v>89</v>
      </c>
      <c r="H3858" t="s">
        <v>162</v>
      </c>
      <c r="I3858" s="2">
        <v>1</v>
      </c>
      <c r="J3858" s="3">
        <v>289</v>
      </c>
      <c r="K3858" s="4">
        <v>0</v>
      </c>
      <c r="L3858" s="3">
        <v>289</v>
      </c>
      <c r="M3858" t="b">
        <v>1</v>
      </c>
      <c r="N3858" s="2">
        <f>YEAR(B3858)</f>
        <v>2025</v>
      </c>
      <c r="O3858" t="str">
        <f>INDEX(Agences!$C:$C,MATCH(F3858,Agences!$A:$A,0))</f>
        <v>Sud-Ouest</v>
      </c>
      <c r="P3858" t="str">
        <f>INDEX(Produits!$C:$C,MATCH(H3858,Produits!$A:$A,0))</f>
        <v>Mobilier</v>
      </c>
      <c r="Q3858" s="3">
        <f>I3858*INDEX(Produits!$E:$E,MATCH(H3858,Produits!$A:$A,0))</f>
        <v>193.63</v>
      </c>
      <c r="R3858" s="3">
        <f>L3858-Q3858</f>
        <v>95.37</v>
      </c>
      <c r="S3858" s="2">
        <f>NETWORKDAYS(B3858,C3858)-1</f>
        <v>3</v>
      </c>
      <c r="T3858" s="1">
        <f>WORKDAY(B3858,5)</f>
        <v>45694</v>
      </c>
      <c r="U3858" t="b">
        <f>C3858&gt;T3858</f>
        <v>0</v>
      </c>
    </row>
    <row r="3859" spans="1:21" x14ac:dyDescent="0.25">
      <c r="A3859" t="s">
        <v>2263</v>
      </c>
      <c r="B3859" s="1">
        <v>45687</v>
      </c>
      <c r="C3859" s="1">
        <v>45692</v>
      </c>
      <c r="D3859" t="s">
        <v>2264</v>
      </c>
      <c r="E3859" t="s">
        <v>87</v>
      </c>
      <c r="F3859" t="s">
        <v>88</v>
      </c>
      <c r="G3859" t="s">
        <v>89</v>
      </c>
      <c r="H3859" t="s">
        <v>35</v>
      </c>
      <c r="I3859" s="2">
        <v>6</v>
      </c>
      <c r="J3859" s="3">
        <v>79</v>
      </c>
      <c r="K3859" s="4">
        <v>0.05</v>
      </c>
      <c r="L3859" s="3">
        <v>450.3</v>
      </c>
      <c r="M3859" t="b">
        <v>1</v>
      </c>
      <c r="N3859" s="2">
        <f>YEAR(B3859)</f>
        <v>2025</v>
      </c>
      <c r="O3859" t="str">
        <f>INDEX(Agences!$C:$C,MATCH(F3859,Agences!$A:$A,0))</f>
        <v>Sud-Ouest</v>
      </c>
      <c r="P3859" t="str">
        <f>INDEX(Produits!$C:$C,MATCH(H3859,Produits!$A:$A,0))</f>
        <v>Mobilier</v>
      </c>
      <c r="Q3859" s="3">
        <f>I3859*INDEX(Produits!$E:$E,MATCH(H3859,Produits!$A:$A,0))</f>
        <v>279.65999999999997</v>
      </c>
      <c r="R3859" s="3">
        <f>L3859-Q3859</f>
        <v>170.64000000000004</v>
      </c>
      <c r="S3859" s="2">
        <f>NETWORKDAYS(B3859,C3859)-1</f>
        <v>3</v>
      </c>
      <c r="T3859" s="1">
        <f>WORKDAY(B3859,5)</f>
        <v>45694</v>
      </c>
      <c r="U3859" t="b">
        <f>C3859&gt;T3859</f>
        <v>0</v>
      </c>
    </row>
    <row r="3860" spans="1:21" x14ac:dyDescent="0.25">
      <c r="A3860" t="s">
        <v>2263</v>
      </c>
      <c r="B3860" s="1">
        <v>45687</v>
      </c>
      <c r="C3860" s="1">
        <v>45692</v>
      </c>
      <c r="D3860" t="s">
        <v>2264</v>
      </c>
      <c r="E3860" t="s">
        <v>87</v>
      </c>
      <c r="F3860" t="s">
        <v>88</v>
      </c>
      <c r="G3860" t="s">
        <v>89</v>
      </c>
      <c r="H3860" t="s">
        <v>90</v>
      </c>
      <c r="I3860" s="2">
        <v>5</v>
      </c>
      <c r="J3860" s="3">
        <v>22.9</v>
      </c>
      <c r="K3860" s="4">
        <v>0.05</v>
      </c>
      <c r="L3860" s="3">
        <v>108.78</v>
      </c>
      <c r="M3860" t="b">
        <v>1</v>
      </c>
      <c r="N3860" s="2">
        <f>YEAR(B3860)</f>
        <v>2025</v>
      </c>
      <c r="O3860" t="str">
        <f>INDEX(Agences!$C:$C,MATCH(F3860,Agences!$A:$A,0))</f>
        <v>Sud-Ouest</v>
      </c>
      <c r="P3860" t="str">
        <f>INDEX(Produits!$C:$C,MATCH(H3860,Produits!$A:$A,0))</f>
        <v>Fournitures</v>
      </c>
      <c r="Q3860" s="3">
        <f>I3860*INDEX(Produits!$E:$E,MATCH(H3860,Produits!$A:$A,0))</f>
        <v>64.1</v>
      </c>
      <c r="R3860" s="3">
        <f>L3860-Q3860</f>
        <v>44.68000000000001</v>
      </c>
      <c r="S3860" s="2">
        <f>NETWORKDAYS(B3860,C3860)-1</f>
        <v>3</v>
      </c>
      <c r="T3860" s="1">
        <f>WORKDAY(B3860,5)</f>
        <v>45694</v>
      </c>
      <c r="U3860" t="b">
        <f>C3860&gt;T3860</f>
        <v>0</v>
      </c>
    </row>
    <row r="3861" spans="1:21" x14ac:dyDescent="0.25">
      <c r="A3861" t="s">
        <v>2263</v>
      </c>
      <c r="B3861" s="1">
        <v>45687</v>
      </c>
      <c r="C3861" s="1">
        <v>45692</v>
      </c>
      <c r="D3861" t="s">
        <v>2264</v>
      </c>
      <c r="E3861" t="s">
        <v>87</v>
      </c>
      <c r="F3861" t="s">
        <v>88</v>
      </c>
      <c r="G3861" t="s">
        <v>89</v>
      </c>
      <c r="H3861" t="s">
        <v>112</v>
      </c>
      <c r="I3861" s="2">
        <v>3</v>
      </c>
      <c r="J3861" s="3">
        <v>129</v>
      </c>
      <c r="K3861" s="4">
        <v>0.05</v>
      </c>
      <c r="L3861" s="3">
        <v>367.65</v>
      </c>
      <c r="M3861" t="b">
        <v>1</v>
      </c>
      <c r="N3861" s="2">
        <f>YEAR(B3861)</f>
        <v>2025</v>
      </c>
      <c r="O3861" t="str">
        <f>INDEX(Agences!$C:$C,MATCH(F3861,Agences!$A:$A,0))</f>
        <v>Sud-Ouest</v>
      </c>
      <c r="P3861" t="str">
        <f>INDEX(Produits!$C:$C,MATCH(H3861,Produits!$A:$A,0))</f>
        <v>Mobilier</v>
      </c>
      <c r="Q3861" s="3">
        <f>I3861*INDEX(Produits!$E:$E,MATCH(H3861,Produits!$A:$A,0))</f>
        <v>259.29</v>
      </c>
      <c r="R3861" s="3">
        <f>L3861-Q3861</f>
        <v>108.35999999999996</v>
      </c>
      <c r="S3861" s="2">
        <f>NETWORKDAYS(B3861,C3861)-1</f>
        <v>3</v>
      </c>
      <c r="T3861" s="1">
        <f>WORKDAY(B3861,5)</f>
        <v>45694</v>
      </c>
      <c r="U3861" t="b">
        <f>C3861&gt;T3861</f>
        <v>0</v>
      </c>
    </row>
    <row r="3862" spans="1:21" x14ac:dyDescent="0.25">
      <c r="A3862" t="s">
        <v>2263</v>
      </c>
      <c r="B3862" s="1">
        <v>45687</v>
      </c>
      <c r="C3862" s="1">
        <v>45692</v>
      </c>
      <c r="D3862" t="s">
        <v>2264</v>
      </c>
      <c r="E3862" t="s">
        <v>87</v>
      </c>
      <c r="F3862" t="s">
        <v>88</v>
      </c>
      <c r="G3862" t="s">
        <v>89</v>
      </c>
      <c r="H3862" t="s">
        <v>42</v>
      </c>
      <c r="I3862" s="2">
        <v>2</v>
      </c>
      <c r="J3862" s="3">
        <v>55</v>
      </c>
      <c r="K3862" s="4">
        <v>0.02</v>
      </c>
      <c r="L3862" s="3">
        <v>107.8</v>
      </c>
      <c r="M3862" t="b">
        <v>1</v>
      </c>
      <c r="N3862" s="2">
        <f>YEAR(B3862)</f>
        <v>2025</v>
      </c>
      <c r="O3862" t="str">
        <f>INDEX(Agences!$C:$C,MATCH(F3862,Agences!$A:$A,0))</f>
        <v>Sud-Ouest</v>
      </c>
      <c r="P3862" t="str">
        <f>INDEX(Produits!$C:$C,MATCH(H3862,Produits!$A:$A,0))</f>
        <v>Maintenance</v>
      </c>
      <c r="Q3862" s="3">
        <f>I3862*INDEX(Produits!$E:$E,MATCH(H3862,Produits!$A:$A,0))</f>
        <v>49.5</v>
      </c>
      <c r="R3862" s="3">
        <f>L3862-Q3862</f>
        <v>58.3</v>
      </c>
      <c r="S3862" s="2">
        <f>NETWORKDAYS(B3862,C3862)-1</f>
        <v>3</v>
      </c>
      <c r="T3862" s="1">
        <f>WORKDAY(B3862,5)</f>
        <v>45694</v>
      </c>
      <c r="U3862" t="b">
        <f>C3862&gt;T3862</f>
        <v>0</v>
      </c>
    </row>
    <row r="3863" spans="1:21" x14ac:dyDescent="0.25">
      <c r="A3863" t="s">
        <v>2265</v>
      </c>
      <c r="B3863" s="1">
        <v>45687</v>
      </c>
      <c r="C3863" s="1">
        <v>45691</v>
      </c>
      <c r="D3863" t="s">
        <v>924</v>
      </c>
      <c r="E3863" t="s">
        <v>67</v>
      </c>
      <c r="F3863" t="s">
        <v>62</v>
      </c>
      <c r="G3863" t="s">
        <v>106</v>
      </c>
      <c r="H3863" t="s">
        <v>205</v>
      </c>
      <c r="I3863" s="2">
        <v>1</v>
      </c>
      <c r="J3863" s="3">
        <v>359</v>
      </c>
      <c r="K3863" s="4">
        <v>0.02</v>
      </c>
      <c r="L3863" s="3">
        <v>351.82</v>
      </c>
      <c r="M3863" t="b">
        <v>1</v>
      </c>
      <c r="N3863" s="2">
        <f>YEAR(B3863)</f>
        <v>2025</v>
      </c>
      <c r="O3863" t="str">
        <f>INDEX(Agences!$C:$C,MATCH(F3863,Agences!$A:$A,0))</f>
        <v>Méditerranée</v>
      </c>
      <c r="P3863" t="str">
        <f>INDEX(Produits!$C:$C,MATCH(H3863,Produits!$A:$A,0))</f>
        <v>Mobilier</v>
      </c>
      <c r="Q3863" s="3">
        <f>I3863*INDEX(Produits!$E:$E,MATCH(H3863,Produits!$A:$A,0))</f>
        <v>204.63</v>
      </c>
      <c r="R3863" s="3">
        <f>L3863-Q3863</f>
        <v>147.19</v>
      </c>
      <c r="S3863" s="2">
        <f>NETWORKDAYS(B3863,C3863)-1</f>
        <v>2</v>
      </c>
      <c r="T3863" s="1">
        <f>WORKDAY(B3863,5)</f>
        <v>45694</v>
      </c>
      <c r="U3863" t="b">
        <f>C3863&gt;T3863</f>
        <v>0</v>
      </c>
    </row>
    <row r="3864" spans="1:21" x14ac:dyDescent="0.25">
      <c r="A3864" t="s">
        <v>2265</v>
      </c>
      <c r="B3864" s="1">
        <v>45687</v>
      </c>
      <c r="C3864" s="1">
        <v>45691</v>
      </c>
      <c r="D3864" t="s">
        <v>924</v>
      </c>
      <c r="E3864" t="s">
        <v>67</v>
      </c>
      <c r="F3864" t="s">
        <v>62</v>
      </c>
      <c r="G3864" t="s">
        <v>106</v>
      </c>
      <c r="H3864" t="s">
        <v>33</v>
      </c>
      <c r="I3864" s="2">
        <v>2</v>
      </c>
      <c r="J3864" s="3">
        <v>219</v>
      </c>
      <c r="K3864" s="4">
        <v>0</v>
      </c>
      <c r="L3864" s="3">
        <v>438</v>
      </c>
      <c r="M3864" t="b">
        <v>1</v>
      </c>
      <c r="N3864" s="2">
        <f>YEAR(B3864)</f>
        <v>2025</v>
      </c>
      <c r="O3864" t="str">
        <f>INDEX(Agences!$C:$C,MATCH(F3864,Agences!$A:$A,0))</f>
        <v>Méditerranée</v>
      </c>
      <c r="P3864" t="str">
        <f>INDEX(Produits!$C:$C,MATCH(H3864,Produits!$A:$A,0))</f>
        <v>Informatique</v>
      </c>
      <c r="Q3864" s="3">
        <f>I3864*INDEX(Produits!$E:$E,MATCH(H3864,Produits!$A:$A,0))</f>
        <v>359.16</v>
      </c>
      <c r="R3864" s="3">
        <f>L3864-Q3864</f>
        <v>78.83999999999997</v>
      </c>
      <c r="S3864" s="2">
        <f>NETWORKDAYS(B3864,C3864)-1</f>
        <v>2</v>
      </c>
      <c r="T3864" s="1">
        <f>WORKDAY(B3864,5)</f>
        <v>45694</v>
      </c>
      <c r="U3864" t="b">
        <f>C3864&gt;T3864</f>
        <v>0</v>
      </c>
    </row>
    <row r="3865" spans="1:21" x14ac:dyDescent="0.25">
      <c r="A3865" t="s">
        <v>2266</v>
      </c>
      <c r="B3865" s="1">
        <v>45687</v>
      </c>
      <c r="C3865" s="1">
        <v>45691</v>
      </c>
      <c r="D3865" t="s">
        <v>1237</v>
      </c>
      <c r="E3865" t="s">
        <v>194</v>
      </c>
      <c r="F3865" t="s">
        <v>55</v>
      </c>
      <c r="G3865" t="s">
        <v>56</v>
      </c>
      <c r="H3865" t="s">
        <v>112</v>
      </c>
      <c r="I3865" s="2">
        <v>1</v>
      </c>
      <c r="J3865" s="3">
        <v>129</v>
      </c>
      <c r="K3865" s="4">
        <v>0.08</v>
      </c>
      <c r="L3865" s="3">
        <v>118.68</v>
      </c>
      <c r="M3865" t="b">
        <v>1</v>
      </c>
      <c r="N3865" s="2">
        <f>YEAR(B3865)</f>
        <v>2025</v>
      </c>
      <c r="O3865" t="str">
        <f>INDEX(Agences!$C:$C,MATCH(F3865,Agences!$A:$A,0))</f>
        <v>Est</v>
      </c>
      <c r="P3865" t="str">
        <f>INDEX(Produits!$C:$C,MATCH(H3865,Produits!$A:$A,0))</f>
        <v>Mobilier</v>
      </c>
      <c r="Q3865" s="3">
        <f>I3865*INDEX(Produits!$E:$E,MATCH(H3865,Produits!$A:$A,0))</f>
        <v>86.43</v>
      </c>
      <c r="R3865" s="3">
        <f>L3865-Q3865</f>
        <v>32.25</v>
      </c>
      <c r="S3865" s="2">
        <f>NETWORKDAYS(B3865,C3865)-1</f>
        <v>2</v>
      </c>
      <c r="T3865" s="1">
        <f>WORKDAY(B3865,5)</f>
        <v>45694</v>
      </c>
      <c r="U3865" t="b">
        <f>C3865&gt;T3865</f>
        <v>0</v>
      </c>
    </row>
    <row r="3866" spans="1:21" x14ac:dyDescent="0.25">
      <c r="A3866" t="s">
        <v>2266</v>
      </c>
      <c r="B3866" s="1">
        <v>45687</v>
      </c>
      <c r="C3866" s="1">
        <v>45691</v>
      </c>
      <c r="D3866" t="s">
        <v>1237</v>
      </c>
      <c r="E3866" t="s">
        <v>194</v>
      </c>
      <c r="F3866" t="s">
        <v>55</v>
      </c>
      <c r="G3866" t="s">
        <v>56</v>
      </c>
      <c r="H3866" t="s">
        <v>196</v>
      </c>
      <c r="I3866" s="2">
        <v>5</v>
      </c>
      <c r="J3866" s="3">
        <v>18.5</v>
      </c>
      <c r="K3866" s="4">
        <v>0</v>
      </c>
      <c r="L3866" s="3">
        <v>92.5</v>
      </c>
      <c r="M3866" t="b">
        <v>1</v>
      </c>
      <c r="N3866" s="2">
        <f>YEAR(B3866)</f>
        <v>2025</v>
      </c>
      <c r="O3866" t="str">
        <f>INDEX(Agences!$C:$C,MATCH(F3866,Agences!$A:$A,0))</f>
        <v>Est</v>
      </c>
      <c r="P3866" t="str">
        <f>INDEX(Produits!$C:$C,MATCH(H3866,Produits!$A:$A,0))</f>
        <v>Fournitures</v>
      </c>
      <c r="Q3866" s="3">
        <f>I3866*INDEX(Produits!$E:$E,MATCH(H3866,Produits!$A:$A,0))</f>
        <v>47.199999999999996</v>
      </c>
      <c r="R3866" s="3">
        <f>L3866-Q3866</f>
        <v>45.300000000000004</v>
      </c>
      <c r="S3866" s="2">
        <f>NETWORKDAYS(B3866,C3866)-1</f>
        <v>2</v>
      </c>
      <c r="T3866" s="1">
        <f>WORKDAY(B3866,5)</f>
        <v>45694</v>
      </c>
      <c r="U3866" t="b">
        <f>C3866&gt;T3866</f>
        <v>0</v>
      </c>
    </row>
    <row r="3867" spans="1:21" x14ac:dyDescent="0.25">
      <c r="A3867" t="s">
        <v>2266</v>
      </c>
      <c r="B3867" s="1">
        <v>45687</v>
      </c>
      <c r="C3867" s="1">
        <v>45691</v>
      </c>
      <c r="D3867" t="s">
        <v>1237</v>
      </c>
      <c r="E3867" t="s">
        <v>194</v>
      </c>
      <c r="F3867" t="s">
        <v>55</v>
      </c>
      <c r="G3867" t="s">
        <v>56</v>
      </c>
      <c r="H3867" t="s">
        <v>83</v>
      </c>
      <c r="I3867" s="2">
        <v>2</v>
      </c>
      <c r="J3867" s="3">
        <v>49</v>
      </c>
      <c r="K3867" s="4">
        <v>0.05</v>
      </c>
      <c r="L3867" s="3">
        <v>93.1</v>
      </c>
      <c r="M3867" t="b">
        <v>1</v>
      </c>
      <c r="N3867" s="2">
        <f>YEAR(B3867)</f>
        <v>2025</v>
      </c>
      <c r="O3867" t="str">
        <f>INDEX(Agences!$C:$C,MATCH(F3867,Agences!$A:$A,0))</f>
        <v>Est</v>
      </c>
      <c r="P3867" t="str">
        <f>INDEX(Produits!$C:$C,MATCH(H3867,Produits!$A:$A,0))</f>
        <v>Mobilier</v>
      </c>
      <c r="Q3867" s="3">
        <f>I3867*INDEX(Produits!$E:$E,MATCH(H3867,Produits!$A:$A,0))</f>
        <v>56.84</v>
      </c>
      <c r="R3867" s="3">
        <f>L3867-Q3867</f>
        <v>36.25999999999999</v>
      </c>
      <c r="S3867" s="2">
        <f>NETWORKDAYS(B3867,C3867)-1</f>
        <v>2</v>
      </c>
      <c r="T3867" s="1">
        <f>WORKDAY(B3867,5)</f>
        <v>45694</v>
      </c>
      <c r="U3867" t="b">
        <f>C3867&gt;T3867</f>
        <v>0</v>
      </c>
    </row>
    <row r="3868" spans="1:21" x14ac:dyDescent="0.25">
      <c r="A3868" t="s">
        <v>2266</v>
      </c>
      <c r="B3868" s="1">
        <v>45687</v>
      </c>
      <c r="C3868" s="1">
        <v>45691</v>
      </c>
      <c r="D3868" t="s">
        <v>1237</v>
      </c>
      <c r="E3868" t="s">
        <v>194</v>
      </c>
      <c r="F3868" t="s">
        <v>55</v>
      </c>
      <c r="G3868" t="s">
        <v>56</v>
      </c>
      <c r="H3868" t="s">
        <v>26</v>
      </c>
      <c r="I3868" s="2">
        <v>1</v>
      </c>
      <c r="J3868" s="3">
        <v>290</v>
      </c>
      <c r="K3868" s="4">
        <v>0</v>
      </c>
      <c r="L3868" s="3">
        <v>290</v>
      </c>
      <c r="M3868" t="b">
        <v>1</v>
      </c>
      <c r="N3868" s="2">
        <f>YEAR(B3868)</f>
        <v>2025</v>
      </c>
      <c r="O3868" t="str">
        <f>INDEX(Agences!$C:$C,MATCH(F3868,Agences!$A:$A,0))</f>
        <v>Est</v>
      </c>
      <c r="P3868" t="str">
        <f>INDEX(Produits!$C:$C,MATCH(H3868,Produits!$A:$A,0))</f>
        <v>Maintenance</v>
      </c>
      <c r="Q3868" s="3">
        <f>I3868*INDEX(Produits!$E:$E,MATCH(H3868,Produits!$A:$A,0))</f>
        <v>139.2</v>
      </c>
      <c r="R3868" s="3">
        <f>L3868-Q3868</f>
        <v>150.8</v>
      </c>
      <c r="S3868" s="2">
        <f>NETWORKDAYS(B3868,C3868)-1</f>
        <v>2</v>
      </c>
      <c r="T3868" s="1">
        <f>WORKDAY(B3868,5)</f>
        <v>45694</v>
      </c>
      <c r="U3868" t="b">
        <f>C3868&gt;T3868</f>
        <v>0</v>
      </c>
    </row>
    <row r="3869" spans="1:21" x14ac:dyDescent="0.25">
      <c r="A3869" t="s">
        <v>2267</v>
      </c>
      <c r="B3869" s="1">
        <v>45686</v>
      </c>
      <c r="C3869" s="1">
        <v>45691</v>
      </c>
      <c r="D3869" t="s">
        <v>1039</v>
      </c>
      <c r="E3869" t="s">
        <v>374</v>
      </c>
      <c r="F3869" t="s">
        <v>31</v>
      </c>
      <c r="G3869" t="s">
        <v>186</v>
      </c>
      <c r="H3869" t="s">
        <v>205</v>
      </c>
      <c r="I3869" s="2">
        <v>1</v>
      </c>
      <c r="J3869" s="3">
        <v>359</v>
      </c>
      <c r="K3869" s="4">
        <v>0</v>
      </c>
      <c r="L3869" s="3">
        <v>359</v>
      </c>
      <c r="M3869" t="b">
        <v>1</v>
      </c>
      <c r="N3869" s="2">
        <f>YEAR(B3869)</f>
        <v>2025</v>
      </c>
      <c r="O3869" t="str">
        <f>INDEX(Agences!$C:$C,MATCH(F3869,Agences!$A:$A,0))</f>
        <v>Ouest</v>
      </c>
      <c r="P3869" t="str">
        <f>INDEX(Produits!$C:$C,MATCH(H3869,Produits!$A:$A,0))</f>
        <v>Mobilier</v>
      </c>
      <c r="Q3869" s="3">
        <f>I3869*INDEX(Produits!$E:$E,MATCH(H3869,Produits!$A:$A,0))</f>
        <v>204.63</v>
      </c>
      <c r="R3869" s="3">
        <f>L3869-Q3869</f>
        <v>154.37</v>
      </c>
      <c r="S3869" s="2">
        <f>NETWORKDAYS(B3869,C3869)-1</f>
        <v>3</v>
      </c>
      <c r="T3869" s="1">
        <f>WORKDAY(B3869,5)</f>
        <v>45693</v>
      </c>
      <c r="U3869" t="b">
        <f>C3869&gt;T3869</f>
        <v>0</v>
      </c>
    </row>
    <row r="3870" spans="1:21" x14ac:dyDescent="0.25">
      <c r="A3870" t="s">
        <v>2267</v>
      </c>
      <c r="B3870" s="1">
        <v>45686</v>
      </c>
      <c r="C3870" s="1">
        <v>45691</v>
      </c>
      <c r="D3870" t="s">
        <v>1039</v>
      </c>
      <c r="E3870" t="s">
        <v>374</v>
      </c>
      <c r="F3870" t="s">
        <v>31</v>
      </c>
      <c r="G3870" t="s">
        <v>186</v>
      </c>
      <c r="H3870" t="s">
        <v>33</v>
      </c>
      <c r="I3870" s="2">
        <v>2</v>
      </c>
      <c r="J3870" s="3">
        <v>219</v>
      </c>
      <c r="K3870" s="4">
        <v>0</v>
      </c>
      <c r="L3870" s="3">
        <v>438</v>
      </c>
      <c r="M3870" t="b">
        <v>1</v>
      </c>
      <c r="N3870" s="2">
        <f>YEAR(B3870)</f>
        <v>2025</v>
      </c>
      <c r="O3870" t="str">
        <f>INDEX(Agences!$C:$C,MATCH(F3870,Agences!$A:$A,0))</f>
        <v>Ouest</v>
      </c>
      <c r="P3870" t="str">
        <f>INDEX(Produits!$C:$C,MATCH(H3870,Produits!$A:$A,0))</f>
        <v>Informatique</v>
      </c>
      <c r="Q3870" s="3">
        <f>I3870*INDEX(Produits!$E:$E,MATCH(H3870,Produits!$A:$A,0))</f>
        <v>359.16</v>
      </c>
      <c r="R3870" s="3">
        <f>L3870-Q3870</f>
        <v>78.83999999999997</v>
      </c>
      <c r="S3870" s="2">
        <f>NETWORKDAYS(B3870,C3870)-1</f>
        <v>3</v>
      </c>
      <c r="T3870" s="1">
        <f>WORKDAY(B3870,5)</f>
        <v>45693</v>
      </c>
      <c r="U3870" t="b">
        <f>C3870&gt;T3870</f>
        <v>0</v>
      </c>
    </row>
    <row r="3871" spans="1:21" x14ac:dyDescent="0.25">
      <c r="A3871" t="s">
        <v>2267</v>
      </c>
      <c r="B3871" s="1">
        <v>45686</v>
      </c>
      <c r="C3871" s="1">
        <v>45691</v>
      </c>
      <c r="D3871" t="s">
        <v>1039</v>
      </c>
      <c r="E3871" t="s">
        <v>374</v>
      </c>
      <c r="F3871" t="s">
        <v>31</v>
      </c>
      <c r="G3871" t="s">
        <v>186</v>
      </c>
      <c r="H3871" t="s">
        <v>83</v>
      </c>
      <c r="I3871" s="2">
        <v>1</v>
      </c>
      <c r="J3871" s="3">
        <v>49</v>
      </c>
      <c r="K3871" s="4">
        <v>0</v>
      </c>
      <c r="L3871" s="3">
        <v>49</v>
      </c>
      <c r="M3871" t="b">
        <v>1</v>
      </c>
      <c r="N3871" s="2">
        <f>YEAR(B3871)</f>
        <v>2025</v>
      </c>
      <c r="O3871" t="str">
        <f>INDEX(Agences!$C:$C,MATCH(F3871,Agences!$A:$A,0))</f>
        <v>Ouest</v>
      </c>
      <c r="P3871" t="str">
        <f>INDEX(Produits!$C:$C,MATCH(H3871,Produits!$A:$A,0))</f>
        <v>Mobilier</v>
      </c>
      <c r="Q3871" s="3">
        <f>I3871*INDEX(Produits!$E:$E,MATCH(H3871,Produits!$A:$A,0))</f>
        <v>28.42</v>
      </c>
      <c r="R3871" s="3">
        <f>L3871-Q3871</f>
        <v>20.58</v>
      </c>
      <c r="S3871" s="2">
        <f>NETWORKDAYS(B3871,C3871)-1</f>
        <v>3</v>
      </c>
      <c r="T3871" s="1">
        <f>WORKDAY(B3871,5)</f>
        <v>45693</v>
      </c>
      <c r="U3871" t="b">
        <f>C3871&gt;T3871</f>
        <v>0</v>
      </c>
    </row>
    <row r="3872" spans="1:21" x14ac:dyDescent="0.25">
      <c r="A3872" t="s">
        <v>2268</v>
      </c>
      <c r="B3872" s="1">
        <v>45686</v>
      </c>
      <c r="C3872" s="1">
        <v>45688</v>
      </c>
      <c r="D3872" t="s">
        <v>951</v>
      </c>
      <c r="E3872" t="s">
        <v>384</v>
      </c>
      <c r="F3872" t="s">
        <v>46</v>
      </c>
      <c r="G3872" t="s">
        <v>158</v>
      </c>
      <c r="H3872" t="s">
        <v>206</v>
      </c>
      <c r="I3872" s="2">
        <v>10</v>
      </c>
      <c r="J3872" s="3">
        <v>34</v>
      </c>
      <c r="K3872" s="4">
        <v>0.05</v>
      </c>
      <c r="L3872" s="3">
        <v>323</v>
      </c>
      <c r="M3872" t="b">
        <v>1</v>
      </c>
      <c r="N3872" s="2">
        <f>YEAR(B3872)</f>
        <v>2025</v>
      </c>
      <c r="O3872" t="str">
        <f>INDEX(Agences!$C:$C,MATCH(F3872,Agences!$A:$A,0))</f>
        <v>Est</v>
      </c>
      <c r="P3872" t="str">
        <f>INDEX(Produits!$C:$C,MATCH(H3872,Produits!$A:$A,0))</f>
        <v>Fournitures</v>
      </c>
      <c r="Q3872" s="3">
        <f>I3872*INDEX(Produits!$E:$E,MATCH(H3872,Produits!$A:$A,0))</f>
        <v>193.79999999999998</v>
      </c>
      <c r="R3872" s="3">
        <f>L3872-Q3872</f>
        <v>129.20000000000002</v>
      </c>
      <c r="S3872" s="2">
        <f>NETWORKDAYS(B3872,C3872)-1</f>
        <v>2</v>
      </c>
      <c r="T3872" s="1">
        <f>WORKDAY(B3872,5)</f>
        <v>45693</v>
      </c>
      <c r="U3872" t="b">
        <f>C3872&gt;T3872</f>
        <v>0</v>
      </c>
    </row>
    <row r="3873" spans="1:21" x14ac:dyDescent="0.25">
      <c r="A3873" t="s">
        <v>2268</v>
      </c>
      <c r="B3873" s="1">
        <v>45686</v>
      </c>
      <c r="C3873" s="1">
        <v>45688</v>
      </c>
      <c r="D3873" t="s">
        <v>951</v>
      </c>
      <c r="E3873" t="s">
        <v>384</v>
      </c>
      <c r="F3873" t="s">
        <v>46</v>
      </c>
      <c r="G3873" t="s">
        <v>158</v>
      </c>
      <c r="H3873" t="s">
        <v>50</v>
      </c>
      <c r="I3873" s="2">
        <v>1</v>
      </c>
      <c r="J3873" s="3">
        <v>69</v>
      </c>
      <c r="K3873" s="4">
        <v>0</v>
      </c>
      <c r="L3873" s="3">
        <v>69</v>
      </c>
      <c r="M3873" t="b">
        <v>1</v>
      </c>
      <c r="N3873" s="2">
        <f>YEAR(B3873)</f>
        <v>2025</v>
      </c>
      <c r="O3873" t="str">
        <f>INDEX(Agences!$C:$C,MATCH(F3873,Agences!$A:$A,0))</f>
        <v>Est</v>
      </c>
      <c r="P3873" t="str">
        <f>INDEX(Produits!$C:$C,MATCH(H3873,Produits!$A:$A,0))</f>
        <v>Informatique</v>
      </c>
      <c r="Q3873" s="3">
        <f>I3873*INDEX(Produits!$E:$E,MATCH(H3873,Produits!$A:$A,0))</f>
        <v>54.51</v>
      </c>
      <c r="R3873" s="3">
        <f>L3873-Q3873</f>
        <v>14.490000000000002</v>
      </c>
      <c r="S3873" s="2">
        <f>NETWORKDAYS(B3873,C3873)-1</f>
        <v>2</v>
      </c>
      <c r="T3873" s="1">
        <f>WORKDAY(B3873,5)</f>
        <v>45693</v>
      </c>
      <c r="U3873" t="b">
        <f>C3873&gt;T3873</f>
        <v>0</v>
      </c>
    </row>
    <row r="3874" spans="1:21" x14ac:dyDescent="0.25">
      <c r="A3874" t="s">
        <v>2268</v>
      </c>
      <c r="B3874" s="1">
        <v>45686</v>
      </c>
      <c r="C3874" s="1">
        <v>45688</v>
      </c>
      <c r="D3874" t="s">
        <v>951</v>
      </c>
      <c r="E3874" t="s">
        <v>384</v>
      </c>
      <c r="F3874" t="s">
        <v>46</v>
      </c>
      <c r="G3874" t="s">
        <v>158</v>
      </c>
      <c r="H3874" t="s">
        <v>196</v>
      </c>
      <c r="I3874" s="2">
        <v>5</v>
      </c>
      <c r="J3874" s="3">
        <v>18.5</v>
      </c>
      <c r="K3874" s="4">
        <v>0</v>
      </c>
      <c r="L3874" s="3">
        <v>92.5</v>
      </c>
      <c r="M3874" t="b">
        <v>1</v>
      </c>
      <c r="N3874" s="2">
        <f>YEAR(B3874)</f>
        <v>2025</v>
      </c>
      <c r="O3874" t="str">
        <f>INDEX(Agences!$C:$C,MATCH(F3874,Agences!$A:$A,0))</f>
        <v>Est</v>
      </c>
      <c r="P3874" t="str">
        <f>INDEX(Produits!$C:$C,MATCH(H3874,Produits!$A:$A,0))</f>
        <v>Fournitures</v>
      </c>
      <c r="Q3874" s="3">
        <f>I3874*INDEX(Produits!$E:$E,MATCH(H3874,Produits!$A:$A,0))</f>
        <v>47.199999999999996</v>
      </c>
      <c r="R3874" s="3">
        <f>L3874-Q3874</f>
        <v>45.300000000000004</v>
      </c>
      <c r="S3874" s="2">
        <f>NETWORKDAYS(B3874,C3874)-1</f>
        <v>2</v>
      </c>
      <c r="T3874" s="1">
        <f>WORKDAY(B3874,5)</f>
        <v>45693</v>
      </c>
      <c r="U3874" t="b">
        <f>C3874&gt;T3874</f>
        <v>0</v>
      </c>
    </row>
    <row r="3875" spans="1:21" x14ac:dyDescent="0.25">
      <c r="A3875" t="s">
        <v>2268</v>
      </c>
      <c r="B3875" s="1">
        <v>45686</v>
      </c>
      <c r="C3875" s="1">
        <v>45688</v>
      </c>
      <c r="D3875" t="s">
        <v>951</v>
      </c>
      <c r="E3875" t="s">
        <v>384</v>
      </c>
      <c r="F3875" t="s">
        <v>46</v>
      </c>
      <c r="G3875" t="s">
        <v>158</v>
      </c>
      <c r="H3875" t="s">
        <v>42</v>
      </c>
      <c r="I3875" s="2">
        <v>1</v>
      </c>
      <c r="J3875" s="3">
        <v>55</v>
      </c>
      <c r="K3875" s="4">
        <v>0.08</v>
      </c>
      <c r="L3875" s="3">
        <v>50.6</v>
      </c>
      <c r="M3875" t="b">
        <v>1</v>
      </c>
      <c r="N3875" s="2">
        <f>YEAR(B3875)</f>
        <v>2025</v>
      </c>
      <c r="O3875" t="str">
        <f>INDEX(Agences!$C:$C,MATCH(F3875,Agences!$A:$A,0))</f>
        <v>Est</v>
      </c>
      <c r="P3875" t="str">
        <f>INDEX(Produits!$C:$C,MATCH(H3875,Produits!$A:$A,0))</f>
        <v>Maintenance</v>
      </c>
      <c r="Q3875" s="3">
        <f>I3875*INDEX(Produits!$E:$E,MATCH(H3875,Produits!$A:$A,0))</f>
        <v>24.75</v>
      </c>
      <c r="R3875" s="3">
        <f>L3875-Q3875</f>
        <v>25.85</v>
      </c>
      <c r="S3875" s="2">
        <f>NETWORKDAYS(B3875,C3875)-1</f>
        <v>2</v>
      </c>
      <c r="T3875" s="1">
        <f>WORKDAY(B3875,5)</f>
        <v>45693</v>
      </c>
      <c r="U3875" t="b">
        <f>C3875&gt;T3875</f>
        <v>0</v>
      </c>
    </row>
    <row r="3876" spans="1:21" x14ac:dyDescent="0.25">
      <c r="A3876" t="s">
        <v>2268</v>
      </c>
      <c r="B3876" s="1">
        <v>45686</v>
      </c>
      <c r="C3876" s="1">
        <v>45688</v>
      </c>
      <c r="D3876" t="s">
        <v>951</v>
      </c>
      <c r="E3876" t="s">
        <v>384</v>
      </c>
      <c r="F3876" t="s">
        <v>46</v>
      </c>
      <c r="G3876" t="s">
        <v>158</v>
      </c>
      <c r="H3876" t="s">
        <v>107</v>
      </c>
      <c r="I3876" s="2">
        <v>2</v>
      </c>
      <c r="J3876" s="3">
        <v>99</v>
      </c>
      <c r="K3876" s="4">
        <v>0</v>
      </c>
      <c r="L3876" s="3">
        <v>198</v>
      </c>
      <c r="M3876" t="b">
        <v>1</v>
      </c>
      <c r="N3876" s="2">
        <f>YEAR(B3876)</f>
        <v>2025</v>
      </c>
      <c r="O3876" t="str">
        <f>INDEX(Agences!$C:$C,MATCH(F3876,Agences!$A:$A,0))</f>
        <v>Est</v>
      </c>
      <c r="P3876" t="str">
        <f>INDEX(Produits!$C:$C,MATCH(H3876,Produits!$A:$A,0))</f>
        <v>Informatique</v>
      </c>
      <c r="Q3876" s="3">
        <f>I3876*INDEX(Produits!$E:$E,MATCH(H3876,Produits!$A:$A,0))</f>
        <v>150.48</v>
      </c>
      <c r="R3876" s="3">
        <f>L3876-Q3876</f>
        <v>47.52000000000001</v>
      </c>
      <c r="S3876" s="2">
        <f>NETWORKDAYS(B3876,C3876)-1</f>
        <v>2</v>
      </c>
      <c r="T3876" s="1">
        <f>WORKDAY(B3876,5)</f>
        <v>45693</v>
      </c>
      <c r="U3876" t="b">
        <f>C3876&gt;T3876</f>
        <v>0</v>
      </c>
    </row>
    <row r="3877" spans="1:21" x14ac:dyDescent="0.25">
      <c r="A3877" t="s">
        <v>2269</v>
      </c>
      <c r="B3877" s="1">
        <v>45686</v>
      </c>
      <c r="C3877" s="1">
        <v>45693</v>
      </c>
      <c r="D3877" t="s">
        <v>228</v>
      </c>
      <c r="E3877" t="s">
        <v>229</v>
      </c>
      <c r="F3877" t="s">
        <v>55</v>
      </c>
      <c r="G3877" t="s">
        <v>195</v>
      </c>
      <c r="H3877" t="s">
        <v>42</v>
      </c>
      <c r="I3877" s="2">
        <v>2</v>
      </c>
      <c r="J3877" s="3">
        <v>55</v>
      </c>
      <c r="K3877" s="4">
        <v>0.05</v>
      </c>
      <c r="L3877" s="3">
        <v>104.5</v>
      </c>
      <c r="M3877" t="b">
        <v>1</v>
      </c>
      <c r="N3877" s="2">
        <f>YEAR(B3877)</f>
        <v>2025</v>
      </c>
      <c r="O3877" t="str">
        <f>INDEX(Agences!$C:$C,MATCH(F3877,Agences!$A:$A,0))</f>
        <v>Est</v>
      </c>
      <c r="P3877" t="str">
        <f>INDEX(Produits!$C:$C,MATCH(H3877,Produits!$A:$A,0))</f>
        <v>Maintenance</v>
      </c>
      <c r="Q3877" s="3">
        <f>I3877*INDEX(Produits!$E:$E,MATCH(H3877,Produits!$A:$A,0))</f>
        <v>49.5</v>
      </c>
      <c r="R3877" s="3">
        <f>L3877-Q3877</f>
        <v>55</v>
      </c>
      <c r="S3877" s="2">
        <f>NETWORKDAYS(B3877,C3877)-1</f>
        <v>5</v>
      </c>
      <c r="T3877" s="1">
        <f>WORKDAY(B3877,5)</f>
        <v>45693</v>
      </c>
      <c r="U3877" t="b">
        <f>C3877&gt;T3877</f>
        <v>0</v>
      </c>
    </row>
    <row r="3878" spans="1:21" x14ac:dyDescent="0.25">
      <c r="A3878" t="s">
        <v>2269</v>
      </c>
      <c r="B3878" s="1">
        <v>45686</v>
      </c>
      <c r="C3878" s="1">
        <v>45693</v>
      </c>
      <c r="D3878" t="s">
        <v>228</v>
      </c>
      <c r="E3878" t="s">
        <v>229</v>
      </c>
      <c r="F3878" t="s">
        <v>55</v>
      </c>
      <c r="G3878" t="s">
        <v>195</v>
      </c>
      <c r="H3878" t="s">
        <v>48</v>
      </c>
      <c r="I3878" s="2">
        <v>4</v>
      </c>
      <c r="J3878" s="3">
        <v>165</v>
      </c>
      <c r="K3878" s="4">
        <v>0.1</v>
      </c>
      <c r="L3878" s="3">
        <v>594</v>
      </c>
      <c r="M3878" t="b">
        <v>1</v>
      </c>
      <c r="N3878" s="2">
        <f>YEAR(B3878)</f>
        <v>2025</v>
      </c>
      <c r="O3878" t="str">
        <f>INDEX(Agences!$C:$C,MATCH(F3878,Agences!$A:$A,0))</f>
        <v>Est</v>
      </c>
      <c r="P3878" t="str">
        <f>INDEX(Produits!$C:$C,MATCH(H3878,Produits!$A:$A,0))</f>
        <v>Mobilier</v>
      </c>
      <c r="Q3878" s="3">
        <f>I3878*INDEX(Produits!$E:$E,MATCH(H3878,Produits!$A:$A,0))</f>
        <v>429</v>
      </c>
      <c r="R3878" s="3">
        <f>L3878-Q3878</f>
        <v>165</v>
      </c>
      <c r="S3878" s="2">
        <f>NETWORKDAYS(B3878,C3878)-1</f>
        <v>5</v>
      </c>
      <c r="T3878" s="1">
        <f>WORKDAY(B3878,5)</f>
        <v>45693</v>
      </c>
      <c r="U3878" t="b">
        <f>C3878&gt;T3878</f>
        <v>0</v>
      </c>
    </row>
    <row r="3879" spans="1:21" x14ac:dyDescent="0.25">
      <c r="A3879" t="s">
        <v>2270</v>
      </c>
      <c r="B3879" s="1">
        <v>45686</v>
      </c>
      <c r="C3879" s="1">
        <v>45688</v>
      </c>
      <c r="D3879" t="s">
        <v>276</v>
      </c>
      <c r="E3879" t="s">
        <v>229</v>
      </c>
      <c r="F3879" t="s">
        <v>55</v>
      </c>
      <c r="G3879" t="s">
        <v>195</v>
      </c>
      <c r="H3879" t="s">
        <v>196</v>
      </c>
      <c r="I3879" s="2">
        <v>10</v>
      </c>
      <c r="J3879" s="3">
        <v>18.5</v>
      </c>
      <c r="K3879" s="4">
        <v>0</v>
      </c>
      <c r="L3879" s="3">
        <v>185</v>
      </c>
      <c r="M3879" t="b">
        <v>1</v>
      </c>
      <c r="N3879" s="2">
        <f>YEAR(B3879)</f>
        <v>2025</v>
      </c>
      <c r="O3879" t="str">
        <f>INDEX(Agences!$C:$C,MATCH(F3879,Agences!$A:$A,0))</f>
        <v>Est</v>
      </c>
      <c r="P3879" t="str">
        <f>INDEX(Produits!$C:$C,MATCH(H3879,Produits!$A:$A,0))</f>
        <v>Fournitures</v>
      </c>
      <c r="Q3879" s="3">
        <f>I3879*INDEX(Produits!$E:$E,MATCH(H3879,Produits!$A:$A,0))</f>
        <v>94.39999999999999</v>
      </c>
      <c r="R3879" s="3">
        <f>L3879-Q3879</f>
        <v>90.60000000000001</v>
      </c>
      <c r="S3879" s="2">
        <f>NETWORKDAYS(B3879,C3879)-1</f>
        <v>2</v>
      </c>
      <c r="T3879" s="1">
        <f>WORKDAY(B3879,5)</f>
        <v>45693</v>
      </c>
      <c r="U3879" t="b">
        <f>C3879&gt;T3879</f>
        <v>0</v>
      </c>
    </row>
    <row r="3880" spans="1:21" x14ac:dyDescent="0.25">
      <c r="A3880" t="s">
        <v>2270</v>
      </c>
      <c r="B3880" s="1">
        <v>45686</v>
      </c>
      <c r="C3880" s="1">
        <v>45688</v>
      </c>
      <c r="D3880" t="s">
        <v>276</v>
      </c>
      <c r="E3880" t="s">
        <v>229</v>
      </c>
      <c r="F3880" t="s">
        <v>55</v>
      </c>
      <c r="G3880" t="s">
        <v>195</v>
      </c>
      <c r="H3880" t="s">
        <v>35</v>
      </c>
      <c r="I3880" s="2">
        <v>1</v>
      </c>
      <c r="J3880" s="3">
        <v>79</v>
      </c>
      <c r="K3880" s="4">
        <v>0.02</v>
      </c>
      <c r="L3880" s="3">
        <v>77.42</v>
      </c>
      <c r="M3880" t="b">
        <v>1</v>
      </c>
      <c r="N3880" s="2">
        <f>YEAR(B3880)</f>
        <v>2025</v>
      </c>
      <c r="O3880" t="str">
        <f>INDEX(Agences!$C:$C,MATCH(F3880,Agences!$A:$A,0))</f>
        <v>Est</v>
      </c>
      <c r="P3880" t="str">
        <f>INDEX(Produits!$C:$C,MATCH(H3880,Produits!$A:$A,0))</f>
        <v>Mobilier</v>
      </c>
      <c r="Q3880" s="3">
        <f>I3880*INDEX(Produits!$E:$E,MATCH(H3880,Produits!$A:$A,0))</f>
        <v>46.61</v>
      </c>
      <c r="R3880" s="3">
        <f>L3880-Q3880</f>
        <v>30.810000000000002</v>
      </c>
      <c r="S3880" s="2">
        <f>NETWORKDAYS(B3880,C3880)-1</f>
        <v>2</v>
      </c>
      <c r="T3880" s="1">
        <f>WORKDAY(B3880,5)</f>
        <v>45693</v>
      </c>
      <c r="U3880" t="b">
        <f>C3880&gt;T3880</f>
        <v>0</v>
      </c>
    </row>
    <row r="3881" spans="1:21" x14ac:dyDescent="0.25">
      <c r="A3881" t="s">
        <v>2271</v>
      </c>
      <c r="B3881" s="1">
        <v>45685</v>
      </c>
      <c r="C3881" s="1">
        <v>45687</v>
      </c>
      <c r="D3881" t="s">
        <v>491</v>
      </c>
      <c r="E3881" t="s">
        <v>172</v>
      </c>
      <c r="F3881" t="s">
        <v>99</v>
      </c>
      <c r="G3881" t="s">
        <v>210</v>
      </c>
      <c r="H3881" t="s">
        <v>206</v>
      </c>
      <c r="I3881" s="2">
        <v>10</v>
      </c>
      <c r="J3881" s="3">
        <v>34</v>
      </c>
      <c r="K3881" s="4">
        <v>0</v>
      </c>
      <c r="L3881" s="3">
        <v>340</v>
      </c>
      <c r="M3881" t="b">
        <v>1</v>
      </c>
      <c r="N3881" s="2">
        <f>YEAR(B3881)</f>
        <v>2025</v>
      </c>
      <c r="O3881" t="str">
        <f>INDEX(Agences!$C:$C,MATCH(F3881,Agences!$A:$A,0))</f>
        <v>Nord</v>
      </c>
      <c r="P3881" t="str">
        <f>INDEX(Produits!$C:$C,MATCH(H3881,Produits!$A:$A,0))</f>
        <v>Fournitures</v>
      </c>
      <c r="Q3881" s="3">
        <f>I3881*INDEX(Produits!$E:$E,MATCH(H3881,Produits!$A:$A,0))</f>
        <v>193.79999999999998</v>
      </c>
      <c r="R3881" s="3">
        <f>L3881-Q3881</f>
        <v>146.20000000000002</v>
      </c>
      <c r="S3881" s="2">
        <f>NETWORKDAYS(B3881,C3881)-1</f>
        <v>2</v>
      </c>
      <c r="T3881" s="1">
        <f>WORKDAY(B3881,5)</f>
        <v>45692</v>
      </c>
      <c r="U3881" t="b">
        <f>C3881&gt;T3881</f>
        <v>0</v>
      </c>
    </row>
    <row r="3882" spans="1:21" x14ac:dyDescent="0.25">
      <c r="A3882" t="s">
        <v>2271</v>
      </c>
      <c r="B3882" s="1">
        <v>45685</v>
      </c>
      <c r="C3882" s="1">
        <v>45687</v>
      </c>
      <c r="D3882" t="s">
        <v>491</v>
      </c>
      <c r="E3882" t="s">
        <v>172</v>
      </c>
      <c r="F3882" t="s">
        <v>99</v>
      </c>
      <c r="G3882" t="s">
        <v>210</v>
      </c>
      <c r="H3882" t="s">
        <v>79</v>
      </c>
      <c r="I3882" s="2">
        <v>5</v>
      </c>
      <c r="J3882" s="3">
        <v>14.9</v>
      </c>
      <c r="K3882" s="4">
        <v>0.05</v>
      </c>
      <c r="L3882" s="3">
        <v>70.78</v>
      </c>
      <c r="M3882" t="b">
        <v>1</v>
      </c>
      <c r="N3882" s="2">
        <f>YEAR(B3882)</f>
        <v>2025</v>
      </c>
      <c r="O3882" t="str">
        <f>INDEX(Agences!$C:$C,MATCH(F3882,Agences!$A:$A,0))</f>
        <v>Nord</v>
      </c>
      <c r="P3882" t="str">
        <f>INDEX(Produits!$C:$C,MATCH(H3882,Produits!$A:$A,0))</f>
        <v>Fournitures</v>
      </c>
      <c r="Q3882" s="3">
        <f>I3882*INDEX(Produits!$E:$E,MATCH(H3882,Produits!$A:$A,0))</f>
        <v>40.25</v>
      </c>
      <c r="R3882" s="3">
        <f>L3882-Q3882</f>
        <v>30.53</v>
      </c>
      <c r="S3882" s="2">
        <f>NETWORKDAYS(B3882,C3882)-1</f>
        <v>2</v>
      </c>
      <c r="T3882" s="1">
        <f>WORKDAY(B3882,5)</f>
        <v>45692</v>
      </c>
      <c r="U3882" t="b">
        <f>C3882&gt;T3882</f>
        <v>0</v>
      </c>
    </row>
    <row r="3883" spans="1:21" x14ac:dyDescent="0.25">
      <c r="A3883" t="s">
        <v>2272</v>
      </c>
      <c r="B3883" s="1">
        <v>45685</v>
      </c>
      <c r="C3883" s="1">
        <v>45691</v>
      </c>
      <c r="D3883" t="s">
        <v>2273</v>
      </c>
      <c r="E3883" t="s">
        <v>30</v>
      </c>
      <c r="F3883" t="s">
        <v>31</v>
      </c>
      <c r="G3883" t="s">
        <v>186</v>
      </c>
      <c r="H3883" t="s">
        <v>107</v>
      </c>
      <c r="I3883" s="2">
        <v>1</v>
      </c>
      <c r="J3883" s="3">
        <v>99</v>
      </c>
      <c r="K3883" s="4">
        <v>0.08</v>
      </c>
      <c r="L3883" s="3">
        <v>91.08</v>
      </c>
      <c r="M3883" t="b">
        <v>1</v>
      </c>
      <c r="N3883" s="2">
        <f>YEAR(B3883)</f>
        <v>2025</v>
      </c>
      <c r="O3883" t="str">
        <f>INDEX(Agences!$C:$C,MATCH(F3883,Agences!$A:$A,0))</f>
        <v>Ouest</v>
      </c>
      <c r="P3883" t="str">
        <f>INDEX(Produits!$C:$C,MATCH(H3883,Produits!$A:$A,0))</f>
        <v>Informatique</v>
      </c>
      <c r="Q3883" s="3">
        <f>I3883*INDEX(Produits!$E:$E,MATCH(H3883,Produits!$A:$A,0))</f>
        <v>75.24</v>
      </c>
      <c r="R3883" s="3">
        <f>L3883-Q3883</f>
        <v>15.840000000000003</v>
      </c>
      <c r="S3883" s="2">
        <f>NETWORKDAYS(B3883,C3883)-1</f>
        <v>4</v>
      </c>
      <c r="T3883" s="1">
        <f>WORKDAY(B3883,5)</f>
        <v>45692</v>
      </c>
      <c r="U3883" t="b">
        <f>C3883&gt;T3883</f>
        <v>0</v>
      </c>
    </row>
    <row r="3884" spans="1:21" x14ac:dyDescent="0.25">
      <c r="A3884" t="s">
        <v>2274</v>
      </c>
      <c r="B3884" s="1">
        <v>45684</v>
      </c>
      <c r="C3884" s="1">
        <v>45685</v>
      </c>
      <c r="D3884" t="s">
        <v>1579</v>
      </c>
      <c r="E3884" t="s">
        <v>172</v>
      </c>
      <c r="F3884" t="s">
        <v>99</v>
      </c>
      <c r="G3884" t="s">
        <v>100</v>
      </c>
      <c r="H3884" t="s">
        <v>83</v>
      </c>
      <c r="I3884" s="2">
        <v>1</v>
      </c>
      <c r="J3884" s="3">
        <v>49</v>
      </c>
      <c r="K3884" s="4">
        <v>0.02</v>
      </c>
      <c r="L3884" s="3">
        <v>48.02</v>
      </c>
      <c r="M3884" t="b">
        <v>1</v>
      </c>
      <c r="N3884" s="2">
        <f>YEAR(B3884)</f>
        <v>2025</v>
      </c>
      <c r="O3884" t="str">
        <f>INDEX(Agences!$C:$C,MATCH(F3884,Agences!$A:$A,0))</f>
        <v>Nord</v>
      </c>
      <c r="P3884" t="str">
        <f>INDEX(Produits!$C:$C,MATCH(H3884,Produits!$A:$A,0))</f>
        <v>Mobilier</v>
      </c>
      <c r="Q3884" s="3">
        <f>I3884*INDEX(Produits!$E:$E,MATCH(H3884,Produits!$A:$A,0))</f>
        <v>28.42</v>
      </c>
      <c r="R3884" s="3">
        <f>L3884-Q3884</f>
        <v>19.6</v>
      </c>
      <c r="S3884" s="2">
        <f>NETWORKDAYS(B3884,C3884)-1</f>
        <v>1</v>
      </c>
      <c r="T3884" s="1">
        <f>WORKDAY(B3884,5)</f>
        <v>45691</v>
      </c>
      <c r="U3884" t="b">
        <f>C3884&gt;T3884</f>
        <v>0</v>
      </c>
    </row>
    <row r="3885" spans="1:21" x14ac:dyDescent="0.25">
      <c r="A3885" t="s">
        <v>2274</v>
      </c>
      <c r="B3885" s="1">
        <v>45684</v>
      </c>
      <c r="C3885" s="1">
        <v>45685</v>
      </c>
      <c r="D3885" t="s">
        <v>1579</v>
      </c>
      <c r="E3885" t="s">
        <v>172</v>
      </c>
      <c r="F3885" t="s">
        <v>99</v>
      </c>
      <c r="G3885" t="s">
        <v>100</v>
      </c>
      <c r="H3885" t="s">
        <v>50</v>
      </c>
      <c r="I3885" s="2">
        <v>2</v>
      </c>
      <c r="J3885" s="3">
        <v>69</v>
      </c>
      <c r="K3885" s="4">
        <v>0</v>
      </c>
      <c r="L3885" s="3">
        <v>138</v>
      </c>
      <c r="M3885" t="b">
        <v>1</v>
      </c>
      <c r="N3885" s="2">
        <f>YEAR(B3885)</f>
        <v>2025</v>
      </c>
      <c r="O3885" t="str">
        <f>INDEX(Agences!$C:$C,MATCH(F3885,Agences!$A:$A,0))</f>
        <v>Nord</v>
      </c>
      <c r="P3885" t="str">
        <f>INDEX(Produits!$C:$C,MATCH(H3885,Produits!$A:$A,0))</f>
        <v>Informatique</v>
      </c>
      <c r="Q3885" s="3">
        <f>I3885*INDEX(Produits!$E:$E,MATCH(H3885,Produits!$A:$A,0))</f>
        <v>109.02</v>
      </c>
      <c r="R3885" s="3">
        <f>L3885-Q3885</f>
        <v>28.980000000000004</v>
      </c>
      <c r="S3885" s="2">
        <f>NETWORKDAYS(B3885,C3885)-1</f>
        <v>1</v>
      </c>
      <c r="T3885" s="1">
        <f>WORKDAY(B3885,5)</f>
        <v>45691</v>
      </c>
      <c r="U3885" t="b">
        <f>C3885&gt;T3885</f>
        <v>0</v>
      </c>
    </row>
    <row r="3886" spans="1:21" x14ac:dyDescent="0.25">
      <c r="A3886" t="s">
        <v>2274</v>
      </c>
      <c r="B3886" s="1">
        <v>45684</v>
      </c>
      <c r="C3886" s="1">
        <v>45685</v>
      </c>
      <c r="D3886" t="s">
        <v>1579</v>
      </c>
      <c r="E3886" t="s">
        <v>172</v>
      </c>
      <c r="F3886" t="s">
        <v>99</v>
      </c>
      <c r="G3886" t="s">
        <v>100</v>
      </c>
      <c r="H3886" t="s">
        <v>51</v>
      </c>
      <c r="I3886" s="2">
        <v>1</v>
      </c>
      <c r="J3886" s="3">
        <v>180</v>
      </c>
      <c r="K3886" s="4">
        <v>0.08</v>
      </c>
      <c r="L3886" s="3">
        <v>165.6</v>
      </c>
      <c r="M3886" t="b">
        <v>1</v>
      </c>
      <c r="N3886" s="2">
        <f>YEAR(B3886)</f>
        <v>2025</v>
      </c>
      <c r="O3886" t="str">
        <f>INDEX(Agences!$C:$C,MATCH(F3886,Agences!$A:$A,0))</f>
        <v>Nord</v>
      </c>
      <c r="P3886" t="str">
        <f>INDEX(Produits!$C:$C,MATCH(H3886,Produits!$A:$A,0))</f>
        <v>Maintenance</v>
      </c>
      <c r="Q3886" s="3">
        <f>I3886*INDEX(Produits!$E:$E,MATCH(H3886,Produits!$A:$A,0))</f>
        <v>82.8</v>
      </c>
      <c r="R3886" s="3">
        <f>L3886-Q3886</f>
        <v>82.8</v>
      </c>
      <c r="S3886" s="2">
        <f>NETWORKDAYS(B3886,C3886)-1</f>
        <v>1</v>
      </c>
      <c r="T3886" s="1">
        <f>WORKDAY(B3886,5)</f>
        <v>45691</v>
      </c>
      <c r="U3886" t="b">
        <f>C3886&gt;T3886</f>
        <v>0</v>
      </c>
    </row>
    <row r="3887" spans="1:21" x14ac:dyDescent="0.25">
      <c r="A3887" t="s">
        <v>2275</v>
      </c>
      <c r="B3887" s="1">
        <v>45681</v>
      </c>
      <c r="C3887" s="1">
        <v>45686</v>
      </c>
      <c r="D3887" t="s">
        <v>269</v>
      </c>
      <c r="E3887" t="s">
        <v>270</v>
      </c>
      <c r="F3887" t="s">
        <v>76</v>
      </c>
      <c r="G3887" t="s">
        <v>232</v>
      </c>
      <c r="H3887" t="s">
        <v>107</v>
      </c>
      <c r="I3887" s="2">
        <v>2</v>
      </c>
      <c r="J3887" s="3">
        <v>99</v>
      </c>
      <c r="K3887" s="4">
        <v>0</v>
      </c>
      <c r="L3887" s="3">
        <v>198</v>
      </c>
      <c r="M3887" t="b">
        <v>1</v>
      </c>
      <c r="N3887" s="2">
        <f>YEAR(B3887)</f>
        <v>2025</v>
      </c>
      <c r="O3887" t="str">
        <f>INDEX(Agences!$C:$C,MATCH(F3887,Agences!$A:$A,0))</f>
        <v>Île-de-France</v>
      </c>
      <c r="P3887" t="str">
        <f>INDEX(Produits!$C:$C,MATCH(H3887,Produits!$A:$A,0))</f>
        <v>Informatique</v>
      </c>
      <c r="Q3887" s="3">
        <f>I3887*INDEX(Produits!$E:$E,MATCH(H3887,Produits!$A:$A,0))</f>
        <v>150.48</v>
      </c>
      <c r="R3887" s="3">
        <f>L3887-Q3887</f>
        <v>47.52000000000001</v>
      </c>
      <c r="S3887" s="2">
        <f>NETWORKDAYS(B3887,C3887)-1</f>
        <v>3</v>
      </c>
      <c r="T3887" s="1">
        <f>WORKDAY(B3887,5)</f>
        <v>45688</v>
      </c>
      <c r="U3887" t="b">
        <f>C3887&gt;T3887</f>
        <v>0</v>
      </c>
    </row>
    <row r="3888" spans="1:21" x14ac:dyDescent="0.25">
      <c r="A3888" t="s">
        <v>2275</v>
      </c>
      <c r="B3888" s="1">
        <v>45681</v>
      </c>
      <c r="C3888" s="1">
        <v>45686</v>
      </c>
      <c r="D3888" t="s">
        <v>269</v>
      </c>
      <c r="E3888" t="s">
        <v>270</v>
      </c>
      <c r="F3888" t="s">
        <v>76</v>
      </c>
      <c r="G3888" t="s">
        <v>232</v>
      </c>
      <c r="H3888" t="s">
        <v>64</v>
      </c>
      <c r="I3888" s="2">
        <v>10</v>
      </c>
      <c r="J3888" s="3">
        <v>16.8</v>
      </c>
      <c r="K3888" s="4">
        <v>0</v>
      </c>
      <c r="L3888" s="3">
        <v>168</v>
      </c>
      <c r="M3888" t="b">
        <v>1</v>
      </c>
      <c r="N3888" s="2">
        <f>YEAR(B3888)</f>
        <v>2025</v>
      </c>
      <c r="O3888" t="str">
        <f>INDEX(Agences!$C:$C,MATCH(F3888,Agences!$A:$A,0))</f>
        <v>Île-de-France</v>
      </c>
      <c r="P3888" t="str">
        <f>INDEX(Produits!$C:$C,MATCH(H3888,Produits!$A:$A,0))</f>
        <v>Fournitures</v>
      </c>
      <c r="Q3888" s="3">
        <f>I3888*INDEX(Produits!$E:$E,MATCH(H3888,Produits!$A:$A,0))</f>
        <v>87.4</v>
      </c>
      <c r="R3888" s="3">
        <f>L3888-Q3888</f>
        <v>80.6</v>
      </c>
      <c r="S3888" s="2">
        <f>NETWORKDAYS(B3888,C3888)-1</f>
        <v>3</v>
      </c>
      <c r="T3888" s="1">
        <f>WORKDAY(B3888,5)</f>
        <v>45688</v>
      </c>
      <c r="U3888" t="b">
        <f>C3888&gt;T3888</f>
        <v>0</v>
      </c>
    </row>
    <row r="3889" spans="1:21" x14ac:dyDescent="0.25">
      <c r="A3889" t="s">
        <v>2275</v>
      </c>
      <c r="B3889" s="1">
        <v>45681</v>
      </c>
      <c r="C3889" s="1">
        <v>45686</v>
      </c>
      <c r="D3889" t="s">
        <v>269</v>
      </c>
      <c r="E3889" t="s">
        <v>270</v>
      </c>
      <c r="F3889" t="s">
        <v>76</v>
      </c>
      <c r="G3889" t="s">
        <v>232</v>
      </c>
      <c r="H3889" t="s">
        <v>83</v>
      </c>
      <c r="I3889" s="2">
        <v>3</v>
      </c>
      <c r="J3889" s="3">
        <v>49</v>
      </c>
      <c r="K3889" s="4">
        <v>0</v>
      </c>
      <c r="L3889" s="3">
        <v>147</v>
      </c>
      <c r="M3889" t="b">
        <v>1</v>
      </c>
      <c r="N3889" s="2">
        <f>YEAR(B3889)</f>
        <v>2025</v>
      </c>
      <c r="O3889" t="str">
        <f>INDEX(Agences!$C:$C,MATCH(F3889,Agences!$A:$A,0))</f>
        <v>Île-de-France</v>
      </c>
      <c r="P3889" t="str">
        <f>INDEX(Produits!$C:$C,MATCH(H3889,Produits!$A:$A,0))</f>
        <v>Mobilier</v>
      </c>
      <c r="Q3889" s="3">
        <f>I3889*INDEX(Produits!$E:$E,MATCH(H3889,Produits!$A:$A,0))</f>
        <v>85.26</v>
      </c>
      <c r="R3889" s="3">
        <f>L3889-Q3889</f>
        <v>61.739999999999995</v>
      </c>
      <c r="S3889" s="2">
        <f>NETWORKDAYS(B3889,C3889)-1</f>
        <v>3</v>
      </c>
      <c r="T3889" s="1">
        <f>WORKDAY(B3889,5)</f>
        <v>45688</v>
      </c>
      <c r="U3889" t="b">
        <f>C3889&gt;T3889</f>
        <v>0</v>
      </c>
    </row>
    <row r="3890" spans="1:21" x14ac:dyDescent="0.25">
      <c r="A3890" t="s">
        <v>2276</v>
      </c>
      <c r="B3890" s="1">
        <v>45681</v>
      </c>
      <c r="C3890" s="1">
        <v>45687</v>
      </c>
      <c r="D3890" t="s">
        <v>245</v>
      </c>
      <c r="E3890" t="s">
        <v>175</v>
      </c>
      <c r="F3890" t="s">
        <v>76</v>
      </c>
      <c r="G3890" t="s">
        <v>77</v>
      </c>
      <c r="H3890" t="s">
        <v>83</v>
      </c>
      <c r="I3890" s="2">
        <v>1</v>
      </c>
      <c r="J3890" s="3">
        <v>49</v>
      </c>
      <c r="K3890" s="4">
        <v>0</v>
      </c>
      <c r="L3890" s="3">
        <v>49</v>
      </c>
      <c r="M3890" t="b">
        <v>1</v>
      </c>
      <c r="N3890" s="2">
        <f>YEAR(B3890)</f>
        <v>2025</v>
      </c>
      <c r="O3890" t="str">
        <f>INDEX(Agences!$C:$C,MATCH(F3890,Agences!$A:$A,0))</f>
        <v>Île-de-France</v>
      </c>
      <c r="P3890" t="str">
        <f>INDEX(Produits!$C:$C,MATCH(H3890,Produits!$A:$A,0))</f>
        <v>Mobilier</v>
      </c>
      <c r="Q3890" s="3">
        <f>I3890*INDEX(Produits!$E:$E,MATCH(H3890,Produits!$A:$A,0))</f>
        <v>28.42</v>
      </c>
      <c r="R3890" s="3">
        <f>L3890-Q3890</f>
        <v>20.58</v>
      </c>
      <c r="S3890" s="2">
        <f>NETWORKDAYS(B3890,C3890)-1</f>
        <v>4</v>
      </c>
      <c r="T3890" s="1">
        <f>WORKDAY(B3890,5)</f>
        <v>45688</v>
      </c>
      <c r="U3890" t="b">
        <f>C3890&gt;T3890</f>
        <v>0</v>
      </c>
    </row>
    <row r="3891" spans="1:21" x14ac:dyDescent="0.25">
      <c r="A3891" t="s">
        <v>2277</v>
      </c>
      <c r="B3891" s="1">
        <v>45681</v>
      </c>
      <c r="C3891" s="1">
        <v>45688</v>
      </c>
      <c r="D3891" t="s">
        <v>1009</v>
      </c>
      <c r="E3891" t="s">
        <v>165</v>
      </c>
      <c r="F3891" t="s">
        <v>166</v>
      </c>
      <c r="G3891" t="s">
        <v>167</v>
      </c>
      <c r="H3891" t="s">
        <v>112</v>
      </c>
      <c r="I3891" s="2">
        <v>1</v>
      </c>
      <c r="J3891" s="3">
        <v>129</v>
      </c>
      <c r="K3891" s="4">
        <v>0.08</v>
      </c>
      <c r="L3891" s="3">
        <v>118.68</v>
      </c>
      <c r="M3891" t="b">
        <v>1</v>
      </c>
      <c r="N3891" s="2">
        <f>YEAR(B3891)</f>
        <v>2025</v>
      </c>
      <c r="O3891" t="str">
        <f>INDEX(Agences!$C:$C,MATCH(F3891,Agences!$A:$A,0))</f>
        <v>Ouest</v>
      </c>
      <c r="P3891" t="str">
        <f>INDEX(Produits!$C:$C,MATCH(H3891,Produits!$A:$A,0))</f>
        <v>Mobilier</v>
      </c>
      <c r="Q3891" s="3">
        <f>I3891*INDEX(Produits!$E:$E,MATCH(H3891,Produits!$A:$A,0))</f>
        <v>86.43</v>
      </c>
      <c r="R3891" s="3">
        <f>L3891-Q3891</f>
        <v>32.25</v>
      </c>
      <c r="S3891" s="2">
        <f>NETWORKDAYS(B3891,C3891)-1</f>
        <v>5</v>
      </c>
      <c r="T3891" s="1">
        <f>WORKDAY(B3891,5)</f>
        <v>45688</v>
      </c>
      <c r="U3891" t="b">
        <f>C3891&gt;T3891</f>
        <v>0</v>
      </c>
    </row>
    <row r="3892" spans="1:21" x14ac:dyDescent="0.25">
      <c r="A3892" t="s">
        <v>2277</v>
      </c>
      <c r="B3892" s="1">
        <v>45681</v>
      </c>
      <c r="C3892" s="1">
        <v>45688</v>
      </c>
      <c r="D3892" t="s">
        <v>1009</v>
      </c>
      <c r="E3892" t="s">
        <v>165</v>
      </c>
      <c r="F3892" t="s">
        <v>166</v>
      </c>
      <c r="G3892" t="s">
        <v>167</v>
      </c>
      <c r="H3892" t="s">
        <v>233</v>
      </c>
      <c r="I3892" s="2">
        <v>10</v>
      </c>
      <c r="J3892" s="3">
        <v>27.5</v>
      </c>
      <c r="K3892" s="4">
        <v>0.02</v>
      </c>
      <c r="L3892" s="3">
        <v>269.5</v>
      </c>
      <c r="M3892" t="b">
        <v>1</v>
      </c>
      <c r="N3892" s="2">
        <f>YEAR(B3892)</f>
        <v>2025</v>
      </c>
      <c r="O3892" t="str">
        <f>INDEX(Agences!$C:$C,MATCH(F3892,Agences!$A:$A,0))</f>
        <v>Ouest</v>
      </c>
      <c r="P3892" t="str">
        <f>INDEX(Produits!$C:$C,MATCH(H3892,Produits!$A:$A,0))</f>
        <v>Fournitures</v>
      </c>
      <c r="Q3892" s="3">
        <f>I3892*INDEX(Produits!$E:$E,MATCH(H3892,Produits!$A:$A,0))</f>
        <v>154</v>
      </c>
      <c r="R3892" s="3">
        <f>L3892-Q3892</f>
        <v>115.5</v>
      </c>
      <c r="S3892" s="2">
        <f>NETWORKDAYS(B3892,C3892)-1</f>
        <v>5</v>
      </c>
      <c r="T3892" s="1">
        <f>WORKDAY(B3892,5)</f>
        <v>45688</v>
      </c>
      <c r="U3892" t="b">
        <f>C3892&gt;T3892</f>
        <v>0</v>
      </c>
    </row>
    <row r="3893" spans="1:21" x14ac:dyDescent="0.25">
      <c r="A3893" t="s">
        <v>2277</v>
      </c>
      <c r="B3893" s="1">
        <v>45681</v>
      </c>
      <c r="C3893" s="1">
        <v>45688</v>
      </c>
      <c r="D3893" t="s">
        <v>1009</v>
      </c>
      <c r="E3893" t="s">
        <v>165</v>
      </c>
      <c r="F3893" t="s">
        <v>166</v>
      </c>
      <c r="G3893" t="s">
        <v>167</v>
      </c>
      <c r="H3893" t="s">
        <v>42</v>
      </c>
      <c r="I3893" s="2">
        <v>1</v>
      </c>
      <c r="J3893" s="3">
        <v>55</v>
      </c>
      <c r="K3893" s="4">
        <v>0.08</v>
      </c>
      <c r="L3893" s="3">
        <v>50.6</v>
      </c>
      <c r="M3893" t="b">
        <v>1</v>
      </c>
      <c r="N3893" s="2">
        <f>YEAR(B3893)</f>
        <v>2025</v>
      </c>
      <c r="O3893" t="str">
        <f>INDEX(Agences!$C:$C,MATCH(F3893,Agences!$A:$A,0))</f>
        <v>Ouest</v>
      </c>
      <c r="P3893" t="str">
        <f>INDEX(Produits!$C:$C,MATCH(H3893,Produits!$A:$A,0))</f>
        <v>Maintenance</v>
      </c>
      <c r="Q3893" s="3">
        <f>I3893*INDEX(Produits!$E:$E,MATCH(H3893,Produits!$A:$A,0))</f>
        <v>24.75</v>
      </c>
      <c r="R3893" s="3">
        <f>L3893-Q3893</f>
        <v>25.85</v>
      </c>
      <c r="S3893" s="2">
        <f>NETWORKDAYS(B3893,C3893)-1</f>
        <v>5</v>
      </c>
      <c r="T3893" s="1">
        <f>WORKDAY(B3893,5)</f>
        <v>45688</v>
      </c>
      <c r="U3893" t="b">
        <f>C3893&gt;T3893</f>
        <v>0</v>
      </c>
    </row>
    <row r="3894" spans="1:21" x14ac:dyDescent="0.25">
      <c r="A3894" t="s">
        <v>2278</v>
      </c>
      <c r="B3894" s="1">
        <v>45681</v>
      </c>
      <c r="C3894" s="1">
        <v>45688</v>
      </c>
      <c r="D3894" t="s">
        <v>666</v>
      </c>
      <c r="E3894" t="s">
        <v>225</v>
      </c>
      <c r="F3894" t="s">
        <v>88</v>
      </c>
      <c r="G3894" t="s">
        <v>226</v>
      </c>
      <c r="H3894" t="s">
        <v>112</v>
      </c>
      <c r="I3894" s="2">
        <v>3</v>
      </c>
      <c r="J3894" s="3">
        <v>129</v>
      </c>
      <c r="K3894" s="4">
        <v>0</v>
      </c>
      <c r="L3894" s="3">
        <v>387</v>
      </c>
      <c r="M3894" t="b">
        <v>1</v>
      </c>
      <c r="N3894" s="2">
        <f>YEAR(B3894)</f>
        <v>2025</v>
      </c>
      <c r="O3894" t="str">
        <f>INDEX(Agences!$C:$C,MATCH(F3894,Agences!$A:$A,0))</f>
        <v>Sud-Ouest</v>
      </c>
      <c r="P3894" t="str">
        <f>INDEX(Produits!$C:$C,MATCH(H3894,Produits!$A:$A,0))</f>
        <v>Mobilier</v>
      </c>
      <c r="Q3894" s="3">
        <f>I3894*INDEX(Produits!$E:$E,MATCH(H3894,Produits!$A:$A,0))</f>
        <v>259.29</v>
      </c>
      <c r="R3894" s="3">
        <f>L3894-Q3894</f>
        <v>127.70999999999998</v>
      </c>
      <c r="S3894" s="2">
        <f>NETWORKDAYS(B3894,C3894)-1</f>
        <v>5</v>
      </c>
      <c r="T3894" s="1">
        <f>WORKDAY(B3894,5)</f>
        <v>45688</v>
      </c>
      <c r="U3894" t="b">
        <f>C3894&gt;T3894</f>
        <v>0</v>
      </c>
    </row>
    <row r="3895" spans="1:21" x14ac:dyDescent="0.25">
      <c r="A3895" t="s">
        <v>2279</v>
      </c>
      <c r="B3895" s="1">
        <v>45681</v>
      </c>
      <c r="C3895" s="1">
        <v>45687</v>
      </c>
      <c r="D3895" t="s">
        <v>1824</v>
      </c>
      <c r="E3895" t="s">
        <v>87</v>
      </c>
      <c r="F3895" t="s">
        <v>88</v>
      </c>
      <c r="G3895" t="s">
        <v>142</v>
      </c>
      <c r="H3895" t="s">
        <v>41</v>
      </c>
      <c r="I3895" s="2">
        <v>1</v>
      </c>
      <c r="J3895" s="3">
        <v>790</v>
      </c>
      <c r="K3895" s="4">
        <v>0</v>
      </c>
      <c r="L3895" s="3">
        <v>790</v>
      </c>
      <c r="M3895" t="b">
        <v>1</v>
      </c>
      <c r="N3895" s="2">
        <f>YEAR(B3895)</f>
        <v>2025</v>
      </c>
      <c r="O3895" t="str">
        <f>INDEX(Agences!$C:$C,MATCH(F3895,Agences!$A:$A,0))</f>
        <v>Sud-Ouest</v>
      </c>
      <c r="P3895" t="str">
        <f>INDEX(Produits!$C:$C,MATCH(H3895,Produits!$A:$A,0))</f>
        <v>Informatique</v>
      </c>
      <c r="Q3895" s="3">
        <f>I3895*INDEX(Produits!$E:$E,MATCH(H3895,Produits!$A:$A,0))</f>
        <v>576.7</v>
      </c>
      <c r="R3895" s="3">
        <f>L3895-Q3895</f>
        <v>213.29999999999995</v>
      </c>
      <c r="S3895" s="2">
        <f>NETWORKDAYS(B3895,C3895)-1</f>
        <v>4</v>
      </c>
      <c r="T3895" s="1">
        <f>WORKDAY(B3895,5)</f>
        <v>45688</v>
      </c>
      <c r="U3895" t="b">
        <f>C3895&gt;T3895</f>
        <v>0</v>
      </c>
    </row>
    <row r="3896" spans="1:21" x14ac:dyDescent="0.25">
      <c r="A3896" t="s">
        <v>2279</v>
      </c>
      <c r="B3896" s="1">
        <v>45681</v>
      </c>
      <c r="C3896" s="1">
        <v>45687</v>
      </c>
      <c r="D3896" t="s">
        <v>1824</v>
      </c>
      <c r="E3896" t="s">
        <v>87</v>
      </c>
      <c r="F3896" t="s">
        <v>88</v>
      </c>
      <c r="G3896" t="s">
        <v>142</v>
      </c>
      <c r="H3896" t="s">
        <v>57</v>
      </c>
      <c r="I3896" s="2">
        <v>2</v>
      </c>
      <c r="J3896" s="3">
        <v>149</v>
      </c>
      <c r="K3896" s="4">
        <v>0</v>
      </c>
      <c r="L3896" s="3">
        <v>298</v>
      </c>
      <c r="M3896" t="b">
        <v>1</v>
      </c>
      <c r="N3896" s="2">
        <f>YEAR(B3896)</f>
        <v>2025</v>
      </c>
      <c r="O3896" t="str">
        <f>INDEX(Agences!$C:$C,MATCH(F3896,Agences!$A:$A,0))</f>
        <v>Sud-Ouest</v>
      </c>
      <c r="P3896" t="str">
        <f>INDEX(Produits!$C:$C,MATCH(H3896,Produits!$A:$A,0))</f>
        <v>Informatique</v>
      </c>
      <c r="Q3896" s="3">
        <f>I3896*INDEX(Produits!$E:$E,MATCH(H3896,Produits!$A:$A,0))</f>
        <v>229.46</v>
      </c>
      <c r="R3896" s="3">
        <f>L3896-Q3896</f>
        <v>68.53999999999999</v>
      </c>
      <c r="S3896" s="2">
        <f>NETWORKDAYS(B3896,C3896)-1</f>
        <v>4</v>
      </c>
      <c r="T3896" s="1">
        <f>WORKDAY(B3896,5)</f>
        <v>45688</v>
      </c>
      <c r="U3896" t="b">
        <f>C3896&gt;T3896</f>
        <v>0</v>
      </c>
    </row>
    <row r="3897" spans="1:21" x14ac:dyDescent="0.25">
      <c r="A3897" t="s">
        <v>2280</v>
      </c>
      <c r="B3897" s="1">
        <v>45680</v>
      </c>
      <c r="C3897" s="1">
        <v>45685</v>
      </c>
      <c r="D3897" t="s">
        <v>554</v>
      </c>
      <c r="E3897" t="s">
        <v>242</v>
      </c>
      <c r="F3897" t="s">
        <v>94</v>
      </c>
      <c r="G3897" t="s">
        <v>182</v>
      </c>
      <c r="H3897" t="s">
        <v>49</v>
      </c>
      <c r="I3897" s="2">
        <v>1</v>
      </c>
      <c r="J3897" s="3">
        <v>120</v>
      </c>
      <c r="K3897" s="4">
        <v>0.05</v>
      </c>
      <c r="L3897" s="3">
        <v>114</v>
      </c>
      <c r="M3897" t="b">
        <v>1</v>
      </c>
      <c r="N3897" s="2">
        <f>YEAR(B3897)</f>
        <v>2025</v>
      </c>
      <c r="O3897" t="str">
        <f>INDEX(Agences!$C:$C,MATCH(F3897,Agences!$A:$A,0))</f>
        <v>Méditerranée</v>
      </c>
      <c r="P3897" t="str">
        <f>INDEX(Produits!$C:$C,MATCH(H3897,Produits!$A:$A,0))</f>
        <v>Maintenance</v>
      </c>
      <c r="Q3897" s="3">
        <f>I3897*INDEX(Produits!$E:$E,MATCH(H3897,Produits!$A:$A,0))</f>
        <v>55.2</v>
      </c>
      <c r="R3897" s="3">
        <f>L3897-Q3897</f>
        <v>58.8</v>
      </c>
      <c r="S3897" s="2">
        <f>NETWORKDAYS(B3897,C3897)-1</f>
        <v>3</v>
      </c>
      <c r="T3897" s="1">
        <f>WORKDAY(B3897,5)</f>
        <v>45687</v>
      </c>
      <c r="U3897" t="b">
        <f>C3897&gt;T3897</f>
        <v>0</v>
      </c>
    </row>
    <row r="3898" spans="1:21" x14ac:dyDescent="0.25">
      <c r="A3898" t="s">
        <v>2280</v>
      </c>
      <c r="B3898" s="1">
        <v>45680</v>
      </c>
      <c r="C3898" s="1">
        <v>45685</v>
      </c>
      <c r="D3898" t="s">
        <v>554</v>
      </c>
      <c r="E3898" t="s">
        <v>242</v>
      </c>
      <c r="F3898" t="s">
        <v>94</v>
      </c>
      <c r="G3898" t="s">
        <v>182</v>
      </c>
      <c r="H3898" t="s">
        <v>50</v>
      </c>
      <c r="I3898" s="2">
        <v>4</v>
      </c>
      <c r="J3898" s="3">
        <v>69</v>
      </c>
      <c r="K3898" s="4">
        <v>0.05</v>
      </c>
      <c r="L3898" s="3">
        <v>262.2</v>
      </c>
      <c r="M3898" t="b">
        <v>1</v>
      </c>
      <c r="N3898" s="2">
        <f>YEAR(B3898)</f>
        <v>2025</v>
      </c>
      <c r="O3898" t="str">
        <f>INDEX(Agences!$C:$C,MATCH(F3898,Agences!$A:$A,0))</f>
        <v>Méditerranée</v>
      </c>
      <c r="P3898" t="str">
        <f>INDEX(Produits!$C:$C,MATCH(H3898,Produits!$A:$A,0))</f>
        <v>Informatique</v>
      </c>
      <c r="Q3898" s="3">
        <f>I3898*INDEX(Produits!$E:$E,MATCH(H3898,Produits!$A:$A,0))</f>
        <v>218.04</v>
      </c>
      <c r="R3898" s="3">
        <f>L3898-Q3898</f>
        <v>44.16</v>
      </c>
      <c r="S3898" s="2">
        <f>NETWORKDAYS(B3898,C3898)-1</f>
        <v>3</v>
      </c>
      <c r="T3898" s="1">
        <f>WORKDAY(B3898,5)</f>
        <v>45687</v>
      </c>
      <c r="U3898" t="b">
        <f>C3898&gt;T3898</f>
        <v>0</v>
      </c>
    </row>
    <row r="3899" spans="1:21" x14ac:dyDescent="0.25">
      <c r="A3899" t="s">
        <v>2281</v>
      </c>
      <c r="B3899" s="1">
        <v>45679</v>
      </c>
      <c r="C3899" s="1">
        <v>45686</v>
      </c>
      <c r="D3899" t="s">
        <v>477</v>
      </c>
      <c r="E3899" t="s">
        <v>122</v>
      </c>
      <c r="F3899" t="s">
        <v>24</v>
      </c>
      <c r="G3899" t="s">
        <v>116</v>
      </c>
      <c r="H3899" t="s">
        <v>34</v>
      </c>
      <c r="I3899" s="2">
        <v>2</v>
      </c>
      <c r="J3899" s="3">
        <v>340</v>
      </c>
      <c r="K3899" s="4">
        <v>0.02</v>
      </c>
      <c r="L3899" s="3">
        <v>666.4</v>
      </c>
      <c r="M3899" t="b">
        <v>1</v>
      </c>
      <c r="N3899" s="2">
        <f>YEAR(B3899)</f>
        <v>2025</v>
      </c>
      <c r="O3899" t="str">
        <f>INDEX(Agences!$C:$C,MATCH(F3899,Agences!$A:$A,0))</f>
        <v>Nord</v>
      </c>
      <c r="P3899" t="str">
        <f>INDEX(Produits!$C:$C,MATCH(H3899,Produits!$A:$A,0))</f>
        <v>Informatique</v>
      </c>
      <c r="Q3899" s="3">
        <f>I3899*INDEX(Produits!$E:$E,MATCH(H3899,Produits!$A:$A,0))</f>
        <v>550.8</v>
      </c>
      <c r="R3899" s="3">
        <f>L3899-Q3899</f>
        <v>115.60000000000002</v>
      </c>
      <c r="S3899" s="2">
        <f>NETWORKDAYS(B3899,C3899)-1</f>
        <v>5</v>
      </c>
      <c r="T3899" s="1">
        <f>WORKDAY(B3899,5)</f>
        <v>45686</v>
      </c>
      <c r="U3899" t="b">
        <f>C3899&gt;T3899</f>
        <v>0</v>
      </c>
    </row>
    <row r="3900" spans="1:21" x14ac:dyDescent="0.25">
      <c r="A3900" t="s">
        <v>2281</v>
      </c>
      <c r="B3900" s="1">
        <v>45679</v>
      </c>
      <c r="C3900" s="1">
        <v>45686</v>
      </c>
      <c r="D3900" t="s">
        <v>477</v>
      </c>
      <c r="E3900" t="s">
        <v>122</v>
      </c>
      <c r="F3900" t="s">
        <v>24</v>
      </c>
      <c r="G3900" t="s">
        <v>116</v>
      </c>
      <c r="H3900" t="s">
        <v>42</v>
      </c>
      <c r="I3900" s="2">
        <v>3</v>
      </c>
      <c r="J3900" s="3">
        <v>55</v>
      </c>
      <c r="K3900" s="4">
        <v>0.02</v>
      </c>
      <c r="L3900" s="3">
        <v>161.7</v>
      </c>
      <c r="M3900" t="b">
        <v>1</v>
      </c>
      <c r="N3900" s="2">
        <f>YEAR(B3900)</f>
        <v>2025</v>
      </c>
      <c r="O3900" t="str">
        <f>INDEX(Agences!$C:$C,MATCH(F3900,Agences!$A:$A,0))</f>
        <v>Nord</v>
      </c>
      <c r="P3900" t="str">
        <f>INDEX(Produits!$C:$C,MATCH(H3900,Produits!$A:$A,0))</f>
        <v>Maintenance</v>
      </c>
      <c r="Q3900" s="3">
        <f>I3900*INDEX(Produits!$E:$E,MATCH(H3900,Produits!$A:$A,0))</f>
        <v>74.25</v>
      </c>
      <c r="R3900" s="3">
        <f>L3900-Q3900</f>
        <v>87.44999999999999</v>
      </c>
      <c r="S3900" s="2">
        <f>NETWORKDAYS(B3900,C3900)-1</f>
        <v>5</v>
      </c>
      <c r="T3900" s="1">
        <f>WORKDAY(B3900,5)</f>
        <v>45686</v>
      </c>
      <c r="U3900" t="b">
        <f>C3900&gt;T3900</f>
        <v>0</v>
      </c>
    </row>
    <row r="3901" spans="1:21" x14ac:dyDescent="0.25">
      <c r="A3901" t="s">
        <v>2282</v>
      </c>
      <c r="B3901" s="1">
        <v>45679</v>
      </c>
      <c r="C3901" s="1">
        <v>45681</v>
      </c>
      <c r="D3901" t="s">
        <v>74</v>
      </c>
      <c r="E3901" t="s">
        <v>75</v>
      </c>
      <c r="F3901" t="s">
        <v>76</v>
      </c>
      <c r="G3901" t="s">
        <v>232</v>
      </c>
      <c r="H3901" t="s">
        <v>196</v>
      </c>
      <c r="I3901" s="2">
        <v>15</v>
      </c>
      <c r="J3901" s="3">
        <v>18.5</v>
      </c>
      <c r="K3901" s="4">
        <v>0.08</v>
      </c>
      <c r="L3901" s="3">
        <v>255.3</v>
      </c>
      <c r="M3901" t="b">
        <v>1</v>
      </c>
      <c r="N3901" s="2">
        <f>YEAR(B3901)</f>
        <v>2025</v>
      </c>
      <c r="O3901" t="str">
        <f>INDEX(Agences!$C:$C,MATCH(F3901,Agences!$A:$A,0))</f>
        <v>Île-de-France</v>
      </c>
      <c r="P3901" t="str">
        <f>INDEX(Produits!$C:$C,MATCH(H3901,Produits!$A:$A,0))</f>
        <v>Fournitures</v>
      </c>
      <c r="Q3901" s="3">
        <f>I3901*INDEX(Produits!$E:$E,MATCH(H3901,Produits!$A:$A,0))</f>
        <v>141.6</v>
      </c>
      <c r="R3901" s="3">
        <f>L3901-Q3901</f>
        <v>113.70000000000002</v>
      </c>
      <c r="S3901" s="2">
        <f>NETWORKDAYS(B3901,C3901)-1</f>
        <v>2</v>
      </c>
      <c r="T3901" s="1">
        <f>WORKDAY(B3901,5)</f>
        <v>45686</v>
      </c>
      <c r="U3901" t="b">
        <f>C3901&gt;T3901</f>
        <v>0</v>
      </c>
    </row>
    <row r="3902" spans="1:21" x14ac:dyDescent="0.25">
      <c r="A3902" t="s">
        <v>2282</v>
      </c>
      <c r="B3902" s="1">
        <v>45679</v>
      </c>
      <c r="C3902" s="1">
        <v>45681</v>
      </c>
      <c r="D3902" t="s">
        <v>74</v>
      </c>
      <c r="E3902" t="s">
        <v>75</v>
      </c>
      <c r="F3902" t="s">
        <v>76</v>
      </c>
      <c r="G3902" t="s">
        <v>232</v>
      </c>
      <c r="H3902" t="s">
        <v>83</v>
      </c>
      <c r="I3902" s="2">
        <v>1</v>
      </c>
      <c r="J3902" s="3">
        <v>49</v>
      </c>
      <c r="K3902" s="4">
        <v>0</v>
      </c>
      <c r="L3902" s="3">
        <v>49</v>
      </c>
      <c r="M3902" t="b">
        <v>1</v>
      </c>
      <c r="N3902" s="2">
        <f>YEAR(B3902)</f>
        <v>2025</v>
      </c>
      <c r="O3902" t="str">
        <f>INDEX(Agences!$C:$C,MATCH(F3902,Agences!$A:$A,0))</f>
        <v>Île-de-France</v>
      </c>
      <c r="P3902" t="str">
        <f>INDEX(Produits!$C:$C,MATCH(H3902,Produits!$A:$A,0))</f>
        <v>Mobilier</v>
      </c>
      <c r="Q3902" s="3">
        <f>I3902*INDEX(Produits!$E:$E,MATCH(H3902,Produits!$A:$A,0))</f>
        <v>28.42</v>
      </c>
      <c r="R3902" s="3">
        <f>L3902-Q3902</f>
        <v>20.58</v>
      </c>
      <c r="S3902" s="2">
        <f>NETWORKDAYS(B3902,C3902)-1</f>
        <v>2</v>
      </c>
      <c r="T3902" s="1">
        <f>WORKDAY(B3902,5)</f>
        <v>45686</v>
      </c>
      <c r="U3902" t="b">
        <f>C3902&gt;T3902</f>
        <v>0</v>
      </c>
    </row>
    <row r="3903" spans="1:21" x14ac:dyDescent="0.25">
      <c r="A3903" t="s">
        <v>2282</v>
      </c>
      <c r="B3903" s="1">
        <v>45679</v>
      </c>
      <c r="C3903" s="1">
        <v>45681</v>
      </c>
      <c r="D3903" t="s">
        <v>74</v>
      </c>
      <c r="E3903" t="s">
        <v>75</v>
      </c>
      <c r="F3903" t="s">
        <v>76</v>
      </c>
      <c r="G3903" t="s">
        <v>232</v>
      </c>
      <c r="H3903" t="s">
        <v>72</v>
      </c>
      <c r="I3903" s="2">
        <v>6</v>
      </c>
      <c r="J3903" s="3">
        <v>179</v>
      </c>
      <c r="K3903" s="4">
        <v>0.1</v>
      </c>
      <c r="L3903" s="3">
        <v>966.6</v>
      </c>
      <c r="M3903" t="b">
        <v>1</v>
      </c>
      <c r="N3903" s="2">
        <f>YEAR(B3903)</f>
        <v>2025</v>
      </c>
      <c r="O3903" t="str">
        <f>INDEX(Agences!$C:$C,MATCH(F3903,Agences!$A:$A,0))</f>
        <v>Île-de-France</v>
      </c>
      <c r="P3903" t="str">
        <f>INDEX(Produits!$C:$C,MATCH(H3903,Produits!$A:$A,0))</f>
        <v>Informatique</v>
      </c>
      <c r="Q3903" s="3">
        <f>I3903*INDEX(Produits!$E:$E,MATCH(H3903,Produits!$A:$A,0))</f>
        <v>880.6800000000001</v>
      </c>
      <c r="R3903" s="3">
        <f>L3903-Q3903</f>
        <v>85.91999999999996</v>
      </c>
      <c r="S3903" s="2">
        <f>NETWORKDAYS(B3903,C3903)-1</f>
        <v>2</v>
      </c>
      <c r="T3903" s="1">
        <f>WORKDAY(B3903,5)</f>
        <v>45686</v>
      </c>
      <c r="U3903" t="b">
        <f>C3903&gt;T3903</f>
        <v>0</v>
      </c>
    </row>
    <row r="3904" spans="1:21" x14ac:dyDescent="0.25">
      <c r="A3904" t="s">
        <v>2282</v>
      </c>
      <c r="B3904" s="1">
        <v>45679</v>
      </c>
      <c r="C3904" s="1">
        <v>45681</v>
      </c>
      <c r="D3904" t="s">
        <v>74</v>
      </c>
      <c r="E3904" t="s">
        <v>75</v>
      </c>
      <c r="F3904" t="s">
        <v>76</v>
      </c>
      <c r="G3904" t="s">
        <v>232</v>
      </c>
      <c r="H3904" t="s">
        <v>132</v>
      </c>
      <c r="I3904" s="2">
        <v>1</v>
      </c>
      <c r="J3904" s="3">
        <v>650</v>
      </c>
      <c r="K3904" s="4">
        <v>0.02</v>
      </c>
      <c r="L3904" s="3">
        <v>637</v>
      </c>
      <c r="M3904" t="b">
        <v>1</v>
      </c>
      <c r="N3904" s="2">
        <f>YEAR(B3904)</f>
        <v>2025</v>
      </c>
      <c r="O3904" t="str">
        <f>INDEX(Agences!$C:$C,MATCH(F3904,Agences!$A:$A,0))</f>
        <v>Île-de-France</v>
      </c>
      <c r="P3904" t="str">
        <f>INDEX(Produits!$C:$C,MATCH(H3904,Produits!$A:$A,0))</f>
        <v>Maintenance</v>
      </c>
      <c r="Q3904" s="3">
        <f>I3904*INDEX(Produits!$E:$E,MATCH(H3904,Produits!$A:$A,0))</f>
        <v>273</v>
      </c>
      <c r="R3904" s="3">
        <f>L3904-Q3904</f>
        <v>364</v>
      </c>
      <c r="S3904" s="2">
        <f>NETWORKDAYS(B3904,C3904)-1</f>
        <v>2</v>
      </c>
      <c r="T3904" s="1">
        <f>WORKDAY(B3904,5)</f>
        <v>45686</v>
      </c>
      <c r="U3904" t="b">
        <f>C3904&gt;T3904</f>
        <v>0</v>
      </c>
    </row>
    <row r="3905" spans="1:21" x14ac:dyDescent="0.25">
      <c r="A3905" t="s">
        <v>2283</v>
      </c>
      <c r="B3905" s="1">
        <v>45679</v>
      </c>
      <c r="C3905" s="1">
        <v>45681</v>
      </c>
      <c r="D3905" t="s">
        <v>1783</v>
      </c>
      <c r="E3905" t="s">
        <v>339</v>
      </c>
      <c r="F3905" t="s">
        <v>31</v>
      </c>
      <c r="G3905" t="s">
        <v>375</v>
      </c>
      <c r="H3905" t="s">
        <v>27</v>
      </c>
      <c r="I3905" s="2">
        <v>2</v>
      </c>
      <c r="J3905" s="3">
        <v>310</v>
      </c>
      <c r="K3905" s="4">
        <v>0.05</v>
      </c>
      <c r="L3905" s="3">
        <v>589</v>
      </c>
      <c r="M3905" t="b">
        <v>1</v>
      </c>
      <c r="N3905" s="2">
        <f>YEAR(B3905)</f>
        <v>2025</v>
      </c>
      <c r="O3905" t="str">
        <f>INDEX(Agences!$C:$C,MATCH(F3905,Agences!$A:$A,0))</f>
        <v>Ouest</v>
      </c>
      <c r="P3905" t="str">
        <f>INDEX(Produits!$C:$C,MATCH(H3905,Produits!$A:$A,0))</f>
        <v>Mobilier</v>
      </c>
      <c r="Q3905" s="3">
        <f>I3905*INDEX(Produits!$E:$E,MATCH(H3905,Produits!$A:$A,0))</f>
        <v>372</v>
      </c>
      <c r="R3905" s="3">
        <f>L3905-Q3905</f>
        <v>217</v>
      </c>
      <c r="S3905" s="2">
        <f>NETWORKDAYS(B3905,C3905)-1</f>
        <v>2</v>
      </c>
      <c r="T3905" s="1">
        <f>WORKDAY(B3905,5)</f>
        <v>45686</v>
      </c>
      <c r="U3905" t="b">
        <f>C3905&gt;T3905</f>
        <v>0</v>
      </c>
    </row>
    <row r="3906" spans="1:21" x14ac:dyDescent="0.25">
      <c r="A3906" t="s">
        <v>2283</v>
      </c>
      <c r="B3906" s="1">
        <v>45679</v>
      </c>
      <c r="C3906" s="1">
        <v>45681</v>
      </c>
      <c r="D3906" t="s">
        <v>1783</v>
      </c>
      <c r="E3906" t="s">
        <v>339</v>
      </c>
      <c r="F3906" t="s">
        <v>31</v>
      </c>
      <c r="G3906" t="s">
        <v>375</v>
      </c>
      <c r="H3906" t="s">
        <v>64</v>
      </c>
      <c r="I3906" s="2">
        <v>5</v>
      </c>
      <c r="J3906" s="3">
        <v>16.8</v>
      </c>
      <c r="K3906" s="4">
        <v>0.05</v>
      </c>
      <c r="L3906" s="3">
        <v>79.8</v>
      </c>
      <c r="M3906" t="b">
        <v>1</v>
      </c>
      <c r="N3906" s="2">
        <f>YEAR(B3906)</f>
        <v>2025</v>
      </c>
      <c r="O3906" t="str">
        <f>INDEX(Agences!$C:$C,MATCH(F3906,Agences!$A:$A,0))</f>
        <v>Ouest</v>
      </c>
      <c r="P3906" t="str">
        <f>INDEX(Produits!$C:$C,MATCH(H3906,Produits!$A:$A,0))</f>
        <v>Fournitures</v>
      </c>
      <c r="Q3906" s="3">
        <f>I3906*INDEX(Produits!$E:$E,MATCH(H3906,Produits!$A:$A,0))</f>
        <v>43.7</v>
      </c>
      <c r="R3906" s="3">
        <f>L3906-Q3906</f>
        <v>36.099999999999994</v>
      </c>
      <c r="S3906" s="2">
        <f>NETWORKDAYS(B3906,C3906)-1</f>
        <v>2</v>
      </c>
      <c r="T3906" s="1">
        <f>WORKDAY(B3906,5)</f>
        <v>45686</v>
      </c>
      <c r="U3906" t="b">
        <f>C3906&gt;T3906</f>
        <v>0</v>
      </c>
    </row>
    <row r="3907" spans="1:21" x14ac:dyDescent="0.25">
      <c r="A3907" t="s">
        <v>2283</v>
      </c>
      <c r="B3907" s="1">
        <v>45679</v>
      </c>
      <c r="C3907" s="1">
        <v>45681</v>
      </c>
      <c r="D3907" t="s">
        <v>1783</v>
      </c>
      <c r="E3907" t="s">
        <v>339</v>
      </c>
      <c r="F3907" t="s">
        <v>31</v>
      </c>
      <c r="G3907" t="s">
        <v>375</v>
      </c>
      <c r="H3907" t="s">
        <v>35</v>
      </c>
      <c r="I3907" s="2">
        <v>1</v>
      </c>
      <c r="J3907" s="3">
        <v>79</v>
      </c>
      <c r="K3907" s="4">
        <v>0</v>
      </c>
      <c r="L3907" s="3">
        <v>79</v>
      </c>
      <c r="M3907" t="b">
        <v>1</v>
      </c>
      <c r="N3907" s="2">
        <f>YEAR(B3907)</f>
        <v>2025</v>
      </c>
      <c r="O3907" t="str">
        <f>INDEX(Agences!$C:$C,MATCH(F3907,Agences!$A:$A,0))</f>
        <v>Ouest</v>
      </c>
      <c r="P3907" t="str">
        <f>INDEX(Produits!$C:$C,MATCH(H3907,Produits!$A:$A,0))</f>
        <v>Mobilier</v>
      </c>
      <c r="Q3907" s="3">
        <f>I3907*INDEX(Produits!$E:$E,MATCH(H3907,Produits!$A:$A,0))</f>
        <v>46.61</v>
      </c>
      <c r="R3907" s="3">
        <f>L3907-Q3907</f>
        <v>32.39</v>
      </c>
      <c r="S3907" s="2">
        <f>NETWORKDAYS(B3907,C3907)-1</f>
        <v>2</v>
      </c>
      <c r="T3907" s="1">
        <f>WORKDAY(B3907,5)</f>
        <v>45686</v>
      </c>
      <c r="U3907" t="b">
        <f>C3907&gt;T3907</f>
        <v>0</v>
      </c>
    </row>
    <row r="3908" spans="1:21" x14ac:dyDescent="0.25">
      <c r="A3908" t="s">
        <v>2284</v>
      </c>
      <c r="B3908" s="1">
        <v>45679</v>
      </c>
      <c r="C3908" s="1">
        <v>45684</v>
      </c>
      <c r="D3908" t="s">
        <v>1136</v>
      </c>
      <c r="E3908" t="s">
        <v>191</v>
      </c>
      <c r="F3908" t="s">
        <v>62</v>
      </c>
      <c r="G3908" t="s">
        <v>106</v>
      </c>
      <c r="H3908" t="s">
        <v>51</v>
      </c>
      <c r="I3908" s="2">
        <v>3</v>
      </c>
      <c r="J3908" s="3">
        <v>180</v>
      </c>
      <c r="K3908" s="4">
        <v>0.05</v>
      </c>
      <c r="L3908" s="3">
        <v>513</v>
      </c>
      <c r="M3908" t="b">
        <v>1</v>
      </c>
      <c r="N3908" s="2">
        <f>YEAR(B3908)</f>
        <v>2025</v>
      </c>
      <c r="O3908" t="str">
        <f>INDEX(Agences!$C:$C,MATCH(F3908,Agences!$A:$A,0))</f>
        <v>Méditerranée</v>
      </c>
      <c r="P3908" t="str">
        <f>INDEX(Produits!$C:$C,MATCH(H3908,Produits!$A:$A,0))</f>
        <v>Maintenance</v>
      </c>
      <c r="Q3908" s="3">
        <f>I3908*INDEX(Produits!$E:$E,MATCH(H3908,Produits!$A:$A,0))</f>
        <v>248.39999999999998</v>
      </c>
      <c r="R3908" s="3">
        <f>L3908-Q3908</f>
        <v>264.6</v>
      </c>
      <c r="S3908" s="2">
        <f>NETWORKDAYS(B3908,C3908)-1</f>
        <v>3</v>
      </c>
      <c r="T3908" s="1">
        <f>WORKDAY(B3908,5)</f>
        <v>45686</v>
      </c>
      <c r="U3908" t="b">
        <f>C3908&gt;T3908</f>
        <v>0</v>
      </c>
    </row>
    <row r="3909" spans="1:21" x14ac:dyDescent="0.25">
      <c r="A3909" t="s">
        <v>2284</v>
      </c>
      <c r="B3909" s="1">
        <v>45679</v>
      </c>
      <c r="C3909" s="1">
        <v>45684</v>
      </c>
      <c r="D3909" t="s">
        <v>1136</v>
      </c>
      <c r="E3909" t="s">
        <v>191</v>
      </c>
      <c r="F3909" t="s">
        <v>62</v>
      </c>
      <c r="G3909" t="s">
        <v>106</v>
      </c>
      <c r="H3909" t="s">
        <v>64</v>
      </c>
      <c r="I3909" s="2">
        <v>25</v>
      </c>
      <c r="J3909" s="3">
        <v>16.8</v>
      </c>
      <c r="K3909" s="4">
        <v>0</v>
      </c>
      <c r="L3909" s="3">
        <v>420</v>
      </c>
      <c r="M3909" t="b">
        <v>1</v>
      </c>
      <c r="N3909" s="2">
        <f>YEAR(B3909)</f>
        <v>2025</v>
      </c>
      <c r="O3909" t="str">
        <f>INDEX(Agences!$C:$C,MATCH(F3909,Agences!$A:$A,0))</f>
        <v>Méditerranée</v>
      </c>
      <c r="P3909" t="str">
        <f>INDEX(Produits!$C:$C,MATCH(H3909,Produits!$A:$A,0))</f>
        <v>Fournitures</v>
      </c>
      <c r="Q3909" s="3">
        <f>I3909*INDEX(Produits!$E:$E,MATCH(H3909,Produits!$A:$A,0))</f>
        <v>218.5</v>
      </c>
      <c r="R3909" s="3">
        <f>L3909-Q3909</f>
        <v>201.5</v>
      </c>
      <c r="S3909" s="2">
        <f>NETWORKDAYS(B3909,C3909)-1</f>
        <v>3</v>
      </c>
      <c r="T3909" s="1">
        <f>WORKDAY(B3909,5)</f>
        <v>45686</v>
      </c>
      <c r="U3909" t="b">
        <f>C3909&gt;T3909</f>
        <v>0</v>
      </c>
    </row>
    <row r="3910" spans="1:21" x14ac:dyDescent="0.25">
      <c r="A3910" t="s">
        <v>2284</v>
      </c>
      <c r="B3910" s="1">
        <v>45679</v>
      </c>
      <c r="C3910" s="1">
        <v>45684</v>
      </c>
      <c r="D3910" t="s">
        <v>1136</v>
      </c>
      <c r="E3910" t="s">
        <v>191</v>
      </c>
      <c r="F3910" t="s">
        <v>62</v>
      </c>
      <c r="G3910" t="s">
        <v>106</v>
      </c>
      <c r="H3910" t="s">
        <v>34</v>
      </c>
      <c r="I3910" s="2">
        <v>4</v>
      </c>
      <c r="J3910" s="3">
        <v>340</v>
      </c>
      <c r="K3910" s="4">
        <v>0</v>
      </c>
      <c r="L3910" s="3">
        <v>1360</v>
      </c>
      <c r="M3910" t="b">
        <v>1</v>
      </c>
      <c r="N3910" s="2">
        <f>YEAR(B3910)</f>
        <v>2025</v>
      </c>
      <c r="O3910" t="str">
        <f>INDEX(Agences!$C:$C,MATCH(F3910,Agences!$A:$A,0))</f>
        <v>Méditerranée</v>
      </c>
      <c r="P3910" t="str">
        <f>INDEX(Produits!$C:$C,MATCH(H3910,Produits!$A:$A,0))</f>
        <v>Informatique</v>
      </c>
      <c r="Q3910" s="3">
        <f>I3910*INDEX(Produits!$E:$E,MATCH(H3910,Produits!$A:$A,0))</f>
        <v>1101.6</v>
      </c>
      <c r="R3910" s="3">
        <f>L3910-Q3910</f>
        <v>258.4000000000001</v>
      </c>
      <c r="S3910" s="2">
        <f>NETWORKDAYS(B3910,C3910)-1</f>
        <v>3</v>
      </c>
      <c r="T3910" s="1">
        <f>WORKDAY(B3910,5)</f>
        <v>45686</v>
      </c>
      <c r="U3910" t="b">
        <f>C3910&gt;T3910</f>
        <v>0</v>
      </c>
    </row>
    <row r="3911" spans="1:21" x14ac:dyDescent="0.25">
      <c r="A3911" t="s">
        <v>2285</v>
      </c>
      <c r="B3911" s="1">
        <v>45679</v>
      </c>
      <c r="C3911" s="1">
        <v>45680</v>
      </c>
      <c r="D3911" t="s">
        <v>884</v>
      </c>
      <c r="E3911" t="s">
        <v>384</v>
      </c>
      <c r="F3911" t="s">
        <v>46</v>
      </c>
      <c r="G3911" t="s">
        <v>158</v>
      </c>
      <c r="H3911" t="s">
        <v>72</v>
      </c>
      <c r="I3911" s="2">
        <v>2</v>
      </c>
      <c r="J3911" s="3">
        <v>179</v>
      </c>
      <c r="K3911" s="4">
        <v>0</v>
      </c>
      <c r="L3911" s="3">
        <v>358</v>
      </c>
      <c r="M3911" t="b">
        <v>1</v>
      </c>
      <c r="N3911" s="2">
        <f>YEAR(B3911)</f>
        <v>2025</v>
      </c>
      <c r="O3911" t="str">
        <f>INDEX(Agences!$C:$C,MATCH(F3911,Agences!$A:$A,0))</f>
        <v>Est</v>
      </c>
      <c r="P3911" t="str">
        <f>INDEX(Produits!$C:$C,MATCH(H3911,Produits!$A:$A,0))</f>
        <v>Informatique</v>
      </c>
      <c r="Q3911" s="3">
        <f>I3911*INDEX(Produits!$E:$E,MATCH(H3911,Produits!$A:$A,0))</f>
        <v>293.56</v>
      </c>
      <c r="R3911" s="3">
        <f>L3911-Q3911</f>
        <v>64.44</v>
      </c>
      <c r="S3911" s="2">
        <f>NETWORKDAYS(B3911,C3911)-1</f>
        <v>1</v>
      </c>
      <c r="T3911" s="1">
        <f>WORKDAY(B3911,5)</f>
        <v>45686</v>
      </c>
      <c r="U3911" t="b">
        <f>C3911&gt;T3911</f>
        <v>0</v>
      </c>
    </row>
    <row r="3912" spans="1:21" x14ac:dyDescent="0.25">
      <c r="A3912" t="s">
        <v>2285</v>
      </c>
      <c r="B3912" s="1">
        <v>45679</v>
      </c>
      <c r="C3912" s="1">
        <v>45680</v>
      </c>
      <c r="D3912" t="s">
        <v>884</v>
      </c>
      <c r="E3912" t="s">
        <v>384</v>
      </c>
      <c r="F3912" t="s">
        <v>46</v>
      </c>
      <c r="G3912" t="s">
        <v>158</v>
      </c>
      <c r="H3912" t="s">
        <v>107</v>
      </c>
      <c r="I3912" s="2">
        <v>1</v>
      </c>
      <c r="J3912" s="3">
        <v>99</v>
      </c>
      <c r="K3912" s="4">
        <v>0.02</v>
      </c>
      <c r="L3912" s="3">
        <v>97.02</v>
      </c>
      <c r="M3912" t="b">
        <v>1</v>
      </c>
      <c r="N3912" s="2">
        <f>YEAR(B3912)</f>
        <v>2025</v>
      </c>
      <c r="O3912" t="str">
        <f>INDEX(Agences!$C:$C,MATCH(F3912,Agences!$A:$A,0))</f>
        <v>Est</v>
      </c>
      <c r="P3912" t="str">
        <f>INDEX(Produits!$C:$C,MATCH(H3912,Produits!$A:$A,0))</f>
        <v>Informatique</v>
      </c>
      <c r="Q3912" s="3">
        <f>I3912*INDEX(Produits!$E:$E,MATCH(H3912,Produits!$A:$A,0))</f>
        <v>75.24</v>
      </c>
      <c r="R3912" s="3">
        <f>L3912-Q3912</f>
        <v>21.78</v>
      </c>
      <c r="S3912" s="2">
        <f>NETWORKDAYS(B3912,C3912)-1</f>
        <v>1</v>
      </c>
      <c r="T3912" s="1">
        <f>WORKDAY(B3912,5)</f>
        <v>45686</v>
      </c>
      <c r="U3912" t="b">
        <f>C3912&gt;T3912</f>
        <v>0</v>
      </c>
    </row>
    <row r="3913" spans="1:21" x14ac:dyDescent="0.25">
      <c r="A3913" t="s">
        <v>2286</v>
      </c>
      <c r="B3913" s="1">
        <v>45678</v>
      </c>
      <c r="C3913" s="1">
        <v>45679</v>
      </c>
      <c r="D3913" t="s">
        <v>343</v>
      </c>
      <c r="E3913" t="s">
        <v>185</v>
      </c>
      <c r="F3913" t="s">
        <v>31</v>
      </c>
      <c r="G3913" t="s">
        <v>375</v>
      </c>
      <c r="H3913" t="s">
        <v>107</v>
      </c>
      <c r="I3913" s="2">
        <v>4</v>
      </c>
      <c r="J3913" s="3">
        <v>99</v>
      </c>
      <c r="K3913" s="4">
        <v>0.05</v>
      </c>
      <c r="L3913" s="3">
        <v>376.2</v>
      </c>
      <c r="M3913" t="b">
        <v>1</v>
      </c>
      <c r="N3913" s="2">
        <f>YEAR(B3913)</f>
        <v>2025</v>
      </c>
      <c r="O3913" t="str">
        <f>INDEX(Agences!$C:$C,MATCH(F3913,Agences!$A:$A,0))</f>
        <v>Ouest</v>
      </c>
      <c r="P3913" t="str">
        <f>INDEX(Produits!$C:$C,MATCH(H3913,Produits!$A:$A,0))</f>
        <v>Informatique</v>
      </c>
      <c r="Q3913" s="3">
        <f>I3913*INDEX(Produits!$E:$E,MATCH(H3913,Produits!$A:$A,0))</f>
        <v>300.96</v>
      </c>
      <c r="R3913" s="3">
        <f>L3913-Q3913</f>
        <v>75.24000000000001</v>
      </c>
      <c r="S3913" s="2">
        <f>NETWORKDAYS(B3913,C3913)-1</f>
        <v>1</v>
      </c>
      <c r="T3913" s="1">
        <f>WORKDAY(B3913,5)</f>
        <v>45685</v>
      </c>
      <c r="U3913" t="b">
        <f>C3913&gt;T3913</f>
        <v>0</v>
      </c>
    </row>
    <row r="3914" spans="1:21" x14ac:dyDescent="0.25">
      <c r="A3914" t="s">
        <v>2286</v>
      </c>
      <c r="B3914" s="1">
        <v>45678</v>
      </c>
      <c r="C3914" s="1">
        <v>45679</v>
      </c>
      <c r="D3914" t="s">
        <v>343</v>
      </c>
      <c r="E3914" t="s">
        <v>185</v>
      </c>
      <c r="F3914" t="s">
        <v>31</v>
      </c>
      <c r="G3914" t="s">
        <v>375</v>
      </c>
      <c r="H3914" t="s">
        <v>162</v>
      </c>
      <c r="I3914" s="2">
        <v>2</v>
      </c>
      <c r="J3914" s="3">
        <v>289</v>
      </c>
      <c r="K3914" s="4">
        <v>0.08</v>
      </c>
      <c r="L3914" s="3">
        <v>531.76</v>
      </c>
      <c r="M3914" t="b">
        <v>1</v>
      </c>
      <c r="N3914" s="2">
        <f>YEAR(B3914)</f>
        <v>2025</v>
      </c>
      <c r="O3914" t="str">
        <f>INDEX(Agences!$C:$C,MATCH(F3914,Agences!$A:$A,0))</f>
        <v>Ouest</v>
      </c>
      <c r="P3914" t="str">
        <f>INDEX(Produits!$C:$C,MATCH(H3914,Produits!$A:$A,0))</f>
        <v>Mobilier</v>
      </c>
      <c r="Q3914" s="3">
        <f>I3914*INDEX(Produits!$E:$E,MATCH(H3914,Produits!$A:$A,0))</f>
        <v>387.26</v>
      </c>
      <c r="R3914" s="3">
        <f>L3914-Q3914</f>
        <v>144.5</v>
      </c>
      <c r="S3914" s="2">
        <f>NETWORKDAYS(B3914,C3914)-1</f>
        <v>1</v>
      </c>
      <c r="T3914" s="1">
        <f>WORKDAY(B3914,5)</f>
        <v>45685</v>
      </c>
      <c r="U3914" t="b">
        <f>C3914&gt;T3914</f>
        <v>0</v>
      </c>
    </row>
    <row r="3915" spans="1:21" x14ac:dyDescent="0.25">
      <c r="A3915" t="s">
        <v>2286</v>
      </c>
      <c r="B3915" s="1">
        <v>45678</v>
      </c>
      <c r="C3915" s="1">
        <v>45679</v>
      </c>
      <c r="D3915" t="s">
        <v>343</v>
      </c>
      <c r="E3915" t="s">
        <v>185</v>
      </c>
      <c r="F3915" t="s">
        <v>31</v>
      </c>
      <c r="G3915" t="s">
        <v>375</v>
      </c>
      <c r="H3915" t="s">
        <v>90</v>
      </c>
      <c r="I3915" s="2">
        <v>5</v>
      </c>
      <c r="J3915" s="3">
        <v>22.9</v>
      </c>
      <c r="K3915" s="4">
        <v>0</v>
      </c>
      <c r="L3915" s="3">
        <v>114.5</v>
      </c>
      <c r="M3915" t="b">
        <v>1</v>
      </c>
      <c r="N3915" s="2">
        <f>YEAR(B3915)</f>
        <v>2025</v>
      </c>
      <c r="O3915" t="str">
        <f>INDEX(Agences!$C:$C,MATCH(F3915,Agences!$A:$A,0))</f>
        <v>Ouest</v>
      </c>
      <c r="P3915" t="str">
        <f>INDEX(Produits!$C:$C,MATCH(H3915,Produits!$A:$A,0))</f>
        <v>Fournitures</v>
      </c>
      <c r="Q3915" s="3">
        <f>I3915*INDEX(Produits!$E:$E,MATCH(H3915,Produits!$A:$A,0))</f>
        <v>64.1</v>
      </c>
      <c r="R3915" s="3">
        <f>L3915-Q3915</f>
        <v>50.400000000000006</v>
      </c>
      <c r="S3915" s="2">
        <f>NETWORKDAYS(B3915,C3915)-1</f>
        <v>1</v>
      </c>
      <c r="T3915" s="1">
        <f>WORKDAY(B3915,5)</f>
        <v>45685</v>
      </c>
      <c r="U3915" t="b">
        <f>C3915&gt;T3915</f>
        <v>0</v>
      </c>
    </row>
    <row r="3916" spans="1:21" x14ac:dyDescent="0.25">
      <c r="A3916" t="s">
        <v>2286</v>
      </c>
      <c r="B3916" s="1">
        <v>45678</v>
      </c>
      <c r="C3916" s="1">
        <v>45679</v>
      </c>
      <c r="D3916" t="s">
        <v>343</v>
      </c>
      <c r="E3916" t="s">
        <v>185</v>
      </c>
      <c r="F3916" t="s">
        <v>31</v>
      </c>
      <c r="G3916" t="s">
        <v>375</v>
      </c>
      <c r="H3916" t="s">
        <v>79</v>
      </c>
      <c r="I3916" s="2">
        <v>5</v>
      </c>
      <c r="J3916" s="3">
        <v>14.9</v>
      </c>
      <c r="K3916" s="4">
        <v>0.05</v>
      </c>
      <c r="L3916" s="3">
        <v>70.78</v>
      </c>
      <c r="M3916" t="b">
        <v>1</v>
      </c>
      <c r="N3916" s="2">
        <f>YEAR(B3916)</f>
        <v>2025</v>
      </c>
      <c r="O3916" t="str">
        <f>INDEX(Agences!$C:$C,MATCH(F3916,Agences!$A:$A,0))</f>
        <v>Ouest</v>
      </c>
      <c r="P3916" t="str">
        <f>INDEX(Produits!$C:$C,MATCH(H3916,Produits!$A:$A,0))</f>
        <v>Fournitures</v>
      </c>
      <c r="Q3916" s="3">
        <f>I3916*INDEX(Produits!$E:$E,MATCH(H3916,Produits!$A:$A,0))</f>
        <v>40.25</v>
      </c>
      <c r="R3916" s="3">
        <f>L3916-Q3916</f>
        <v>30.53</v>
      </c>
      <c r="S3916" s="2">
        <f>NETWORKDAYS(B3916,C3916)-1</f>
        <v>1</v>
      </c>
      <c r="T3916" s="1">
        <f>WORKDAY(B3916,5)</f>
        <v>45685</v>
      </c>
      <c r="U3916" t="b">
        <f>C3916&gt;T3916</f>
        <v>0</v>
      </c>
    </row>
    <row r="3917" spans="1:21" x14ac:dyDescent="0.25">
      <c r="A3917" t="s">
        <v>2287</v>
      </c>
      <c r="B3917" s="1">
        <v>45677</v>
      </c>
      <c r="C3917" s="1">
        <v>45681</v>
      </c>
      <c r="D3917" t="s">
        <v>1684</v>
      </c>
      <c r="E3917" t="s">
        <v>119</v>
      </c>
      <c r="F3917" t="s">
        <v>24</v>
      </c>
      <c r="G3917" t="s">
        <v>116</v>
      </c>
      <c r="H3917" t="s">
        <v>108</v>
      </c>
      <c r="I3917" s="2">
        <v>5</v>
      </c>
      <c r="J3917" s="3">
        <v>24.5</v>
      </c>
      <c r="K3917" s="4">
        <v>0</v>
      </c>
      <c r="L3917" s="3">
        <v>122.5</v>
      </c>
      <c r="M3917" t="b">
        <v>1</v>
      </c>
      <c r="N3917" s="2">
        <f>YEAR(B3917)</f>
        <v>2025</v>
      </c>
      <c r="O3917" t="str">
        <f>INDEX(Agences!$C:$C,MATCH(F3917,Agences!$A:$A,0))</f>
        <v>Nord</v>
      </c>
      <c r="P3917" t="str">
        <f>INDEX(Produits!$C:$C,MATCH(H3917,Produits!$A:$A,0))</f>
        <v>Fournitures</v>
      </c>
      <c r="Q3917" s="3">
        <f>I3917*INDEX(Produits!$E:$E,MATCH(H3917,Produits!$A:$A,0))</f>
        <v>73.5</v>
      </c>
      <c r="R3917" s="3">
        <f>L3917-Q3917</f>
        <v>49</v>
      </c>
      <c r="S3917" s="2">
        <f>NETWORKDAYS(B3917,C3917)-1</f>
        <v>4</v>
      </c>
      <c r="T3917" s="1">
        <f>WORKDAY(B3917,5)</f>
        <v>45684</v>
      </c>
      <c r="U3917" t="b">
        <f>C3917&gt;T3917</f>
        <v>0</v>
      </c>
    </row>
    <row r="3918" spans="1:21" x14ac:dyDescent="0.25">
      <c r="A3918" t="s">
        <v>2287</v>
      </c>
      <c r="B3918" s="1">
        <v>45677</v>
      </c>
      <c r="C3918" s="1">
        <v>45681</v>
      </c>
      <c r="D3918" t="s">
        <v>1684</v>
      </c>
      <c r="E3918" t="s">
        <v>119</v>
      </c>
      <c r="F3918" t="s">
        <v>24</v>
      </c>
      <c r="G3918" t="s">
        <v>116</v>
      </c>
      <c r="H3918" t="s">
        <v>49</v>
      </c>
      <c r="I3918" s="2">
        <v>1</v>
      </c>
      <c r="J3918" s="3">
        <v>120</v>
      </c>
      <c r="K3918" s="4">
        <v>0.05</v>
      </c>
      <c r="L3918" s="3">
        <v>114</v>
      </c>
      <c r="M3918" t="b">
        <v>1</v>
      </c>
      <c r="N3918" s="2">
        <f>YEAR(B3918)</f>
        <v>2025</v>
      </c>
      <c r="O3918" t="str">
        <f>INDEX(Agences!$C:$C,MATCH(F3918,Agences!$A:$A,0))</f>
        <v>Nord</v>
      </c>
      <c r="P3918" t="str">
        <f>INDEX(Produits!$C:$C,MATCH(H3918,Produits!$A:$A,0))</f>
        <v>Maintenance</v>
      </c>
      <c r="Q3918" s="3">
        <f>I3918*INDEX(Produits!$E:$E,MATCH(H3918,Produits!$A:$A,0))</f>
        <v>55.2</v>
      </c>
      <c r="R3918" s="3">
        <f>L3918-Q3918</f>
        <v>58.8</v>
      </c>
      <c r="S3918" s="2">
        <f>NETWORKDAYS(B3918,C3918)-1</f>
        <v>4</v>
      </c>
      <c r="T3918" s="1">
        <f>WORKDAY(B3918,5)</f>
        <v>45684</v>
      </c>
      <c r="U3918" t="b">
        <f>C3918&gt;T3918</f>
        <v>0</v>
      </c>
    </row>
    <row r="3919" spans="1:21" x14ac:dyDescent="0.25">
      <c r="A3919" t="s">
        <v>2288</v>
      </c>
      <c r="B3919" s="1">
        <v>45677</v>
      </c>
      <c r="C3919" s="1">
        <v>45679</v>
      </c>
      <c r="D3919" t="s">
        <v>1030</v>
      </c>
      <c r="E3919" t="s">
        <v>175</v>
      </c>
      <c r="F3919" t="s">
        <v>76</v>
      </c>
      <c r="G3919" t="s">
        <v>77</v>
      </c>
      <c r="H3919" t="s">
        <v>50</v>
      </c>
      <c r="I3919" s="2">
        <v>2</v>
      </c>
      <c r="J3919" s="3">
        <v>69</v>
      </c>
      <c r="K3919" s="4">
        <v>0.02</v>
      </c>
      <c r="L3919" s="3">
        <v>135.24</v>
      </c>
      <c r="M3919" t="b">
        <v>1</v>
      </c>
      <c r="N3919" s="2">
        <f>YEAR(B3919)</f>
        <v>2025</v>
      </c>
      <c r="O3919" t="str">
        <f>INDEX(Agences!$C:$C,MATCH(F3919,Agences!$A:$A,0))</f>
        <v>Île-de-France</v>
      </c>
      <c r="P3919" t="str">
        <f>INDEX(Produits!$C:$C,MATCH(H3919,Produits!$A:$A,0))</f>
        <v>Informatique</v>
      </c>
      <c r="Q3919" s="3">
        <f>I3919*INDEX(Produits!$E:$E,MATCH(H3919,Produits!$A:$A,0))</f>
        <v>109.02</v>
      </c>
      <c r="R3919" s="3">
        <f>L3919-Q3919</f>
        <v>26.220000000000013</v>
      </c>
      <c r="S3919" s="2">
        <f>NETWORKDAYS(B3919,C3919)-1</f>
        <v>2</v>
      </c>
      <c r="T3919" s="1">
        <f>WORKDAY(B3919,5)</f>
        <v>45684</v>
      </c>
      <c r="U3919" t="b">
        <f>C3919&gt;T3919</f>
        <v>0</v>
      </c>
    </row>
    <row r="3920" spans="1:21" x14ac:dyDescent="0.25">
      <c r="A3920" t="s">
        <v>2289</v>
      </c>
      <c r="B3920" s="1">
        <v>45677</v>
      </c>
      <c r="C3920" s="1">
        <v>45678</v>
      </c>
      <c r="D3920" t="s">
        <v>548</v>
      </c>
      <c r="E3920" t="s">
        <v>45</v>
      </c>
      <c r="F3920" t="s">
        <v>46</v>
      </c>
      <c r="G3920" t="s">
        <v>111</v>
      </c>
      <c r="H3920" t="s">
        <v>51</v>
      </c>
      <c r="I3920" s="2">
        <v>1</v>
      </c>
      <c r="J3920" s="3">
        <v>180</v>
      </c>
      <c r="K3920" s="4">
        <v>0</v>
      </c>
      <c r="L3920" s="3">
        <v>180</v>
      </c>
      <c r="M3920" t="b">
        <v>1</v>
      </c>
      <c r="N3920" s="2">
        <f>YEAR(B3920)</f>
        <v>2025</v>
      </c>
      <c r="O3920" t="str">
        <f>INDEX(Agences!$C:$C,MATCH(F3920,Agences!$A:$A,0))</f>
        <v>Est</v>
      </c>
      <c r="P3920" t="str">
        <f>INDEX(Produits!$C:$C,MATCH(H3920,Produits!$A:$A,0))</f>
        <v>Maintenance</v>
      </c>
      <c r="Q3920" s="3">
        <f>I3920*INDEX(Produits!$E:$E,MATCH(H3920,Produits!$A:$A,0))</f>
        <v>82.8</v>
      </c>
      <c r="R3920" s="3">
        <f>L3920-Q3920</f>
        <v>97.2</v>
      </c>
      <c r="S3920" s="2">
        <f>NETWORKDAYS(B3920,C3920)-1</f>
        <v>1</v>
      </c>
      <c r="T3920" s="1">
        <f>WORKDAY(B3920,5)</f>
        <v>45684</v>
      </c>
      <c r="U3920" t="b">
        <f>C3920&gt;T3920</f>
        <v>0</v>
      </c>
    </row>
    <row r="3921" spans="1:21" x14ac:dyDescent="0.25">
      <c r="A3921" t="s">
        <v>2289</v>
      </c>
      <c r="B3921" s="1">
        <v>45677</v>
      </c>
      <c r="C3921" s="1">
        <v>45678</v>
      </c>
      <c r="D3921" t="s">
        <v>548</v>
      </c>
      <c r="E3921" t="s">
        <v>45</v>
      </c>
      <c r="F3921" t="s">
        <v>46</v>
      </c>
      <c r="G3921" t="s">
        <v>111</v>
      </c>
      <c r="H3921" t="s">
        <v>79</v>
      </c>
      <c r="I3921" s="2">
        <v>10</v>
      </c>
      <c r="J3921" s="3">
        <v>14.9</v>
      </c>
      <c r="K3921" s="4">
        <v>0.02</v>
      </c>
      <c r="L3921" s="3">
        <v>146.02</v>
      </c>
      <c r="M3921" t="b">
        <v>1</v>
      </c>
      <c r="N3921" s="2">
        <f>YEAR(B3921)</f>
        <v>2025</v>
      </c>
      <c r="O3921" t="str">
        <f>INDEX(Agences!$C:$C,MATCH(F3921,Agences!$A:$A,0))</f>
        <v>Est</v>
      </c>
      <c r="P3921" t="str">
        <f>INDEX(Produits!$C:$C,MATCH(H3921,Produits!$A:$A,0))</f>
        <v>Fournitures</v>
      </c>
      <c r="Q3921" s="3">
        <f>I3921*INDEX(Produits!$E:$E,MATCH(H3921,Produits!$A:$A,0))</f>
        <v>80.5</v>
      </c>
      <c r="R3921" s="3">
        <f>L3921-Q3921</f>
        <v>65.52000000000001</v>
      </c>
      <c r="S3921" s="2">
        <f>NETWORKDAYS(B3921,C3921)-1</f>
        <v>1</v>
      </c>
      <c r="T3921" s="1">
        <f>WORKDAY(B3921,5)</f>
        <v>45684</v>
      </c>
      <c r="U3921" t="b">
        <f>C3921&gt;T3921</f>
        <v>0</v>
      </c>
    </row>
    <row r="3922" spans="1:21" x14ac:dyDescent="0.25">
      <c r="A3922" t="s">
        <v>2289</v>
      </c>
      <c r="B3922" s="1">
        <v>45677</v>
      </c>
      <c r="C3922" s="1">
        <v>45678</v>
      </c>
      <c r="D3922" t="s">
        <v>548</v>
      </c>
      <c r="E3922" t="s">
        <v>45</v>
      </c>
      <c r="F3922" t="s">
        <v>46</v>
      </c>
      <c r="G3922" t="s">
        <v>111</v>
      </c>
      <c r="H3922" t="s">
        <v>83</v>
      </c>
      <c r="I3922" s="2">
        <v>1</v>
      </c>
      <c r="J3922" s="3">
        <v>49</v>
      </c>
      <c r="K3922" s="4">
        <v>0.02</v>
      </c>
      <c r="L3922" s="3">
        <v>48.02</v>
      </c>
      <c r="M3922" t="b">
        <v>1</v>
      </c>
      <c r="N3922" s="2">
        <f>YEAR(B3922)</f>
        <v>2025</v>
      </c>
      <c r="O3922" t="str">
        <f>INDEX(Agences!$C:$C,MATCH(F3922,Agences!$A:$A,0))</f>
        <v>Est</v>
      </c>
      <c r="P3922" t="str">
        <f>INDEX(Produits!$C:$C,MATCH(H3922,Produits!$A:$A,0))</f>
        <v>Mobilier</v>
      </c>
      <c r="Q3922" s="3">
        <f>I3922*INDEX(Produits!$E:$E,MATCH(H3922,Produits!$A:$A,0))</f>
        <v>28.42</v>
      </c>
      <c r="R3922" s="3">
        <f>L3922-Q3922</f>
        <v>19.6</v>
      </c>
      <c r="S3922" s="2">
        <f>NETWORKDAYS(B3922,C3922)-1</f>
        <v>1</v>
      </c>
      <c r="T3922" s="1">
        <f>WORKDAY(B3922,5)</f>
        <v>45684</v>
      </c>
      <c r="U3922" t="b">
        <f>C3922&gt;T3922</f>
        <v>0</v>
      </c>
    </row>
    <row r="3923" spans="1:21" x14ac:dyDescent="0.25">
      <c r="A3923" t="s">
        <v>2290</v>
      </c>
      <c r="B3923" s="1">
        <v>45674</v>
      </c>
      <c r="C3923" s="1">
        <v>45681</v>
      </c>
      <c r="D3923" t="s">
        <v>830</v>
      </c>
      <c r="E3923" t="s">
        <v>236</v>
      </c>
      <c r="F3923" t="s">
        <v>39</v>
      </c>
      <c r="G3923" t="s">
        <v>40</v>
      </c>
      <c r="H3923" t="s">
        <v>72</v>
      </c>
      <c r="I3923" s="2">
        <v>3</v>
      </c>
      <c r="J3923" s="3">
        <v>179</v>
      </c>
      <c r="K3923" s="4">
        <v>0</v>
      </c>
      <c r="L3923" s="3">
        <v>537</v>
      </c>
      <c r="M3923" t="b">
        <v>1</v>
      </c>
      <c r="N3923" s="2">
        <f>YEAR(B3923)</f>
        <v>2025</v>
      </c>
      <c r="O3923" t="str">
        <f>INDEX(Agences!$C:$C,MATCH(F3923,Agences!$A:$A,0))</f>
        <v>Sud-Ouest</v>
      </c>
      <c r="P3923" t="str">
        <f>INDEX(Produits!$C:$C,MATCH(H3923,Produits!$A:$A,0))</f>
        <v>Informatique</v>
      </c>
      <c r="Q3923" s="3">
        <f>I3923*INDEX(Produits!$E:$E,MATCH(H3923,Produits!$A:$A,0))</f>
        <v>440.34000000000003</v>
      </c>
      <c r="R3923" s="3">
        <f>L3923-Q3923</f>
        <v>96.65999999999997</v>
      </c>
      <c r="S3923" s="2">
        <f>NETWORKDAYS(B3923,C3923)-1</f>
        <v>5</v>
      </c>
      <c r="T3923" s="1">
        <f>WORKDAY(B3923,5)</f>
        <v>45681</v>
      </c>
      <c r="U3923" t="b">
        <f>C3923&gt;T3923</f>
        <v>0</v>
      </c>
    </row>
    <row r="3924" spans="1:21" x14ac:dyDescent="0.25">
      <c r="A3924" t="s">
        <v>2291</v>
      </c>
      <c r="B3924" s="1">
        <v>45674</v>
      </c>
      <c r="C3924" s="1">
        <v>45678</v>
      </c>
      <c r="D3924" t="s">
        <v>2110</v>
      </c>
      <c r="E3924" t="s">
        <v>242</v>
      </c>
      <c r="F3924" t="s">
        <v>94</v>
      </c>
      <c r="G3924" t="s">
        <v>95</v>
      </c>
      <c r="H3924" t="s">
        <v>50</v>
      </c>
      <c r="I3924" s="2">
        <v>4</v>
      </c>
      <c r="J3924" s="3">
        <v>69</v>
      </c>
      <c r="K3924" s="4">
        <v>0.05</v>
      </c>
      <c r="L3924" s="3">
        <v>262.2</v>
      </c>
      <c r="M3924" t="b">
        <v>1</v>
      </c>
      <c r="N3924" s="2">
        <f>YEAR(B3924)</f>
        <v>2025</v>
      </c>
      <c r="O3924" t="str">
        <f>INDEX(Agences!$C:$C,MATCH(F3924,Agences!$A:$A,0))</f>
        <v>Méditerranée</v>
      </c>
      <c r="P3924" t="str">
        <f>INDEX(Produits!$C:$C,MATCH(H3924,Produits!$A:$A,0))</f>
        <v>Informatique</v>
      </c>
      <c r="Q3924" s="3">
        <f>I3924*INDEX(Produits!$E:$E,MATCH(H3924,Produits!$A:$A,0))</f>
        <v>218.04</v>
      </c>
      <c r="R3924" s="3">
        <f>L3924-Q3924</f>
        <v>44.16</v>
      </c>
      <c r="S3924" s="2">
        <f>NETWORKDAYS(B3924,C3924)-1</f>
        <v>2</v>
      </c>
      <c r="T3924" s="1">
        <f>WORKDAY(B3924,5)</f>
        <v>45681</v>
      </c>
      <c r="U3924" t="b">
        <f>C3924&gt;T3924</f>
        <v>0</v>
      </c>
    </row>
    <row r="3925" spans="1:21" x14ac:dyDescent="0.25">
      <c r="A3925" t="s">
        <v>2291</v>
      </c>
      <c r="B3925" s="1">
        <v>45674</v>
      </c>
      <c r="C3925" s="1">
        <v>45678</v>
      </c>
      <c r="D3925" t="s">
        <v>2110</v>
      </c>
      <c r="E3925" t="s">
        <v>242</v>
      </c>
      <c r="F3925" t="s">
        <v>94</v>
      </c>
      <c r="G3925" t="s">
        <v>95</v>
      </c>
      <c r="H3925" t="s">
        <v>35</v>
      </c>
      <c r="I3925" s="2">
        <v>3</v>
      </c>
      <c r="J3925" s="3">
        <v>79</v>
      </c>
      <c r="K3925" s="4">
        <v>0.08</v>
      </c>
      <c r="L3925" s="3">
        <v>218.04</v>
      </c>
      <c r="M3925" t="b">
        <v>1</v>
      </c>
      <c r="N3925" s="2">
        <f>YEAR(B3925)</f>
        <v>2025</v>
      </c>
      <c r="O3925" t="str">
        <f>INDEX(Agences!$C:$C,MATCH(F3925,Agences!$A:$A,0))</f>
        <v>Méditerranée</v>
      </c>
      <c r="P3925" t="str">
        <f>INDEX(Produits!$C:$C,MATCH(H3925,Produits!$A:$A,0))</f>
        <v>Mobilier</v>
      </c>
      <c r="Q3925" s="3">
        <f>I3925*INDEX(Produits!$E:$E,MATCH(H3925,Produits!$A:$A,0))</f>
        <v>139.82999999999998</v>
      </c>
      <c r="R3925" s="3">
        <f>L3925-Q3925</f>
        <v>78.21000000000001</v>
      </c>
      <c r="S3925" s="2">
        <f>NETWORKDAYS(B3925,C3925)-1</f>
        <v>2</v>
      </c>
      <c r="T3925" s="1">
        <f>WORKDAY(B3925,5)</f>
        <v>45681</v>
      </c>
      <c r="U3925" t="b">
        <f>C3925&gt;T3925</f>
        <v>0</v>
      </c>
    </row>
    <row r="3926" spans="1:21" x14ac:dyDescent="0.25">
      <c r="A3926" t="s">
        <v>2292</v>
      </c>
      <c r="B3926" s="1">
        <v>45673</v>
      </c>
      <c r="C3926" s="1">
        <v>45677</v>
      </c>
      <c r="D3926" t="s">
        <v>1517</v>
      </c>
      <c r="E3926" t="s">
        <v>213</v>
      </c>
      <c r="F3926" t="s">
        <v>138</v>
      </c>
      <c r="G3926" t="s">
        <v>139</v>
      </c>
      <c r="H3926" t="s">
        <v>26</v>
      </c>
      <c r="I3926" s="2">
        <v>1</v>
      </c>
      <c r="J3926" s="3">
        <v>290</v>
      </c>
      <c r="K3926" s="4">
        <v>0.05</v>
      </c>
      <c r="L3926" s="3">
        <v>275.5</v>
      </c>
      <c r="M3926" t="b">
        <v>1</v>
      </c>
      <c r="N3926" s="2">
        <f>YEAR(B3926)</f>
        <v>2025</v>
      </c>
      <c r="O3926" t="str">
        <f>INDEX(Agences!$C:$C,MATCH(F3926,Agences!$A:$A,0))</f>
        <v>Île-de-France</v>
      </c>
      <c r="P3926" t="str">
        <f>INDEX(Produits!$C:$C,MATCH(H3926,Produits!$A:$A,0))</f>
        <v>Maintenance</v>
      </c>
      <c r="Q3926" s="3">
        <f>I3926*INDEX(Produits!$E:$E,MATCH(H3926,Produits!$A:$A,0))</f>
        <v>139.2</v>
      </c>
      <c r="R3926" s="3">
        <f>L3926-Q3926</f>
        <v>136.3</v>
      </c>
      <c r="S3926" s="2">
        <f>NETWORKDAYS(B3926,C3926)-1</f>
        <v>2</v>
      </c>
      <c r="T3926" s="1">
        <f>WORKDAY(B3926,5)</f>
        <v>45680</v>
      </c>
      <c r="U3926" t="b">
        <f>C3926&gt;T3926</f>
        <v>0</v>
      </c>
    </row>
    <row r="3927" spans="1:21" x14ac:dyDescent="0.25">
      <c r="A3927" t="s">
        <v>2292</v>
      </c>
      <c r="B3927" s="1">
        <v>45673</v>
      </c>
      <c r="C3927" s="1">
        <v>45677</v>
      </c>
      <c r="D3927" t="s">
        <v>1517</v>
      </c>
      <c r="E3927" t="s">
        <v>213</v>
      </c>
      <c r="F3927" t="s">
        <v>138</v>
      </c>
      <c r="G3927" t="s">
        <v>139</v>
      </c>
      <c r="H3927" t="s">
        <v>107</v>
      </c>
      <c r="I3927" s="2">
        <v>1</v>
      </c>
      <c r="J3927" s="3">
        <v>99</v>
      </c>
      <c r="K3927" s="4">
        <v>0.02</v>
      </c>
      <c r="L3927" s="3">
        <v>97.02</v>
      </c>
      <c r="M3927" t="b">
        <v>1</v>
      </c>
      <c r="N3927" s="2">
        <f>YEAR(B3927)</f>
        <v>2025</v>
      </c>
      <c r="O3927" t="str">
        <f>INDEX(Agences!$C:$C,MATCH(F3927,Agences!$A:$A,0))</f>
        <v>Île-de-France</v>
      </c>
      <c r="P3927" t="str">
        <f>INDEX(Produits!$C:$C,MATCH(H3927,Produits!$A:$A,0))</f>
        <v>Informatique</v>
      </c>
      <c r="Q3927" s="3">
        <f>I3927*INDEX(Produits!$E:$E,MATCH(H3927,Produits!$A:$A,0))</f>
        <v>75.24</v>
      </c>
      <c r="R3927" s="3">
        <f>L3927-Q3927</f>
        <v>21.78</v>
      </c>
      <c r="S3927" s="2">
        <f>NETWORKDAYS(B3927,C3927)-1</f>
        <v>2</v>
      </c>
      <c r="T3927" s="1">
        <f>WORKDAY(B3927,5)</f>
        <v>45680</v>
      </c>
      <c r="U3927" t="b">
        <f>C3927&gt;T3927</f>
        <v>0</v>
      </c>
    </row>
    <row r="3928" spans="1:21" x14ac:dyDescent="0.25">
      <c r="A3928" t="s">
        <v>2292</v>
      </c>
      <c r="B3928" s="1">
        <v>45673</v>
      </c>
      <c r="C3928" s="1">
        <v>45677</v>
      </c>
      <c r="D3928" t="s">
        <v>1517</v>
      </c>
      <c r="E3928" t="s">
        <v>213</v>
      </c>
      <c r="F3928" t="s">
        <v>138</v>
      </c>
      <c r="G3928" t="s">
        <v>139</v>
      </c>
      <c r="H3928" t="s">
        <v>161</v>
      </c>
      <c r="I3928" s="2">
        <v>10</v>
      </c>
      <c r="J3928" s="3">
        <v>32</v>
      </c>
      <c r="K3928" s="4">
        <v>0.02</v>
      </c>
      <c r="L3928" s="3">
        <v>313.6</v>
      </c>
      <c r="M3928" t="b">
        <v>1</v>
      </c>
      <c r="N3928" s="2">
        <f>YEAR(B3928)</f>
        <v>2025</v>
      </c>
      <c r="O3928" t="str">
        <f>INDEX(Agences!$C:$C,MATCH(F3928,Agences!$A:$A,0))</f>
        <v>Île-de-France</v>
      </c>
      <c r="P3928" t="str">
        <f>INDEX(Produits!$C:$C,MATCH(H3928,Produits!$A:$A,0))</f>
        <v>Fournitures</v>
      </c>
      <c r="Q3928" s="3">
        <f>I3928*INDEX(Produits!$E:$E,MATCH(H3928,Produits!$A:$A,0))</f>
        <v>176</v>
      </c>
      <c r="R3928" s="3">
        <f>L3928-Q3928</f>
        <v>137.60000000000002</v>
      </c>
      <c r="S3928" s="2">
        <f>NETWORKDAYS(B3928,C3928)-1</f>
        <v>2</v>
      </c>
      <c r="T3928" s="1">
        <f>WORKDAY(B3928,5)</f>
        <v>45680</v>
      </c>
      <c r="U3928" t="b">
        <f>C3928&gt;T3928</f>
        <v>0</v>
      </c>
    </row>
    <row r="3929" spans="1:21" x14ac:dyDescent="0.25">
      <c r="A3929" t="s">
        <v>2293</v>
      </c>
      <c r="B3929" s="1">
        <v>45673</v>
      </c>
      <c r="C3929" s="1">
        <v>45678</v>
      </c>
      <c r="D3929" t="s">
        <v>74</v>
      </c>
      <c r="E3929" t="s">
        <v>75</v>
      </c>
      <c r="F3929" t="s">
        <v>76</v>
      </c>
      <c r="G3929" t="s">
        <v>176</v>
      </c>
      <c r="H3929" t="s">
        <v>42</v>
      </c>
      <c r="I3929" s="2">
        <v>1</v>
      </c>
      <c r="J3929" s="3">
        <v>55</v>
      </c>
      <c r="K3929" s="4">
        <v>0.02</v>
      </c>
      <c r="L3929" s="3">
        <v>53.9</v>
      </c>
      <c r="M3929" t="b">
        <v>1</v>
      </c>
      <c r="N3929" s="2">
        <f>YEAR(B3929)</f>
        <v>2025</v>
      </c>
      <c r="O3929" t="str">
        <f>INDEX(Agences!$C:$C,MATCH(F3929,Agences!$A:$A,0))</f>
        <v>Île-de-France</v>
      </c>
      <c r="P3929" t="str">
        <f>INDEX(Produits!$C:$C,MATCH(H3929,Produits!$A:$A,0))</f>
        <v>Maintenance</v>
      </c>
      <c r="Q3929" s="3">
        <f>I3929*INDEX(Produits!$E:$E,MATCH(H3929,Produits!$A:$A,0))</f>
        <v>24.75</v>
      </c>
      <c r="R3929" s="3">
        <f>L3929-Q3929</f>
        <v>29.15</v>
      </c>
      <c r="S3929" s="2">
        <f>NETWORKDAYS(B3929,C3929)-1</f>
        <v>3</v>
      </c>
      <c r="T3929" s="1">
        <f>WORKDAY(B3929,5)</f>
        <v>45680</v>
      </c>
      <c r="U3929" t="b">
        <f>C3929&gt;T3929</f>
        <v>0</v>
      </c>
    </row>
    <row r="3930" spans="1:21" x14ac:dyDescent="0.25">
      <c r="A3930" t="s">
        <v>2294</v>
      </c>
      <c r="B3930" s="1">
        <v>45673</v>
      </c>
      <c r="C3930" s="1">
        <v>45677</v>
      </c>
      <c r="D3930" t="s">
        <v>355</v>
      </c>
      <c r="E3930" t="s">
        <v>256</v>
      </c>
      <c r="F3930" t="s">
        <v>88</v>
      </c>
      <c r="G3930" t="s">
        <v>89</v>
      </c>
      <c r="H3930" t="s">
        <v>319</v>
      </c>
      <c r="I3930" s="2">
        <v>2</v>
      </c>
      <c r="J3930" s="3">
        <v>289</v>
      </c>
      <c r="K3930" s="4">
        <v>0</v>
      </c>
      <c r="L3930" s="3">
        <v>578</v>
      </c>
      <c r="M3930" t="b">
        <v>1</v>
      </c>
      <c r="N3930" s="2">
        <f>YEAR(B3930)</f>
        <v>2025</v>
      </c>
      <c r="O3930" t="str">
        <f>INDEX(Agences!$C:$C,MATCH(F3930,Agences!$A:$A,0))</f>
        <v>Sud-Ouest</v>
      </c>
      <c r="P3930" t="str">
        <f>INDEX(Produits!$C:$C,MATCH(H3930,Produits!$A:$A,0))</f>
        <v>Informatique</v>
      </c>
      <c r="Q3930" s="3">
        <f>I3930*INDEX(Produits!$E:$E,MATCH(H3930,Produits!$A:$A,0))</f>
        <v>427.72</v>
      </c>
      <c r="R3930" s="3">
        <f>L3930-Q3930</f>
        <v>150.27999999999997</v>
      </c>
      <c r="S3930" s="2">
        <f>NETWORKDAYS(B3930,C3930)-1</f>
        <v>2</v>
      </c>
      <c r="T3930" s="1">
        <f>WORKDAY(B3930,5)</f>
        <v>45680</v>
      </c>
      <c r="U3930" t="b">
        <f>C3930&gt;T3930</f>
        <v>0</v>
      </c>
    </row>
    <row r="3931" spans="1:21" x14ac:dyDescent="0.25">
      <c r="A3931" t="s">
        <v>2294</v>
      </c>
      <c r="B3931" s="1">
        <v>45673</v>
      </c>
      <c r="C3931" s="1">
        <v>45677</v>
      </c>
      <c r="D3931" t="s">
        <v>355</v>
      </c>
      <c r="E3931" t="s">
        <v>256</v>
      </c>
      <c r="F3931" t="s">
        <v>88</v>
      </c>
      <c r="G3931" t="s">
        <v>89</v>
      </c>
      <c r="H3931" t="s">
        <v>196</v>
      </c>
      <c r="I3931" s="2">
        <v>5</v>
      </c>
      <c r="J3931" s="3">
        <v>18.5</v>
      </c>
      <c r="K3931" s="4">
        <v>0.1</v>
      </c>
      <c r="L3931" s="3">
        <v>83.25</v>
      </c>
      <c r="M3931" t="b">
        <v>1</v>
      </c>
      <c r="N3931" s="2">
        <f>YEAR(B3931)</f>
        <v>2025</v>
      </c>
      <c r="O3931" t="str">
        <f>INDEX(Agences!$C:$C,MATCH(F3931,Agences!$A:$A,0))</f>
        <v>Sud-Ouest</v>
      </c>
      <c r="P3931" t="str">
        <f>INDEX(Produits!$C:$C,MATCH(H3931,Produits!$A:$A,0))</f>
        <v>Fournitures</v>
      </c>
      <c r="Q3931" s="3">
        <f>I3931*INDEX(Produits!$E:$E,MATCH(H3931,Produits!$A:$A,0))</f>
        <v>47.199999999999996</v>
      </c>
      <c r="R3931" s="3">
        <f>L3931-Q3931</f>
        <v>36.050000000000004</v>
      </c>
      <c r="S3931" s="2">
        <f>NETWORKDAYS(B3931,C3931)-1</f>
        <v>2</v>
      </c>
      <c r="T3931" s="1">
        <f>WORKDAY(B3931,5)</f>
        <v>45680</v>
      </c>
      <c r="U3931" t="b">
        <f>C3931&gt;T3931</f>
        <v>0</v>
      </c>
    </row>
    <row r="3932" spans="1:21" x14ac:dyDescent="0.25">
      <c r="A3932" t="s">
        <v>2295</v>
      </c>
      <c r="B3932" s="1">
        <v>45673</v>
      </c>
      <c r="C3932" s="1">
        <v>45678</v>
      </c>
      <c r="D3932" t="s">
        <v>315</v>
      </c>
      <c r="E3932" t="s">
        <v>316</v>
      </c>
      <c r="F3932" t="s">
        <v>46</v>
      </c>
      <c r="G3932" t="s">
        <v>47</v>
      </c>
      <c r="H3932" t="s">
        <v>205</v>
      </c>
      <c r="I3932" s="2">
        <v>5</v>
      </c>
      <c r="J3932" s="3">
        <v>359</v>
      </c>
      <c r="K3932" s="4">
        <v>0.02</v>
      </c>
      <c r="L3932" s="3">
        <v>1759.1</v>
      </c>
      <c r="M3932" t="b">
        <v>1</v>
      </c>
      <c r="N3932" s="2">
        <f>YEAR(B3932)</f>
        <v>2025</v>
      </c>
      <c r="O3932" t="str">
        <f>INDEX(Agences!$C:$C,MATCH(F3932,Agences!$A:$A,0))</f>
        <v>Est</v>
      </c>
      <c r="P3932" t="str">
        <f>INDEX(Produits!$C:$C,MATCH(H3932,Produits!$A:$A,0))</f>
        <v>Mobilier</v>
      </c>
      <c r="Q3932" s="3">
        <f>I3932*INDEX(Produits!$E:$E,MATCH(H3932,Produits!$A:$A,0))</f>
        <v>1023.15</v>
      </c>
      <c r="R3932" s="3">
        <f>L3932-Q3932</f>
        <v>735.9499999999999</v>
      </c>
      <c r="S3932" s="2">
        <f>NETWORKDAYS(B3932,C3932)-1</f>
        <v>3</v>
      </c>
      <c r="T3932" s="1">
        <f>WORKDAY(B3932,5)</f>
        <v>45680</v>
      </c>
      <c r="U3932" t="b">
        <f>C3932&gt;T3932</f>
        <v>0</v>
      </c>
    </row>
    <row r="3933" spans="1:21" x14ac:dyDescent="0.25">
      <c r="A3933" t="s">
        <v>2295</v>
      </c>
      <c r="B3933" s="1">
        <v>45673</v>
      </c>
      <c r="C3933" s="1">
        <v>45678</v>
      </c>
      <c r="D3933" t="s">
        <v>315</v>
      </c>
      <c r="E3933" t="s">
        <v>316</v>
      </c>
      <c r="F3933" t="s">
        <v>46</v>
      </c>
      <c r="G3933" t="s">
        <v>47</v>
      </c>
      <c r="H3933" t="s">
        <v>51</v>
      </c>
      <c r="I3933" s="2">
        <v>2</v>
      </c>
      <c r="J3933" s="3">
        <v>180</v>
      </c>
      <c r="K3933" s="4">
        <v>0</v>
      </c>
      <c r="L3933" s="3">
        <v>360</v>
      </c>
      <c r="M3933" t="b">
        <v>1</v>
      </c>
      <c r="N3933" s="2">
        <f>YEAR(B3933)</f>
        <v>2025</v>
      </c>
      <c r="O3933" t="str">
        <f>INDEX(Agences!$C:$C,MATCH(F3933,Agences!$A:$A,0))</f>
        <v>Est</v>
      </c>
      <c r="P3933" t="str">
        <f>INDEX(Produits!$C:$C,MATCH(H3933,Produits!$A:$A,0))</f>
        <v>Maintenance</v>
      </c>
      <c r="Q3933" s="3">
        <f>I3933*INDEX(Produits!$E:$E,MATCH(H3933,Produits!$A:$A,0))</f>
        <v>165.6</v>
      </c>
      <c r="R3933" s="3">
        <f>L3933-Q3933</f>
        <v>194.4</v>
      </c>
      <c r="S3933" s="2">
        <f>NETWORKDAYS(B3933,C3933)-1</f>
        <v>3</v>
      </c>
      <c r="T3933" s="1">
        <f>WORKDAY(B3933,5)</f>
        <v>45680</v>
      </c>
      <c r="U3933" t="b">
        <f>C3933&gt;T3933</f>
        <v>0</v>
      </c>
    </row>
    <row r="3934" spans="1:21" x14ac:dyDescent="0.25">
      <c r="A3934" t="s">
        <v>2295</v>
      </c>
      <c r="B3934" s="1">
        <v>45673</v>
      </c>
      <c r="C3934" s="1">
        <v>45678</v>
      </c>
      <c r="D3934" t="s">
        <v>315</v>
      </c>
      <c r="E3934" t="s">
        <v>316</v>
      </c>
      <c r="F3934" t="s">
        <v>46</v>
      </c>
      <c r="G3934" t="s">
        <v>47</v>
      </c>
      <c r="H3934" t="s">
        <v>48</v>
      </c>
      <c r="I3934" s="2">
        <v>1</v>
      </c>
      <c r="J3934" s="3">
        <v>165</v>
      </c>
      <c r="K3934" s="4">
        <v>0.02</v>
      </c>
      <c r="L3934" s="3">
        <v>161.7</v>
      </c>
      <c r="M3934" t="b">
        <v>1</v>
      </c>
      <c r="N3934" s="2">
        <f>YEAR(B3934)</f>
        <v>2025</v>
      </c>
      <c r="O3934" t="str">
        <f>INDEX(Agences!$C:$C,MATCH(F3934,Agences!$A:$A,0))</f>
        <v>Est</v>
      </c>
      <c r="P3934" t="str">
        <f>INDEX(Produits!$C:$C,MATCH(H3934,Produits!$A:$A,0))</f>
        <v>Mobilier</v>
      </c>
      <c r="Q3934" s="3">
        <f>I3934*INDEX(Produits!$E:$E,MATCH(H3934,Produits!$A:$A,0))</f>
        <v>107.25</v>
      </c>
      <c r="R3934" s="3">
        <f>L3934-Q3934</f>
        <v>54.44999999999999</v>
      </c>
      <c r="S3934" s="2">
        <f>NETWORKDAYS(B3934,C3934)-1</f>
        <v>3</v>
      </c>
      <c r="T3934" s="1">
        <f>WORKDAY(B3934,5)</f>
        <v>45680</v>
      </c>
      <c r="U3934" t="b">
        <f>C3934&gt;T3934</f>
        <v>0</v>
      </c>
    </row>
    <row r="3935" spans="1:21" x14ac:dyDescent="0.25">
      <c r="A3935" t="s">
        <v>2295</v>
      </c>
      <c r="B3935" s="1">
        <v>45673</v>
      </c>
      <c r="C3935" s="1">
        <v>45678</v>
      </c>
      <c r="D3935" t="s">
        <v>315</v>
      </c>
      <c r="E3935" t="s">
        <v>316</v>
      </c>
      <c r="F3935" t="s">
        <v>46</v>
      </c>
      <c r="G3935" t="s">
        <v>47</v>
      </c>
      <c r="H3935" t="s">
        <v>319</v>
      </c>
      <c r="I3935" s="2">
        <v>2</v>
      </c>
      <c r="J3935" s="3">
        <v>289</v>
      </c>
      <c r="K3935" s="4">
        <v>0.05</v>
      </c>
      <c r="L3935" s="3">
        <v>549.1</v>
      </c>
      <c r="M3935" t="b">
        <v>1</v>
      </c>
      <c r="N3935" s="2">
        <f>YEAR(B3935)</f>
        <v>2025</v>
      </c>
      <c r="O3935" t="str">
        <f>INDEX(Agences!$C:$C,MATCH(F3935,Agences!$A:$A,0))</f>
        <v>Est</v>
      </c>
      <c r="P3935" t="str">
        <f>INDEX(Produits!$C:$C,MATCH(H3935,Produits!$A:$A,0))</f>
        <v>Informatique</v>
      </c>
      <c r="Q3935" s="3">
        <f>I3935*INDEX(Produits!$E:$E,MATCH(H3935,Produits!$A:$A,0))</f>
        <v>427.72</v>
      </c>
      <c r="R3935" s="3">
        <f>L3935-Q3935</f>
        <v>121.38</v>
      </c>
      <c r="S3935" s="2">
        <f>NETWORKDAYS(B3935,C3935)-1</f>
        <v>3</v>
      </c>
      <c r="T3935" s="1">
        <f>WORKDAY(B3935,5)</f>
        <v>45680</v>
      </c>
      <c r="U3935" t="b">
        <f>C3935&gt;T3935</f>
        <v>0</v>
      </c>
    </row>
    <row r="3936" spans="1:21" x14ac:dyDescent="0.25">
      <c r="A3936" t="s">
        <v>2295</v>
      </c>
      <c r="B3936" s="1">
        <v>45673</v>
      </c>
      <c r="C3936" s="1">
        <v>45678</v>
      </c>
      <c r="D3936" t="s">
        <v>315</v>
      </c>
      <c r="E3936" t="s">
        <v>316</v>
      </c>
      <c r="F3936" t="s">
        <v>46</v>
      </c>
      <c r="G3936" t="s">
        <v>47</v>
      </c>
      <c r="H3936" t="s">
        <v>64</v>
      </c>
      <c r="I3936" s="2">
        <v>5</v>
      </c>
      <c r="J3936" s="3">
        <v>16.8</v>
      </c>
      <c r="K3936" s="4">
        <v>0</v>
      </c>
      <c r="L3936" s="3">
        <v>84</v>
      </c>
      <c r="M3936" t="b">
        <v>1</v>
      </c>
      <c r="N3936" s="2">
        <f>YEAR(B3936)</f>
        <v>2025</v>
      </c>
      <c r="O3936" t="str">
        <f>INDEX(Agences!$C:$C,MATCH(F3936,Agences!$A:$A,0))</f>
        <v>Est</v>
      </c>
      <c r="P3936" t="str">
        <f>INDEX(Produits!$C:$C,MATCH(H3936,Produits!$A:$A,0))</f>
        <v>Fournitures</v>
      </c>
      <c r="Q3936" s="3">
        <f>I3936*INDEX(Produits!$E:$E,MATCH(H3936,Produits!$A:$A,0))</f>
        <v>43.7</v>
      </c>
      <c r="R3936" s="3">
        <f>L3936-Q3936</f>
        <v>40.3</v>
      </c>
      <c r="S3936" s="2">
        <f>NETWORKDAYS(B3936,C3936)-1</f>
        <v>3</v>
      </c>
      <c r="T3936" s="1">
        <f>WORKDAY(B3936,5)</f>
        <v>45680</v>
      </c>
      <c r="U3936" t="b">
        <f>C3936&gt;T3936</f>
        <v>0</v>
      </c>
    </row>
    <row r="3937" spans="1:21" x14ac:dyDescent="0.25">
      <c r="A3937" t="s">
        <v>2296</v>
      </c>
      <c r="B3937" s="1">
        <v>45672</v>
      </c>
      <c r="C3937" s="1">
        <v>45674</v>
      </c>
      <c r="D3937" t="s">
        <v>494</v>
      </c>
      <c r="E3937" t="s">
        <v>270</v>
      </c>
      <c r="F3937" t="s">
        <v>76</v>
      </c>
      <c r="G3937" t="s">
        <v>176</v>
      </c>
      <c r="H3937" t="s">
        <v>83</v>
      </c>
      <c r="I3937" s="2">
        <v>1</v>
      </c>
      <c r="J3937" s="3">
        <v>49</v>
      </c>
      <c r="K3937" s="4">
        <v>0.05</v>
      </c>
      <c r="L3937" s="3">
        <v>46.55</v>
      </c>
      <c r="M3937" t="b">
        <v>1</v>
      </c>
      <c r="N3937" s="2">
        <f>YEAR(B3937)</f>
        <v>2025</v>
      </c>
      <c r="O3937" t="str">
        <f>INDEX(Agences!$C:$C,MATCH(F3937,Agences!$A:$A,0))</f>
        <v>Île-de-France</v>
      </c>
      <c r="P3937" t="str">
        <f>INDEX(Produits!$C:$C,MATCH(H3937,Produits!$A:$A,0))</f>
        <v>Mobilier</v>
      </c>
      <c r="Q3937" s="3">
        <f>I3937*INDEX(Produits!$E:$E,MATCH(H3937,Produits!$A:$A,0))</f>
        <v>28.42</v>
      </c>
      <c r="R3937" s="3">
        <f>L3937-Q3937</f>
        <v>18.129999999999995</v>
      </c>
      <c r="S3937" s="2">
        <f>NETWORKDAYS(B3937,C3937)-1</f>
        <v>2</v>
      </c>
      <c r="T3937" s="1">
        <f>WORKDAY(B3937,5)</f>
        <v>45679</v>
      </c>
      <c r="U3937" t="b">
        <f>C3937&gt;T3937</f>
        <v>0</v>
      </c>
    </row>
    <row r="3938" spans="1:21" x14ac:dyDescent="0.25">
      <c r="A3938" t="s">
        <v>2297</v>
      </c>
      <c r="B3938" s="1">
        <v>45672</v>
      </c>
      <c r="C3938" s="1">
        <v>45678</v>
      </c>
      <c r="D3938" t="s">
        <v>1845</v>
      </c>
      <c r="E3938" t="s">
        <v>185</v>
      </c>
      <c r="F3938" t="s">
        <v>31</v>
      </c>
      <c r="G3938" t="s">
        <v>375</v>
      </c>
      <c r="H3938" t="s">
        <v>42</v>
      </c>
      <c r="I3938" s="2">
        <v>2</v>
      </c>
      <c r="J3938" s="3">
        <v>55</v>
      </c>
      <c r="K3938" s="4">
        <v>0.05</v>
      </c>
      <c r="L3938" s="3">
        <v>104.5</v>
      </c>
      <c r="M3938" t="b">
        <v>1</v>
      </c>
      <c r="N3938" s="2">
        <f>YEAR(B3938)</f>
        <v>2025</v>
      </c>
      <c r="O3938" t="str">
        <f>INDEX(Agences!$C:$C,MATCH(F3938,Agences!$A:$A,0))</f>
        <v>Ouest</v>
      </c>
      <c r="P3938" t="str">
        <f>INDEX(Produits!$C:$C,MATCH(H3938,Produits!$A:$A,0))</f>
        <v>Maintenance</v>
      </c>
      <c r="Q3938" s="3">
        <f>I3938*INDEX(Produits!$E:$E,MATCH(H3938,Produits!$A:$A,0))</f>
        <v>49.5</v>
      </c>
      <c r="R3938" s="3">
        <f>L3938-Q3938</f>
        <v>55</v>
      </c>
      <c r="S3938" s="2">
        <f>NETWORKDAYS(B3938,C3938)-1</f>
        <v>4</v>
      </c>
      <c r="T3938" s="1">
        <f>WORKDAY(B3938,5)</f>
        <v>45679</v>
      </c>
      <c r="U3938" t="b">
        <f>C3938&gt;T3938</f>
        <v>0</v>
      </c>
    </row>
    <row r="3939" spans="1:21" x14ac:dyDescent="0.25">
      <c r="A3939" t="s">
        <v>2297</v>
      </c>
      <c r="B3939" s="1">
        <v>45672</v>
      </c>
      <c r="C3939" s="1">
        <v>45678</v>
      </c>
      <c r="D3939" t="s">
        <v>1845</v>
      </c>
      <c r="E3939" t="s">
        <v>185</v>
      </c>
      <c r="F3939" t="s">
        <v>31</v>
      </c>
      <c r="G3939" t="s">
        <v>375</v>
      </c>
      <c r="H3939" t="s">
        <v>33</v>
      </c>
      <c r="I3939" s="2">
        <v>3</v>
      </c>
      <c r="J3939" s="3">
        <v>219</v>
      </c>
      <c r="K3939" s="4">
        <v>0.08</v>
      </c>
      <c r="L3939" s="3">
        <v>604.44</v>
      </c>
      <c r="M3939" t="b">
        <v>1</v>
      </c>
      <c r="N3939" s="2">
        <f>YEAR(B3939)</f>
        <v>2025</v>
      </c>
      <c r="O3939" t="str">
        <f>INDEX(Agences!$C:$C,MATCH(F3939,Agences!$A:$A,0))</f>
        <v>Ouest</v>
      </c>
      <c r="P3939" t="str">
        <f>INDEX(Produits!$C:$C,MATCH(H3939,Produits!$A:$A,0))</f>
        <v>Informatique</v>
      </c>
      <c r="Q3939" s="3">
        <f>I3939*INDEX(Produits!$E:$E,MATCH(H3939,Produits!$A:$A,0))</f>
        <v>538.74</v>
      </c>
      <c r="R3939" s="3">
        <f>L3939-Q3939</f>
        <v>65.70000000000005</v>
      </c>
      <c r="S3939" s="2">
        <f>NETWORKDAYS(B3939,C3939)-1</f>
        <v>4</v>
      </c>
      <c r="T3939" s="1">
        <f>WORKDAY(B3939,5)</f>
        <v>45679</v>
      </c>
      <c r="U3939" t="b">
        <f>C3939&gt;T3939</f>
        <v>0</v>
      </c>
    </row>
    <row r="3940" spans="1:21" x14ac:dyDescent="0.25">
      <c r="A3940" t="s">
        <v>2298</v>
      </c>
      <c r="B3940" s="1">
        <v>45672</v>
      </c>
      <c r="C3940" s="1">
        <v>45678</v>
      </c>
      <c r="D3940" t="s">
        <v>92</v>
      </c>
      <c r="E3940" t="s">
        <v>93</v>
      </c>
      <c r="F3940" t="s">
        <v>94</v>
      </c>
      <c r="G3940" t="s">
        <v>154</v>
      </c>
      <c r="H3940" t="s">
        <v>79</v>
      </c>
      <c r="I3940" s="2">
        <v>30</v>
      </c>
      <c r="J3940" s="3">
        <v>14.9</v>
      </c>
      <c r="K3940" s="4">
        <v>0.02</v>
      </c>
      <c r="L3940" s="3">
        <v>438.06</v>
      </c>
      <c r="M3940" t="b">
        <v>1</v>
      </c>
      <c r="N3940" s="2">
        <f>YEAR(B3940)</f>
        <v>2025</v>
      </c>
      <c r="O3940" t="str">
        <f>INDEX(Agences!$C:$C,MATCH(F3940,Agences!$A:$A,0))</f>
        <v>Méditerranée</v>
      </c>
      <c r="P3940" t="str">
        <f>INDEX(Produits!$C:$C,MATCH(H3940,Produits!$A:$A,0))</f>
        <v>Fournitures</v>
      </c>
      <c r="Q3940" s="3">
        <f>I3940*INDEX(Produits!$E:$E,MATCH(H3940,Produits!$A:$A,0))</f>
        <v>241.50000000000003</v>
      </c>
      <c r="R3940" s="3">
        <f>L3940-Q3940</f>
        <v>196.55999999999997</v>
      </c>
      <c r="S3940" s="2">
        <f>NETWORKDAYS(B3940,C3940)-1</f>
        <v>4</v>
      </c>
      <c r="T3940" s="1">
        <f>WORKDAY(B3940,5)</f>
        <v>45679</v>
      </c>
      <c r="U3940" t="b">
        <f>C3940&gt;T3940</f>
        <v>0</v>
      </c>
    </row>
    <row r="3941" spans="1:21" x14ac:dyDescent="0.25">
      <c r="A3941" t="s">
        <v>2298</v>
      </c>
      <c r="B3941" s="1">
        <v>45672</v>
      </c>
      <c r="C3941" s="1">
        <v>45678</v>
      </c>
      <c r="D3941" t="s">
        <v>92</v>
      </c>
      <c r="E3941" t="s">
        <v>93</v>
      </c>
      <c r="F3941" t="s">
        <v>94</v>
      </c>
      <c r="G3941" t="s">
        <v>154</v>
      </c>
      <c r="H3941" t="s">
        <v>50</v>
      </c>
      <c r="I3941" s="2">
        <v>5</v>
      </c>
      <c r="J3941" s="3">
        <v>69</v>
      </c>
      <c r="K3941" s="4">
        <v>0</v>
      </c>
      <c r="L3941" s="3">
        <v>345</v>
      </c>
      <c r="M3941" t="b">
        <v>1</v>
      </c>
      <c r="N3941" s="2">
        <f>YEAR(B3941)</f>
        <v>2025</v>
      </c>
      <c r="O3941" t="str">
        <f>INDEX(Agences!$C:$C,MATCH(F3941,Agences!$A:$A,0))</f>
        <v>Méditerranée</v>
      </c>
      <c r="P3941" t="str">
        <f>INDEX(Produits!$C:$C,MATCH(H3941,Produits!$A:$A,0))</f>
        <v>Informatique</v>
      </c>
      <c r="Q3941" s="3">
        <f>I3941*INDEX(Produits!$E:$E,MATCH(H3941,Produits!$A:$A,0))</f>
        <v>272.55</v>
      </c>
      <c r="R3941" s="3">
        <f>L3941-Q3941</f>
        <v>72.44999999999999</v>
      </c>
      <c r="S3941" s="2">
        <f>NETWORKDAYS(B3941,C3941)-1</f>
        <v>4</v>
      </c>
      <c r="T3941" s="1">
        <f>WORKDAY(B3941,5)</f>
        <v>45679</v>
      </c>
      <c r="U3941" t="b">
        <f>C3941&gt;T3941</f>
        <v>0</v>
      </c>
    </row>
    <row r="3942" spans="1:21" x14ac:dyDescent="0.25">
      <c r="A3942" t="s">
        <v>2299</v>
      </c>
      <c r="B3942" s="1">
        <v>45672</v>
      </c>
      <c r="C3942" s="1">
        <v>45674</v>
      </c>
      <c r="D3942" t="s">
        <v>1476</v>
      </c>
      <c r="E3942" t="s">
        <v>45</v>
      </c>
      <c r="F3942" t="s">
        <v>46</v>
      </c>
      <c r="G3942" t="s">
        <v>111</v>
      </c>
      <c r="H3942" t="s">
        <v>57</v>
      </c>
      <c r="I3942" s="2">
        <v>1</v>
      </c>
      <c r="J3942" s="3">
        <v>149</v>
      </c>
      <c r="K3942" s="4">
        <v>0</v>
      </c>
      <c r="L3942" s="3">
        <v>149</v>
      </c>
      <c r="M3942" t="b">
        <v>1</v>
      </c>
      <c r="N3942" s="2">
        <f>YEAR(B3942)</f>
        <v>2025</v>
      </c>
      <c r="O3942" t="str">
        <f>INDEX(Agences!$C:$C,MATCH(F3942,Agences!$A:$A,0))</f>
        <v>Est</v>
      </c>
      <c r="P3942" t="str">
        <f>INDEX(Produits!$C:$C,MATCH(H3942,Produits!$A:$A,0))</f>
        <v>Informatique</v>
      </c>
      <c r="Q3942" s="3">
        <f>I3942*INDEX(Produits!$E:$E,MATCH(H3942,Produits!$A:$A,0))</f>
        <v>114.73</v>
      </c>
      <c r="R3942" s="3">
        <f>L3942-Q3942</f>
        <v>34.269999999999996</v>
      </c>
      <c r="S3942" s="2">
        <f>NETWORKDAYS(B3942,C3942)-1</f>
        <v>2</v>
      </c>
      <c r="T3942" s="1">
        <f>WORKDAY(B3942,5)</f>
        <v>45679</v>
      </c>
      <c r="U3942" t="b">
        <f>C3942&gt;T3942</f>
        <v>0</v>
      </c>
    </row>
    <row r="3943" spans="1:21" x14ac:dyDescent="0.25">
      <c r="A3943" t="s">
        <v>2299</v>
      </c>
      <c r="B3943" s="1">
        <v>45672</v>
      </c>
      <c r="C3943" s="1">
        <v>45674</v>
      </c>
      <c r="D3943" t="s">
        <v>1476</v>
      </c>
      <c r="E3943" t="s">
        <v>45</v>
      </c>
      <c r="F3943" t="s">
        <v>46</v>
      </c>
      <c r="G3943" t="s">
        <v>111</v>
      </c>
      <c r="H3943" t="s">
        <v>72</v>
      </c>
      <c r="I3943" s="2">
        <v>5</v>
      </c>
      <c r="J3943" s="3">
        <v>179</v>
      </c>
      <c r="K3943" s="4">
        <v>0.08</v>
      </c>
      <c r="L3943" s="3">
        <v>823.4</v>
      </c>
      <c r="M3943" t="b">
        <v>1</v>
      </c>
      <c r="N3943" s="2">
        <f>YEAR(B3943)</f>
        <v>2025</v>
      </c>
      <c r="O3943" t="str">
        <f>INDEX(Agences!$C:$C,MATCH(F3943,Agences!$A:$A,0))</f>
        <v>Est</v>
      </c>
      <c r="P3943" t="str">
        <f>INDEX(Produits!$C:$C,MATCH(H3943,Produits!$A:$A,0))</f>
        <v>Informatique</v>
      </c>
      <c r="Q3943" s="3">
        <f>I3943*INDEX(Produits!$E:$E,MATCH(H3943,Produits!$A:$A,0))</f>
        <v>733.9</v>
      </c>
      <c r="R3943" s="3">
        <f>L3943-Q3943</f>
        <v>89.5</v>
      </c>
      <c r="S3943" s="2">
        <f>NETWORKDAYS(B3943,C3943)-1</f>
        <v>2</v>
      </c>
      <c r="T3943" s="1">
        <f>WORKDAY(B3943,5)</f>
        <v>45679</v>
      </c>
      <c r="U3943" t="b">
        <f>C3943&gt;T3943</f>
        <v>0</v>
      </c>
    </row>
    <row r="3944" spans="1:21" x14ac:dyDescent="0.25">
      <c r="A3944" t="s">
        <v>2299</v>
      </c>
      <c r="B3944" s="1">
        <v>45672</v>
      </c>
      <c r="C3944" s="1">
        <v>45674</v>
      </c>
      <c r="D3944" t="s">
        <v>1476</v>
      </c>
      <c r="E3944" t="s">
        <v>45</v>
      </c>
      <c r="F3944" t="s">
        <v>46</v>
      </c>
      <c r="G3944" t="s">
        <v>111</v>
      </c>
      <c r="H3944" t="s">
        <v>48</v>
      </c>
      <c r="I3944" s="2">
        <v>2</v>
      </c>
      <c r="J3944" s="3">
        <v>165</v>
      </c>
      <c r="K3944" s="4">
        <v>0.02</v>
      </c>
      <c r="L3944" s="3">
        <v>323.4</v>
      </c>
      <c r="M3944" t="b">
        <v>1</v>
      </c>
      <c r="N3944" s="2">
        <f>YEAR(B3944)</f>
        <v>2025</v>
      </c>
      <c r="O3944" t="str">
        <f>INDEX(Agences!$C:$C,MATCH(F3944,Agences!$A:$A,0))</f>
        <v>Est</v>
      </c>
      <c r="P3944" t="str">
        <f>INDEX(Produits!$C:$C,MATCH(H3944,Produits!$A:$A,0))</f>
        <v>Mobilier</v>
      </c>
      <c r="Q3944" s="3">
        <f>I3944*INDEX(Produits!$E:$E,MATCH(H3944,Produits!$A:$A,0))</f>
        <v>214.5</v>
      </c>
      <c r="R3944" s="3">
        <f>L3944-Q3944</f>
        <v>108.89999999999998</v>
      </c>
      <c r="S3944" s="2">
        <f>NETWORKDAYS(B3944,C3944)-1</f>
        <v>2</v>
      </c>
      <c r="T3944" s="1">
        <f>WORKDAY(B3944,5)</f>
        <v>45679</v>
      </c>
      <c r="U3944" t="b">
        <f>C3944&gt;T3944</f>
        <v>0</v>
      </c>
    </row>
    <row r="3945" spans="1:21" x14ac:dyDescent="0.25">
      <c r="A3945" t="s">
        <v>2299</v>
      </c>
      <c r="B3945" s="1">
        <v>45672</v>
      </c>
      <c r="C3945" s="1">
        <v>45674</v>
      </c>
      <c r="D3945" t="s">
        <v>1476</v>
      </c>
      <c r="E3945" t="s">
        <v>45</v>
      </c>
      <c r="F3945" t="s">
        <v>46</v>
      </c>
      <c r="G3945" t="s">
        <v>111</v>
      </c>
      <c r="H3945" t="s">
        <v>42</v>
      </c>
      <c r="I3945" s="2">
        <v>1</v>
      </c>
      <c r="J3945" s="3">
        <v>55</v>
      </c>
      <c r="K3945" s="4">
        <v>0</v>
      </c>
      <c r="L3945" s="3">
        <v>55</v>
      </c>
      <c r="M3945" t="b">
        <v>1</v>
      </c>
      <c r="N3945" s="2">
        <f>YEAR(B3945)</f>
        <v>2025</v>
      </c>
      <c r="O3945" t="str">
        <f>INDEX(Agences!$C:$C,MATCH(F3945,Agences!$A:$A,0))</f>
        <v>Est</v>
      </c>
      <c r="P3945" t="str">
        <f>INDEX(Produits!$C:$C,MATCH(H3945,Produits!$A:$A,0))</f>
        <v>Maintenance</v>
      </c>
      <c r="Q3945" s="3">
        <f>I3945*INDEX(Produits!$E:$E,MATCH(H3945,Produits!$A:$A,0))</f>
        <v>24.75</v>
      </c>
      <c r="R3945" s="3">
        <f>L3945-Q3945</f>
        <v>30.25</v>
      </c>
      <c r="S3945" s="2">
        <f>NETWORKDAYS(B3945,C3945)-1</f>
        <v>2</v>
      </c>
      <c r="T3945" s="1">
        <f>WORKDAY(B3945,5)</f>
        <v>45679</v>
      </c>
      <c r="U3945" t="b">
        <f>C3945&gt;T3945</f>
        <v>0</v>
      </c>
    </row>
    <row r="3946" spans="1:21" x14ac:dyDescent="0.25">
      <c r="A3946" t="s">
        <v>2300</v>
      </c>
      <c r="B3946" s="1">
        <v>45672</v>
      </c>
      <c r="C3946" s="1">
        <v>45674</v>
      </c>
      <c r="D3946" t="s">
        <v>1096</v>
      </c>
      <c r="E3946" t="s">
        <v>384</v>
      </c>
      <c r="F3946" t="s">
        <v>46</v>
      </c>
      <c r="G3946" t="s">
        <v>47</v>
      </c>
      <c r="H3946" t="s">
        <v>83</v>
      </c>
      <c r="I3946" s="2">
        <v>2</v>
      </c>
      <c r="J3946" s="3">
        <v>49</v>
      </c>
      <c r="K3946" s="4">
        <v>0</v>
      </c>
      <c r="L3946" s="3">
        <v>98</v>
      </c>
      <c r="M3946" t="b">
        <v>1</v>
      </c>
      <c r="N3946" s="2">
        <f>YEAR(B3946)</f>
        <v>2025</v>
      </c>
      <c r="O3946" t="str">
        <f>INDEX(Agences!$C:$C,MATCH(F3946,Agences!$A:$A,0))</f>
        <v>Est</v>
      </c>
      <c r="P3946" t="str">
        <f>INDEX(Produits!$C:$C,MATCH(H3946,Produits!$A:$A,0))</f>
        <v>Mobilier</v>
      </c>
      <c r="Q3946" s="3">
        <f>I3946*INDEX(Produits!$E:$E,MATCH(H3946,Produits!$A:$A,0))</f>
        <v>56.84</v>
      </c>
      <c r="R3946" s="3">
        <f>L3946-Q3946</f>
        <v>41.16</v>
      </c>
      <c r="S3946" s="2">
        <f>NETWORKDAYS(B3946,C3946)-1</f>
        <v>2</v>
      </c>
      <c r="T3946" s="1">
        <f>WORKDAY(B3946,5)</f>
        <v>45679</v>
      </c>
      <c r="U3946" t="b">
        <f>C3946&gt;T3946</f>
        <v>0</v>
      </c>
    </row>
    <row r="3947" spans="1:21" x14ac:dyDescent="0.25">
      <c r="A3947" t="s">
        <v>2301</v>
      </c>
      <c r="B3947" s="1">
        <v>45672</v>
      </c>
      <c r="C3947" s="1">
        <v>45678</v>
      </c>
      <c r="D3947" t="s">
        <v>502</v>
      </c>
      <c r="E3947" t="s">
        <v>229</v>
      </c>
      <c r="F3947" t="s">
        <v>55</v>
      </c>
      <c r="G3947" t="s">
        <v>71</v>
      </c>
      <c r="H3947" t="s">
        <v>112</v>
      </c>
      <c r="I3947" s="2">
        <v>2</v>
      </c>
      <c r="J3947" s="3">
        <v>129</v>
      </c>
      <c r="K3947" s="4">
        <v>0</v>
      </c>
      <c r="L3947" s="3">
        <v>258</v>
      </c>
      <c r="M3947" t="b">
        <v>1</v>
      </c>
      <c r="N3947" s="2">
        <f>YEAR(B3947)</f>
        <v>2025</v>
      </c>
      <c r="O3947" t="str">
        <f>INDEX(Agences!$C:$C,MATCH(F3947,Agences!$A:$A,0))</f>
        <v>Est</v>
      </c>
      <c r="P3947" t="str">
        <f>INDEX(Produits!$C:$C,MATCH(H3947,Produits!$A:$A,0))</f>
        <v>Mobilier</v>
      </c>
      <c r="Q3947" s="3">
        <f>I3947*INDEX(Produits!$E:$E,MATCH(H3947,Produits!$A:$A,0))</f>
        <v>172.86</v>
      </c>
      <c r="R3947" s="3">
        <f>L3947-Q3947</f>
        <v>85.13999999999999</v>
      </c>
      <c r="S3947" s="2">
        <f>NETWORKDAYS(B3947,C3947)-1</f>
        <v>4</v>
      </c>
      <c r="T3947" s="1">
        <f>WORKDAY(B3947,5)</f>
        <v>45679</v>
      </c>
      <c r="U3947" t="b">
        <f>C3947&gt;T3947</f>
        <v>0</v>
      </c>
    </row>
    <row r="3948" spans="1:21" x14ac:dyDescent="0.25">
      <c r="A3948" t="s">
        <v>2301</v>
      </c>
      <c r="B3948" s="1">
        <v>45672</v>
      </c>
      <c r="C3948" s="1">
        <v>45678</v>
      </c>
      <c r="D3948" t="s">
        <v>502</v>
      </c>
      <c r="E3948" t="s">
        <v>229</v>
      </c>
      <c r="F3948" t="s">
        <v>55</v>
      </c>
      <c r="G3948" t="s">
        <v>71</v>
      </c>
      <c r="H3948" t="s">
        <v>196</v>
      </c>
      <c r="I3948" s="2">
        <v>5</v>
      </c>
      <c r="J3948" s="3">
        <v>18.5</v>
      </c>
      <c r="K3948" s="4">
        <v>0</v>
      </c>
      <c r="L3948" s="3">
        <v>92.5</v>
      </c>
      <c r="M3948" t="b">
        <v>1</v>
      </c>
      <c r="N3948" s="2">
        <f>YEAR(B3948)</f>
        <v>2025</v>
      </c>
      <c r="O3948" t="str">
        <f>INDEX(Agences!$C:$C,MATCH(F3948,Agences!$A:$A,0))</f>
        <v>Est</v>
      </c>
      <c r="P3948" t="str">
        <f>INDEX(Produits!$C:$C,MATCH(H3948,Produits!$A:$A,0))</f>
        <v>Fournitures</v>
      </c>
      <c r="Q3948" s="3">
        <f>I3948*INDEX(Produits!$E:$E,MATCH(H3948,Produits!$A:$A,0))</f>
        <v>47.199999999999996</v>
      </c>
      <c r="R3948" s="3">
        <f>L3948-Q3948</f>
        <v>45.300000000000004</v>
      </c>
      <c r="S3948" s="2">
        <f>NETWORKDAYS(B3948,C3948)-1</f>
        <v>4</v>
      </c>
      <c r="T3948" s="1">
        <f>WORKDAY(B3948,5)</f>
        <v>45679</v>
      </c>
      <c r="U3948" t="b">
        <f>C3948&gt;T3948</f>
        <v>0</v>
      </c>
    </row>
    <row r="3949" spans="1:21" x14ac:dyDescent="0.25">
      <c r="A3949" t="s">
        <v>2301</v>
      </c>
      <c r="B3949" s="1">
        <v>45672</v>
      </c>
      <c r="C3949" s="1">
        <v>45678</v>
      </c>
      <c r="D3949" t="s">
        <v>502</v>
      </c>
      <c r="E3949" t="s">
        <v>229</v>
      </c>
      <c r="F3949" t="s">
        <v>55</v>
      </c>
      <c r="G3949" t="s">
        <v>71</v>
      </c>
      <c r="H3949" t="s">
        <v>79</v>
      </c>
      <c r="I3949" s="2">
        <v>5</v>
      </c>
      <c r="J3949" s="3">
        <v>14.9</v>
      </c>
      <c r="K3949" s="4">
        <v>0.05</v>
      </c>
      <c r="L3949" s="3">
        <v>70.78</v>
      </c>
      <c r="M3949" t="b">
        <v>1</v>
      </c>
      <c r="N3949" s="2">
        <f>YEAR(B3949)</f>
        <v>2025</v>
      </c>
      <c r="O3949" t="str">
        <f>INDEX(Agences!$C:$C,MATCH(F3949,Agences!$A:$A,0))</f>
        <v>Est</v>
      </c>
      <c r="P3949" t="str">
        <f>INDEX(Produits!$C:$C,MATCH(H3949,Produits!$A:$A,0))</f>
        <v>Fournitures</v>
      </c>
      <c r="Q3949" s="3">
        <f>I3949*INDEX(Produits!$E:$E,MATCH(H3949,Produits!$A:$A,0))</f>
        <v>40.25</v>
      </c>
      <c r="R3949" s="3">
        <f>L3949-Q3949</f>
        <v>30.53</v>
      </c>
      <c r="S3949" s="2">
        <f>NETWORKDAYS(B3949,C3949)-1</f>
        <v>4</v>
      </c>
      <c r="T3949" s="1">
        <f>WORKDAY(B3949,5)</f>
        <v>45679</v>
      </c>
      <c r="U3949" t="b">
        <f>C3949&gt;T3949</f>
        <v>0</v>
      </c>
    </row>
    <row r="3950" spans="1:21" x14ac:dyDescent="0.25">
      <c r="A3950" t="s">
        <v>2301</v>
      </c>
      <c r="B3950" s="1">
        <v>45672</v>
      </c>
      <c r="C3950" s="1">
        <v>45678</v>
      </c>
      <c r="D3950" t="s">
        <v>502</v>
      </c>
      <c r="E3950" t="s">
        <v>229</v>
      </c>
      <c r="F3950" t="s">
        <v>55</v>
      </c>
      <c r="G3950" t="s">
        <v>71</v>
      </c>
      <c r="H3950" t="s">
        <v>83</v>
      </c>
      <c r="I3950" s="2">
        <v>4</v>
      </c>
      <c r="J3950" s="3">
        <v>49</v>
      </c>
      <c r="K3950" s="4">
        <v>0</v>
      </c>
      <c r="L3950" s="3">
        <v>196</v>
      </c>
      <c r="M3950" t="b">
        <v>1</v>
      </c>
      <c r="N3950" s="2">
        <f>YEAR(B3950)</f>
        <v>2025</v>
      </c>
      <c r="O3950" t="str">
        <f>INDEX(Agences!$C:$C,MATCH(F3950,Agences!$A:$A,0))</f>
        <v>Est</v>
      </c>
      <c r="P3950" t="str">
        <f>INDEX(Produits!$C:$C,MATCH(H3950,Produits!$A:$A,0))</f>
        <v>Mobilier</v>
      </c>
      <c r="Q3950" s="3">
        <f>I3950*INDEX(Produits!$E:$E,MATCH(H3950,Produits!$A:$A,0))</f>
        <v>113.68</v>
      </c>
      <c r="R3950" s="3">
        <f>L3950-Q3950</f>
        <v>82.32</v>
      </c>
      <c r="S3950" s="2">
        <f>NETWORKDAYS(B3950,C3950)-1</f>
        <v>4</v>
      </c>
      <c r="T3950" s="1">
        <f>WORKDAY(B3950,5)</f>
        <v>45679</v>
      </c>
      <c r="U3950" t="b">
        <f>C3950&gt;T3950</f>
        <v>0</v>
      </c>
    </row>
    <row r="3951" spans="1:21" x14ac:dyDescent="0.25">
      <c r="A3951" t="s">
        <v>2301</v>
      </c>
      <c r="B3951" s="1">
        <v>45672</v>
      </c>
      <c r="C3951" s="1">
        <v>45678</v>
      </c>
      <c r="D3951" t="s">
        <v>502</v>
      </c>
      <c r="E3951" t="s">
        <v>229</v>
      </c>
      <c r="F3951" t="s">
        <v>55</v>
      </c>
      <c r="G3951" t="s">
        <v>71</v>
      </c>
      <c r="H3951" t="s">
        <v>72</v>
      </c>
      <c r="I3951" s="2">
        <v>1</v>
      </c>
      <c r="J3951" s="3">
        <v>179</v>
      </c>
      <c r="K3951" s="4">
        <v>0.05</v>
      </c>
      <c r="L3951" s="3">
        <v>170.05</v>
      </c>
      <c r="M3951" t="b">
        <v>1</v>
      </c>
      <c r="N3951" s="2">
        <f>YEAR(B3951)</f>
        <v>2025</v>
      </c>
      <c r="O3951" t="str">
        <f>INDEX(Agences!$C:$C,MATCH(F3951,Agences!$A:$A,0))</f>
        <v>Est</v>
      </c>
      <c r="P3951" t="str">
        <f>INDEX(Produits!$C:$C,MATCH(H3951,Produits!$A:$A,0))</f>
        <v>Informatique</v>
      </c>
      <c r="Q3951" s="3">
        <f>I3951*INDEX(Produits!$E:$E,MATCH(H3951,Produits!$A:$A,0))</f>
        <v>146.78</v>
      </c>
      <c r="R3951" s="3">
        <f>L3951-Q3951</f>
        <v>23.27000000000001</v>
      </c>
      <c r="S3951" s="2">
        <f>NETWORKDAYS(B3951,C3951)-1</f>
        <v>4</v>
      </c>
      <c r="T3951" s="1">
        <f>WORKDAY(B3951,5)</f>
        <v>45679</v>
      </c>
      <c r="U3951" t="b">
        <f>C3951&gt;T3951</f>
        <v>0</v>
      </c>
    </row>
    <row r="3952" spans="1:21" x14ac:dyDescent="0.25">
      <c r="A3952" t="s">
        <v>2302</v>
      </c>
      <c r="B3952" s="1">
        <v>45671</v>
      </c>
      <c r="C3952" s="1">
        <v>45672</v>
      </c>
      <c r="D3952" t="s">
        <v>1308</v>
      </c>
      <c r="E3952" t="s">
        <v>209</v>
      </c>
      <c r="F3952" t="s">
        <v>99</v>
      </c>
      <c r="G3952" t="s">
        <v>100</v>
      </c>
      <c r="H3952" t="s">
        <v>83</v>
      </c>
      <c r="I3952" s="2">
        <v>3</v>
      </c>
      <c r="J3952" s="3">
        <v>49</v>
      </c>
      <c r="K3952" s="4">
        <v>0.08</v>
      </c>
      <c r="L3952" s="3">
        <v>135.24</v>
      </c>
      <c r="M3952" t="b">
        <v>1</v>
      </c>
      <c r="N3952" s="2">
        <f>YEAR(B3952)</f>
        <v>2025</v>
      </c>
      <c r="O3952" t="str">
        <f>INDEX(Agences!$C:$C,MATCH(F3952,Agences!$A:$A,0))</f>
        <v>Nord</v>
      </c>
      <c r="P3952" t="str">
        <f>INDEX(Produits!$C:$C,MATCH(H3952,Produits!$A:$A,0))</f>
        <v>Mobilier</v>
      </c>
      <c r="Q3952" s="3">
        <f>I3952*INDEX(Produits!$E:$E,MATCH(H3952,Produits!$A:$A,0))</f>
        <v>85.26</v>
      </c>
      <c r="R3952" s="3">
        <f>L3952-Q3952</f>
        <v>49.980000000000004</v>
      </c>
      <c r="S3952" s="2">
        <f>NETWORKDAYS(B3952,C3952)-1</f>
        <v>1</v>
      </c>
      <c r="T3952" s="1">
        <f>WORKDAY(B3952,5)</f>
        <v>45678</v>
      </c>
      <c r="U3952" t="b">
        <f>C3952&gt;T3952</f>
        <v>0</v>
      </c>
    </row>
    <row r="3953" spans="1:21" x14ac:dyDescent="0.25">
      <c r="A3953" t="s">
        <v>2302</v>
      </c>
      <c r="B3953" s="1">
        <v>45671</v>
      </c>
      <c r="C3953" s="1">
        <v>45672</v>
      </c>
      <c r="D3953" t="s">
        <v>1308</v>
      </c>
      <c r="E3953" t="s">
        <v>209</v>
      </c>
      <c r="F3953" t="s">
        <v>99</v>
      </c>
      <c r="G3953" t="s">
        <v>100</v>
      </c>
      <c r="H3953" t="s">
        <v>33</v>
      </c>
      <c r="I3953" s="2">
        <v>1</v>
      </c>
      <c r="J3953" s="3">
        <v>219</v>
      </c>
      <c r="K3953" s="4">
        <v>0.05</v>
      </c>
      <c r="L3953" s="3">
        <v>208.05</v>
      </c>
      <c r="M3953" t="b">
        <v>1</v>
      </c>
      <c r="N3953" s="2">
        <f>YEAR(B3953)</f>
        <v>2025</v>
      </c>
      <c r="O3953" t="str">
        <f>INDEX(Agences!$C:$C,MATCH(F3953,Agences!$A:$A,0))</f>
        <v>Nord</v>
      </c>
      <c r="P3953" t="str">
        <f>INDEX(Produits!$C:$C,MATCH(H3953,Produits!$A:$A,0))</f>
        <v>Informatique</v>
      </c>
      <c r="Q3953" s="3">
        <f>I3953*INDEX(Produits!$E:$E,MATCH(H3953,Produits!$A:$A,0))</f>
        <v>179.58</v>
      </c>
      <c r="R3953" s="3">
        <f>L3953-Q3953</f>
        <v>28.47</v>
      </c>
      <c r="S3953" s="2">
        <f>NETWORKDAYS(B3953,C3953)-1</f>
        <v>1</v>
      </c>
      <c r="T3953" s="1">
        <f>WORKDAY(B3953,5)</f>
        <v>45678</v>
      </c>
      <c r="U3953" t="b">
        <f>C3953&gt;T3953</f>
        <v>0</v>
      </c>
    </row>
    <row r="3954" spans="1:21" x14ac:dyDescent="0.25">
      <c r="A3954" t="s">
        <v>2302</v>
      </c>
      <c r="B3954" s="1">
        <v>45671</v>
      </c>
      <c r="C3954" s="1">
        <v>45672</v>
      </c>
      <c r="D3954" t="s">
        <v>1308</v>
      </c>
      <c r="E3954" t="s">
        <v>209</v>
      </c>
      <c r="F3954" t="s">
        <v>99</v>
      </c>
      <c r="G3954" t="s">
        <v>100</v>
      </c>
      <c r="H3954" t="s">
        <v>57</v>
      </c>
      <c r="I3954" s="2">
        <v>1</v>
      </c>
      <c r="J3954" s="3">
        <v>149</v>
      </c>
      <c r="K3954" s="4">
        <v>0.05</v>
      </c>
      <c r="L3954" s="3">
        <v>141.55</v>
      </c>
      <c r="M3954" t="b">
        <v>1</v>
      </c>
      <c r="N3954" s="2">
        <f>YEAR(B3954)</f>
        <v>2025</v>
      </c>
      <c r="O3954" t="str">
        <f>INDEX(Agences!$C:$C,MATCH(F3954,Agences!$A:$A,0))</f>
        <v>Nord</v>
      </c>
      <c r="P3954" t="str">
        <f>INDEX(Produits!$C:$C,MATCH(H3954,Produits!$A:$A,0))</f>
        <v>Informatique</v>
      </c>
      <c r="Q3954" s="3">
        <f>I3954*INDEX(Produits!$E:$E,MATCH(H3954,Produits!$A:$A,0))</f>
        <v>114.73</v>
      </c>
      <c r="R3954" s="3">
        <f>L3954-Q3954</f>
        <v>26.820000000000007</v>
      </c>
      <c r="S3954" s="2">
        <f>NETWORKDAYS(B3954,C3954)-1</f>
        <v>1</v>
      </c>
      <c r="T3954" s="1">
        <f>WORKDAY(B3954,5)</f>
        <v>45678</v>
      </c>
      <c r="U3954" t="b">
        <f>C3954&gt;T3954</f>
        <v>0</v>
      </c>
    </row>
    <row r="3955" spans="1:21" x14ac:dyDescent="0.25">
      <c r="A3955" t="s">
        <v>2303</v>
      </c>
      <c r="B3955" s="1">
        <v>45671</v>
      </c>
      <c r="C3955" s="1">
        <v>45674</v>
      </c>
      <c r="D3955" t="s">
        <v>1996</v>
      </c>
      <c r="E3955" t="s">
        <v>202</v>
      </c>
      <c r="F3955" t="s">
        <v>138</v>
      </c>
      <c r="G3955" t="s">
        <v>139</v>
      </c>
      <c r="H3955" t="s">
        <v>34</v>
      </c>
      <c r="I3955" s="2">
        <v>2</v>
      </c>
      <c r="J3955" s="3">
        <v>340</v>
      </c>
      <c r="K3955" s="4">
        <v>0</v>
      </c>
      <c r="L3955" s="3">
        <v>680</v>
      </c>
      <c r="M3955" t="b">
        <v>1</v>
      </c>
      <c r="N3955" s="2">
        <f>YEAR(B3955)</f>
        <v>2025</v>
      </c>
      <c r="O3955" t="str">
        <f>INDEX(Agences!$C:$C,MATCH(F3955,Agences!$A:$A,0))</f>
        <v>Île-de-France</v>
      </c>
      <c r="P3955" t="str">
        <f>INDEX(Produits!$C:$C,MATCH(H3955,Produits!$A:$A,0))</f>
        <v>Informatique</v>
      </c>
      <c r="Q3955" s="3">
        <f>I3955*INDEX(Produits!$E:$E,MATCH(H3955,Produits!$A:$A,0))</f>
        <v>550.8</v>
      </c>
      <c r="R3955" s="3">
        <f>L3955-Q3955</f>
        <v>129.20000000000005</v>
      </c>
      <c r="S3955" s="2">
        <f>NETWORKDAYS(B3955,C3955)-1</f>
        <v>3</v>
      </c>
      <c r="T3955" s="1">
        <f>WORKDAY(B3955,5)</f>
        <v>45678</v>
      </c>
      <c r="U3955" t="b">
        <f>C3955&gt;T3955</f>
        <v>0</v>
      </c>
    </row>
    <row r="3956" spans="1:21" x14ac:dyDescent="0.25">
      <c r="A3956" t="s">
        <v>2303</v>
      </c>
      <c r="B3956" s="1">
        <v>45671</v>
      </c>
      <c r="C3956" s="1">
        <v>45674</v>
      </c>
      <c r="D3956" t="s">
        <v>1996</v>
      </c>
      <c r="E3956" t="s">
        <v>202</v>
      </c>
      <c r="F3956" t="s">
        <v>138</v>
      </c>
      <c r="G3956" t="s">
        <v>139</v>
      </c>
      <c r="H3956" t="s">
        <v>107</v>
      </c>
      <c r="I3956" s="2">
        <v>2</v>
      </c>
      <c r="J3956" s="3">
        <v>99</v>
      </c>
      <c r="K3956" s="4">
        <v>0.05</v>
      </c>
      <c r="L3956" s="3">
        <v>188.1</v>
      </c>
      <c r="M3956" t="b">
        <v>1</v>
      </c>
      <c r="N3956" s="2">
        <f>YEAR(B3956)</f>
        <v>2025</v>
      </c>
      <c r="O3956" t="str">
        <f>INDEX(Agences!$C:$C,MATCH(F3956,Agences!$A:$A,0))</f>
        <v>Île-de-France</v>
      </c>
      <c r="P3956" t="str">
        <f>INDEX(Produits!$C:$C,MATCH(H3956,Produits!$A:$A,0))</f>
        <v>Informatique</v>
      </c>
      <c r="Q3956" s="3">
        <f>I3956*INDEX(Produits!$E:$E,MATCH(H3956,Produits!$A:$A,0))</f>
        <v>150.48</v>
      </c>
      <c r="R3956" s="3">
        <f>L3956-Q3956</f>
        <v>37.620000000000005</v>
      </c>
      <c r="S3956" s="2">
        <f>NETWORKDAYS(B3956,C3956)-1</f>
        <v>3</v>
      </c>
      <c r="T3956" s="1">
        <f>WORKDAY(B3956,5)</f>
        <v>45678</v>
      </c>
      <c r="U3956" t="b">
        <f>C3956&gt;T3956</f>
        <v>0</v>
      </c>
    </row>
    <row r="3957" spans="1:21" x14ac:dyDescent="0.25">
      <c r="A3957" t="s">
        <v>2303</v>
      </c>
      <c r="B3957" s="1">
        <v>45671</v>
      </c>
      <c r="C3957" s="1">
        <v>45674</v>
      </c>
      <c r="D3957" t="s">
        <v>1996</v>
      </c>
      <c r="E3957" t="s">
        <v>202</v>
      </c>
      <c r="F3957" t="s">
        <v>138</v>
      </c>
      <c r="G3957" t="s">
        <v>139</v>
      </c>
      <c r="H3957" t="s">
        <v>49</v>
      </c>
      <c r="I3957" s="2">
        <v>2</v>
      </c>
      <c r="J3957" s="3">
        <v>120</v>
      </c>
      <c r="K3957" s="4">
        <v>0.05</v>
      </c>
      <c r="L3957" s="3">
        <v>228</v>
      </c>
      <c r="M3957" t="b">
        <v>1</v>
      </c>
      <c r="N3957" s="2">
        <f>YEAR(B3957)</f>
        <v>2025</v>
      </c>
      <c r="O3957" t="str">
        <f>INDEX(Agences!$C:$C,MATCH(F3957,Agences!$A:$A,0))</f>
        <v>Île-de-France</v>
      </c>
      <c r="P3957" t="str">
        <f>INDEX(Produits!$C:$C,MATCH(H3957,Produits!$A:$A,0))</f>
        <v>Maintenance</v>
      </c>
      <c r="Q3957" s="3">
        <f>I3957*INDEX(Produits!$E:$E,MATCH(H3957,Produits!$A:$A,0))</f>
        <v>110.4</v>
      </c>
      <c r="R3957" s="3">
        <f>L3957-Q3957</f>
        <v>117.6</v>
      </c>
      <c r="S3957" s="2">
        <f>NETWORKDAYS(B3957,C3957)-1</f>
        <v>3</v>
      </c>
      <c r="T3957" s="1">
        <f>WORKDAY(B3957,5)</f>
        <v>45678</v>
      </c>
      <c r="U3957" t="b">
        <f>C3957&gt;T3957</f>
        <v>0</v>
      </c>
    </row>
    <row r="3958" spans="1:21" x14ac:dyDescent="0.25">
      <c r="A3958" t="s">
        <v>2303</v>
      </c>
      <c r="B3958" s="1">
        <v>45671</v>
      </c>
      <c r="C3958" s="1">
        <v>45674</v>
      </c>
      <c r="D3958" t="s">
        <v>1996</v>
      </c>
      <c r="E3958" t="s">
        <v>202</v>
      </c>
      <c r="F3958" t="s">
        <v>138</v>
      </c>
      <c r="G3958" t="s">
        <v>139</v>
      </c>
      <c r="H3958" t="s">
        <v>103</v>
      </c>
      <c r="I3958" s="2">
        <v>6</v>
      </c>
      <c r="J3958" s="3">
        <v>245</v>
      </c>
      <c r="K3958" s="4">
        <v>0</v>
      </c>
      <c r="L3958" s="3">
        <v>1470</v>
      </c>
      <c r="M3958" t="b">
        <v>1</v>
      </c>
      <c r="N3958" s="2">
        <f>YEAR(B3958)</f>
        <v>2025</v>
      </c>
      <c r="O3958" t="str">
        <f>INDEX(Agences!$C:$C,MATCH(F3958,Agences!$A:$A,0))</f>
        <v>Île-de-France</v>
      </c>
      <c r="P3958" t="str">
        <f>INDEX(Produits!$C:$C,MATCH(H3958,Produits!$A:$A,0))</f>
        <v>Mobilier</v>
      </c>
      <c r="Q3958" s="3">
        <f>I3958*INDEX(Produits!$E:$E,MATCH(H3958,Produits!$A:$A,0))</f>
        <v>984.9000000000001</v>
      </c>
      <c r="R3958" s="3">
        <f>L3958-Q3958</f>
        <v>485.0999999999999</v>
      </c>
      <c r="S3958" s="2">
        <f>NETWORKDAYS(B3958,C3958)-1</f>
        <v>3</v>
      </c>
      <c r="T3958" s="1">
        <f>WORKDAY(B3958,5)</f>
        <v>45678</v>
      </c>
      <c r="U3958" t="b">
        <f>C3958&gt;T3958</f>
        <v>0</v>
      </c>
    </row>
    <row r="3959" spans="1:21" x14ac:dyDescent="0.25">
      <c r="A3959" t="s">
        <v>2303</v>
      </c>
      <c r="B3959" s="1">
        <v>45671</v>
      </c>
      <c r="C3959" s="1">
        <v>45674</v>
      </c>
      <c r="D3959" t="s">
        <v>1996</v>
      </c>
      <c r="E3959" t="s">
        <v>202</v>
      </c>
      <c r="F3959" t="s">
        <v>138</v>
      </c>
      <c r="G3959" t="s">
        <v>139</v>
      </c>
      <c r="H3959" t="s">
        <v>90</v>
      </c>
      <c r="I3959" s="2">
        <v>15</v>
      </c>
      <c r="J3959" s="3">
        <v>22.9</v>
      </c>
      <c r="K3959" s="4">
        <v>0</v>
      </c>
      <c r="L3959" s="3">
        <v>343.5</v>
      </c>
      <c r="M3959" t="b">
        <v>1</v>
      </c>
      <c r="N3959" s="2">
        <f>YEAR(B3959)</f>
        <v>2025</v>
      </c>
      <c r="O3959" t="str">
        <f>INDEX(Agences!$C:$C,MATCH(F3959,Agences!$A:$A,0))</f>
        <v>Île-de-France</v>
      </c>
      <c r="P3959" t="str">
        <f>INDEX(Produits!$C:$C,MATCH(H3959,Produits!$A:$A,0))</f>
        <v>Fournitures</v>
      </c>
      <c r="Q3959" s="3">
        <f>I3959*INDEX(Produits!$E:$E,MATCH(H3959,Produits!$A:$A,0))</f>
        <v>192.3</v>
      </c>
      <c r="R3959" s="3">
        <f>L3959-Q3959</f>
        <v>151.2</v>
      </c>
      <c r="S3959" s="2">
        <f>NETWORKDAYS(B3959,C3959)-1</f>
        <v>3</v>
      </c>
      <c r="T3959" s="1">
        <f>WORKDAY(B3959,5)</f>
        <v>45678</v>
      </c>
      <c r="U3959" t="b">
        <f>C3959&gt;T3959</f>
        <v>0</v>
      </c>
    </row>
    <row r="3960" spans="1:21" x14ac:dyDescent="0.25">
      <c r="A3960" t="s">
        <v>2304</v>
      </c>
      <c r="B3960" s="1">
        <v>45671</v>
      </c>
      <c r="C3960" s="1">
        <v>45674</v>
      </c>
      <c r="D3960" t="s">
        <v>800</v>
      </c>
      <c r="E3960" t="s">
        <v>165</v>
      </c>
      <c r="F3960" t="s">
        <v>166</v>
      </c>
      <c r="G3960" t="s">
        <v>179</v>
      </c>
      <c r="H3960" t="s">
        <v>79</v>
      </c>
      <c r="I3960" s="2">
        <v>5</v>
      </c>
      <c r="J3960" s="3">
        <v>14.9</v>
      </c>
      <c r="K3960" s="4">
        <v>0.02</v>
      </c>
      <c r="L3960" s="3">
        <v>73.01</v>
      </c>
      <c r="M3960" t="b">
        <v>1</v>
      </c>
      <c r="N3960" s="2">
        <f>YEAR(B3960)</f>
        <v>2025</v>
      </c>
      <c r="O3960" t="str">
        <f>INDEX(Agences!$C:$C,MATCH(F3960,Agences!$A:$A,0))</f>
        <v>Ouest</v>
      </c>
      <c r="P3960" t="str">
        <f>INDEX(Produits!$C:$C,MATCH(H3960,Produits!$A:$A,0))</f>
        <v>Fournitures</v>
      </c>
      <c r="Q3960" s="3">
        <f>I3960*INDEX(Produits!$E:$E,MATCH(H3960,Produits!$A:$A,0))</f>
        <v>40.25</v>
      </c>
      <c r="R3960" s="3">
        <f>L3960-Q3960</f>
        <v>32.760000000000005</v>
      </c>
      <c r="S3960" s="2">
        <f>NETWORKDAYS(B3960,C3960)-1</f>
        <v>3</v>
      </c>
      <c r="T3960" s="1">
        <f>WORKDAY(B3960,5)</f>
        <v>45678</v>
      </c>
      <c r="U3960" t="b">
        <f>C3960&gt;T3960</f>
        <v>0</v>
      </c>
    </row>
    <row r="3961" spans="1:21" x14ac:dyDescent="0.25">
      <c r="A3961" t="s">
        <v>2305</v>
      </c>
      <c r="B3961" s="1">
        <v>45670</v>
      </c>
      <c r="C3961" s="1">
        <v>45672</v>
      </c>
      <c r="D3961" t="s">
        <v>2306</v>
      </c>
      <c r="E3961" t="s">
        <v>242</v>
      </c>
      <c r="F3961" t="s">
        <v>94</v>
      </c>
      <c r="G3961" t="s">
        <v>95</v>
      </c>
      <c r="H3961" t="s">
        <v>26</v>
      </c>
      <c r="I3961" s="2">
        <v>1</v>
      </c>
      <c r="J3961" s="3">
        <v>290</v>
      </c>
      <c r="K3961" s="4">
        <v>0</v>
      </c>
      <c r="L3961" s="3">
        <v>290</v>
      </c>
      <c r="M3961" t="b">
        <v>1</v>
      </c>
      <c r="N3961" s="2">
        <f>YEAR(B3961)</f>
        <v>2025</v>
      </c>
      <c r="O3961" t="str">
        <f>INDEX(Agences!$C:$C,MATCH(F3961,Agences!$A:$A,0))</f>
        <v>Méditerranée</v>
      </c>
      <c r="P3961" t="str">
        <f>INDEX(Produits!$C:$C,MATCH(H3961,Produits!$A:$A,0))</f>
        <v>Maintenance</v>
      </c>
      <c r="Q3961" s="3">
        <f>I3961*INDEX(Produits!$E:$E,MATCH(H3961,Produits!$A:$A,0))</f>
        <v>139.2</v>
      </c>
      <c r="R3961" s="3">
        <f>L3961-Q3961</f>
        <v>150.8</v>
      </c>
      <c r="S3961" s="2">
        <f>NETWORKDAYS(B3961,C3961)-1</f>
        <v>2</v>
      </c>
      <c r="T3961" s="1">
        <f>WORKDAY(B3961,5)</f>
        <v>45677</v>
      </c>
      <c r="U3961" t="b">
        <f>C3961&gt;T3961</f>
        <v>0</v>
      </c>
    </row>
    <row r="3962" spans="1:21" x14ac:dyDescent="0.25">
      <c r="A3962" t="s">
        <v>2305</v>
      </c>
      <c r="B3962" s="1">
        <v>45670</v>
      </c>
      <c r="C3962" s="1">
        <v>45672</v>
      </c>
      <c r="D3962" t="s">
        <v>2306</v>
      </c>
      <c r="E3962" t="s">
        <v>242</v>
      </c>
      <c r="F3962" t="s">
        <v>94</v>
      </c>
      <c r="G3962" t="s">
        <v>95</v>
      </c>
      <c r="H3962" t="s">
        <v>35</v>
      </c>
      <c r="I3962" s="2">
        <v>4</v>
      </c>
      <c r="J3962" s="3">
        <v>79</v>
      </c>
      <c r="K3962" s="4">
        <v>0.08</v>
      </c>
      <c r="L3962" s="3">
        <v>290.72</v>
      </c>
      <c r="M3962" t="b">
        <v>1</v>
      </c>
      <c r="N3962" s="2">
        <f>YEAR(B3962)</f>
        <v>2025</v>
      </c>
      <c r="O3962" t="str">
        <f>INDEX(Agences!$C:$C,MATCH(F3962,Agences!$A:$A,0))</f>
        <v>Méditerranée</v>
      </c>
      <c r="P3962" t="str">
        <f>INDEX(Produits!$C:$C,MATCH(H3962,Produits!$A:$A,0))</f>
        <v>Mobilier</v>
      </c>
      <c r="Q3962" s="3">
        <f>I3962*INDEX(Produits!$E:$E,MATCH(H3962,Produits!$A:$A,0))</f>
        <v>186.44</v>
      </c>
      <c r="R3962" s="3">
        <f>L3962-Q3962</f>
        <v>104.28000000000003</v>
      </c>
      <c r="S3962" s="2">
        <f>NETWORKDAYS(B3962,C3962)-1</f>
        <v>2</v>
      </c>
      <c r="T3962" s="1">
        <f>WORKDAY(B3962,5)</f>
        <v>45677</v>
      </c>
      <c r="U3962" t="b">
        <f>C3962&gt;T3962</f>
        <v>0</v>
      </c>
    </row>
    <row r="3963" spans="1:21" x14ac:dyDescent="0.25">
      <c r="A3963" t="s">
        <v>2305</v>
      </c>
      <c r="B3963" s="1">
        <v>45670</v>
      </c>
      <c r="C3963" s="1">
        <v>45672</v>
      </c>
      <c r="D3963" t="s">
        <v>2306</v>
      </c>
      <c r="E3963" t="s">
        <v>242</v>
      </c>
      <c r="F3963" t="s">
        <v>94</v>
      </c>
      <c r="G3963" t="s">
        <v>95</v>
      </c>
      <c r="H3963" t="s">
        <v>48</v>
      </c>
      <c r="I3963" s="2">
        <v>1</v>
      </c>
      <c r="J3963" s="3">
        <v>165</v>
      </c>
      <c r="K3963" s="4">
        <v>0.08</v>
      </c>
      <c r="L3963" s="3">
        <v>151.8</v>
      </c>
      <c r="M3963" t="b">
        <v>1</v>
      </c>
      <c r="N3963" s="2">
        <f>YEAR(B3963)</f>
        <v>2025</v>
      </c>
      <c r="O3963" t="str">
        <f>INDEX(Agences!$C:$C,MATCH(F3963,Agences!$A:$A,0))</f>
        <v>Méditerranée</v>
      </c>
      <c r="P3963" t="str">
        <f>INDEX(Produits!$C:$C,MATCH(H3963,Produits!$A:$A,0))</f>
        <v>Mobilier</v>
      </c>
      <c r="Q3963" s="3">
        <f>I3963*INDEX(Produits!$E:$E,MATCH(H3963,Produits!$A:$A,0))</f>
        <v>107.25</v>
      </c>
      <c r="R3963" s="3">
        <f>L3963-Q3963</f>
        <v>44.55000000000001</v>
      </c>
      <c r="S3963" s="2">
        <f>NETWORKDAYS(B3963,C3963)-1</f>
        <v>2</v>
      </c>
      <c r="T3963" s="1">
        <f>WORKDAY(B3963,5)</f>
        <v>45677</v>
      </c>
      <c r="U3963" t="b">
        <f>C3963&gt;T3963</f>
        <v>0</v>
      </c>
    </row>
    <row r="3964" spans="1:21" x14ac:dyDescent="0.25">
      <c r="A3964" t="s">
        <v>2307</v>
      </c>
      <c r="B3964" s="1">
        <v>45667</v>
      </c>
      <c r="C3964" s="1">
        <v>45672</v>
      </c>
      <c r="D3964" t="s">
        <v>1684</v>
      </c>
      <c r="E3964" t="s">
        <v>119</v>
      </c>
      <c r="F3964" t="s">
        <v>24</v>
      </c>
      <c r="G3964" t="s">
        <v>116</v>
      </c>
      <c r="H3964" t="s">
        <v>57</v>
      </c>
      <c r="I3964" s="2">
        <v>1</v>
      </c>
      <c r="J3964" s="3">
        <v>149</v>
      </c>
      <c r="K3964" s="4">
        <v>0.05</v>
      </c>
      <c r="L3964" s="3">
        <v>141.55</v>
      </c>
      <c r="M3964" t="b">
        <v>1</v>
      </c>
      <c r="N3964" s="2">
        <f>YEAR(B3964)</f>
        <v>2025</v>
      </c>
      <c r="O3964" t="str">
        <f>INDEX(Agences!$C:$C,MATCH(F3964,Agences!$A:$A,0))</f>
        <v>Nord</v>
      </c>
      <c r="P3964" t="str">
        <f>INDEX(Produits!$C:$C,MATCH(H3964,Produits!$A:$A,0))</f>
        <v>Informatique</v>
      </c>
      <c r="Q3964" s="3">
        <f>I3964*INDEX(Produits!$E:$E,MATCH(H3964,Produits!$A:$A,0))</f>
        <v>114.73</v>
      </c>
      <c r="R3964" s="3">
        <f>L3964-Q3964</f>
        <v>26.820000000000007</v>
      </c>
      <c r="S3964" s="2">
        <f>NETWORKDAYS(B3964,C3964)-1</f>
        <v>3</v>
      </c>
      <c r="T3964" s="1">
        <f>WORKDAY(B3964,5)</f>
        <v>45674</v>
      </c>
      <c r="U3964" t="b">
        <f>C3964&gt;T3964</f>
        <v>0</v>
      </c>
    </row>
    <row r="3965" spans="1:21" x14ac:dyDescent="0.25">
      <c r="A3965" t="s">
        <v>2307</v>
      </c>
      <c r="B3965" s="1">
        <v>45667</v>
      </c>
      <c r="C3965" s="1">
        <v>45672</v>
      </c>
      <c r="D3965" t="s">
        <v>1684</v>
      </c>
      <c r="E3965" t="s">
        <v>119</v>
      </c>
      <c r="F3965" t="s">
        <v>24</v>
      </c>
      <c r="G3965" t="s">
        <v>116</v>
      </c>
      <c r="H3965" t="s">
        <v>83</v>
      </c>
      <c r="I3965" s="2">
        <v>5</v>
      </c>
      <c r="J3965" s="3">
        <v>49</v>
      </c>
      <c r="K3965" s="4">
        <v>0.08</v>
      </c>
      <c r="L3965" s="3">
        <v>225.4</v>
      </c>
      <c r="M3965" t="b">
        <v>1</v>
      </c>
      <c r="N3965" s="2">
        <f>YEAR(B3965)</f>
        <v>2025</v>
      </c>
      <c r="O3965" t="str">
        <f>INDEX(Agences!$C:$C,MATCH(F3965,Agences!$A:$A,0))</f>
        <v>Nord</v>
      </c>
      <c r="P3965" t="str">
        <f>INDEX(Produits!$C:$C,MATCH(H3965,Produits!$A:$A,0))</f>
        <v>Mobilier</v>
      </c>
      <c r="Q3965" s="3">
        <f>I3965*INDEX(Produits!$E:$E,MATCH(H3965,Produits!$A:$A,0))</f>
        <v>142.10000000000002</v>
      </c>
      <c r="R3965" s="3">
        <f>L3965-Q3965</f>
        <v>83.29999999999998</v>
      </c>
      <c r="S3965" s="2">
        <f>NETWORKDAYS(B3965,C3965)-1</f>
        <v>3</v>
      </c>
      <c r="T3965" s="1">
        <f>WORKDAY(B3965,5)</f>
        <v>45674</v>
      </c>
      <c r="U3965" t="b">
        <f>C3965&gt;T3965</f>
        <v>0</v>
      </c>
    </row>
    <row r="3966" spans="1:21" x14ac:dyDescent="0.25">
      <c r="A3966" t="s">
        <v>2307</v>
      </c>
      <c r="B3966" s="1">
        <v>45667</v>
      </c>
      <c r="C3966" s="1">
        <v>45672</v>
      </c>
      <c r="D3966" t="s">
        <v>1684</v>
      </c>
      <c r="E3966" t="s">
        <v>119</v>
      </c>
      <c r="F3966" t="s">
        <v>24</v>
      </c>
      <c r="G3966" t="s">
        <v>116</v>
      </c>
      <c r="H3966" t="s">
        <v>196</v>
      </c>
      <c r="I3966" s="2">
        <v>15</v>
      </c>
      <c r="J3966" s="3">
        <v>18.5</v>
      </c>
      <c r="K3966" s="4">
        <v>0.05</v>
      </c>
      <c r="L3966" s="3">
        <v>263.63</v>
      </c>
      <c r="M3966" t="b">
        <v>1</v>
      </c>
      <c r="N3966" s="2">
        <f>YEAR(B3966)</f>
        <v>2025</v>
      </c>
      <c r="O3966" t="str">
        <f>INDEX(Agences!$C:$C,MATCH(F3966,Agences!$A:$A,0))</f>
        <v>Nord</v>
      </c>
      <c r="P3966" t="str">
        <f>INDEX(Produits!$C:$C,MATCH(H3966,Produits!$A:$A,0))</f>
        <v>Fournitures</v>
      </c>
      <c r="Q3966" s="3">
        <f>I3966*INDEX(Produits!$E:$E,MATCH(H3966,Produits!$A:$A,0))</f>
        <v>141.6</v>
      </c>
      <c r="R3966" s="3">
        <f>L3966-Q3966</f>
        <v>122.03</v>
      </c>
      <c r="S3966" s="2">
        <f>NETWORKDAYS(B3966,C3966)-1</f>
        <v>3</v>
      </c>
      <c r="T3966" s="1">
        <f>WORKDAY(B3966,5)</f>
        <v>45674</v>
      </c>
      <c r="U3966" t="b">
        <f>C3966&gt;T3966</f>
        <v>0</v>
      </c>
    </row>
    <row r="3967" spans="1:21" x14ac:dyDescent="0.25">
      <c r="A3967" t="s">
        <v>2307</v>
      </c>
      <c r="B3967" s="1">
        <v>45667</v>
      </c>
      <c r="C3967" s="1">
        <v>45672</v>
      </c>
      <c r="D3967" t="s">
        <v>1684</v>
      </c>
      <c r="E3967" t="s">
        <v>119</v>
      </c>
      <c r="F3967" t="s">
        <v>24</v>
      </c>
      <c r="G3967" t="s">
        <v>116</v>
      </c>
      <c r="H3967" t="s">
        <v>112</v>
      </c>
      <c r="I3967" s="2">
        <v>6</v>
      </c>
      <c r="J3967" s="3">
        <v>129</v>
      </c>
      <c r="K3967" s="4">
        <v>0.02</v>
      </c>
      <c r="L3967" s="3">
        <v>758.52</v>
      </c>
      <c r="M3967" t="b">
        <v>1</v>
      </c>
      <c r="N3967" s="2">
        <f>YEAR(B3967)</f>
        <v>2025</v>
      </c>
      <c r="O3967" t="str">
        <f>INDEX(Agences!$C:$C,MATCH(F3967,Agences!$A:$A,0))</f>
        <v>Nord</v>
      </c>
      <c r="P3967" t="str">
        <f>INDEX(Produits!$C:$C,MATCH(H3967,Produits!$A:$A,0))</f>
        <v>Mobilier</v>
      </c>
      <c r="Q3967" s="3">
        <f>I3967*INDEX(Produits!$E:$E,MATCH(H3967,Produits!$A:$A,0))</f>
        <v>518.58</v>
      </c>
      <c r="R3967" s="3">
        <f>L3967-Q3967</f>
        <v>239.93999999999994</v>
      </c>
      <c r="S3967" s="2">
        <f>NETWORKDAYS(B3967,C3967)-1</f>
        <v>3</v>
      </c>
      <c r="T3967" s="1">
        <f>WORKDAY(B3967,5)</f>
        <v>45674</v>
      </c>
      <c r="U3967" t="b">
        <f>C3967&gt;T3967</f>
        <v>0</v>
      </c>
    </row>
    <row r="3968" spans="1:21" x14ac:dyDescent="0.25">
      <c r="A3968" t="s">
        <v>2308</v>
      </c>
      <c r="B3968" s="1">
        <v>45667</v>
      </c>
      <c r="C3968" s="1">
        <v>45673</v>
      </c>
      <c r="D3968" t="s">
        <v>2162</v>
      </c>
      <c r="E3968" t="s">
        <v>126</v>
      </c>
      <c r="F3968" t="s">
        <v>99</v>
      </c>
      <c r="G3968" t="s">
        <v>100</v>
      </c>
      <c r="H3968" t="s">
        <v>42</v>
      </c>
      <c r="I3968" s="2">
        <v>2</v>
      </c>
      <c r="J3968" s="3">
        <v>55</v>
      </c>
      <c r="K3968" s="4">
        <v>0.1</v>
      </c>
      <c r="L3968" s="3">
        <v>99</v>
      </c>
      <c r="M3968" t="b">
        <v>1</v>
      </c>
      <c r="N3968" s="2">
        <f>YEAR(B3968)</f>
        <v>2025</v>
      </c>
      <c r="O3968" t="str">
        <f>INDEX(Agences!$C:$C,MATCH(F3968,Agences!$A:$A,0))</f>
        <v>Nord</v>
      </c>
      <c r="P3968" t="str">
        <f>INDEX(Produits!$C:$C,MATCH(H3968,Produits!$A:$A,0))</f>
        <v>Maintenance</v>
      </c>
      <c r="Q3968" s="3">
        <f>I3968*INDEX(Produits!$E:$E,MATCH(H3968,Produits!$A:$A,0))</f>
        <v>49.5</v>
      </c>
      <c r="R3968" s="3">
        <f>L3968-Q3968</f>
        <v>49.5</v>
      </c>
      <c r="S3968" s="2">
        <f>NETWORKDAYS(B3968,C3968)-1</f>
        <v>4</v>
      </c>
      <c r="T3968" s="1">
        <f>WORKDAY(B3968,5)</f>
        <v>45674</v>
      </c>
      <c r="U3968" t="b">
        <f>C3968&gt;T3968</f>
        <v>0</v>
      </c>
    </row>
    <row r="3969" spans="1:21" x14ac:dyDescent="0.25">
      <c r="A3969" t="s">
        <v>2308</v>
      </c>
      <c r="B3969" s="1">
        <v>45667</v>
      </c>
      <c r="C3969" s="1">
        <v>45673</v>
      </c>
      <c r="D3969" t="s">
        <v>2162</v>
      </c>
      <c r="E3969" t="s">
        <v>126</v>
      </c>
      <c r="F3969" t="s">
        <v>99</v>
      </c>
      <c r="G3969" t="s">
        <v>100</v>
      </c>
      <c r="H3969" t="s">
        <v>72</v>
      </c>
      <c r="I3969" s="2">
        <v>3</v>
      </c>
      <c r="J3969" s="3">
        <v>179</v>
      </c>
      <c r="K3969" s="4">
        <v>0</v>
      </c>
      <c r="L3969" s="3">
        <v>537</v>
      </c>
      <c r="M3969" t="b">
        <v>1</v>
      </c>
      <c r="N3969" s="2">
        <f>YEAR(B3969)</f>
        <v>2025</v>
      </c>
      <c r="O3969" t="str">
        <f>INDEX(Agences!$C:$C,MATCH(F3969,Agences!$A:$A,0))</f>
        <v>Nord</v>
      </c>
      <c r="P3969" t="str">
        <f>INDEX(Produits!$C:$C,MATCH(H3969,Produits!$A:$A,0))</f>
        <v>Informatique</v>
      </c>
      <c r="Q3969" s="3">
        <f>I3969*INDEX(Produits!$E:$E,MATCH(H3969,Produits!$A:$A,0))</f>
        <v>440.34000000000003</v>
      </c>
      <c r="R3969" s="3">
        <f>L3969-Q3969</f>
        <v>96.65999999999997</v>
      </c>
      <c r="S3969" s="2">
        <f>NETWORKDAYS(B3969,C3969)-1</f>
        <v>4</v>
      </c>
      <c r="T3969" s="1">
        <f>WORKDAY(B3969,5)</f>
        <v>45674</v>
      </c>
      <c r="U3969" t="b">
        <f>C3969&gt;T3969</f>
        <v>0</v>
      </c>
    </row>
    <row r="3970" spans="1:21" x14ac:dyDescent="0.25">
      <c r="A3970" t="s">
        <v>2309</v>
      </c>
      <c r="B3970" s="1">
        <v>45667</v>
      </c>
      <c r="C3970" s="1">
        <v>45670</v>
      </c>
      <c r="D3970" t="s">
        <v>1736</v>
      </c>
      <c r="E3970" t="s">
        <v>137</v>
      </c>
      <c r="F3970" t="s">
        <v>138</v>
      </c>
      <c r="G3970" t="s">
        <v>214</v>
      </c>
      <c r="H3970" t="s">
        <v>83</v>
      </c>
      <c r="I3970" s="2">
        <v>1</v>
      </c>
      <c r="J3970" s="3">
        <v>49</v>
      </c>
      <c r="K3970" s="4">
        <v>0</v>
      </c>
      <c r="L3970" s="3">
        <v>49</v>
      </c>
      <c r="M3970" t="b">
        <v>1</v>
      </c>
      <c r="N3970" s="2">
        <f>YEAR(B3970)</f>
        <v>2025</v>
      </c>
      <c r="O3970" t="str">
        <f>INDEX(Agences!$C:$C,MATCH(F3970,Agences!$A:$A,0))</f>
        <v>Île-de-France</v>
      </c>
      <c r="P3970" t="str">
        <f>INDEX(Produits!$C:$C,MATCH(H3970,Produits!$A:$A,0))</f>
        <v>Mobilier</v>
      </c>
      <c r="Q3970" s="3">
        <f>I3970*INDEX(Produits!$E:$E,MATCH(H3970,Produits!$A:$A,0))</f>
        <v>28.42</v>
      </c>
      <c r="R3970" s="3">
        <f>L3970-Q3970</f>
        <v>20.58</v>
      </c>
      <c r="S3970" s="2">
        <f>NETWORKDAYS(B3970,C3970)-1</f>
        <v>1</v>
      </c>
      <c r="T3970" s="1">
        <f>WORKDAY(B3970,5)</f>
        <v>45674</v>
      </c>
      <c r="U3970" t="b">
        <f>C3970&gt;T3970</f>
        <v>0</v>
      </c>
    </row>
    <row r="3971" spans="1:21" x14ac:dyDescent="0.25">
      <c r="A3971" t="s">
        <v>2309</v>
      </c>
      <c r="B3971" s="1">
        <v>45667</v>
      </c>
      <c r="C3971" s="1">
        <v>45670</v>
      </c>
      <c r="D3971" t="s">
        <v>1736</v>
      </c>
      <c r="E3971" t="s">
        <v>137</v>
      </c>
      <c r="F3971" t="s">
        <v>138</v>
      </c>
      <c r="G3971" t="s">
        <v>214</v>
      </c>
      <c r="H3971" t="s">
        <v>33</v>
      </c>
      <c r="I3971" s="2">
        <v>1</v>
      </c>
      <c r="J3971" s="3">
        <v>219</v>
      </c>
      <c r="K3971" s="4">
        <v>0</v>
      </c>
      <c r="L3971" s="3">
        <v>219</v>
      </c>
      <c r="M3971" t="b">
        <v>1</v>
      </c>
      <c r="N3971" s="2">
        <f>YEAR(B3971)</f>
        <v>2025</v>
      </c>
      <c r="O3971" t="str">
        <f>INDEX(Agences!$C:$C,MATCH(F3971,Agences!$A:$A,0))</f>
        <v>Île-de-France</v>
      </c>
      <c r="P3971" t="str">
        <f>INDEX(Produits!$C:$C,MATCH(H3971,Produits!$A:$A,0))</f>
        <v>Informatique</v>
      </c>
      <c r="Q3971" s="3">
        <f>I3971*INDEX(Produits!$E:$E,MATCH(H3971,Produits!$A:$A,0))</f>
        <v>179.58</v>
      </c>
      <c r="R3971" s="3">
        <f>L3971-Q3971</f>
        <v>39.41999999999999</v>
      </c>
      <c r="S3971" s="2">
        <f>NETWORKDAYS(B3971,C3971)-1</f>
        <v>1</v>
      </c>
      <c r="T3971" s="1">
        <f>WORKDAY(B3971,5)</f>
        <v>45674</v>
      </c>
      <c r="U3971" t="b">
        <f>C3971&gt;T3971</f>
        <v>0</v>
      </c>
    </row>
    <row r="3972" spans="1:21" x14ac:dyDescent="0.25">
      <c r="A3972" t="s">
        <v>2310</v>
      </c>
      <c r="B3972" s="1">
        <v>45667</v>
      </c>
      <c r="C3972" s="1">
        <v>45673</v>
      </c>
      <c r="D3972" t="s">
        <v>2311</v>
      </c>
      <c r="E3972" t="s">
        <v>175</v>
      </c>
      <c r="F3972" t="s">
        <v>76</v>
      </c>
      <c r="G3972" t="s">
        <v>77</v>
      </c>
      <c r="H3972" t="s">
        <v>162</v>
      </c>
      <c r="I3972" s="2">
        <v>4</v>
      </c>
      <c r="J3972" s="3">
        <v>289</v>
      </c>
      <c r="K3972" s="4">
        <v>0.02</v>
      </c>
      <c r="L3972" s="3">
        <v>1132.88</v>
      </c>
      <c r="M3972" t="b">
        <v>1</v>
      </c>
      <c r="N3972" s="2">
        <f>YEAR(B3972)</f>
        <v>2025</v>
      </c>
      <c r="O3972" t="str">
        <f>INDEX(Agences!$C:$C,MATCH(F3972,Agences!$A:$A,0))</f>
        <v>Île-de-France</v>
      </c>
      <c r="P3972" t="str">
        <f>INDEX(Produits!$C:$C,MATCH(H3972,Produits!$A:$A,0))</f>
        <v>Mobilier</v>
      </c>
      <c r="Q3972" s="3">
        <f>I3972*INDEX(Produits!$E:$E,MATCH(H3972,Produits!$A:$A,0))</f>
        <v>774.52</v>
      </c>
      <c r="R3972" s="3">
        <f>L3972-Q3972</f>
        <v>358.3600000000001</v>
      </c>
      <c r="S3972" s="2">
        <f>NETWORKDAYS(B3972,C3972)-1</f>
        <v>4</v>
      </c>
      <c r="T3972" s="1">
        <f>WORKDAY(B3972,5)</f>
        <v>45674</v>
      </c>
      <c r="U3972" t="b">
        <f>C3972&gt;T3972</f>
        <v>0</v>
      </c>
    </row>
    <row r="3973" spans="1:21" x14ac:dyDescent="0.25">
      <c r="A3973" t="s">
        <v>2310</v>
      </c>
      <c r="B3973" s="1">
        <v>45667</v>
      </c>
      <c r="C3973" s="1">
        <v>45673</v>
      </c>
      <c r="D3973" t="s">
        <v>2311</v>
      </c>
      <c r="E3973" t="s">
        <v>175</v>
      </c>
      <c r="F3973" t="s">
        <v>76</v>
      </c>
      <c r="G3973" t="s">
        <v>77</v>
      </c>
      <c r="H3973" t="s">
        <v>196</v>
      </c>
      <c r="I3973" s="2">
        <v>5</v>
      </c>
      <c r="J3973" s="3">
        <v>18.5</v>
      </c>
      <c r="K3973" s="4">
        <v>0.05</v>
      </c>
      <c r="L3973" s="3">
        <v>87.88</v>
      </c>
      <c r="M3973" t="b">
        <v>1</v>
      </c>
      <c r="N3973" s="2">
        <f>YEAR(B3973)</f>
        <v>2025</v>
      </c>
      <c r="O3973" t="str">
        <f>INDEX(Agences!$C:$C,MATCH(F3973,Agences!$A:$A,0))</f>
        <v>Île-de-France</v>
      </c>
      <c r="P3973" t="str">
        <f>INDEX(Produits!$C:$C,MATCH(H3973,Produits!$A:$A,0))</f>
        <v>Fournitures</v>
      </c>
      <c r="Q3973" s="3">
        <f>I3973*INDEX(Produits!$E:$E,MATCH(H3973,Produits!$A:$A,0))</f>
        <v>47.199999999999996</v>
      </c>
      <c r="R3973" s="3">
        <f>L3973-Q3973</f>
        <v>40.68</v>
      </c>
      <c r="S3973" s="2">
        <f>NETWORKDAYS(B3973,C3973)-1</f>
        <v>4</v>
      </c>
      <c r="T3973" s="1">
        <f>WORKDAY(B3973,5)</f>
        <v>45674</v>
      </c>
      <c r="U3973" t="b">
        <f>C3973&gt;T3973</f>
        <v>0</v>
      </c>
    </row>
    <row r="3974" spans="1:21" x14ac:dyDescent="0.25">
      <c r="A3974" t="s">
        <v>2310</v>
      </c>
      <c r="B3974" s="1">
        <v>45667</v>
      </c>
      <c r="C3974" s="1">
        <v>45673</v>
      </c>
      <c r="D3974" t="s">
        <v>2311</v>
      </c>
      <c r="E3974" t="s">
        <v>175</v>
      </c>
      <c r="F3974" t="s">
        <v>76</v>
      </c>
      <c r="G3974" t="s">
        <v>77</v>
      </c>
      <c r="H3974" t="s">
        <v>35</v>
      </c>
      <c r="I3974" s="2">
        <v>2</v>
      </c>
      <c r="J3974" s="3">
        <v>79</v>
      </c>
      <c r="K3974" s="4">
        <v>0</v>
      </c>
      <c r="L3974" s="3">
        <v>158</v>
      </c>
      <c r="M3974" t="b">
        <v>1</v>
      </c>
      <c r="N3974" s="2">
        <f>YEAR(B3974)</f>
        <v>2025</v>
      </c>
      <c r="O3974" t="str">
        <f>INDEX(Agences!$C:$C,MATCH(F3974,Agences!$A:$A,0))</f>
        <v>Île-de-France</v>
      </c>
      <c r="P3974" t="str">
        <f>INDEX(Produits!$C:$C,MATCH(H3974,Produits!$A:$A,0))</f>
        <v>Mobilier</v>
      </c>
      <c r="Q3974" s="3">
        <f>I3974*INDEX(Produits!$E:$E,MATCH(H3974,Produits!$A:$A,0))</f>
        <v>93.22</v>
      </c>
      <c r="R3974" s="3">
        <f>L3974-Q3974</f>
        <v>64.78</v>
      </c>
      <c r="S3974" s="2">
        <f>NETWORKDAYS(B3974,C3974)-1</f>
        <v>4</v>
      </c>
      <c r="T3974" s="1">
        <f>WORKDAY(B3974,5)</f>
        <v>45674</v>
      </c>
      <c r="U3974" t="b">
        <f>C3974&gt;T3974</f>
        <v>0</v>
      </c>
    </row>
    <row r="3975" spans="1:21" x14ac:dyDescent="0.25">
      <c r="A3975" t="s">
        <v>2310</v>
      </c>
      <c r="B3975" s="1">
        <v>45667</v>
      </c>
      <c r="C3975" s="1">
        <v>45673</v>
      </c>
      <c r="D3975" t="s">
        <v>2311</v>
      </c>
      <c r="E3975" t="s">
        <v>175</v>
      </c>
      <c r="F3975" t="s">
        <v>76</v>
      </c>
      <c r="G3975" t="s">
        <v>77</v>
      </c>
      <c r="H3975" t="s">
        <v>319</v>
      </c>
      <c r="I3975" s="2">
        <v>1</v>
      </c>
      <c r="J3975" s="3">
        <v>289</v>
      </c>
      <c r="K3975" s="4">
        <v>0.02</v>
      </c>
      <c r="L3975" s="3">
        <v>283.22</v>
      </c>
      <c r="M3975" t="b">
        <v>1</v>
      </c>
      <c r="N3975" s="2">
        <f>YEAR(B3975)</f>
        <v>2025</v>
      </c>
      <c r="O3975" t="str">
        <f>INDEX(Agences!$C:$C,MATCH(F3975,Agences!$A:$A,0))</f>
        <v>Île-de-France</v>
      </c>
      <c r="P3975" t="str">
        <f>INDEX(Produits!$C:$C,MATCH(H3975,Produits!$A:$A,0))</f>
        <v>Informatique</v>
      </c>
      <c r="Q3975" s="3">
        <f>I3975*INDEX(Produits!$E:$E,MATCH(H3975,Produits!$A:$A,0))</f>
        <v>213.86</v>
      </c>
      <c r="R3975" s="3">
        <f>L3975-Q3975</f>
        <v>69.36000000000001</v>
      </c>
      <c r="S3975" s="2">
        <f>NETWORKDAYS(B3975,C3975)-1</f>
        <v>4</v>
      </c>
      <c r="T3975" s="1">
        <f>WORKDAY(B3975,5)</f>
        <v>45674</v>
      </c>
      <c r="U3975" t="b">
        <f>C3975&gt;T3975</f>
        <v>0</v>
      </c>
    </row>
    <row r="3976" spans="1:21" x14ac:dyDescent="0.25">
      <c r="A3976" t="s">
        <v>2310</v>
      </c>
      <c r="B3976" s="1">
        <v>45667</v>
      </c>
      <c r="C3976" s="1">
        <v>45673</v>
      </c>
      <c r="D3976" t="s">
        <v>2311</v>
      </c>
      <c r="E3976" t="s">
        <v>175</v>
      </c>
      <c r="F3976" t="s">
        <v>76</v>
      </c>
      <c r="G3976" t="s">
        <v>77</v>
      </c>
      <c r="H3976" t="s">
        <v>83</v>
      </c>
      <c r="I3976" s="2">
        <v>1</v>
      </c>
      <c r="J3976" s="3">
        <v>49</v>
      </c>
      <c r="K3976" s="4">
        <v>0.02</v>
      </c>
      <c r="L3976" s="3">
        <v>48.02</v>
      </c>
      <c r="M3976" t="b">
        <v>1</v>
      </c>
      <c r="N3976" s="2">
        <f>YEAR(B3976)</f>
        <v>2025</v>
      </c>
      <c r="O3976" t="str">
        <f>INDEX(Agences!$C:$C,MATCH(F3976,Agences!$A:$A,0))</f>
        <v>Île-de-France</v>
      </c>
      <c r="P3976" t="str">
        <f>INDEX(Produits!$C:$C,MATCH(H3976,Produits!$A:$A,0))</f>
        <v>Mobilier</v>
      </c>
      <c r="Q3976" s="3">
        <f>I3976*INDEX(Produits!$E:$E,MATCH(H3976,Produits!$A:$A,0))</f>
        <v>28.42</v>
      </c>
      <c r="R3976" s="3">
        <f>L3976-Q3976</f>
        <v>19.6</v>
      </c>
      <c r="S3976" s="2">
        <f>NETWORKDAYS(B3976,C3976)-1</f>
        <v>4</v>
      </c>
      <c r="T3976" s="1">
        <f>WORKDAY(B3976,5)</f>
        <v>45674</v>
      </c>
      <c r="U3976" t="b">
        <f>C3976&gt;T3976</f>
        <v>0</v>
      </c>
    </row>
    <row r="3977" spans="1:21" x14ac:dyDescent="0.25">
      <c r="A3977" t="s">
        <v>2312</v>
      </c>
      <c r="B3977" s="1">
        <v>45667</v>
      </c>
      <c r="C3977" s="1">
        <v>45672</v>
      </c>
      <c r="D3977" t="s">
        <v>1061</v>
      </c>
      <c r="E3977" t="s">
        <v>165</v>
      </c>
      <c r="F3977" t="s">
        <v>166</v>
      </c>
      <c r="G3977" t="s">
        <v>248</v>
      </c>
      <c r="H3977" t="s">
        <v>112</v>
      </c>
      <c r="I3977" s="2">
        <v>3</v>
      </c>
      <c r="J3977" s="3">
        <v>129</v>
      </c>
      <c r="K3977" s="4">
        <v>0.02</v>
      </c>
      <c r="L3977" s="3">
        <v>379.26</v>
      </c>
      <c r="M3977" t="b">
        <v>1</v>
      </c>
      <c r="N3977" s="2">
        <f>YEAR(B3977)</f>
        <v>2025</v>
      </c>
      <c r="O3977" t="str">
        <f>INDEX(Agences!$C:$C,MATCH(F3977,Agences!$A:$A,0))</f>
        <v>Ouest</v>
      </c>
      <c r="P3977" t="str">
        <f>INDEX(Produits!$C:$C,MATCH(H3977,Produits!$A:$A,0))</f>
        <v>Mobilier</v>
      </c>
      <c r="Q3977" s="3">
        <f>I3977*INDEX(Produits!$E:$E,MATCH(H3977,Produits!$A:$A,0))</f>
        <v>259.29</v>
      </c>
      <c r="R3977" s="3">
        <f>L3977-Q3977</f>
        <v>119.96999999999997</v>
      </c>
      <c r="S3977" s="2">
        <f>NETWORKDAYS(B3977,C3977)-1</f>
        <v>3</v>
      </c>
      <c r="T3977" s="1">
        <f>WORKDAY(B3977,5)</f>
        <v>45674</v>
      </c>
      <c r="U3977" t="b">
        <f>C3977&gt;T3977</f>
        <v>0</v>
      </c>
    </row>
    <row r="3978" spans="1:21" x14ac:dyDescent="0.25">
      <c r="A3978" t="s">
        <v>2312</v>
      </c>
      <c r="B3978" s="1">
        <v>45667</v>
      </c>
      <c r="C3978" s="1">
        <v>45672</v>
      </c>
      <c r="D3978" t="s">
        <v>1061</v>
      </c>
      <c r="E3978" t="s">
        <v>165</v>
      </c>
      <c r="F3978" t="s">
        <v>166</v>
      </c>
      <c r="G3978" t="s">
        <v>248</v>
      </c>
      <c r="H3978" t="s">
        <v>103</v>
      </c>
      <c r="I3978" s="2">
        <v>2</v>
      </c>
      <c r="J3978" s="3">
        <v>245</v>
      </c>
      <c r="K3978" s="4">
        <v>0</v>
      </c>
      <c r="L3978" s="3">
        <v>490</v>
      </c>
      <c r="M3978" t="b">
        <v>1</v>
      </c>
      <c r="N3978" s="2">
        <f>YEAR(B3978)</f>
        <v>2025</v>
      </c>
      <c r="O3978" t="str">
        <f>INDEX(Agences!$C:$C,MATCH(F3978,Agences!$A:$A,0))</f>
        <v>Ouest</v>
      </c>
      <c r="P3978" t="str">
        <f>INDEX(Produits!$C:$C,MATCH(H3978,Produits!$A:$A,0))</f>
        <v>Mobilier</v>
      </c>
      <c r="Q3978" s="3">
        <f>I3978*INDEX(Produits!$E:$E,MATCH(H3978,Produits!$A:$A,0))</f>
        <v>328.3</v>
      </c>
      <c r="R3978" s="3">
        <f>L3978-Q3978</f>
        <v>161.7</v>
      </c>
      <c r="S3978" s="2">
        <f>NETWORKDAYS(B3978,C3978)-1</f>
        <v>3</v>
      </c>
      <c r="T3978" s="1">
        <f>WORKDAY(B3978,5)</f>
        <v>45674</v>
      </c>
      <c r="U3978" t="b">
        <f>C3978&gt;T3978</f>
        <v>0</v>
      </c>
    </row>
    <row r="3979" spans="1:21" x14ac:dyDescent="0.25">
      <c r="A3979" t="s">
        <v>2313</v>
      </c>
      <c r="B3979" s="1">
        <v>45667</v>
      </c>
      <c r="C3979" s="1">
        <v>45671</v>
      </c>
      <c r="D3979" t="s">
        <v>832</v>
      </c>
      <c r="E3979" t="s">
        <v>256</v>
      </c>
      <c r="F3979" t="s">
        <v>88</v>
      </c>
      <c r="G3979" t="s">
        <v>226</v>
      </c>
      <c r="H3979" t="s">
        <v>83</v>
      </c>
      <c r="I3979" s="2">
        <v>3</v>
      </c>
      <c r="J3979" s="3">
        <v>49</v>
      </c>
      <c r="K3979" s="4">
        <v>0.08</v>
      </c>
      <c r="L3979" s="3">
        <v>135.24</v>
      </c>
      <c r="M3979" t="b">
        <v>1</v>
      </c>
      <c r="N3979" s="2">
        <f>YEAR(B3979)</f>
        <v>2025</v>
      </c>
      <c r="O3979" t="str">
        <f>INDEX(Agences!$C:$C,MATCH(F3979,Agences!$A:$A,0))</f>
        <v>Sud-Ouest</v>
      </c>
      <c r="P3979" t="str">
        <f>INDEX(Produits!$C:$C,MATCH(H3979,Produits!$A:$A,0))</f>
        <v>Mobilier</v>
      </c>
      <c r="Q3979" s="3">
        <f>I3979*INDEX(Produits!$E:$E,MATCH(H3979,Produits!$A:$A,0))</f>
        <v>85.26</v>
      </c>
      <c r="R3979" s="3">
        <f>L3979-Q3979</f>
        <v>49.980000000000004</v>
      </c>
      <c r="S3979" s="2">
        <f>NETWORKDAYS(B3979,C3979)-1</f>
        <v>2</v>
      </c>
      <c r="T3979" s="1">
        <f>WORKDAY(B3979,5)</f>
        <v>45674</v>
      </c>
      <c r="U3979" t="b">
        <f>C3979&gt;T3979</f>
        <v>0</v>
      </c>
    </row>
    <row r="3980" spans="1:21" x14ac:dyDescent="0.25">
      <c r="A3980" t="s">
        <v>2313</v>
      </c>
      <c r="B3980" s="1">
        <v>45667</v>
      </c>
      <c r="C3980" s="1">
        <v>45671</v>
      </c>
      <c r="D3980" t="s">
        <v>832</v>
      </c>
      <c r="E3980" t="s">
        <v>256</v>
      </c>
      <c r="F3980" t="s">
        <v>88</v>
      </c>
      <c r="G3980" t="s">
        <v>226</v>
      </c>
      <c r="H3980" t="s">
        <v>233</v>
      </c>
      <c r="I3980" s="2">
        <v>5</v>
      </c>
      <c r="J3980" s="3">
        <v>27.5</v>
      </c>
      <c r="K3980" s="4">
        <v>0.1</v>
      </c>
      <c r="L3980" s="3">
        <v>123.75</v>
      </c>
      <c r="M3980" t="b">
        <v>1</v>
      </c>
      <c r="N3980" s="2">
        <f>YEAR(B3980)</f>
        <v>2025</v>
      </c>
      <c r="O3980" t="str">
        <f>INDEX(Agences!$C:$C,MATCH(F3980,Agences!$A:$A,0))</f>
        <v>Sud-Ouest</v>
      </c>
      <c r="P3980" t="str">
        <f>INDEX(Produits!$C:$C,MATCH(H3980,Produits!$A:$A,0))</f>
        <v>Fournitures</v>
      </c>
      <c r="Q3980" s="3">
        <f>I3980*INDEX(Produits!$E:$E,MATCH(H3980,Produits!$A:$A,0))</f>
        <v>77</v>
      </c>
      <c r="R3980" s="3">
        <f>L3980-Q3980</f>
        <v>46.75</v>
      </c>
      <c r="S3980" s="2">
        <f>NETWORKDAYS(B3980,C3980)-1</f>
        <v>2</v>
      </c>
      <c r="T3980" s="1">
        <f>WORKDAY(B3980,5)</f>
        <v>45674</v>
      </c>
      <c r="U3980" t="b">
        <f>C3980&gt;T3980</f>
        <v>0</v>
      </c>
    </row>
    <row r="3981" spans="1:21" x14ac:dyDescent="0.25">
      <c r="A3981" t="s">
        <v>2313</v>
      </c>
      <c r="B3981" s="1">
        <v>45667</v>
      </c>
      <c r="C3981" s="1">
        <v>45671</v>
      </c>
      <c r="D3981" t="s">
        <v>832</v>
      </c>
      <c r="E3981" t="s">
        <v>256</v>
      </c>
      <c r="F3981" t="s">
        <v>88</v>
      </c>
      <c r="G3981" t="s">
        <v>226</v>
      </c>
      <c r="H3981" t="s">
        <v>49</v>
      </c>
      <c r="I3981" s="2">
        <v>1</v>
      </c>
      <c r="J3981" s="3">
        <v>120</v>
      </c>
      <c r="K3981" s="4">
        <v>0.02</v>
      </c>
      <c r="L3981" s="3">
        <v>117.6</v>
      </c>
      <c r="M3981" t="b">
        <v>1</v>
      </c>
      <c r="N3981" s="2">
        <f>YEAR(B3981)</f>
        <v>2025</v>
      </c>
      <c r="O3981" t="str">
        <f>INDEX(Agences!$C:$C,MATCH(F3981,Agences!$A:$A,0))</f>
        <v>Sud-Ouest</v>
      </c>
      <c r="P3981" t="str">
        <f>INDEX(Produits!$C:$C,MATCH(H3981,Produits!$A:$A,0))</f>
        <v>Maintenance</v>
      </c>
      <c r="Q3981" s="3">
        <f>I3981*INDEX(Produits!$E:$E,MATCH(H3981,Produits!$A:$A,0))</f>
        <v>55.2</v>
      </c>
      <c r="R3981" s="3">
        <f>L3981-Q3981</f>
        <v>62.39999999999999</v>
      </c>
      <c r="S3981" s="2">
        <f>NETWORKDAYS(B3981,C3981)-1</f>
        <v>2</v>
      </c>
      <c r="T3981" s="1">
        <f>WORKDAY(B3981,5)</f>
        <v>45674</v>
      </c>
      <c r="U3981" t="b">
        <f>C3981&gt;T3981</f>
        <v>0</v>
      </c>
    </row>
    <row r="3982" spans="1:21" x14ac:dyDescent="0.25">
      <c r="A3982" t="s">
        <v>2313</v>
      </c>
      <c r="B3982" s="1">
        <v>45667</v>
      </c>
      <c r="C3982" s="1">
        <v>45671</v>
      </c>
      <c r="D3982" t="s">
        <v>832</v>
      </c>
      <c r="E3982" t="s">
        <v>256</v>
      </c>
      <c r="F3982" t="s">
        <v>88</v>
      </c>
      <c r="G3982" t="s">
        <v>226</v>
      </c>
      <c r="H3982" t="s">
        <v>35</v>
      </c>
      <c r="I3982" s="2">
        <v>2</v>
      </c>
      <c r="J3982" s="3">
        <v>79</v>
      </c>
      <c r="K3982" s="4">
        <v>0.1</v>
      </c>
      <c r="L3982" s="3">
        <v>142.2</v>
      </c>
      <c r="M3982" t="b">
        <v>1</v>
      </c>
      <c r="N3982" s="2">
        <f>YEAR(B3982)</f>
        <v>2025</v>
      </c>
      <c r="O3982" t="str">
        <f>INDEX(Agences!$C:$C,MATCH(F3982,Agences!$A:$A,0))</f>
        <v>Sud-Ouest</v>
      </c>
      <c r="P3982" t="str">
        <f>INDEX(Produits!$C:$C,MATCH(H3982,Produits!$A:$A,0))</f>
        <v>Mobilier</v>
      </c>
      <c r="Q3982" s="3">
        <f>I3982*INDEX(Produits!$E:$E,MATCH(H3982,Produits!$A:$A,0))</f>
        <v>93.22</v>
      </c>
      <c r="R3982" s="3">
        <f>L3982-Q3982</f>
        <v>48.97999999999999</v>
      </c>
      <c r="S3982" s="2">
        <f>NETWORKDAYS(B3982,C3982)-1</f>
        <v>2</v>
      </c>
      <c r="T3982" s="1">
        <f>WORKDAY(B3982,5)</f>
        <v>45674</v>
      </c>
      <c r="U3982" t="b">
        <f>C3982&gt;T3982</f>
        <v>0</v>
      </c>
    </row>
    <row r="3983" spans="1:21" x14ac:dyDescent="0.25">
      <c r="A3983" t="s">
        <v>2314</v>
      </c>
      <c r="B3983" s="1">
        <v>45667</v>
      </c>
      <c r="C3983" s="1">
        <v>45672</v>
      </c>
      <c r="D3983" t="s">
        <v>1786</v>
      </c>
      <c r="E3983" t="s">
        <v>191</v>
      </c>
      <c r="F3983" t="s">
        <v>62</v>
      </c>
      <c r="G3983" t="s">
        <v>106</v>
      </c>
      <c r="H3983" t="s">
        <v>112</v>
      </c>
      <c r="I3983" s="2">
        <v>2</v>
      </c>
      <c r="J3983" s="3">
        <v>129</v>
      </c>
      <c r="K3983" s="4">
        <v>0.05</v>
      </c>
      <c r="L3983" s="3">
        <v>245.1</v>
      </c>
      <c r="M3983" t="b">
        <v>1</v>
      </c>
      <c r="N3983" s="2">
        <f>YEAR(B3983)</f>
        <v>2025</v>
      </c>
      <c r="O3983" t="str">
        <f>INDEX(Agences!$C:$C,MATCH(F3983,Agences!$A:$A,0))</f>
        <v>Méditerranée</v>
      </c>
      <c r="P3983" t="str">
        <f>INDEX(Produits!$C:$C,MATCH(H3983,Produits!$A:$A,0))</f>
        <v>Mobilier</v>
      </c>
      <c r="Q3983" s="3">
        <f>I3983*INDEX(Produits!$E:$E,MATCH(H3983,Produits!$A:$A,0))</f>
        <v>172.86</v>
      </c>
      <c r="R3983" s="3">
        <f>L3983-Q3983</f>
        <v>72.23999999999998</v>
      </c>
      <c r="S3983" s="2">
        <f>NETWORKDAYS(B3983,C3983)-1</f>
        <v>3</v>
      </c>
      <c r="T3983" s="1">
        <f>WORKDAY(B3983,5)</f>
        <v>45674</v>
      </c>
      <c r="U3983" t="b">
        <f>C3983&gt;T3983</f>
        <v>0</v>
      </c>
    </row>
    <row r="3984" spans="1:21" x14ac:dyDescent="0.25">
      <c r="A3984" t="s">
        <v>2315</v>
      </c>
      <c r="B3984" s="1">
        <v>45666</v>
      </c>
      <c r="C3984" s="1">
        <v>45670</v>
      </c>
      <c r="D3984" t="s">
        <v>800</v>
      </c>
      <c r="E3984" t="s">
        <v>165</v>
      </c>
      <c r="F3984" t="s">
        <v>166</v>
      </c>
      <c r="G3984" t="s">
        <v>167</v>
      </c>
      <c r="H3984" t="s">
        <v>57</v>
      </c>
      <c r="I3984" s="2">
        <v>4</v>
      </c>
      <c r="J3984" s="3">
        <v>149</v>
      </c>
      <c r="K3984" s="4">
        <v>0</v>
      </c>
      <c r="L3984" s="3">
        <v>596</v>
      </c>
      <c r="M3984" t="b">
        <v>1</v>
      </c>
      <c r="N3984" s="2">
        <f>YEAR(B3984)</f>
        <v>2025</v>
      </c>
      <c r="O3984" t="str">
        <f>INDEX(Agences!$C:$C,MATCH(F3984,Agences!$A:$A,0))</f>
        <v>Ouest</v>
      </c>
      <c r="P3984" t="str">
        <f>INDEX(Produits!$C:$C,MATCH(H3984,Produits!$A:$A,0))</f>
        <v>Informatique</v>
      </c>
      <c r="Q3984" s="3">
        <f>I3984*INDEX(Produits!$E:$E,MATCH(H3984,Produits!$A:$A,0))</f>
        <v>458.92</v>
      </c>
      <c r="R3984" s="3">
        <f>L3984-Q3984</f>
        <v>137.07999999999998</v>
      </c>
      <c r="S3984" s="2">
        <f>NETWORKDAYS(B3984,C3984)-1</f>
        <v>2</v>
      </c>
      <c r="T3984" s="1">
        <f>WORKDAY(B3984,5)</f>
        <v>45673</v>
      </c>
      <c r="U3984" t="b">
        <f>C3984&gt;T3984</f>
        <v>0</v>
      </c>
    </row>
    <row r="3985" spans="1:21" x14ac:dyDescent="0.25">
      <c r="A3985" t="s">
        <v>2316</v>
      </c>
      <c r="B3985" s="1">
        <v>45666</v>
      </c>
      <c r="C3985" s="1">
        <v>45670</v>
      </c>
      <c r="D3985" t="s">
        <v>1294</v>
      </c>
      <c r="E3985" t="s">
        <v>236</v>
      </c>
      <c r="F3985" t="s">
        <v>39</v>
      </c>
      <c r="G3985" t="s">
        <v>131</v>
      </c>
      <c r="H3985" t="s">
        <v>233</v>
      </c>
      <c r="I3985" s="2">
        <v>20</v>
      </c>
      <c r="J3985" s="3">
        <v>27.5</v>
      </c>
      <c r="K3985" s="4">
        <v>0.02</v>
      </c>
      <c r="L3985" s="3">
        <v>539</v>
      </c>
      <c r="M3985" t="b">
        <v>1</v>
      </c>
      <c r="N3985" s="2">
        <f>YEAR(B3985)</f>
        <v>2025</v>
      </c>
      <c r="O3985" t="str">
        <f>INDEX(Agences!$C:$C,MATCH(F3985,Agences!$A:$A,0))</f>
        <v>Sud-Ouest</v>
      </c>
      <c r="P3985" t="str">
        <f>INDEX(Produits!$C:$C,MATCH(H3985,Produits!$A:$A,0))</f>
        <v>Fournitures</v>
      </c>
      <c r="Q3985" s="3">
        <f>I3985*INDEX(Produits!$E:$E,MATCH(H3985,Produits!$A:$A,0))</f>
        <v>308</v>
      </c>
      <c r="R3985" s="3">
        <f>L3985-Q3985</f>
        <v>231</v>
      </c>
      <c r="S3985" s="2">
        <f>NETWORKDAYS(B3985,C3985)-1</f>
        <v>2</v>
      </c>
      <c r="T3985" s="1">
        <f>WORKDAY(B3985,5)</f>
        <v>45673</v>
      </c>
      <c r="U3985" t="b">
        <f>C3985&gt;T3985</f>
        <v>0</v>
      </c>
    </row>
    <row r="3986" spans="1:21" x14ac:dyDescent="0.25">
      <c r="A3986" t="s">
        <v>2316</v>
      </c>
      <c r="B3986" s="1">
        <v>45666</v>
      </c>
      <c r="C3986" s="1">
        <v>45670</v>
      </c>
      <c r="D3986" t="s">
        <v>1294</v>
      </c>
      <c r="E3986" t="s">
        <v>236</v>
      </c>
      <c r="F3986" t="s">
        <v>39</v>
      </c>
      <c r="G3986" t="s">
        <v>131</v>
      </c>
      <c r="H3986" t="s">
        <v>83</v>
      </c>
      <c r="I3986" s="2">
        <v>2</v>
      </c>
      <c r="J3986" s="3">
        <v>49</v>
      </c>
      <c r="K3986" s="4">
        <v>0</v>
      </c>
      <c r="L3986" s="3">
        <v>98</v>
      </c>
      <c r="M3986" t="b">
        <v>1</v>
      </c>
      <c r="N3986" s="2">
        <f>YEAR(B3986)</f>
        <v>2025</v>
      </c>
      <c r="O3986" t="str">
        <f>INDEX(Agences!$C:$C,MATCH(F3986,Agences!$A:$A,0))</f>
        <v>Sud-Ouest</v>
      </c>
      <c r="P3986" t="str">
        <f>INDEX(Produits!$C:$C,MATCH(H3986,Produits!$A:$A,0))</f>
        <v>Mobilier</v>
      </c>
      <c r="Q3986" s="3">
        <f>I3986*INDEX(Produits!$E:$E,MATCH(H3986,Produits!$A:$A,0))</f>
        <v>56.84</v>
      </c>
      <c r="R3986" s="3">
        <f>L3986-Q3986</f>
        <v>41.16</v>
      </c>
      <c r="S3986" s="2">
        <f>NETWORKDAYS(B3986,C3986)-1</f>
        <v>2</v>
      </c>
      <c r="T3986" s="1">
        <f>WORKDAY(B3986,5)</f>
        <v>45673</v>
      </c>
      <c r="U3986" t="b">
        <f>C3986&gt;T3986</f>
        <v>0</v>
      </c>
    </row>
    <row r="3987" spans="1:21" x14ac:dyDescent="0.25">
      <c r="A3987" t="s">
        <v>2316</v>
      </c>
      <c r="B3987" s="1">
        <v>45666</v>
      </c>
      <c r="C3987" s="1">
        <v>45670</v>
      </c>
      <c r="D3987" t="s">
        <v>1294</v>
      </c>
      <c r="E3987" t="s">
        <v>236</v>
      </c>
      <c r="F3987" t="s">
        <v>39</v>
      </c>
      <c r="G3987" t="s">
        <v>131</v>
      </c>
      <c r="H3987" t="s">
        <v>84</v>
      </c>
      <c r="I3987" s="2">
        <v>2</v>
      </c>
      <c r="J3987" s="3">
        <v>420</v>
      </c>
      <c r="K3987" s="4">
        <v>0</v>
      </c>
      <c r="L3987" s="3">
        <v>840</v>
      </c>
      <c r="M3987" t="b">
        <v>1</v>
      </c>
      <c r="N3987" s="2">
        <f>YEAR(B3987)</f>
        <v>2025</v>
      </c>
      <c r="O3987" t="str">
        <f>INDEX(Agences!$C:$C,MATCH(F3987,Agences!$A:$A,0))</f>
        <v>Sud-Ouest</v>
      </c>
      <c r="P3987" t="str">
        <f>INDEX(Produits!$C:$C,MATCH(H3987,Produits!$A:$A,0))</f>
        <v>Mobilier</v>
      </c>
      <c r="Q3987" s="3">
        <f>I3987*INDEX(Produits!$E:$E,MATCH(H3987,Produits!$A:$A,0))</f>
        <v>487.2</v>
      </c>
      <c r="R3987" s="3">
        <f>L3987-Q3987</f>
        <v>352.8</v>
      </c>
      <c r="S3987" s="2">
        <f>NETWORKDAYS(B3987,C3987)-1</f>
        <v>2</v>
      </c>
      <c r="T3987" s="1">
        <f>WORKDAY(B3987,5)</f>
        <v>45673</v>
      </c>
      <c r="U3987" t="b">
        <f>C3987&gt;T3987</f>
        <v>0</v>
      </c>
    </row>
    <row r="3988" spans="1:21" x14ac:dyDescent="0.25">
      <c r="A3988" t="s">
        <v>2317</v>
      </c>
      <c r="B3988" s="1">
        <v>45666</v>
      </c>
      <c r="C3988" s="1">
        <v>45667</v>
      </c>
      <c r="D3988" t="s">
        <v>403</v>
      </c>
      <c r="E3988" t="s">
        <v>236</v>
      </c>
      <c r="F3988" t="s">
        <v>39</v>
      </c>
      <c r="G3988" t="s">
        <v>40</v>
      </c>
      <c r="H3988" t="s">
        <v>26</v>
      </c>
      <c r="I3988" s="2">
        <v>1</v>
      </c>
      <c r="J3988" s="3">
        <v>290</v>
      </c>
      <c r="K3988" s="4">
        <v>0</v>
      </c>
      <c r="L3988" s="3">
        <v>290</v>
      </c>
      <c r="M3988" t="b">
        <v>1</v>
      </c>
      <c r="N3988" s="2">
        <f>YEAR(B3988)</f>
        <v>2025</v>
      </c>
      <c r="O3988" t="str">
        <f>INDEX(Agences!$C:$C,MATCH(F3988,Agences!$A:$A,0))</f>
        <v>Sud-Ouest</v>
      </c>
      <c r="P3988" t="str">
        <f>INDEX(Produits!$C:$C,MATCH(H3988,Produits!$A:$A,0))</f>
        <v>Maintenance</v>
      </c>
      <c r="Q3988" s="3">
        <f>I3988*INDEX(Produits!$E:$E,MATCH(H3988,Produits!$A:$A,0))</f>
        <v>139.2</v>
      </c>
      <c r="R3988" s="3">
        <f>L3988-Q3988</f>
        <v>150.8</v>
      </c>
      <c r="S3988" s="2">
        <f>NETWORKDAYS(B3988,C3988)-1</f>
        <v>1</v>
      </c>
      <c r="T3988" s="1">
        <f>WORKDAY(B3988,5)</f>
        <v>45673</v>
      </c>
      <c r="U3988" t="b">
        <f>C3988&gt;T3988</f>
        <v>0</v>
      </c>
    </row>
    <row r="3989" spans="1:21" x14ac:dyDescent="0.25">
      <c r="A3989" t="s">
        <v>2318</v>
      </c>
      <c r="B3989" s="1">
        <v>45666</v>
      </c>
      <c r="C3989" s="1">
        <v>45670</v>
      </c>
      <c r="D3989" t="s">
        <v>957</v>
      </c>
      <c r="E3989" t="s">
        <v>38</v>
      </c>
      <c r="F3989" t="s">
        <v>39</v>
      </c>
      <c r="G3989" t="s">
        <v>40</v>
      </c>
      <c r="H3989" t="s">
        <v>72</v>
      </c>
      <c r="I3989" s="2">
        <v>3</v>
      </c>
      <c r="J3989" s="3">
        <v>179</v>
      </c>
      <c r="K3989" s="4">
        <v>0</v>
      </c>
      <c r="L3989" s="3">
        <v>537</v>
      </c>
      <c r="M3989" t="b">
        <v>1</v>
      </c>
      <c r="N3989" s="2">
        <f>YEAR(B3989)</f>
        <v>2025</v>
      </c>
      <c r="O3989" t="str">
        <f>INDEX(Agences!$C:$C,MATCH(F3989,Agences!$A:$A,0))</f>
        <v>Sud-Ouest</v>
      </c>
      <c r="P3989" t="str">
        <f>INDEX(Produits!$C:$C,MATCH(H3989,Produits!$A:$A,0))</f>
        <v>Informatique</v>
      </c>
      <c r="Q3989" s="3">
        <f>I3989*INDEX(Produits!$E:$E,MATCH(H3989,Produits!$A:$A,0))</f>
        <v>440.34000000000003</v>
      </c>
      <c r="R3989" s="3">
        <f>L3989-Q3989</f>
        <v>96.65999999999997</v>
      </c>
      <c r="S3989" s="2">
        <f>NETWORKDAYS(B3989,C3989)-1</f>
        <v>2</v>
      </c>
      <c r="T3989" s="1">
        <f>WORKDAY(B3989,5)</f>
        <v>45673</v>
      </c>
      <c r="U3989" t="b">
        <f>C3989&gt;T3989</f>
        <v>0</v>
      </c>
    </row>
    <row r="3990" spans="1:21" x14ac:dyDescent="0.25">
      <c r="A3990" t="s">
        <v>2318</v>
      </c>
      <c r="B3990" s="1">
        <v>45666</v>
      </c>
      <c r="C3990" s="1">
        <v>45670</v>
      </c>
      <c r="D3990" t="s">
        <v>957</v>
      </c>
      <c r="E3990" t="s">
        <v>38</v>
      </c>
      <c r="F3990" t="s">
        <v>39</v>
      </c>
      <c r="G3990" t="s">
        <v>40</v>
      </c>
      <c r="H3990" t="s">
        <v>50</v>
      </c>
      <c r="I3990" s="2">
        <v>1</v>
      </c>
      <c r="J3990" s="3">
        <v>69</v>
      </c>
      <c r="K3990" s="4">
        <v>0</v>
      </c>
      <c r="L3990" s="3">
        <v>69</v>
      </c>
      <c r="M3990" t="b">
        <v>1</v>
      </c>
      <c r="N3990" s="2">
        <f>YEAR(B3990)</f>
        <v>2025</v>
      </c>
      <c r="O3990" t="str">
        <f>INDEX(Agences!$C:$C,MATCH(F3990,Agences!$A:$A,0))</f>
        <v>Sud-Ouest</v>
      </c>
      <c r="P3990" t="str">
        <f>INDEX(Produits!$C:$C,MATCH(H3990,Produits!$A:$A,0))</f>
        <v>Informatique</v>
      </c>
      <c r="Q3990" s="3">
        <f>I3990*INDEX(Produits!$E:$E,MATCH(H3990,Produits!$A:$A,0))</f>
        <v>54.51</v>
      </c>
      <c r="R3990" s="3">
        <f>L3990-Q3990</f>
        <v>14.490000000000002</v>
      </c>
      <c r="S3990" s="2">
        <f>NETWORKDAYS(B3990,C3990)-1</f>
        <v>2</v>
      </c>
      <c r="T3990" s="1">
        <f>WORKDAY(B3990,5)</f>
        <v>45673</v>
      </c>
      <c r="U3990" t="b">
        <f>C3990&gt;T3990</f>
        <v>0</v>
      </c>
    </row>
    <row r="3991" spans="1:21" x14ac:dyDescent="0.25">
      <c r="A3991" t="s">
        <v>2318</v>
      </c>
      <c r="B3991" s="1">
        <v>45666</v>
      </c>
      <c r="C3991" s="1">
        <v>45670</v>
      </c>
      <c r="D3991" t="s">
        <v>957</v>
      </c>
      <c r="E3991" t="s">
        <v>38</v>
      </c>
      <c r="F3991" t="s">
        <v>39</v>
      </c>
      <c r="G3991" t="s">
        <v>40</v>
      </c>
      <c r="H3991" t="s">
        <v>34</v>
      </c>
      <c r="I3991" s="2">
        <v>1</v>
      </c>
      <c r="J3991" s="3">
        <v>340</v>
      </c>
      <c r="K3991" s="4">
        <v>0.08</v>
      </c>
      <c r="L3991" s="3">
        <v>312.8</v>
      </c>
      <c r="M3991" t="b">
        <v>1</v>
      </c>
      <c r="N3991" s="2">
        <f>YEAR(B3991)</f>
        <v>2025</v>
      </c>
      <c r="O3991" t="str">
        <f>INDEX(Agences!$C:$C,MATCH(F3991,Agences!$A:$A,0))</f>
        <v>Sud-Ouest</v>
      </c>
      <c r="P3991" t="str">
        <f>INDEX(Produits!$C:$C,MATCH(H3991,Produits!$A:$A,0))</f>
        <v>Informatique</v>
      </c>
      <c r="Q3991" s="3">
        <f>I3991*INDEX(Produits!$E:$E,MATCH(H3991,Produits!$A:$A,0))</f>
        <v>275.4</v>
      </c>
      <c r="R3991" s="3">
        <f>L3991-Q3991</f>
        <v>37.400000000000034</v>
      </c>
      <c r="S3991" s="2">
        <f>NETWORKDAYS(B3991,C3991)-1</f>
        <v>2</v>
      </c>
      <c r="T3991" s="1">
        <f>WORKDAY(B3991,5)</f>
        <v>45673</v>
      </c>
      <c r="U3991" t="b">
        <f>C3991&gt;T3991</f>
        <v>0</v>
      </c>
    </row>
    <row r="3992" spans="1:21" x14ac:dyDescent="0.25">
      <c r="A3992" t="s">
        <v>2318</v>
      </c>
      <c r="B3992" s="1">
        <v>45666</v>
      </c>
      <c r="C3992" s="1">
        <v>45670</v>
      </c>
      <c r="D3992" t="s">
        <v>957</v>
      </c>
      <c r="E3992" t="s">
        <v>38</v>
      </c>
      <c r="F3992" t="s">
        <v>39</v>
      </c>
      <c r="G3992" t="s">
        <v>40</v>
      </c>
      <c r="H3992" t="s">
        <v>107</v>
      </c>
      <c r="I3992" s="2">
        <v>4</v>
      </c>
      <c r="J3992" s="3">
        <v>99</v>
      </c>
      <c r="K3992" s="4">
        <v>0</v>
      </c>
      <c r="L3992" s="3">
        <v>396</v>
      </c>
      <c r="M3992" t="b">
        <v>1</v>
      </c>
      <c r="N3992" s="2">
        <f>YEAR(B3992)</f>
        <v>2025</v>
      </c>
      <c r="O3992" t="str">
        <f>INDEX(Agences!$C:$C,MATCH(F3992,Agences!$A:$A,0))</f>
        <v>Sud-Ouest</v>
      </c>
      <c r="P3992" t="str">
        <f>INDEX(Produits!$C:$C,MATCH(H3992,Produits!$A:$A,0))</f>
        <v>Informatique</v>
      </c>
      <c r="Q3992" s="3">
        <f>I3992*INDEX(Produits!$E:$E,MATCH(H3992,Produits!$A:$A,0))</f>
        <v>300.96</v>
      </c>
      <c r="R3992" s="3">
        <f>L3992-Q3992</f>
        <v>95.04000000000002</v>
      </c>
      <c r="S3992" s="2">
        <f>NETWORKDAYS(B3992,C3992)-1</f>
        <v>2</v>
      </c>
      <c r="T3992" s="1">
        <f>WORKDAY(B3992,5)</f>
        <v>45673</v>
      </c>
      <c r="U3992" t="b">
        <f>C3992&gt;T3992</f>
        <v>0</v>
      </c>
    </row>
    <row r="3993" spans="1:21" x14ac:dyDescent="0.25">
      <c r="A3993" t="s">
        <v>2318</v>
      </c>
      <c r="B3993" s="1">
        <v>45666</v>
      </c>
      <c r="C3993" s="1">
        <v>45670</v>
      </c>
      <c r="D3993" t="s">
        <v>957</v>
      </c>
      <c r="E3993" t="s">
        <v>38</v>
      </c>
      <c r="F3993" t="s">
        <v>39</v>
      </c>
      <c r="G3993" t="s">
        <v>40</v>
      </c>
      <c r="H3993" t="s">
        <v>42</v>
      </c>
      <c r="I3993" s="2">
        <v>1</v>
      </c>
      <c r="J3993" s="3">
        <v>55</v>
      </c>
      <c r="K3993" s="4">
        <v>0</v>
      </c>
      <c r="L3993" s="3">
        <v>55</v>
      </c>
      <c r="M3993" t="b">
        <v>1</v>
      </c>
      <c r="N3993" s="2">
        <f>YEAR(B3993)</f>
        <v>2025</v>
      </c>
      <c r="O3993" t="str">
        <f>INDEX(Agences!$C:$C,MATCH(F3993,Agences!$A:$A,0))</f>
        <v>Sud-Ouest</v>
      </c>
      <c r="P3993" t="str">
        <f>INDEX(Produits!$C:$C,MATCH(H3993,Produits!$A:$A,0))</f>
        <v>Maintenance</v>
      </c>
      <c r="Q3993" s="3">
        <f>I3993*INDEX(Produits!$E:$E,MATCH(H3993,Produits!$A:$A,0))</f>
        <v>24.75</v>
      </c>
      <c r="R3993" s="3">
        <f>L3993-Q3993</f>
        <v>30.25</v>
      </c>
      <c r="S3993" s="2">
        <f>NETWORKDAYS(B3993,C3993)-1</f>
        <v>2</v>
      </c>
      <c r="T3993" s="1">
        <f>WORKDAY(B3993,5)</f>
        <v>45673</v>
      </c>
      <c r="U3993" t="b">
        <f>C3993&gt;T3993</f>
        <v>0</v>
      </c>
    </row>
    <row r="3994" spans="1:21" x14ac:dyDescent="0.25">
      <c r="A3994" t="s">
        <v>2319</v>
      </c>
      <c r="B3994" s="1">
        <v>45666</v>
      </c>
      <c r="C3994" s="1">
        <v>45670</v>
      </c>
      <c r="D3994" t="s">
        <v>1740</v>
      </c>
      <c r="E3994" t="s">
        <v>236</v>
      </c>
      <c r="F3994" t="s">
        <v>39</v>
      </c>
      <c r="G3994" t="s">
        <v>131</v>
      </c>
      <c r="H3994" t="s">
        <v>42</v>
      </c>
      <c r="I3994" s="2">
        <v>3</v>
      </c>
      <c r="J3994" s="3">
        <v>55</v>
      </c>
      <c r="K3994" s="4">
        <v>0</v>
      </c>
      <c r="L3994" s="3">
        <v>165</v>
      </c>
      <c r="M3994" t="b">
        <v>1</v>
      </c>
      <c r="N3994" s="2">
        <f>YEAR(B3994)</f>
        <v>2025</v>
      </c>
      <c r="O3994" t="str">
        <f>INDEX(Agences!$C:$C,MATCH(F3994,Agences!$A:$A,0))</f>
        <v>Sud-Ouest</v>
      </c>
      <c r="P3994" t="str">
        <f>INDEX(Produits!$C:$C,MATCH(H3994,Produits!$A:$A,0))</f>
        <v>Maintenance</v>
      </c>
      <c r="Q3994" s="3">
        <f>I3994*INDEX(Produits!$E:$E,MATCH(H3994,Produits!$A:$A,0))</f>
        <v>74.25</v>
      </c>
      <c r="R3994" s="3">
        <f>L3994-Q3994</f>
        <v>90.75</v>
      </c>
      <c r="S3994" s="2">
        <f>NETWORKDAYS(B3994,C3994)-1</f>
        <v>2</v>
      </c>
      <c r="T3994" s="1">
        <f>WORKDAY(B3994,5)</f>
        <v>45673</v>
      </c>
      <c r="U3994" t="b">
        <f>C3994&gt;T3994</f>
        <v>0</v>
      </c>
    </row>
    <row r="3995" spans="1:21" x14ac:dyDescent="0.25">
      <c r="A3995" t="s">
        <v>2319</v>
      </c>
      <c r="B3995" s="1">
        <v>45666</v>
      </c>
      <c r="C3995" s="1">
        <v>45670</v>
      </c>
      <c r="D3995" t="s">
        <v>1740</v>
      </c>
      <c r="E3995" t="s">
        <v>236</v>
      </c>
      <c r="F3995" t="s">
        <v>39</v>
      </c>
      <c r="G3995" t="s">
        <v>131</v>
      </c>
      <c r="H3995" t="s">
        <v>35</v>
      </c>
      <c r="I3995" s="2">
        <v>7</v>
      </c>
      <c r="J3995" s="3">
        <v>79</v>
      </c>
      <c r="K3995" s="4">
        <v>0</v>
      </c>
      <c r="L3995" s="3">
        <v>553</v>
      </c>
      <c r="M3995" t="b">
        <v>1</v>
      </c>
      <c r="N3995" s="2">
        <f>YEAR(B3995)</f>
        <v>2025</v>
      </c>
      <c r="O3995" t="str">
        <f>INDEX(Agences!$C:$C,MATCH(F3995,Agences!$A:$A,0))</f>
        <v>Sud-Ouest</v>
      </c>
      <c r="P3995" t="str">
        <f>INDEX(Produits!$C:$C,MATCH(H3995,Produits!$A:$A,0))</f>
        <v>Mobilier</v>
      </c>
      <c r="Q3995" s="3">
        <f>I3995*INDEX(Produits!$E:$E,MATCH(H3995,Produits!$A:$A,0))</f>
        <v>326.27</v>
      </c>
      <c r="R3995" s="3">
        <f>L3995-Q3995</f>
        <v>226.73000000000002</v>
      </c>
      <c r="S3995" s="2">
        <f>NETWORKDAYS(B3995,C3995)-1</f>
        <v>2</v>
      </c>
      <c r="T3995" s="1">
        <f>WORKDAY(B3995,5)</f>
        <v>45673</v>
      </c>
      <c r="U3995" t="b">
        <f>C3995&gt;T3995</f>
        <v>0</v>
      </c>
    </row>
    <row r="3996" spans="1:21" x14ac:dyDescent="0.25">
      <c r="A3996" t="s">
        <v>2320</v>
      </c>
      <c r="B3996" s="1">
        <v>45666</v>
      </c>
      <c r="C3996" s="1">
        <v>45672</v>
      </c>
      <c r="D3996" t="s">
        <v>148</v>
      </c>
      <c r="E3996" t="s">
        <v>149</v>
      </c>
      <c r="F3996" t="s">
        <v>88</v>
      </c>
      <c r="G3996" t="s">
        <v>89</v>
      </c>
      <c r="H3996" t="s">
        <v>49</v>
      </c>
      <c r="I3996" s="2">
        <v>1</v>
      </c>
      <c r="J3996" s="3">
        <v>120</v>
      </c>
      <c r="K3996" s="4">
        <v>0</v>
      </c>
      <c r="L3996" s="3">
        <v>120</v>
      </c>
      <c r="M3996" t="b">
        <v>1</v>
      </c>
      <c r="N3996" s="2">
        <f>YEAR(B3996)</f>
        <v>2025</v>
      </c>
      <c r="O3996" t="str">
        <f>INDEX(Agences!$C:$C,MATCH(F3996,Agences!$A:$A,0))</f>
        <v>Sud-Ouest</v>
      </c>
      <c r="P3996" t="str">
        <f>INDEX(Produits!$C:$C,MATCH(H3996,Produits!$A:$A,0))</f>
        <v>Maintenance</v>
      </c>
      <c r="Q3996" s="3">
        <f>I3996*INDEX(Produits!$E:$E,MATCH(H3996,Produits!$A:$A,0))</f>
        <v>55.2</v>
      </c>
      <c r="R3996" s="3">
        <f>L3996-Q3996</f>
        <v>64.8</v>
      </c>
      <c r="S3996" s="2">
        <f>NETWORKDAYS(B3996,C3996)-1</f>
        <v>4</v>
      </c>
      <c r="T3996" s="1">
        <f>WORKDAY(B3996,5)</f>
        <v>45673</v>
      </c>
      <c r="U3996" t="b">
        <f>C3996&gt;T3996</f>
        <v>0</v>
      </c>
    </row>
    <row r="3997" spans="1:21" x14ac:dyDescent="0.25">
      <c r="A3997" t="s">
        <v>2321</v>
      </c>
      <c r="B3997" s="1">
        <v>45666</v>
      </c>
      <c r="C3997" s="1">
        <v>45667</v>
      </c>
      <c r="D3997" t="s">
        <v>258</v>
      </c>
      <c r="E3997" t="s">
        <v>61</v>
      </c>
      <c r="F3997" t="s">
        <v>62</v>
      </c>
      <c r="G3997" t="s">
        <v>106</v>
      </c>
      <c r="H3997" t="s">
        <v>108</v>
      </c>
      <c r="I3997" s="2">
        <v>5</v>
      </c>
      <c r="J3997" s="3">
        <v>24.5</v>
      </c>
      <c r="K3997" s="4">
        <v>0</v>
      </c>
      <c r="L3997" s="3">
        <v>122.5</v>
      </c>
      <c r="M3997" t="b">
        <v>1</v>
      </c>
      <c r="N3997" s="2">
        <f>YEAR(B3997)</f>
        <v>2025</v>
      </c>
      <c r="O3997" t="str">
        <f>INDEX(Agences!$C:$C,MATCH(F3997,Agences!$A:$A,0))</f>
        <v>Méditerranée</v>
      </c>
      <c r="P3997" t="str">
        <f>INDEX(Produits!$C:$C,MATCH(H3997,Produits!$A:$A,0))</f>
        <v>Fournitures</v>
      </c>
      <c r="Q3997" s="3">
        <f>I3997*INDEX(Produits!$E:$E,MATCH(H3997,Produits!$A:$A,0))</f>
        <v>73.5</v>
      </c>
      <c r="R3997" s="3">
        <f>L3997-Q3997</f>
        <v>49</v>
      </c>
      <c r="S3997" s="2">
        <f>NETWORKDAYS(B3997,C3997)-1</f>
        <v>1</v>
      </c>
      <c r="T3997" s="1">
        <f>WORKDAY(B3997,5)</f>
        <v>45673</v>
      </c>
      <c r="U3997" t="b">
        <f>C3997&gt;T3997</f>
        <v>0</v>
      </c>
    </row>
    <row r="3998" spans="1:21" x14ac:dyDescent="0.25">
      <c r="A3998" t="s">
        <v>2321</v>
      </c>
      <c r="B3998" s="1">
        <v>45666</v>
      </c>
      <c r="C3998" s="1">
        <v>45667</v>
      </c>
      <c r="D3998" t="s">
        <v>258</v>
      </c>
      <c r="E3998" t="s">
        <v>61</v>
      </c>
      <c r="F3998" t="s">
        <v>62</v>
      </c>
      <c r="G3998" t="s">
        <v>106</v>
      </c>
      <c r="H3998" t="s">
        <v>27</v>
      </c>
      <c r="I3998" s="2">
        <v>1</v>
      </c>
      <c r="J3998" s="3">
        <v>310</v>
      </c>
      <c r="K3998" s="4">
        <v>0.08</v>
      </c>
      <c r="L3998" s="3">
        <v>285.2</v>
      </c>
      <c r="M3998" t="b">
        <v>1</v>
      </c>
      <c r="N3998" s="2">
        <f>YEAR(B3998)</f>
        <v>2025</v>
      </c>
      <c r="O3998" t="str">
        <f>INDEX(Agences!$C:$C,MATCH(F3998,Agences!$A:$A,0))</f>
        <v>Méditerranée</v>
      </c>
      <c r="P3998" t="str">
        <f>INDEX(Produits!$C:$C,MATCH(H3998,Produits!$A:$A,0))</f>
        <v>Mobilier</v>
      </c>
      <c r="Q3998" s="3">
        <f>I3998*INDEX(Produits!$E:$E,MATCH(H3998,Produits!$A:$A,0))</f>
        <v>186</v>
      </c>
      <c r="R3998" s="3">
        <f>L3998-Q3998</f>
        <v>99.19999999999999</v>
      </c>
      <c r="S3998" s="2">
        <f>NETWORKDAYS(B3998,C3998)-1</f>
        <v>1</v>
      </c>
      <c r="T3998" s="1">
        <f>WORKDAY(B3998,5)</f>
        <v>45673</v>
      </c>
      <c r="U3998" t="b">
        <f>C3998&gt;T3998</f>
        <v>0</v>
      </c>
    </row>
    <row r="3999" spans="1:21" x14ac:dyDescent="0.25">
      <c r="A3999" t="s">
        <v>2322</v>
      </c>
      <c r="B3999" s="1">
        <v>45665</v>
      </c>
      <c r="C3999" s="1">
        <v>45672</v>
      </c>
      <c r="D3999" t="s">
        <v>1506</v>
      </c>
      <c r="E3999" t="s">
        <v>339</v>
      </c>
      <c r="F3999" t="s">
        <v>31</v>
      </c>
      <c r="G3999" t="s">
        <v>375</v>
      </c>
      <c r="H3999" t="s">
        <v>42</v>
      </c>
      <c r="I3999" s="2">
        <v>2</v>
      </c>
      <c r="J3999" s="3">
        <v>55</v>
      </c>
      <c r="K3999" s="4">
        <v>0</v>
      </c>
      <c r="L3999" s="3">
        <v>110</v>
      </c>
      <c r="M3999" t="b">
        <v>1</v>
      </c>
      <c r="N3999" s="2">
        <f>YEAR(B3999)</f>
        <v>2025</v>
      </c>
      <c r="O3999" t="str">
        <f>INDEX(Agences!$C:$C,MATCH(F3999,Agences!$A:$A,0))</f>
        <v>Ouest</v>
      </c>
      <c r="P3999" t="str">
        <f>INDEX(Produits!$C:$C,MATCH(H3999,Produits!$A:$A,0))</f>
        <v>Maintenance</v>
      </c>
      <c r="Q3999" s="3">
        <f>I3999*INDEX(Produits!$E:$E,MATCH(H3999,Produits!$A:$A,0))</f>
        <v>49.5</v>
      </c>
      <c r="R3999" s="3">
        <f>L3999-Q3999</f>
        <v>60.5</v>
      </c>
      <c r="S3999" s="2">
        <f>NETWORKDAYS(B3999,C3999)-1</f>
        <v>5</v>
      </c>
      <c r="T3999" s="1">
        <f>WORKDAY(B3999,5)</f>
        <v>45672</v>
      </c>
      <c r="U3999" t="b">
        <f>C3999&gt;T3999</f>
        <v>0</v>
      </c>
    </row>
    <row r="4000" spans="1:21" x14ac:dyDescent="0.25">
      <c r="A4000" t="s">
        <v>2322</v>
      </c>
      <c r="B4000" s="1">
        <v>45665</v>
      </c>
      <c r="C4000" s="1">
        <v>45672</v>
      </c>
      <c r="D4000" t="s">
        <v>1506</v>
      </c>
      <c r="E4000" t="s">
        <v>339</v>
      </c>
      <c r="F4000" t="s">
        <v>31</v>
      </c>
      <c r="G4000" t="s">
        <v>375</v>
      </c>
      <c r="H4000" t="s">
        <v>64</v>
      </c>
      <c r="I4000" s="2">
        <v>5</v>
      </c>
      <c r="J4000" s="3">
        <v>16.8</v>
      </c>
      <c r="K4000" s="4">
        <v>0.02</v>
      </c>
      <c r="L4000" s="3">
        <v>82.32</v>
      </c>
      <c r="M4000" t="b">
        <v>1</v>
      </c>
      <c r="N4000" s="2">
        <f>YEAR(B4000)</f>
        <v>2025</v>
      </c>
      <c r="O4000" t="str">
        <f>INDEX(Agences!$C:$C,MATCH(F4000,Agences!$A:$A,0))</f>
        <v>Ouest</v>
      </c>
      <c r="P4000" t="str">
        <f>INDEX(Produits!$C:$C,MATCH(H4000,Produits!$A:$A,0))</f>
        <v>Fournitures</v>
      </c>
      <c r="Q4000" s="3">
        <f>I4000*INDEX(Produits!$E:$E,MATCH(H4000,Produits!$A:$A,0))</f>
        <v>43.7</v>
      </c>
      <c r="R4000" s="3">
        <f>L4000-Q4000</f>
        <v>38.61999999999999</v>
      </c>
      <c r="S4000" s="2">
        <f>NETWORKDAYS(B4000,C4000)-1</f>
        <v>5</v>
      </c>
      <c r="T4000" s="1">
        <f>WORKDAY(B4000,5)</f>
        <v>45672</v>
      </c>
      <c r="U4000" t="b">
        <f>C4000&gt;T4000</f>
        <v>0</v>
      </c>
    </row>
    <row r="4001" spans="1:21" x14ac:dyDescent="0.25">
      <c r="A4001" t="s">
        <v>2323</v>
      </c>
      <c r="B4001" s="1">
        <v>45665</v>
      </c>
      <c r="C4001" s="1">
        <v>45672</v>
      </c>
      <c r="D4001" t="s">
        <v>321</v>
      </c>
      <c r="E4001" t="s">
        <v>38</v>
      </c>
      <c r="F4001" t="s">
        <v>39</v>
      </c>
      <c r="G4001" t="s">
        <v>322</v>
      </c>
      <c r="H4001" t="s">
        <v>50</v>
      </c>
      <c r="I4001" s="2">
        <v>1</v>
      </c>
      <c r="J4001" s="3">
        <v>69</v>
      </c>
      <c r="K4001" s="4">
        <v>0</v>
      </c>
      <c r="L4001" s="3">
        <v>69</v>
      </c>
      <c r="M4001" t="b">
        <v>1</v>
      </c>
      <c r="N4001" s="2">
        <f>YEAR(B4001)</f>
        <v>2025</v>
      </c>
      <c r="O4001" t="str">
        <f>INDEX(Agences!$C:$C,MATCH(F4001,Agences!$A:$A,0))</f>
        <v>Sud-Ouest</v>
      </c>
      <c r="P4001" t="str">
        <f>INDEX(Produits!$C:$C,MATCH(H4001,Produits!$A:$A,0))</f>
        <v>Informatique</v>
      </c>
      <c r="Q4001" s="3">
        <f>I4001*INDEX(Produits!$E:$E,MATCH(H4001,Produits!$A:$A,0))</f>
        <v>54.51</v>
      </c>
      <c r="R4001" s="3">
        <f>L4001-Q4001</f>
        <v>14.490000000000002</v>
      </c>
      <c r="S4001" s="2">
        <f>NETWORKDAYS(B4001,C4001)-1</f>
        <v>5</v>
      </c>
      <c r="T4001" s="1">
        <f>WORKDAY(B4001,5)</f>
        <v>45672</v>
      </c>
      <c r="U4001" t="b">
        <f>C4001&gt;T4001</f>
        <v>0</v>
      </c>
    </row>
    <row r="4002" spans="1:21" x14ac:dyDescent="0.25">
      <c r="A4002" t="s">
        <v>2323</v>
      </c>
      <c r="B4002" s="1">
        <v>45665</v>
      </c>
      <c r="C4002" s="1">
        <v>45672</v>
      </c>
      <c r="D4002" t="s">
        <v>321</v>
      </c>
      <c r="E4002" t="s">
        <v>38</v>
      </c>
      <c r="F4002" t="s">
        <v>39</v>
      </c>
      <c r="G4002" t="s">
        <v>322</v>
      </c>
      <c r="H4002" t="s">
        <v>48</v>
      </c>
      <c r="I4002" s="2">
        <v>1</v>
      </c>
      <c r="J4002" s="3">
        <v>165</v>
      </c>
      <c r="K4002" s="4">
        <v>0.1</v>
      </c>
      <c r="L4002" s="3">
        <v>148.5</v>
      </c>
      <c r="M4002" t="b">
        <v>1</v>
      </c>
      <c r="N4002" s="2">
        <f>YEAR(B4002)</f>
        <v>2025</v>
      </c>
      <c r="O4002" t="str">
        <f>INDEX(Agences!$C:$C,MATCH(F4002,Agences!$A:$A,0))</f>
        <v>Sud-Ouest</v>
      </c>
      <c r="P4002" t="str">
        <f>INDEX(Produits!$C:$C,MATCH(H4002,Produits!$A:$A,0))</f>
        <v>Mobilier</v>
      </c>
      <c r="Q4002" s="3">
        <f>I4002*INDEX(Produits!$E:$E,MATCH(H4002,Produits!$A:$A,0))</f>
        <v>107.25</v>
      </c>
      <c r="R4002" s="3">
        <f>L4002-Q4002</f>
        <v>41.25</v>
      </c>
      <c r="S4002" s="2">
        <f>NETWORKDAYS(B4002,C4002)-1</f>
        <v>5</v>
      </c>
      <c r="T4002" s="1">
        <f>WORKDAY(B4002,5)</f>
        <v>45672</v>
      </c>
      <c r="U4002" t="b">
        <f>C4002&gt;T4002</f>
        <v>0</v>
      </c>
    </row>
    <row r="4003" spans="1:21" x14ac:dyDescent="0.25">
      <c r="A4003" t="s">
        <v>2324</v>
      </c>
      <c r="B4003" s="1">
        <v>45665</v>
      </c>
      <c r="C4003" s="1">
        <v>45670</v>
      </c>
      <c r="D4003" t="s">
        <v>148</v>
      </c>
      <c r="E4003" t="s">
        <v>149</v>
      </c>
      <c r="F4003" t="s">
        <v>88</v>
      </c>
      <c r="G4003" t="s">
        <v>89</v>
      </c>
      <c r="H4003" t="s">
        <v>42</v>
      </c>
      <c r="I4003" s="2">
        <v>1</v>
      </c>
      <c r="J4003" s="3">
        <v>55</v>
      </c>
      <c r="K4003" s="4">
        <v>0.02</v>
      </c>
      <c r="L4003" s="3">
        <v>53.9</v>
      </c>
      <c r="M4003" t="b">
        <v>1</v>
      </c>
      <c r="N4003" s="2">
        <f>YEAR(B4003)</f>
        <v>2025</v>
      </c>
      <c r="O4003" t="str">
        <f>INDEX(Agences!$C:$C,MATCH(F4003,Agences!$A:$A,0))</f>
        <v>Sud-Ouest</v>
      </c>
      <c r="P4003" t="str">
        <f>INDEX(Produits!$C:$C,MATCH(H4003,Produits!$A:$A,0))</f>
        <v>Maintenance</v>
      </c>
      <c r="Q4003" s="3">
        <f>I4003*INDEX(Produits!$E:$E,MATCH(H4003,Produits!$A:$A,0))</f>
        <v>24.75</v>
      </c>
      <c r="R4003" s="3">
        <f>L4003-Q4003</f>
        <v>29.15</v>
      </c>
      <c r="S4003" s="2">
        <f>NETWORKDAYS(B4003,C4003)-1</f>
        <v>3</v>
      </c>
      <c r="T4003" s="1">
        <f>WORKDAY(B4003,5)</f>
        <v>45672</v>
      </c>
      <c r="U4003" t="b">
        <f>C4003&gt;T4003</f>
        <v>0</v>
      </c>
    </row>
    <row r="4004" spans="1:21" x14ac:dyDescent="0.25">
      <c r="A4004" t="s">
        <v>2324</v>
      </c>
      <c r="B4004" s="1">
        <v>45665</v>
      </c>
      <c r="C4004" s="1">
        <v>45670</v>
      </c>
      <c r="D4004" t="s">
        <v>148</v>
      </c>
      <c r="E4004" t="s">
        <v>149</v>
      </c>
      <c r="F4004" t="s">
        <v>88</v>
      </c>
      <c r="G4004" t="s">
        <v>89</v>
      </c>
      <c r="H4004" t="s">
        <v>35</v>
      </c>
      <c r="I4004" s="2">
        <v>1</v>
      </c>
      <c r="J4004" s="3">
        <v>79</v>
      </c>
      <c r="K4004" s="4">
        <v>0</v>
      </c>
      <c r="L4004" s="3">
        <v>79</v>
      </c>
      <c r="M4004" t="b">
        <v>1</v>
      </c>
      <c r="N4004" s="2">
        <f>YEAR(B4004)</f>
        <v>2025</v>
      </c>
      <c r="O4004" t="str">
        <f>INDEX(Agences!$C:$C,MATCH(F4004,Agences!$A:$A,0))</f>
        <v>Sud-Ouest</v>
      </c>
      <c r="P4004" t="str">
        <f>INDEX(Produits!$C:$C,MATCH(H4004,Produits!$A:$A,0))</f>
        <v>Mobilier</v>
      </c>
      <c r="Q4004" s="3">
        <f>I4004*INDEX(Produits!$E:$E,MATCH(H4004,Produits!$A:$A,0))</f>
        <v>46.61</v>
      </c>
      <c r="R4004" s="3">
        <f>L4004-Q4004</f>
        <v>32.39</v>
      </c>
      <c r="S4004" s="2">
        <f>NETWORKDAYS(B4004,C4004)-1</f>
        <v>3</v>
      </c>
      <c r="T4004" s="1">
        <f>WORKDAY(B4004,5)</f>
        <v>45672</v>
      </c>
      <c r="U4004" t="b">
        <f>C4004&gt;T4004</f>
        <v>0</v>
      </c>
    </row>
    <row r="4005" spans="1:21" x14ac:dyDescent="0.25">
      <c r="A4005" t="s">
        <v>2325</v>
      </c>
      <c r="B4005" s="1">
        <v>45664</v>
      </c>
      <c r="C4005" s="1">
        <v>45670</v>
      </c>
      <c r="D4005" t="s">
        <v>964</v>
      </c>
      <c r="E4005" t="s">
        <v>122</v>
      </c>
      <c r="F4005" t="s">
        <v>24</v>
      </c>
      <c r="G4005" t="s">
        <v>25</v>
      </c>
      <c r="H4005" t="s">
        <v>83</v>
      </c>
      <c r="I4005" s="2">
        <v>1</v>
      </c>
      <c r="J4005" s="3">
        <v>49</v>
      </c>
      <c r="K4005" s="4">
        <v>0.05</v>
      </c>
      <c r="L4005" s="3">
        <v>46.55</v>
      </c>
      <c r="M4005" t="b">
        <v>1</v>
      </c>
      <c r="N4005" s="2">
        <f>YEAR(B4005)</f>
        <v>2025</v>
      </c>
      <c r="O4005" t="str">
        <f>INDEX(Agences!$C:$C,MATCH(F4005,Agences!$A:$A,0))</f>
        <v>Nord</v>
      </c>
      <c r="P4005" t="str">
        <f>INDEX(Produits!$C:$C,MATCH(H4005,Produits!$A:$A,0))</f>
        <v>Mobilier</v>
      </c>
      <c r="Q4005" s="3">
        <f>I4005*INDEX(Produits!$E:$E,MATCH(H4005,Produits!$A:$A,0))</f>
        <v>28.42</v>
      </c>
      <c r="R4005" s="3">
        <f>L4005-Q4005</f>
        <v>18.129999999999995</v>
      </c>
      <c r="S4005" s="2">
        <f>NETWORKDAYS(B4005,C4005)-1</f>
        <v>4</v>
      </c>
      <c r="T4005" s="1">
        <f>WORKDAY(B4005,5)</f>
        <v>45671</v>
      </c>
      <c r="U4005" t="b">
        <f>C4005&gt;T4005</f>
        <v>0</v>
      </c>
    </row>
    <row r="4006" spans="1:21" x14ac:dyDescent="0.25">
      <c r="A4006" t="s">
        <v>2325</v>
      </c>
      <c r="B4006" s="1">
        <v>45664</v>
      </c>
      <c r="C4006" s="1">
        <v>45670</v>
      </c>
      <c r="D4006" t="s">
        <v>964</v>
      </c>
      <c r="E4006" t="s">
        <v>122</v>
      </c>
      <c r="F4006" t="s">
        <v>24</v>
      </c>
      <c r="G4006" t="s">
        <v>25</v>
      </c>
      <c r="H4006" t="s">
        <v>42</v>
      </c>
      <c r="I4006" s="2">
        <v>1</v>
      </c>
      <c r="J4006" s="3">
        <v>55</v>
      </c>
      <c r="K4006" s="4">
        <v>0</v>
      </c>
      <c r="L4006" s="3">
        <v>55</v>
      </c>
      <c r="M4006" t="b">
        <v>1</v>
      </c>
      <c r="N4006" s="2">
        <f>YEAR(B4006)</f>
        <v>2025</v>
      </c>
      <c r="O4006" t="str">
        <f>INDEX(Agences!$C:$C,MATCH(F4006,Agences!$A:$A,0))</f>
        <v>Nord</v>
      </c>
      <c r="P4006" t="str">
        <f>INDEX(Produits!$C:$C,MATCH(H4006,Produits!$A:$A,0))</f>
        <v>Maintenance</v>
      </c>
      <c r="Q4006" s="3">
        <f>I4006*INDEX(Produits!$E:$E,MATCH(H4006,Produits!$A:$A,0))</f>
        <v>24.75</v>
      </c>
      <c r="R4006" s="3">
        <f>L4006-Q4006</f>
        <v>30.25</v>
      </c>
      <c r="S4006" s="2">
        <f>NETWORKDAYS(B4006,C4006)-1</f>
        <v>4</v>
      </c>
      <c r="T4006" s="1">
        <f>WORKDAY(B4006,5)</f>
        <v>45671</v>
      </c>
      <c r="U4006" t="b">
        <f>C4006&gt;T4006</f>
        <v>0</v>
      </c>
    </row>
    <row r="4007" spans="1:21" x14ac:dyDescent="0.25">
      <c r="A4007" t="s">
        <v>2325</v>
      </c>
      <c r="B4007" s="1">
        <v>45664</v>
      </c>
      <c r="C4007" s="1">
        <v>45670</v>
      </c>
      <c r="D4007" t="s">
        <v>964</v>
      </c>
      <c r="E4007" t="s">
        <v>122</v>
      </c>
      <c r="F4007" t="s">
        <v>24</v>
      </c>
      <c r="G4007" t="s">
        <v>25</v>
      </c>
      <c r="H4007" t="s">
        <v>51</v>
      </c>
      <c r="I4007" s="2">
        <v>1</v>
      </c>
      <c r="J4007" s="3">
        <v>180</v>
      </c>
      <c r="K4007" s="4">
        <v>0.05</v>
      </c>
      <c r="L4007" s="3">
        <v>171</v>
      </c>
      <c r="M4007" t="b">
        <v>1</v>
      </c>
      <c r="N4007" s="2">
        <f>YEAR(B4007)</f>
        <v>2025</v>
      </c>
      <c r="O4007" t="str">
        <f>INDEX(Agences!$C:$C,MATCH(F4007,Agences!$A:$A,0))</f>
        <v>Nord</v>
      </c>
      <c r="P4007" t="str">
        <f>INDEX(Produits!$C:$C,MATCH(H4007,Produits!$A:$A,0))</f>
        <v>Maintenance</v>
      </c>
      <c r="Q4007" s="3">
        <f>I4007*INDEX(Produits!$E:$E,MATCH(H4007,Produits!$A:$A,0))</f>
        <v>82.8</v>
      </c>
      <c r="R4007" s="3">
        <f>L4007-Q4007</f>
        <v>88.2</v>
      </c>
      <c r="S4007" s="2">
        <f>NETWORKDAYS(B4007,C4007)-1</f>
        <v>4</v>
      </c>
      <c r="T4007" s="1">
        <f>WORKDAY(B4007,5)</f>
        <v>45671</v>
      </c>
      <c r="U4007" t="b">
        <f>C4007&gt;T4007</f>
        <v>0</v>
      </c>
    </row>
    <row r="4008" spans="1:21" x14ac:dyDescent="0.25">
      <c r="A4008" t="s">
        <v>2325</v>
      </c>
      <c r="B4008" s="1">
        <v>45664</v>
      </c>
      <c r="C4008" s="1">
        <v>45670</v>
      </c>
      <c r="D4008" t="s">
        <v>964</v>
      </c>
      <c r="E4008" t="s">
        <v>122</v>
      </c>
      <c r="F4008" t="s">
        <v>24</v>
      </c>
      <c r="G4008" t="s">
        <v>25</v>
      </c>
      <c r="H4008" t="s">
        <v>161</v>
      </c>
      <c r="I4008" s="2">
        <v>5</v>
      </c>
      <c r="J4008" s="3">
        <v>32</v>
      </c>
      <c r="K4008" s="4">
        <v>0.08</v>
      </c>
      <c r="L4008" s="3">
        <v>147.2</v>
      </c>
      <c r="M4008" t="b">
        <v>1</v>
      </c>
      <c r="N4008" s="2">
        <f>YEAR(B4008)</f>
        <v>2025</v>
      </c>
      <c r="O4008" t="str">
        <f>INDEX(Agences!$C:$C,MATCH(F4008,Agences!$A:$A,0))</f>
        <v>Nord</v>
      </c>
      <c r="P4008" t="str">
        <f>INDEX(Produits!$C:$C,MATCH(H4008,Produits!$A:$A,0))</f>
        <v>Fournitures</v>
      </c>
      <c r="Q4008" s="3">
        <f>I4008*INDEX(Produits!$E:$E,MATCH(H4008,Produits!$A:$A,0))</f>
        <v>88</v>
      </c>
      <c r="R4008" s="3">
        <f>L4008-Q4008</f>
        <v>59.19999999999999</v>
      </c>
      <c r="S4008" s="2">
        <f>NETWORKDAYS(B4008,C4008)-1</f>
        <v>4</v>
      </c>
      <c r="T4008" s="1">
        <f>WORKDAY(B4008,5)</f>
        <v>45671</v>
      </c>
      <c r="U4008" t="b">
        <f>C4008&gt;T4008</f>
        <v>0</v>
      </c>
    </row>
    <row r="4009" spans="1:21" x14ac:dyDescent="0.25">
      <c r="A4009" t="s">
        <v>2326</v>
      </c>
      <c r="B4009" s="1">
        <v>45664</v>
      </c>
      <c r="C4009" s="1">
        <v>45666</v>
      </c>
      <c r="D4009" t="s">
        <v>1705</v>
      </c>
      <c r="E4009" t="s">
        <v>165</v>
      </c>
      <c r="F4009" t="s">
        <v>166</v>
      </c>
      <c r="G4009" t="s">
        <v>167</v>
      </c>
      <c r="H4009" t="s">
        <v>162</v>
      </c>
      <c r="I4009" s="2">
        <v>3</v>
      </c>
      <c r="J4009" s="3">
        <v>289</v>
      </c>
      <c r="K4009" s="4">
        <v>0.02</v>
      </c>
      <c r="L4009" s="3">
        <v>849.66</v>
      </c>
      <c r="M4009" t="b">
        <v>1</v>
      </c>
      <c r="N4009" s="2">
        <f>YEAR(B4009)</f>
        <v>2025</v>
      </c>
      <c r="O4009" t="str">
        <f>INDEX(Agences!$C:$C,MATCH(F4009,Agences!$A:$A,0))</f>
        <v>Ouest</v>
      </c>
      <c r="P4009" t="str">
        <f>INDEX(Produits!$C:$C,MATCH(H4009,Produits!$A:$A,0))</f>
        <v>Mobilier</v>
      </c>
      <c r="Q4009" s="3">
        <f>I4009*INDEX(Produits!$E:$E,MATCH(H4009,Produits!$A:$A,0))</f>
        <v>580.89</v>
      </c>
      <c r="R4009" s="3">
        <f>L4009-Q4009</f>
        <v>268.77</v>
      </c>
      <c r="S4009" s="2">
        <f>NETWORKDAYS(B4009,C4009)-1</f>
        <v>2</v>
      </c>
      <c r="T4009" s="1">
        <f>WORKDAY(B4009,5)</f>
        <v>45671</v>
      </c>
      <c r="U4009" t="b">
        <f>C4009&gt;T4009</f>
        <v>0</v>
      </c>
    </row>
    <row r="4010" spans="1:21" x14ac:dyDescent="0.25">
      <c r="A4010" t="s">
        <v>2326</v>
      </c>
      <c r="B4010" s="1">
        <v>45664</v>
      </c>
      <c r="C4010" s="1">
        <v>45666</v>
      </c>
      <c r="D4010" t="s">
        <v>1705</v>
      </c>
      <c r="E4010" t="s">
        <v>165</v>
      </c>
      <c r="F4010" t="s">
        <v>166</v>
      </c>
      <c r="G4010" t="s">
        <v>167</v>
      </c>
      <c r="H4010" t="s">
        <v>49</v>
      </c>
      <c r="I4010" s="2">
        <v>2</v>
      </c>
      <c r="J4010" s="3">
        <v>120</v>
      </c>
      <c r="K4010" s="4">
        <v>0</v>
      </c>
      <c r="L4010" s="3">
        <v>240</v>
      </c>
      <c r="M4010" t="b">
        <v>1</v>
      </c>
      <c r="N4010" s="2">
        <f>YEAR(B4010)</f>
        <v>2025</v>
      </c>
      <c r="O4010" t="str">
        <f>INDEX(Agences!$C:$C,MATCH(F4010,Agences!$A:$A,0))</f>
        <v>Ouest</v>
      </c>
      <c r="P4010" t="str">
        <f>INDEX(Produits!$C:$C,MATCH(H4010,Produits!$A:$A,0))</f>
        <v>Maintenance</v>
      </c>
      <c r="Q4010" s="3">
        <f>I4010*INDEX(Produits!$E:$E,MATCH(H4010,Produits!$A:$A,0))</f>
        <v>110.4</v>
      </c>
      <c r="R4010" s="3">
        <f>L4010-Q4010</f>
        <v>129.6</v>
      </c>
      <c r="S4010" s="2">
        <f>NETWORKDAYS(B4010,C4010)-1</f>
        <v>2</v>
      </c>
      <c r="T4010" s="1">
        <f>WORKDAY(B4010,5)</f>
        <v>45671</v>
      </c>
      <c r="U4010" t="b">
        <f>C4010&gt;T4010</f>
        <v>0</v>
      </c>
    </row>
    <row r="4011" spans="1:21" x14ac:dyDescent="0.25">
      <c r="A4011" t="s">
        <v>2326</v>
      </c>
      <c r="B4011" s="1">
        <v>45664</v>
      </c>
      <c r="C4011" s="1">
        <v>45666</v>
      </c>
      <c r="D4011" t="s">
        <v>1705</v>
      </c>
      <c r="E4011" t="s">
        <v>165</v>
      </c>
      <c r="F4011" t="s">
        <v>166</v>
      </c>
      <c r="G4011" t="s">
        <v>167</v>
      </c>
      <c r="H4011" t="s">
        <v>57</v>
      </c>
      <c r="I4011" s="2">
        <v>1</v>
      </c>
      <c r="J4011" s="3">
        <v>149</v>
      </c>
      <c r="K4011" s="4">
        <v>0.05</v>
      </c>
      <c r="L4011" s="3">
        <v>141.55</v>
      </c>
      <c r="M4011" t="b">
        <v>1</v>
      </c>
      <c r="N4011" s="2">
        <f>YEAR(B4011)</f>
        <v>2025</v>
      </c>
      <c r="O4011" t="str">
        <f>INDEX(Agences!$C:$C,MATCH(F4011,Agences!$A:$A,0))</f>
        <v>Ouest</v>
      </c>
      <c r="P4011" t="str">
        <f>INDEX(Produits!$C:$C,MATCH(H4011,Produits!$A:$A,0))</f>
        <v>Informatique</v>
      </c>
      <c r="Q4011" s="3">
        <f>I4011*INDEX(Produits!$E:$E,MATCH(H4011,Produits!$A:$A,0))</f>
        <v>114.73</v>
      </c>
      <c r="R4011" s="3">
        <f>L4011-Q4011</f>
        <v>26.820000000000007</v>
      </c>
      <c r="S4011" s="2">
        <f>NETWORKDAYS(B4011,C4011)-1</f>
        <v>2</v>
      </c>
      <c r="T4011" s="1">
        <f>WORKDAY(B4011,5)</f>
        <v>45671</v>
      </c>
      <c r="U4011" t="b">
        <f>C4011&gt;T4011</f>
        <v>0</v>
      </c>
    </row>
    <row r="4012" spans="1:21" x14ac:dyDescent="0.25">
      <c r="A4012" t="s">
        <v>2326</v>
      </c>
      <c r="B4012" s="1">
        <v>45664</v>
      </c>
      <c r="C4012" s="1">
        <v>45666</v>
      </c>
      <c r="D4012" t="s">
        <v>1705</v>
      </c>
      <c r="E4012" t="s">
        <v>165</v>
      </c>
      <c r="F4012" t="s">
        <v>166</v>
      </c>
      <c r="G4012" t="s">
        <v>167</v>
      </c>
      <c r="H4012" t="s">
        <v>72</v>
      </c>
      <c r="I4012" s="2">
        <v>4</v>
      </c>
      <c r="J4012" s="3">
        <v>179</v>
      </c>
      <c r="K4012" s="4">
        <v>0</v>
      </c>
      <c r="L4012" s="3">
        <v>716</v>
      </c>
      <c r="M4012" t="b">
        <v>1</v>
      </c>
      <c r="N4012" s="2">
        <f>YEAR(B4012)</f>
        <v>2025</v>
      </c>
      <c r="O4012" t="str">
        <f>INDEX(Agences!$C:$C,MATCH(F4012,Agences!$A:$A,0))</f>
        <v>Ouest</v>
      </c>
      <c r="P4012" t="str">
        <f>INDEX(Produits!$C:$C,MATCH(H4012,Produits!$A:$A,0))</f>
        <v>Informatique</v>
      </c>
      <c r="Q4012" s="3">
        <f>I4012*INDEX(Produits!$E:$E,MATCH(H4012,Produits!$A:$A,0))</f>
        <v>587.12</v>
      </c>
      <c r="R4012" s="3">
        <f>L4012-Q4012</f>
        <v>128.88</v>
      </c>
      <c r="S4012" s="2">
        <f>NETWORKDAYS(B4012,C4012)-1</f>
        <v>2</v>
      </c>
      <c r="T4012" s="1">
        <f>WORKDAY(B4012,5)</f>
        <v>45671</v>
      </c>
      <c r="U4012" t="b">
        <f>C4012&gt;T4012</f>
        <v>0</v>
      </c>
    </row>
    <row r="4013" spans="1:21" x14ac:dyDescent="0.25">
      <c r="A4013" t="s">
        <v>2327</v>
      </c>
      <c r="B4013" s="1">
        <v>45664</v>
      </c>
      <c r="C4013" s="1">
        <v>45667</v>
      </c>
      <c r="D4013" t="s">
        <v>1345</v>
      </c>
      <c r="E4013" t="s">
        <v>149</v>
      </c>
      <c r="F4013" t="s">
        <v>88</v>
      </c>
      <c r="G4013" t="s">
        <v>89</v>
      </c>
      <c r="H4013" t="s">
        <v>79</v>
      </c>
      <c r="I4013" s="2">
        <v>10</v>
      </c>
      <c r="J4013" s="3">
        <v>14.9</v>
      </c>
      <c r="K4013" s="4">
        <v>0.08</v>
      </c>
      <c r="L4013" s="3">
        <v>137.08</v>
      </c>
      <c r="M4013" t="b">
        <v>1</v>
      </c>
      <c r="N4013" s="2">
        <f>YEAR(B4013)</f>
        <v>2025</v>
      </c>
      <c r="O4013" t="str">
        <f>INDEX(Agences!$C:$C,MATCH(F4013,Agences!$A:$A,0))</f>
        <v>Sud-Ouest</v>
      </c>
      <c r="P4013" t="str">
        <f>INDEX(Produits!$C:$C,MATCH(H4013,Produits!$A:$A,0))</f>
        <v>Fournitures</v>
      </c>
      <c r="Q4013" s="3">
        <f>I4013*INDEX(Produits!$E:$E,MATCH(H4013,Produits!$A:$A,0))</f>
        <v>80.5</v>
      </c>
      <c r="R4013" s="3">
        <f>L4013-Q4013</f>
        <v>56.58000000000001</v>
      </c>
      <c r="S4013" s="2">
        <f>NETWORKDAYS(B4013,C4013)-1</f>
        <v>3</v>
      </c>
      <c r="T4013" s="1">
        <f>WORKDAY(B4013,5)</f>
        <v>45671</v>
      </c>
      <c r="U4013" t="b">
        <f>C4013&gt;T4013</f>
        <v>0</v>
      </c>
    </row>
    <row r="4014" spans="1:21" x14ac:dyDescent="0.25">
      <c r="A4014" t="s">
        <v>2327</v>
      </c>
      <c r="B4014" s="1">
        <v>45664</v>
      </c>
      <c r="C4014" s="1">
        <v>45667</v>
      </c>
      <c r="D4014" t="s">
        <v>1345</v>
      </c>
      <c r="E4014" t="s">
        <v>149</v>
      </c>
      <c r="F4014" t="s">
        <v>88</v>
      </c>
      <c r="G4014" t="s">
        <v>89</v>
      </c>
      <c r="H4014" t="s">
        <v>50</v>
      </c>
      <c r="I4014" s="2">
        <v>1</v>
      </c>
      <c r="J4014" s="3">
        <v>69</v>
      </c>
      <c r="K4014" s="4">
        <v>0</v>
      </c>
      <c r="L4014" s="3">
        <v>69</v>
      </c>
      <c r="M4014" t="b">
        <v>1</v>
      </c>
      <c r="N4014" s="2">
        <f>YEAR(B4014)</f>
        <v>2025</v>
      </c>
      <c r="O4014" t="str">
        <f>INDEX(Agences!$C:$C,MATCH(F4014,Agences!$A:$A,0))</f>
        <v>Sud-Ouest</v>
      </c>
      <c r="P4014" t="str">
        <f>INDEX(Produits!$C:$C,MATCH(H4014,Produits!$A:$A,0))</f>
        <v>Informatique</v>
      </c>
      <c r="Q4014" s="3">
        <f>I4014*INDEX(Produits!$E:$E,MATCH(H4014,Produits!$A:$A,0))</f>
        <v>54.51</v>
      </c>
      <c r="R4014" s="3">
        <f>L4014-Q4014</f>
        <v>14.490000000000002</v>
      </c>
      <c r="S4014" s="2">
        <f>NETWORKDAYS(B4014,C4014)-1</f>
        <v>3</v>
      </c>
      <c r="T4014" s="1">
        <f>WORKDAY(B4014,5)</f>
        <v>45671</v>
      </c>
      <c r="U4014" t="b">
        <f>C4014&gt;T4014</f>
        <v>0</v>
      </c>
    </row>
    <row r="4015" spans="1:21" x14ac:dyDescent="0.25">
      <c r="A4015" t="s">
        <v>2327</v>
      </c>
      <c r="B4015" s="1">
        <v>45664</v>
      </c>
      <c r="C4015" s="1">
        <v>45667</v>
      </c>
      <c r="D4015" t="s">
        <v>1345</v>
      </c>
      <c r="E4015" t="s">
        <v>149</v>
      </c>
      <c r="F4015" t="s">
        <v>88</v>
      </c>
      <c r="G4015" t="s">
        <v>89</v>
      </c>
      <c r="H4015" t="s">
        <v>49</v>
      </c>
      <c r="I4015" s="2">
        <v>1</v>
      </c>
      <c r="J4015" s="3">
        <v>120</v>
      </c>
      <c r="K4015" s="4">
        <v>0.02</v>
      </c>
      <c r="L4015" s="3">
        <v>117.6</v>
      </c>
      <c r="M4015" t="b">
        <v>1</v>
      </c>
      <c r="N4015" s="2">
        <f>YEAR(B4015)</f>
        <v>2025</v>
      </c>
      <c r="O4015" t="str">
        <f>INDEX(Agences!$C:$C,MATCH(F4015,Agences!$A:$A,0))</f>
        <v>Sud-Ouest</v>
      </c>
      <c r="P4015" t="str">
        <f>INDEX(Produits!$C:$C,MATCH(H4015,Produits!$A:$A,0))</f>
        <v>Maintenance</v>
      </c>
      <c r="Q4015" s="3">
        <f>I4015*INDEX(Produits!$E:$E,MATCH(H4015,Produits!$A:$A,0))</f>
        <v>55.2</v>
      </c>
      <c r="R4015" s="3">
        <f>L4015-Q4015</f>
        <v>62.39999999999999</v>
      </c>
      <c r="S4015" s="2">
        <f>NETWORKDAYS(B4015,C4015)-1</f>
        <v>3</v>
      </c>
      <c r="T4015" s="1">
        <f>WORKDAY(B4015,5)</f>
        <v>45671</v>
      </c>
      <c r="U4015" t="b">
        <f>C4015&gt;T4015</f>
        <v>0</v>
      </c>
    </row>
    <row r="4016" spans="1:21" x14ac:dyDescent="0.25">
      <c r="A4016" t="s">
        <v>2328</v>
      </c>
      <c r="B4016" s="1">
        <v>45664</v>
      </c>
      <c r="C4016" s="1">
        <v>45671</v>
      </c>
      <c r="D4016" t="s">
        <v>784</v>
      </c>
      <c r="E4016" t="s">
        <v>153</v>
      </c>
      <c r="F4016" t="s">
        <v>94</v>
      </c>
      <c r="G4016" t="s">
        <v>182</v>
      </c>
      <c r="H4016" t="s">
        <v>35</v>
      </c>
      <c r="I4016" s="2">
        <v>2</v>
      </c>
      <c r="J4016" s="3">
        <v>79</v>
      </c>
      <c r="K4016" s="4">
        <v>0.05</v>
      </c>
      <c r="L4016" s="3">
        <v>150.1</v>
      </c>
      <c r="M4016" t="b">
        <v>1</v>
      </c>
      <c r="N4016" s="2">
        <f>YEAR(B4016)</f>
        <v>2025</v>
      </c>
      <c r="O4016" t="str">
        <f>INDEX(Agences!$C:$C,MATCH(F4016,Agences!$A:$A,0))</f>
        <v>Méditerranée</v>
      </c>
      <c r="P4016" t="str">
        <f>INDEX(Produits!$C:$C,MATCH(H4016,Produits!$A:$A,0))</f>
        <v>Mobilier</v>
      </c>
      <c r="Q4016" s="3">
        <f>I4016*INDEX(Produits!$E:$E,MATCH(H4016,Produits!$A:$A,0))</f>
        <v>93.22</v>
      </c>
      <c r="R4016" s="3">
        <f>L4016-Q4016</f>
        <v>56.879999999999995</v>
      </c>
      <c r="S4016" s="2">
        <f>NETWORKDAYS(B4016,C4016)-1</f>
        <v>5</v>
      </c>
      <c r="T4016" s="1">
        <f>WORKDAY(B4016,5)</f>
        <v>45671</v>
      </c>
      <c r="U4016" t="b">
        <f>C4016&gt;T4016</f>
        <v>0</v>
      </c>
    </row>
    <row r="4017" spans="1:21" x14ac:dyDescent="0.25">
      <c r="A4017" t="s">
        <v>2328</v>
      </c>
      <c r="B4017" s="1">
        <v>45664</v>
      </c>
      <c r="C4017" s="1">
        <v>45671</v>
      </c>
      <c r="D4017" t="s">
        <v>784</v>
      </c>
      <c r="E4017" t="s">
        <v>153</v>
      </c>
      <c r="F4017" t="s">
        <v>94</v>
      </c>
      <c r="G4017" t="s">
        <v>182</v>
      </c>
      <c r="H4017" t="s">
        <v>205</v>
      </c>
      <c r="I4017" s="2">
        <v>1</v>
      </c>
      <c r="J4017" s="3">
        <v>359</v>
      </c>
      <c r="K4017" s="4">
        <v>0.05</v>
      </c>
      <c r="L4017" s="3">
        <v>341.05</v>
      </c>
      <c r="M4017" t="b">
        <v>1</v>
      </c>
      <c r="N4017" s="2">
        <f>YEAR(B4017)</f>
        <v>2025</v>
      </c>
      <c r="O4017" t="str">
        <f>INDEX(Agences!$C:$C,MATCH(F4017,Agences!$A:$A,0))</f>
        <v>Méditerranée</v>
      </c>
      <c r="P4017" t="str">
        <f>INDEX(Produits!$C:$C,MATCH(H4017,Produits!$A:$A,0))</f>
        <v>Mobilier</v>
      </c>
      <c r="Q4017" s="3">
        <f>I4017*INDEX(Produits!$E:$E,MATCH(H4017,Produits!$A:$A,0))</f>
        <v>204.63</v>
      </c>
      <c r="R4017" s="3">
        <f>L4017-Q4017</f>
        <v>136.42000000000002</v>
      </c>
      <c r="S4017" s="2">
        <f>NETWORKDAYS(B4017,C4017)-1</f>
        <v>5</v>
      </c>
      <c r="T4017" s="1">
        <f>WORKDAY(B4017,5)</f>
        <v>45671</v>
      </c>
      <c r="U4017" t="b">
        <f>C4017&gt;T4017</f>
        <v>0</v>
      </c>
    </row>
    <row r="4018" spans="1:21" x14ac:dyDescent="0.25">
      <c r="A4018" t="s">
        <v>2329</v>
      </c>
      <c r="B4018" s="1">
        <v>45663</v>
      </c>
      <c r="C4018" s="1">
        <v>45664</v>
      </c>
      <c r="D4018" t="s">
        <v>1278</v>
      </c>
      <c r="E4018" t="s">
        <v>172</v>
      </c>
      <c r="F4018" t="s">
        <v>99</v>
      </c>
      <c r="G4018" t="s">
        <v>265</v>
      </c>
      <c r="H4018" t="s">
        <v>42</v>
      </c>
      <c r="I4018" s="2">
        <v>2</v>
      </c>
      <c r="J4018" s="3">
        <v>55</v>
      </c>
      <c r="K4018" s="4">
        <v>0</v>
      </c>
      <c r="L4018" s="3">
        <v>110</v>
      </c>
      <c r="M4018" t="b">
        <v>1</v>
      </c>
      <c r="N4018" s="2">
        <f>YEAR(B4018)</f>
        <v>2025</v>
      </c>
      <c r="O4018" t="str">
        <f>INDEX(Agences!$C:$C,MATCH(F4018,Agences!$A:$A,0))</f>
        <v>Nord</v>
      </c>
      <c r="P4018" t="str">
        <f>INDEX(Produits!$C:$C,MATCH(H4018,Produits!$A:$A,0))</f>
        <v>Maintenance</v>
      </c>
      <c r="Q4018" s="3">
        <f>I4018*INDEX(Produits!$E:$E,MATCH(H4018,Produits!$A:$A,0))</f>
        <v>49.5</v>
      </c>
      <c r="R4018" s="3">
        <f>L4018-Q4018</f>
        <v>60.5</v>
      </c>
      <c r="S4018" s="2">
        <f>NETWORKDAYS(B4018,C4018)-1</f>
        <v>1</v>
      </c>
      <c r="T4018" s="1">
        <f>WORKDAY(B4018,5)</f>
        <v>45670</v>
      </c>
      <c r="U4018" t="b">
        <f>C4018&gt;T4018</f>
        <v>0</v>
      </c>
    </row>
    <row r="4019" spans="1:21" x14ac:dyDescent="0.25">
      <c r="A4019" t="s">
        <v>2329</v>
      </c>
      <c r="B4019" s="1">
        <v>45663</v>
      </c>
      <c r="C4019" s="1">
        <v>45664</v>
      </c>
      <c r="D4019" t="s">
        <v>1278</v>
      </c>
      <c r="E4019" t="s">
        <v>172</v>
      </c>
      <c r="F4019" t="s">
        <v>99</v>
      </c>
      <c r="G4019" t="s">
        <v>265</v>
      </c>
      <c r="H4019" t="s">
        <v>50</v>
      </c>
      <c r="I4019" s="2">
        <v>2</v>
      </c>
      <c r="J4019" s="3">
        <v>69</v>
      </c>
      <c r="K4019" s="4">
        <v>0.05</v>
      </c>
      <c r="L4019" s="3">
        <v>131.1</v>
      </c>
      <c r="M4019" t="b">
        <v>1</v>
      </c>
      <c r="N4019" s="2">
        <f>YEAR(B4019)</f>
        <v>2025</v>
      </c>
      <c r="O4019" t="str">
        <f>INDEX(Agences!$C:$C,MATCH(F4019,Agences!$A:$A,0))</f>
        <v>Nord</v>
      </c>
      <c r="P4019" t="str">
        <f>INDEX(Produits!$C:$C,MATCH(H4019,Produits!$A:$A,0))</f>
        <v>Informatique</v>
      </c>
      <c r="Q4019" s="3">
        <f>I4019*INDEX(Produits!$E:$E,MATCH(H4019,Produits!$A:$A,0))</f>
        <v>109.02</v>
      </c>
      <c r="R4019" s="3">
        <f>L4019-Q4019</f>
        <v>22.08</v>
      </c>
      <c r="S4019" s="2">
        <f>NETWORKDAYS(B4019,C4019)-1</f>
        <v>1</v>
      </c>
      <c r="T4019" s="1">
        <f>WORKDAY(B4019,5)</f>
        <v>45670</v>
      </c>
      <c r="U4019" t="b">
        <f>C4019&gt;T4019</f>
        <v>0</v>
      </c>
    </row>
    <row r="4020" spans="1:21" x14ac:dyDescent="0.25">
      <c r="A4020" t="s">
        <v>2329</v>
      </c>
      <c r="B4020" s="1">
        <v>45663</v>
      </c>
      <c r="C4020" s="1">
        <v>45664</v>
      </c>
      <c r="D4020" t="s">
        <v>1278</v>
      </c>
      <c r="E4020" t="s">
        <v>172</v>
      </c>
      <c r="F4020" t="s">
        <v>99</v>
      </c>
      <c r="G4020" t="s">
        <v>265</v>
      </c>
      <c r="H4020" t="s">
        <v>34</v>
      </c>
      <c r="I4020" s="2">
        <v>1</v>
      </c>
      <c r="J4020" s="3">
        <v>340</v>
      </c>
      <c r="K4020" s="4">
        <v>0.05</v>
      </c>
      <c r="L4020" s="3">
        <v>323</v>
      </c>
      <c r="M4020" t="b">
        <v>1</v>
      </c>
      <c r="N4020" s="2">
        <f>YEAR(B4020)</f>
        <v>2025</v>
      </c>
      <c r="O4020" t="str">
        <f>INDEX(Agences!$C:$C,MATCH(F4020,Agences!$A:$A,0))</f>
        <v>Nord</v>
      </c>
      <c r="P4020" t="str">
        <f>INDEX(Produits!$C:$C,MATCH(H4020,Produits!$A:$A,0))</f>
        <v>Informatique</v>
      </c>
      <c r="Q4020" s="3">
        <f>I4020*INDEX(Produits!$E:$E,MATCH(H4020,Produits!$A:$A,0))</f>
        <v>275.4</v>
      </c>
      <c r="R4020" s="3">
        <f>L4020-Q4020</f>
        <v>47.60000000000002</v>
      </c>
      <c r="S4020" s="2">
        <f>NETWORKDAYS(B4020,C4020)-1</f>
        <v>1</v>
      </c>
      <c r="T4020" s="1">
        <f>WORKDAY(B4020,5)</f>
        <v>45670</v>
      </c>
      <c r="U4020" t="b">
        <f>C4020&gt;T4020</f>
        <v>0</v>
      </c>
    </row>
    <row r="4021" spans="1:21" x14ac:dyDescent="0.25">
      <c r="A4021" t="s">
        <v>2329</v>
      </c>
      <c r="B4021" s="1">
        <v>45663</v>
      </c>
      <c r="C4021" s="1">
        <v>45664</v>
      </c>
      <c r="D4021" t="s">
        <v>1278</v>
      </c>
      <c r="E4021" t="s">
        <v>172</v>
      </c>
      <c r="F4021" t="s">
        <v>99</v>
      </c>
      <c r="G4021" t="s">
        <v>265</v>
      </c>
      <c r="H4021" t="s">
        <v>162</v>
      </c>
      <c r="I4021" s="2">
        <v>5</v>
      </c>
      <c r="J4021" s="3">
        <v>289</v>
      </c>
      <c r="K4021" s="4">
        <v>0.02</v>
      </c>
      <c r="L4021" s="3">
        <v>1416.1</v>
      </c>
      <c r="M4021" t="b">
        <v>1</v>
      </c>
      <c r="N4021" s="2">
        <f>YEAR(B4021)</f>
        <v>2025</v>
      </c>
      <c r="O4021" t="str">
        <f>INDEX(Agences!$C:$C,MATCH(F4021,Agences!$A:$A,0))</f>
        <v>Nord</v>
      </c>
      <c r="P4021" t="str">
        <f>INDEX(Produits!$C:$C,MATCH(H4021,Produits!$A:$A,0))</f>
        <v>Mobilier</v>
      </c>
      <c r="Q4021" s="3">
        <f>I4021*INDEX(Produits!$E:$E,MATCH(H4021,Produits!$A:$A,0))</f>
        <v>968.15</v>
      </c>
      <c r="R4021" s="3">
        <f>L4021-Q4021</f>
        <v>447.94999999999993</v>
      </c>
      <c r="S4021" s="2">
        <f>NETWORKDAYS(B4021,C4021)-1</f>
        <v>1</v>
      </c>
      <c r="T4021" s="1">
        <f>WORKDAY(B4021,5)</f>
        <v>45670</v>
      </c>
      <c r="U4021" t="b">
        <f>C4021&gt;T4021</f>
        <v>0</v>
      </c>
    </row>
    <row r="4022" spans="1:21" x14ac:dyDescent="0.25">
      <c r="A4022" t="s">
        <v>2330</v>
      </c>
      <c r="B4022" s="1">
        <v>45663</v>
      </c>
      <c r="C4022" s="1">
        <v>45665</v>
      </c>
      <c r="D4022" t="s">
        <v>920</v>
      </c>
      <c r="E4022" t="s">
        <v>137</v>
      </c>
      <c r="F4022" t="s">
        <v>138</v>
      </c>
      <c r="G4022" t="s">
        <v>139</v>
      </c>
      <c r="H4022" t="s">
        <v>51</v>
      </c>
      <c r="I4022" s="2">
        <v>1</v>
      </c>
      <c r="J4022" s="3">
        <v>180</v>
      </c>
      <c r="K4022" s="4">
        <v>0.05</v>
      </c>
      <c r="L4022" s="3">
        <v>171</v>
      </c>
      <c r="M4022" t="b">
        <v>1</v>
      </c>
      <c r="N4022" s="2">
        <f>YEAR(B4022)</f>
        <v>2025</v>
      </c>
      <c r="O4022" t="str">
        <f>INDEX(Agences!$C:$C,MATCH(F4022,Agences!$A:$A,0))</f>
        <v>Île-de-France</v>
      </c>
      <c r="P4022" t="str">
        <f>INDEX(Produits!$C:$C,MATCH(H4022,Produits!$A:$A,0))</f>
        <v>Maintenance</v>
      </c>
      <c r="Q4022" s="3">
        <f>I4022*INDEX(Produits!$E:$E,MATCH(H4022,Produits!$A:$A,0))</f>
        <v>82.8</v>
      </c>
      <c r="R4022" s="3">
        <f>L4022-Q4022</f>
        <v>88.2</v>
      </c>
      <c r="S4022" s="2">
        <f>NETWORKDAYS(B4022,C4022)-1</f>
        <v>2</v>
      </c>
      <c r="T4022" s="1">
        <f>WORKDAY(B4022,5)</f>
        <v>45670</v>
      </c>
      <c r="U4022" t="b">
        <f>C4022&gt;T4022</f>
        <v>0</v>
      </c>
    </row>
    <row r="4023" spans="1:21" x14ac:dyDescent="0.25">
      <c r="A4023" t="s">
        <v>2331</v>
      </c>
      <c r="B4023" s="1">
        <v>45663</v>
      </c>
      <c r="C4023" s="1">
        <v>45665</v>
      </c>
      <c r="D4023" t="s">
        <v>711</v>
      </c>
      <c r="E4023" t="s">
        <v>61</v>
      </c>
      <c r="F4023" t="s">
        <v>62</v>
      </c>
      <c r="G4023" t="s">
        <v>68</v>
      </c>
      <c r="H4023" t="s">
        <v>57</v>
      </c>
      <c r="I4023" s="2">
        <v>1</v>
      </c>
      <c r="J4023" s="3">
        <v>149</v>
      </c>
      <c r="K4023" s="4">
        <v>0</v>
      </c>
      <c r="L4023" s="3">
        <v>149</v>
      </c>
      <c r="M4023" t="b">
        <v>1</v>
      </c>
      <c r="N4023" s="2">
        <f>YEAR(B4023)</f>
        <v>2025</v>
      </c>
      <c r="O4023" t="str">
        <f>INDEX(Agences!$C:$C,MATCH(F4023,Agences!$A:$A,0))</f>
        <v>Méditerranée</v>
      </c>
      <c r="P4023" t="str">
        <f>INDEX(Produits!$C:$C,MATCH(H4023,Produits!$A:$A,0))</f>
        <v>Informatique</v>
      </c>
      <c r="Q4023" s="3">
        <f>I4023*INDEX(Produits!$E:$E,MATCH(H4023,Produits!$A:$A,0))</f>
        <v>114.73</v>
      </c>
      <c r="R4023" s="3">
        <f>L4023-Q4023</f>
        <v>34.269999999999996</v>
      </c>
      <c r="S4023" s="2">
        <f>NETWORKDAYS(B4023,C4023)-1</f>
        <v>2</v>
      </c>
      <c r="T4023" s="1">
        <f>WORKDAY(B4023,5)</f>
        <v>45670</v>
      </c>
      <c r="U4023" t="b">
        <f>C4023&gt;T4023</f>
        <v>0</v>
      </c>
    </row>
    <row r="4024" spans="1:21" x14ac:dyDescent="0.25">
      <c r="A4024" t="s">
        <v>2331</v>
      </c>
      <c r="B4024" s="1">
        <v>45663</v>
      </c>
      <c r="C4024" s="1">
        <v>45665</v>
      </c>
      <c r="D4024" t="s">
        <v>711</v>
      </c>
      <c r="E4024" t="s">
        <v>61</v>
      </c>
      <c r="F4024" t="s">
        <v>62</v>
      </c>
      <c r="G4024" t="s">
        <v>68</v>
      </c>
      <c r="H4024" t="s">
        <v>35</v>
      </c>
      <c r="I4024" s="2">
        <v>1</v>
      </c>
      <c r="J4024" s="3">
        <v>79</v>
      </c>
      <c r="K4024" s="4">
        <v>0</v>
      </c>
      <c r="L4024" s="3">
        <v>79</v>
      </c>
      <c r="M4024" t="b">
        <v>1</v>
      </c>
      <c r="N4024" s="2">
        <f>YEAR(B4024)</f>
        <v>2025</v>
      </c>
      <c r="O4024" t="str">
        <f>INDEX(Agences!$C:$C,MATCH(F4024,Agences!$A:$A,0))</f>
        <v>Méditerranée</v>
      </c>
      <c r="P4024" t="str">
        <f>INDEX(Produits!$C:$C,MATCH(H4024,Produits!$A:$A,0))</f>
        <v>Mobilier</v>
      </c>
      <c r="Q4024" s="3">
        <f>I4024*INDEX(Produits!$E:$E,MATCH(H4024,Produits!$A:$A,0))</f>
        <v>46.61</v>
      </c>
      <c r="R4024" s="3">
        <f>L4024-Q4024</f>
        <v>32.39</v>
      </c>
      <c r="S4024" s="2">
        <f>NETWORKDAYS(B4024,C4024)-1</f>
        <v>2</v>
      </c>
      <c r="T4024" s="1">
        <f>WORKDAY(B4024,5)</f>
        <v>45670</v>
      </c>
      <c r="U4024" t="b">
        <f>C4024&gt;T4024</f>
        <v>0</v>
      </c>
    </row>
    <row r="4025" spans="1:21" x14ac:dyDescent="0.25">
      <c r="A4025" t="s">
        <v>2331</v>
      </c>
      <c r="B4025" s="1">
        <v>45663</v>
      </c>
      <c r="C4025" s="1">
        <v>45665</v>
      </c>
      <c r="D4025" t="s">
        <v>711</v>
      </c>
      <c r="E4025" t="s">
        <v>61</v>
      </c>
      <c r="F4025" t="s">
        <v>62</v>
      </c>
      <c r="G4025" t="s">
        <v>68</v>
      </c>
      <c r="H4025" t="s">
        <v>27</v>
      </c>
      <c r="I4025" s="2">
        <v>3</v>
      </c>
      <c r="J4025" s="3">
        <v>310</v>
      </c>
      <c r="K4025" s="4">
        <v>0</v>
      </c>
      <c r="L4025" s="3">
        <v>930</v>
      </c>
      <c r="M4025" t="b">
        <v>1</v>
      </c>
      <c r="N4025" s="2">
        <f>YEAR(B4025)</f>
        <v>2025</v>
      </c>
      <c r="O4025" t="str">
        <f>INDEX(Agences!$C:$C,MATCH(F4025,Agences!$A:$A,0))</f>
        <v>Méditerranée</v>
      </c>
      <c r="P4025" t="str">
        <f>INDEX(Produits!$C:$C,MATCH(H4025,Produits!$A:$A,0))</f>
        <v>Mobilier</v>
      </c>
      <c r="Q4025" s="3">
        <f>I4025*INDEX(Produits!$E:$E,MATCH(H4025,Produits!$A:$A,0))</f>
        <v>558</v>
      </c>
      <c r="R4025" s="3">
        <f>L4025-Q4025</f>
        <v>372</v>
      </c>
      <c r="S4025" s="2">
        <f>NETWORKDAYS(B4025,C4025)-1</f>
        <v>2</v>
      </c>
      <c r="T4025" s="1">
        <f>WORKDAY(B4025,5)</f>
        <v>45670</v>
      </c>
      <c r="U4025" t="b">
        <f>C4025&gt;T4025</f>
        <v>0</v>
      </c>
    </row>
    <row r="4026" spans="1:21" x14ac:dyDescent="0.25">
      <c r="A4026" t="s">
        <v>2332</v>
      </c>
      <c r="B4026" s="1">
        <v>45660</v>
      </c>
      <c r="C4026" s="1">
        <v>45664</v>
      </c>
      <c r="D4026" t="s">
        <v>2251</v>
      </c>
      <c r="E4026" t="s">
        <v>122</v>
      </c>
      <c r="F4026" t="s">
        <v>24</v>
      </c>
      <c r="G4026" t="s">
        <v>116</v>
      </c>
      <c r="H4026" t="s">
        <v>83</v>
      </c>
      <c r="I4026" s="2">
        <v>2</v>
      </c>
      <c r="J4026" s="3">
        <v>49</v>
      </c>
      <c r="K4026" s="4">
        <v>0.05</v>
      </c>
      <c r="L4026" s="3">
        <v>93.1</v>
      </c>
      <c r="M4026" t="b">
        <v>1</v>
      </c>
      <c r="N4026" s="2">
        <f>YEAR(B4026)</f>
        <v>2025</v>
      </c>
      <c r="O4026" t="str">
        <f>INDEX(Agences!$C:$C,MATCH(F4026,Agences!$A:$A,0))</f>
        <v>Nord</v>
      </c>
      <c r="P4026" t="str">
        <f>INDEX(Produits!$C:$C,MATCH(H4026,Produits!$A:$A,0))</f>
        <v>Mobilier</v>
      </c>
      <c r="Q4026" s="3">
        <f>I4026*INDEX(Produits!$E:$E,MATCH(H4026,Produits!$A:$A,0))</f>
        <v>56.84</v>
      </c>
      <c r="R4026" s="3">
        <f>L4026-Q4026</f>
        <v>36.25999999999999</v>
      </c>
      <c r="S4026" s="2">
        <f>NETWORKDAYS(B4026,C4026)-1</f>
        <v>2</v>
      </c>
      <c r="T4026" s="1">
        <f>WORKDAY(B4026,5)</f>
        <v>45667</v>
      </c>
      <c r="U4026" t="b">
        <f>C4026&gt;T4026</f>
        <v>0</v>
      </c>
    </row>
    <row r="4027" spans="1:21" x14ac:dyDescent="0.25">
      <c r="A4027" t="s">
        <v>2333</v>
      </c>
      <c r="B4027" s="1">
        <v>45660</v>
      </c>
      <c r="C4027" s="1">
        <v>45665</v>
      </c>
      <c r="D4027" t="s">
        <v>253</v>
      </c>
      <c r="E4027" t="s">
        <v>165</v>
      </c>
      <c r="F4027" t="s">
        <v>166</v>
      </c>
      <c r="G4027" t="s">
        <v>179</v>
      </c>
      <c r="H4027" t="s">
        <v>107</v>
      </c>
      <c r="I4027" s="2">
        <v>1</v>
      </c>
      <c r="J4027" s="3">
        <v>99</v>
      </c>
      <c r="K4027" s="4">
        <v>0</v>
      </c>
      <c r="L4027" s="3">
        <v>99</v>
      </c>
      <c r="M4027" t="b">
        <v>1</v>
      </c>
      <c r="N4027" s="2">
        <f>YEAR(B4027)</f>
        <v>2025</v>
      </c>
      <c r="O4027" t="str">
        <f>INDEX(Agences!$C:$C,MATCH(F4027,Agences!$A:$A,0))</f>
        <v>Ouest</v>
      </c>
      <c r="P4027" t="str">
        <f>INDEX(Produits!$C:$C,MATCH(H4027,Produits!$A:$A,0))</f>
        <v>Informatique</v>
      </c>
      <c r="Q4027" s="3">
        <f>I4027*INDEX(Produits!$E:$E,MATCH(H4027,Produits!$A:$A,0))</f>
        <v>75.24</v>
      </c>
      <c r="R4027" s="3">
        <f>L4027-Q4027</f>
        <v>23.760000000000005</v>
      </c>
      <c r="S4027" s="2">
        <f>NETWORKDAYS(B4027,C4027)-1</f>
        <v>3</v>
      </c>
      <c r="T4027" s="1">
        <f>WORKDAY(B4027,5)</f>
        <v>45667</v>
      </c>
      <c r="U4027" t="b">
        <f>C4027&gt;T4027</f>
        <v>0</v>
      </c>
    </row>
    <row r="4028" spans="1:21" x14ac:dyDescent="0.25">
      <c r="A4028" t="s">
        <v>2333</v>
      </c>
      <c r="B4028" s="1">
        <v>45660</v>
      </c>
      <c r="C4028" s="1">
        <v>45665</v>
      </c>
      <c r="D4028" t="s">
        <v>253</v>
      </c>
      <c r="E4028" t="s">
        <v>165</v>
      </c>
      <c r="F4028" t="s">
        <v>166</v>
      </c>
      <c r="G4028" t="s">
        <v>179</v>
      </c>
      <c r="H4028" t="s">
        <v>79</v>
      </c>
      <c r="I4028" s="2">
        <v>5</v>
      </c>
      <c r="J4028" s="3">
        <v>14.9</v>
      </c>
      <c r="K4028" s="4">
        <v>0.08</v>
      </c>
      <c r="L4028" s="3">
        <v>68.54</v>
      </c>
      <c r="M4028" t="b">
        <v>1</v>
      </c>
      <c r="N4028" s="2">
        <f>YEAR(B4028)</f>
        <v>2025</v>
      </c>
      <c r="O4028" t="str">
        <f>INDEX(Agences!$C:$C,MATCH(F4028,Agences!$A:$A,0))</f>
        <v>Ouest</v>
      </c>
      <c r="P4028" t="str">
        <f>INDEX(Produits!$C:$C,MATCH(H4028,Produits!$A:$A,0))</f>
        <v>Fournitures</v>
      </c>
      <c r="Q4028" s="3">
        <f>I4028*INDEX(Produits!$E:$E,MATCH(H4028,Produits!$A:$A,0))</f>
        <v>40.25</v>
      </c>
      <c r="R4028" s="3">
        <f>L4028-Q4028</f>
        <v>28.290000000000006</v>
      </c>
      <c r="S4028" s="2">
        <f>NETWORKDAYS(B4028,C4028)-1</f>
        <v>3</v>
      </c>
      <c r="T4028" s="1">
        <f>WORKDAY(B4028,5)</f>
        <v>45667</v>
      </c>
      <c r="U4028" t="b">
        <f>C4028&gt;T4028</f>
        <v>0</v>
      </c>
    </row>
    <row r="4029" spans="1:21" x14ac:dyDescent="0.25">
      <c r="A4029" t="s">
        <v>2333</v>
      </c>
      <c r="B4029" s="1">
        <v>45660</v>
      </c>
      <c r="C4029" s="1">
        <v>45665</v>
      </c>
      <c r="D4029" t="s">
        <v>253</v>
      </c>
      <c r="E4029" t="s">
        <v>165</v>
      </c>
      <c r="F4029" t="s">
        <v>166</v>
      </c>
      <c r="G4029" t="s">
        <v>179</v>
      </c>
      <c r="H4029" t="s">
        <v>49</v>
      </c>
      <c r="I4029" s="2">
        <v>1</v>
      </c>
      <c r="J4029" s="3">
        <v>120</v>
      </c>
      <c r="K4029" s="4">
        <v>0.05</v>
      </c>
      <c r="L4029" s="3">
        <v>114</v>
      </c>
      <c r="M4029" t="b">
        <v>1</v>
      </c>
      <c r="N4029" s="2">
        <f>YEAR(B4029)</f>
        <v>2025</v>
      </c>
      <c r="O4029" t="str">
        <f>INDEX(Agences!$C:$C,MATCH(F4029,Agences!$A:$A,0))</f>
        <v>Ouest</v>
      </c>
      <c r="P4029" t="str">
        <f>INDEX(Produits!$C:$C,MATCH(H4029,Produits!$A:$A,0))</f>
        <v>Maintenance</v>
      </c>
      <c r="Q4029" s="3">
        <f>I4029*INDEX(Produits!$E:$E,MATCH(H4029,Produits!$A:$A,0))</f>
        <v>55.2</v>
      </c>
      <c r="R4029" s="3">
        <f>L4029-Q4029</f>
        <v>58.8</v>
      </c>
      <c r="S4029" s="2">
        <f>NETWORKDAYS(B4029,C4029)-1</f>
        <v>3</v>
      </c>
      <c r="T4029" s="1">
        <f>WORKDAY(B4029,5)</f>
        <v>45667</v>
      </c>
      <c r="U4029" t="b">
        <f>C4029&gt;T4029</f>
        <v>0</v>
      </c>
    </row>
    <row r="4030" spans="1:21" x14ac:dyDescent="0.25">
      <c r="A4030" t="s">
        <v>2333</v>
      </c>
      <c r="B4030" s="1">
        <v>45660</v>
      </c>
      <c r="C4030" s="1">
        <v>45665</v>
      </c>
      <c r="D4030" t="s">
        <v>253</v>
      </c>
      <c r="E4030" t="s">
        <v>165</v>
      </c>
      <c r="F4030" t="s">
        <v>166</v>
      </c>
      <c r="G4030" t="s">
        <v>179</v>
      </c>
      <c r="H4030" t="s">
        <v>35</v>
      </c>
      <c r="I4030" s="2">
        <v>1</v>
      </c>
      <c r="J4030" s="3">
        <v>79</v>
      </c>
      <c r="K4030" s="4">
        <v>0</v>
      </c>
      <c r="L4030" s="3">
        <v>79</v>
      </c>
      <c r="M4030" t="b">
        <v>1</v>
      </c>
      <c r="N4030" s="2">
        <f>YEAR(B4030)</f>
        <v>2025</v>
      </c>
      <c r="O4030" t="str">
        <f>INDEX(Agences!$C:$C,MATCH(F4030,Agences!$A:$A,0))</f>
        <v>Ouest</v>
      </c>
      <c r="P4030" t="str">
        <f>INDEX(Produits!$C:$C,MATCH(H4030,Produits!$A:$A,0))</f>
        <v>Mobilier</v>
      </c>
      <c r="Q4030" s="3">
        <f>I4030*INDEX(Produits!$E:$E,MATCH(H4030,Produits!$A:$A,0))</f>
        <v>46.61</v>
      </c>
      <c r="R4030" s="3">
        <f>L4030-Q4030</f>
        <v>32.39</v>
      </c>
      <c r="S4030" s="2">
        <f>NETWORKDAYS(B4030,C4030)-1</f>
        <v>3</v>
      </c>
      <c r="T4030" s="1">
        <f>WORKDAY(B4030,5)</f>
        <v>45667</v>
      </c>
      <c r="U4030" t="b">
        <f>C4030&gt;T4030</f>
        <v>0</v>
      </c>
    </row>
    <row r="4031" spans="1:21" x14ac:dyDescent="0.25">
      <c r="A4031" t="s">
        <v>2334</v>
      </c>
      <c r="B4031" s="1">
        <v>45660</v>
      </c>
      <c r="C4031" s="1">
        <v>45665</v>
      </c>
      <c r="D4031" t="s">
        <v>53</v>
      </c>
      <c r="E4031" t="s">
        <v>54</v>
      </c>
      <c r="F4031" t="s">
        <v>55</v>
      </c>
      <c r="G4031" t="s">
        <v>56</v>
      </c>
      <c r="H4031" t="s">
        <v>83</v>
      </c>
      <c r="I4031" s="2">
        <v>3</v>
      </c>
      <c r="J4031" s="3">
        <v>49</v>
      </c>
      <c r="K4031" s="4">
        <v>0</v>
      </c>
      <c r="L4031" s="3">
        <v>147</v>
      </c>
      <c r="M4031" t="b">
        <v>1</v>
      </c>
      <c r="N4031" s="2">
        <f>YEAR(B4031)</f>
        <v>2025</v>
      </c>
      <c r="O4031" t="str">
        <f>INDEX(Agences!$C:$C,MATCH(F4031,Agences!$A:$A,0))</f>
        <v>Est</v>
      </c>
      <c r="P4031" t="str">
        <f>INDEX(Produits!$C:$C,MATCH(H4031,Produits!$A:$A,0))</f>
        <v>Mobilier</v>
      </c>
      <c r="Q4031" s="3">
        <f>I4031*INDEX(Produits!$E:$E,MATCH(H4031,Produits!$A:$A,0))</f>
        <v>85.26</v>
      </c>
      <c r="R4031" s="3">
        <f>L4031-Q4031</f>
        <v>61.739999999999995</v>
      </c>
      <c r="S4031" s="2">
        <f>NETWORKDAYS(B4031,C4031)-1</f>
        <v>3</v>
      </c>
      <c r="T4031" s="1">
        <f>WORKDAY(B4031,5)</f>
        <v>45667</v>
      </c>
      <c r="U4031" t="b">
        <f>C4031&gt;T4031</f>
        <v>0</v>
      </c>
    </row>
    <row r="4032" spans="1:21" x14ac:dyDescent="0.25">
      <c r="A4032" t="s">
        <v>2335</v>
      </c>
      <c r="B4032" s="1">
        <v>45659</v>
      </c>
      <c r="C4032" s="1">
        <v>45663</v>
      </c>
      <c r="D4032" t="s">
        <v>567</v>
      </c>
      <c r="E4032" t="s">
        <v>374</v>
      </c>
      <c r="F4032" t="s">
        <v>31</v>
      </c>
      <c r="G4032" t="s">
        <v>186</v>
      </c>
      <c r="H4032" t="s">
        <v>64</v>
      </c>
      <c r="I4032" s="2">
        <v>5</v>
      </c>
      <c r="J4032" s="3">
        <v>16.8</v>
      </c>
      <c r="K4032" s="4">
        <v>0</v>
      </c>
      <c r="L4032" s="3">
        <v>84</v>
      </c>
      <c r="M4032" t="b">
        <v>1</v>
      </c>
      <c r="N4032" s="2">
        <f>YEAR(B4032)</f>
        <v>2025</v>
      </c>
      <c r="O4032" t="str">
        <f>INDEX(Agences!$C:$C,MATCH(F4032,Agences!$A:$A,0))</f>
        <v>Ouest</v>
      </c>
      <c r="P4032" t="str">
        <f>INDEX(Produits!$C:$C,MATCH(H4032,Produits!$A:$A,0))</f>
        <v>Fournitures</v>
      </c>
      <c r="Q4032" s="3">
        <f>I4032*INDEX(Produits!$E:$E,MATCH(H4032,Produits!$A:$A,0))</f>
        <v>43.7</v>
      </c>
      <c r="R4032" s="3">
        <f>L4032-Q4032</f>
        <v>40.3</v>
      </c>
      <c r="S4032" s="2">
        <f>NETWORKDAYS(B4032,C4032)-1</f>
        <v>2</v>
      </c>
      <c r="T4032" s="1">
        <f>WORKDAY(B4032,5)</f>
        <v>45666</v>
      </c>
      <c r="U4032" t="b">
        <f>C4032&gt;T4032</f>
        <v>0</v>
      </c>
    </row>
    <row r="4033" spans="1:21" x14ac:dyDescent="0.25">
      <c r="A4033" t="s">
        <v>2336</v>
      </c>
      <c r="B4033" s="1">
        <v>45659</v>
      </c>
      <c r="C4033" s="1">
        <v>45664</v>
      </c>
      <c r="D4033" t="s">
        <v>848</v>
      </c>
      <c r="E4033" t="s">
        <v>242</v>
      </c>
      <c r="F4033" t="s">
        <v>94</v>
      </c>
      <c r="G4033" t="s">
        <v>95</v>
      </c>
      <c r="H4033" t="s">
        <v>33</v>
      </c>
      <c r="I4033" s="2">
        <v>3</v>
      </c>
      <c r="J4033" s="3">
        <v>219</v>
      </c>
      <c r="K4033" s="4">
        <v>0.1</v>
      </c>
      <c r="L4033" s="3">
        <v>591.3</v>
      </c>
      <c r="M4033" t="b">
        <v>1</v>
      </c>
      <c r="N4033" s="2">
        <f>YEAR(B4033)</f>
        <v>2025</v>
      </c>
      <c r="O4033" t="str">
        <f>INDEX(Agences!$C:$C,MATCH(F4033,Agences!$A:$A,0))</f>
        <v>Méditerranée</v>
      </c>
      <c r="P4033" t="str">
        <f>INDEX(Produits!$C:$C,MATCH(H4033,Produits!$A:$A,0))</f>
        <v>Informatique</v>
      </c>
      <c r="Q4033" s="3">
        <f>I4033*INDEX(Produits!$E:$E,MATCH(H4033,Produits!$A:$A,0))</f>
        <v>538.74</v>
      </c>
      <c r="R4033" s="3">
        <f>L4033-Q4033</f>
        <v>52.559999999999945</v>
      </c>
      <c r="S4033" s="2">
        <f>NETWORKDAYS(B4033,C4033)-1</f>
        <v>3</v>
      </c>
      <c r="T4033" s="1">
        <f>WORKDAY(B4033,5)</f>
        <v>45666</v>
      </c>
      <c r="U4033" t="b">
        <f>C4033&gt;T4033</f>
        <v>0</v>
      </c>
    </row>
    <row r="4034" spans="1:21" x14ac:dyDescent="0.25">
      <c r="A4034" t="s">
        <v>2336</v>
      </c>
      <c r="B4034" s="1">
        <v>45659</v>
      </c>
      <c r="C4034" s="1">
        <v>45664</v>
      </c>
      <c r="D4034" t="s">
        <v>848</v>
      </c>
      <c r="E4034" t="s">
        <v>242</v>
      </c>
      <c r="F4034" t="s">
        <v>94</v>
      </c>
      <c r="G4034" t="s">
        <v>95</v>
      </c>
      <c r="H4034" t="s">
        <v>83</v>
      </c>
      <c r="I4034" s="2">
        <v>5</v>
      </c>
      <c r="J4034" s="3">
        <v>49</v>
      </c>
      <c r="K4034" s="4">
        <v>0.05</v>
      </c>
      <c r="L4034" s="3">
        <v>232.75</v>
      </c>
      <c r="M4034" t="b">
        <v>1</v>
      </c>
      <c r="N4034" s="2">
        <f>YEAR(B4034)</f>
        <v>2025</v>
      </c>
      <c r="O4034" t="str">
        <f>INDEX(Agences!$C:$C,MATCH(F4034,Agences!$A:$A,0))</f>
        <v>Méditerranée</v>
      </c>
      <c r="P4034" t="str">
        <f>INDEX(Produits!$C:$C,MATCH(H4034,Produits!$A:$A,0))</f>
        <v>Mobilier</v>
      </c>
      <c r="Q4034" s="3">
        <f>I4034*INDEX(Produits!$E:$E,MATCH(H4034,Produits!$A:$A,0))</f>
        <v>142.10000000000002</v>
      </c>
      <c r="R4034" s="3">
        <f>L4034-Q4034</f>
        <v>90.64999999999998</v>
      </c>
      <c r="S4034" s="2">
        <f>NETWORKDAYS(B4034,C4034)-1</f>
        <v>3</v>
      </c>
      <c r="T4034" s="1">
        <f>WORKDAY(B4034,5)</f>
        <v>45666</v>
      </c>
      <c r="U4034" t="b">
        <f>C4034&gt;T4034</f>
        <v>0</v>
      </c>
    </row>
    <row r="4035" spans="1:21" x14ac:dyDescent="0.25">
      <c r="A4035" t="s">
        <v>2336</v>
      </c>
      <c r="B4035" s="1">
        <v>45659</v>
      </c>
      <c r="C4035" s="1">
        <v>45664</v>
      </c>
      <c r="D4035" t="s">
        <v>848</v>
      </c>
      <c r="E4035" t="s">
        <v>242</v>
      </c>
      <c r="F4035" t="s">
        <v>94</v>
      </c>
      <c r="G4035" t="s">
        <v>95</v>
      </c>
      <c r="H4035" t="s">
        <v>112</v>
      </c>
      <c r="I4035" s="2">
        <v>1</v>
      </c>
      <c r="J4035" s="3">
        <v>129</v>
      </c>
      <c r="K4035" s="4">
        <v>0.08</v>
      </c>
      <c r="L4035" s="3">
        <v>118.68</v>
      </c>
      <c r="M4035" t="b">
        <v>1</v>
      </c>
      <c r="N4035" s="2">
        <f>YEAR(B4035)</f>
        <v>2025</v>
      </c>
      <c r="O4035" t="str">
        <f>INDEX(Agences!$C:$C,MATCH(F4035,Agences!$A:$A,0))</f>
        <v>Méditerranée</v>
      </c>
      <c r="P4035" t="str">
        <f>INDEX(Produits!$C:$C,MATCH(H4035,Produits!$A:$A,0))</f>
        <v>Mobilier</v>
      </c>
      <c r="Q4035" s="3">
        <f>I4035*INDEX(Produits!$E:$E,MATCH(H4035,Produits!$A:$A,0))</f>
        <v>86.43</v>
      </c>
      <c r="R4035" s="3">
        <f>L4035-Q4035</f>
        <v>32.25</v>
      </c>
      <c r="S4035" s="2">
        <f>NETWORKDAYS(B4035,C4035)-1</f>
        <v>3</v>
      </c>
      <c r="T4035" s="1">
        <f>WORKDAY(B4035,5)</f>
        <v>45666</v>
      </c>
      <c r="U4035" t="b">
        <f>C4035&gt;T4035</f>
        <v>0</v>
      </c>
    </row>
    <row r="4036" spans="1:21" x14ac:dyDescent="0.25">
      <c r="A4036" t="s">
        <v>2337</v>
      </c>
      <c r="B4036" s="1">
        <v>45659</v>
      </c>
      <c r="C4036" s="1">
        <v>45665</v>
      </c>
      <c r="D4036" t="s">
        <v>431</v>
      </c>
      <c r="E4036" t="s">
        <v>194</v>
      </c>
      <c r="F4036" t="s">
        <v>55</v>
      </c>
      <c r="G4036" t="s">
        <v>195</v>
      </c>
      <c r="H4036" t="s">
        <v>41</v>
      </c>
      <c r="I4036" s="2">
        <v>1</v>
      </c>
      <c r="J4036" s="3">
        <v>790</v>
      </c>
      <c r="K4036" s="4">
        <v>0.05</v>
      </c>
      <c r="L4036" s="3">
        <v>750.5</v>
      </c>
      <c r="M4036" t="b">
        <v>1</v>
      </c>
      <c r="N4036" s="2">
        <f>YEAR(B4036)</f>
        <v>2025</v>
      </c>
      <c r="O4036" t="str">
        <f>INDEX(Agences!$C:$C,MATCH(F4036,Agences!$A:$A,0))</f>
        <v>Est</v>
      </c>
      <c r="P4036" t="str">
        <f>INDEX(Produits!$C:$C,MATCH(H4036,Produits!$A:$A,0))</f>
        <v>Informatique</v>
      </c>
      <c r="Q4036" s="3">
        <f>I4036*INDEX(Produits!$E:$E,MATCH(H4036,Produits!$A:$A,0))</f>
        <v>576.7</v>
      </c>
      <c r="R4036" s="3">
        <f>L4036-Q4036</f>
        <v>173.79999999999995</v>
      </c>
      <c r="S4036" s="2">
        <f>NETWORKDAYS(B4036,C4036)-1</f>
        <v>4</v>
      </c>
      <c r="T4036" s="1">
        <f>WORKDAY(B4036,5)</f>
        <v>45666</v>
      </c>
      <c r="U4036" t="b">
        <f>C4036&gt;T4036</f>
        <v>0</v>
      </c>
    </row>
    <row r="4037" spans="1:21" x14ac:dyDescent="0.25">
      <c r="A4037" t="s">
        <v>2337</v>
      </c>
      <c r="B4037" s="1">
        <v>45659</v>
      </c>
      <c r="C4037" s="1">
        <v>45665</v>
      </c>
      <c r="D4037" t="s">
        <v>431</v>
      </c>
      <c r="E4037" t="s">
        <v>194</v>
      </c>
      <c r="F4037" t="s">
        <v>55</v>
      </c>
      <c r="G4037" t="s">
        <v>195</v>
      </c>
      <c r="H4037" t="s">
        <v>48</v>
      </c>
      <c r="I4037" s="2">
        <v>1</v>
      </c>
      <c r="J4037" s="3">
        <v>165</v>
      </c>
      <c r="K4037" s="4">
        <v>0</v>
      </c>
      <c r="L4037" s="3">
        <v>165</v>
      </c>
      <c r="M4037" t="b">
        <v>1</v>
      </c>
      <c r="N4037" s="2">
        <f>YEAR(B4037)</f>
        <v>2025</v>
      </c>
      <c r="O4037" t="str">
        <f>INDEX(Agences!$C:$C,MATCH(F4037,Agences!$A:$A,0))</f>
        <v>Est</v>
      </c>
      <c r="P4037" t="str">
        <f>INDEX(Produits!$C:$C,MATCH(H4037,Produits!$A:$A,0))</f>
        <v>Mobilier</v>
      </c>
      <c r="Q4037" s="3">
        <f>I4037*INDEX(Produits!$E:$E,MATCH(H4037,Produits!$A:$A,0))</f>
        <v>107.25</v>
      </c>
      <c r="R4037" s="3">
        <f>L4037-Q4037</f>
        <v>57.75</v>
      </c>
      <c r="S4037" s="2">
        <f>NETWORKDAYS(B4037,C4037)-1</f>
        <v>4</v>
      </c>
      <c r="T4037" s="1">
        <f>WORKDAY(B4037,5)</f>
        <v>45666</v>
      </c>
      <c r="U4037" t="b">
        <f>C4037&gt;T4037</f>
        <v>0</v>
      </c>
    </row>
    <row r="4038" spans="1:21" x14ac:dyDescent="0.25">
      <c r="A4038" t="s">
        <v>2337</v>
      </c>
      <c r="B4038" s="1">
        <v>45659</v>
      </c>
      <c r="C4038" s="1">
        <v>45665</v>
      </c>
      <c r="D4038" t="s">
        <v>431</v>
      </c>
      <c r="E4038" t="s">
        <v>194</v>
      </c>
      <c r="F4038" t="s">
        <v>55</v>
      </c>
      <c r="G4038" t="s">
        <v>195</v>
      </c>
      <c r="H4038" t="s">
        <v>42</v>
      </c>
      <c r="I4038" s="2">
        <v>1</v>
      </c>
      <c r="J4038" s="3">
        <v>55</v>
      </c>
      <c r="K4038" s="4">
        <v>0.02</v>
      </c>
      <c r="L4038" s="3">
        <v>53.9</v>
      </c>
      <c r="M4038" t="b">
        <v>1</v>
      </c>
      <c r="N4038" s="2">
        <f>YEAR(B4038)</f>
        <v>2025</v>
      </c>
      <c r="O4038" t="str">
        <f>INDEX(Agences!$C:$C,MATCH(F4038,Agences!$A:$A,0))</f>
        <v>Est</v>
      </c>
      <c r="P4038" t="str">
        <f>INDEX(Produits!$C:$C,MATCH(H4038,Produits!$A:$A,0))</f>
        <v>Maintenance</v>
      </c>
      <c r="Q4038" s="3">
        <f>I4038*INDEX(Produits!$E:$E,MATCH(H4038,Produits!$A:$A,0))</f>
        <v>24.75</v>
      </c>
      <c r="R4038" s="3">
        <f>L4038-Q4038</f>
        <v>29.15</v>
      </c>
      <c r="S4038" s="2">
        <f>NETWORKDAYS(B4038,C4038)-1</f>
        <v>4</v>
      </c>
      <c r="T4038" s="1">
        <f>WORKDAY(B4038,5)</f>
        <v>45666</v>
      </c>
      <c r="U4038" t="b">
        <f>C4038&gt;T4038</f>
        <v>0</v>
      </c>
    </row>
    <row r="4039" spans="1:21" x14ac:dyDescent="0.25">
      <c r="A4039" t="s">
        <v>2337</v>
      </c>
      <c r="B4039" s="1">
        <v>45659</v>
      </c>
      <c r="C4039" s="1">
        <v>45665</v>
      </c>
      <c r="D4039" t="s">
        <v>431</v>
      </c>
      <c r="E4039" t="s">
        <v>194</v>
      </c>
      <c r="F4039" t="s">
        <v>55</v>
      </c>
      <c r="G4039" t="s">
        <v>195</v>
      </c>
      <c r="H4039" t="s">
        <v>33</v>
      </c>
      <c r="I4039" s="2">
        <v>3</v>
      </c>
      <c r="J4039" s="3">
        <v>219</v>
      </c>
      <c r="K4039" s="4">
        <v>0.08</v>
      </c>
      <c r="L4039" s="3">
        <v>604.44</v>
      </c>
      <c r="M4039" t="b">
        <v>1</v>
      </c>
      <c r="N4039" s="2">
        <f>YEAR(B4039)</f>
        <v>2025</v>
      </c>
      <c r="O4039" t="str">
        <f>INDEX(Agences!$C:$C,MATCH(F4039,Agences!$A:$A,0))</f>
        <v>Est</v>
      </c>
      <c r="P4039" t="str">
        <f>INDEX(Produits!$C:$C,MATCH(H4039,Produits!$A:$A,0))</f>
        <v>Informatique</v>
      </c>
      <c r="Q4039" s="3">
        <f>I4039*INDEX(Produits!$E:$E,MATCH(H4039,Produits!$A:$A,0))</f>
        <v>538.74</v>
      </c>
      <c r="R4039" s="3">
        <f>L4039-Q4039</f>
        <v>65.70000000000005</v>
      </c>
      <c r="S4039" s="2">
        <f>NETWORKDAYS(B4039,C4039)-1</f>
        <v>4</v>
      </c>
      <c r="T4039" s="1">
        <f>WORKDAY(B4039,5)</f>
        <v>45666</v>
      </c>
      <c r="U4039" t="b">
        <f>C4039&gt;T4039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3" style="1" customWidth="1"/>
    <col min="4" max="8" width="16" customWidth="1"/>
    <col min="9" max="9" width="10" style="2" customWidth="1"/>
    <col min="10" max="10" width="14" style="3" customWidth="1"/>
    <col min="11" max="11" width="10" style="4" customWidth="1"/>
    <col min="12" max="12" width="14" style="3" customWidth="1"/>
    <col min="13" max="13" width="11" customWidth="1"/>
    <col min="14" max="14" width="16" customWidth="1"/>
  </cols>
  <sheetData>
    <row r="1" spans="1:14" s="5" customFormat="1" x14ac:dyDescent="0.25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5" t="s">
        <v>12</v>
      </c>
      <c r="N1" s="5" t="s">
        <v>2338</v>
      </c>
    </row>
    <row r="2" spans="1:14" x14ac:dyDescent="0.25">
      <c r="A2" t="s">
        <v>2326</v>
      </c>
      <c r="B2" s="1">
        <v>45664</v>
      </c>
      <c r="C2" s="1">
        <v>45658</v>
      </c>
      <c r="D2" t="s">
        <v>1705</v>
      </c>
      <c r="E2" t="s">
        <v>165</v>
      </c>
      <c r="F2" t="s">
        <v>166</v>
      </c>
      <c r="G2" t="s">
        <v>167</v>
      </c>
      <c r="H2" t="s">
        <v>79</v>
      </c>
      <c r="I2" s="2">
        <v>5</v>
      </c>
      <c r="J2" s="3">
        <v>14.9</v>
      </c>
      <c r="K2" s="4">
        <v>0</v>
      </c>
      <c r="L2" s="3">
        <v>74.5</v>
      </c>
      <c r="M2" t="b">
        <v>1</v>
      </c>
      <c r="N2" t="s">
        <v>2339</v>
      </c>
    </row>
    <row r="3" spans="1:14" x14ac:dyDescent="0.25">
      <c r="A3" t="s">
        <v>2282</v>
      </c>
      <c r="B3" s="1">
        <v>45679</v>
      </c>
      <c r="C3" s="1">
        <v>45681</v>
      </c>
      <c r="D3" t="s">
        <v>74</v>
      </c>
      <c r="E3" t="s">
        <v>75</v>
      </c>
      <c r="F3" t="s">
        <v>76</v>
      </c>
      <c r="G3" t="s">
        <v>232</v>
      </c>
      <c r="H3" t="s">
        <v>2340</v>
      </c>
      <c r="I3" s="2">
        <v>3</v>
      </c>
      <c r="J3" s="3">
        <v>165</v>
      </c>
      <c r="K3" s="4">
        <v>0</v>
      </c>
      <c r="L3" s="3">
        <v>495</v>
      </c>
      <c r="M3" t="b">
        <v>1</v>
      </c>
      <c r="N3" t="s">
        <v>2341</v>
      </c>
    </row>
    <row r="4" spans="1:14" x14ac:dyDescent="0.25">
      <c r="A4" t="s">
        <v>2254</v>
      </c>
      <c r="B4" s="1" t="s">
        <v>2342</v>
      </c>
      <c r="C4" s="1">
        <v>45692</v>
      </c>
      <c r="D4" t="s">
        <v>446</v>
      </c>
      <c r="E4" t="s">
        <v>191</v>
      </c>
      <c r="F4" t="s">
        <v>62</v>
      </c>
      <c r="G4" t="s">
        <v>68</v>
      </c>
      <c r="H4" t="s">
        <v>42</v>
      </c>
      <c r="I4" s="2">
        <v>1</v>
      </c>
      <c r="J4" s="3">
        <v>55</v>
      </c>
      <c r="K4" s="4">
        <v>0</v>
      </c>
      <c r="L4" s="3">
        <v>55</v>
      </c>
      <c r="M4" t="b">
        <v>1</v>
      </c>
      <c r="N4" t="s">
        <v>2343</v>
      </c>
    </row>
    <row r="5" spans="1:14" x14ac:dyDescent="0.25">
      <c r="A5" t="s">
        <v>2238</v>
      </c>
      <c r="B5" s="1">
        <v>45694</v>
      </c>
      <c r="C5" s="1">
        <v>45699</v>
      </c>
      <c r="D5" t="s">
        <v>972</v>
      </c>
      <c r="E5" t="s">
        <v>316</v>
      </c>
      <c r="F5" t="s">
        <v>46</v>
      </c>
      <c r="G5" t="s">
        <v>158</v>
      </c>
      <c r="H5" t="s">
        <v>2344</v>
      </c>
      <c r="I5" s="2">
        <v>1</v>
      </c>
      <c r="J5" s="3">
        <v>129</v>
      </c>
      <c r="K5" s="4">
        <v>0.02</v>
      </c>
      <c r="L5" s="3">
        <v>126.42</v>
      </c>
      <c r="M5" t="b">
        <v>1</v>
      </c>
      <c r="N5" t="s">
        <v>2341</v>
      </c>
    </row>
    <row r="6" spans="1:14" x14ac:dyDescent="0.25">
      <c r="A6" t="s">
        <v>2345</v>
      </c>
      <c r="B6" s="1">
        <v>45702</v>
      </c>
      <c r="C6" s="1">
        <v>45708</v>
      </c>
      <c r="D6" t="s">
        <v>2346</v>
      </c>
      <c r="E6" t="s">
        <v>98</v>
      </c>
      <c r="F6" t="s">
        <v>99</v>
      </c>
      <c r="H6" t="s">
        <v>50</v>
      </c>
      <c r="I6" s="2">
        <v>2</v>
      </c>
      <c r="J6" s="3">
        <v>69</v>
      </c>
      <c r="K6" s="4">
        <v>0.02</v>
      </c>
      <c r="L6" s="3">
        <v>135.24</v>
      </c>
      <c r="M6" t="b">
        <v>1</v>
      </c>
      <c r="N6" t="s">
        <v>2347</v>
      </c>
    </row>
    <row r="7" spans="1:14" x14ac:dyDescent="0.25">
      <c r="A7" t="s">
        <v>2202</v>
      </c>
      <c r="B7" s="1">
        <v>45702</v>
      </c>
      <c r="C7" s="1">
        <v>45709</v>
      </c>
      <c r="D7" t="s">
        <v>2203</v>
      </c>
      <c r="E7" t="s">
        <v>175</v>
      </c>
      <c r="F7" t="s">
        <v>76</v>
      </c>
      <c r="G7" t="s">
        <v>77</v>
      </c>
      <c r="H7" t="s">
        <v>42</v>
      </c>
      <c r="I7" s="2">
        <v>-3</v>
      </c>
      <c r="J7" s="3">
        <v>55</v>
      </c>
      <c r="K7" s="4">
        <v>0</v>
      </c>
      <c r="L7" s="3">
        <v>-165</v>
      </c>
      <c r="M7" t="b">
        <v>1</v>
      </c>
      <c r="N7" t="s">
        <v>2348</v>
      </c>
    </row>
    <row r="8" spans="1:14" x14ac:dyDescent="0.25">
      <c r="A8" t="s">
        <v>2208</v>
      </c>
      <c r="B8" s="1">
        <v>45702</v>
      </c>
      <c r="C8" s="1">
        <v>45707</v>
      </c>
      <c r="D8" t="s">
        <v>1070</v>
      </c>
      <c r="E8" t="s">
        <v>384</v>
      </c>
      <c r="F8" t="s">
        <v>46</v>
      </c>
      <c r="G8" t="s">
        <v>158</v>
      </c>
      <c r="H8" t="s">
        <v>233</v>
      </c>
      <c r="I8" s="2">
        <v>5</v>
      </c>
      <c r="J8" s="3">
        <v>275</v>
      </c>
      <c r="K8" s="4">
        <v>0</v>
      </c>
      <c r="L8" s="3">
        <v>1375</v>
      </c>
      <c r="M8" t="b">
        <v>1</v>
      </c>
      <c r="N8" t="s">
        <v>2349</v>
      </c>
    </row>
    <row r="9" spans="1:14" x14ac:dyDescent="0.25">
      <c r="A9" t="s">
        <v>2152</v>
      </c>
      <c r="B9" s="1" t="s">
        <v>2350</v>
      </c>
      <c r="C9" s="1">
        <v>45722</v>
      </c>
      <c r="D9" t="s">
        <v>535</v>
      </c>
      <c r="E9" t="s">
        <v>236</v>
      </c>
      <c r="F9" t="s">
        <v>39</v>
      </c>
      <c r="G9" t="s">
        <v>131</v>
      </c>
      <c r="H9" t="s">
        <v>83</v>
      </c>
      <c r="I9" s="2">
        <v>1</v>
      </c>
      <c r="J9" s="3">
        <v>49</v>
      </c>
      <c r="K9" s="4">
        <v>0</v>
      </c>
      <c r="L9" s="3">
        <v>49</v>
      </c>
      <c r="M9" t="b">
        <v>1</v>
      </c>
      <c r="N9" t="s">
        <v>2343</v>
      </c>
    </row>
    <row r="10" spans="1:14" x14ac:dyDescent="0.25">
      <c r="A10" t="s">
        <v>2153</v>
      </c>
      <c r="B10" s="1">
        <v>45721</v>
      </c>
      <c r="C10" s="1">
        <v>45716</v>
      </c>
      <c r="D10" t="s">
        <v>614</v>
      </c>
      <c r="E10" t="s">
        <v>45</v>
      </c>
      <c r="F10" t="s">
        <v>46</v>
      </c>
      <c r="G10" t="s">
        <v>158</v>
      </c>
      <c r="H10" t="s">
        <v>27</v>
      </c>
      <c r="I10" s="2">
        <v>6</v>
      </c>
      <c r="J10" s="3">
        <v>310</v>
      </c>
      <c r="K10" s="4">
        <v>0.05</v>
      </c>
      <c r="L10" s="3">
        <v>1767</v>
      </c>
      <c r="M10" t="b">
        <v>1</v>
      </c>
      <c r="N10" t="s">
        <v>2339</v>
      </c>
    </row>
    <row r="11" spans="1:14" x14ac:dyDescent="0.25">
      <c r="A11" t="s">
        <v>2125</v>
      </c>
      <c r="B11" s="1">
        <v>45730</v>
      </c>
      <c r="C11" s="1">
        <v>45735</v>
      </c>
      <c r="D11" t="s">
        <v>2126</v>
      </c>
      <c r="E11" t="s">
        <v>122</v>
      </c>
      <c r="F11" t="s">
        <v>24</v>
      </c>
      <c r="G11" t="s">
        <v>25</v>
      </c>
      <c r="H11" t="s">
        <v>51</v>
      </c>
      <c r="I11" s="2">
        <v>-1</v>
      </c>
      <c r="J11" s="3">
        <v>180</v>
      </c>
      <c r="K11" s="4">
        <v>0</v>
      </c>
      <c r="L11" s="3">
        <v>-180</v>
      </c>
      <c r="M11" t="b">
        <v>1</v>
      </c>
      <c r="N11" t="s">
        <v>2348</v>
      </c>
    </row>
    <row r="12" spans="1:14" x14ac:dyDescent="0.25">
      <c r="A12" t="s">
        <v>2351</v>
      </c>
      <c r="B12" s="1">
        <v>45734</v>
      </c>
      <c r="C12" s="1">
        <v>45737</v>
      </c>
      <c r="D12" t="s">
        <v>148</v>
      </c>
      <c r="E12" t="s">
        <v>149</v>
      </c>
      <c r="F12" t="s">
        <v>88</v>
      </c>
      <c r="G12" t="s">
        <v>89</v>
      </c>
      <c r="H12" t="s">
        <v>107</v>
      </c>
      <c r="I12" s="2">
        <v>-2</v>
      </c>
      <c r="J12" s="3">
        <v>99</v>
      </c>
      <c r="K12" s="4">
        <v>0.02</v>
      </c>
      <c r="L12" s="3">
        <v>-194.04</v>
      </c>
      <c r="M12" t="b">
        <v>1</v>
      </c>
      <c r="N12" t="s">
        <v>2348</v>
      </c>
    </row>
    <row r="13" spans="1:14" x14ac:dyDescent="0.25">
      <c r="A13" t="s">
        <v>2071</v>
      </c>
      <c r="B13" s="1" t="s">
        <v>2352</v>
      </c>
      <c r="C13" s="1">
        <v>45756</v>
      </c>
      <c r="D13" t="s">
        <v>1881</v>
      </c>
      <c r="E13" t="s">
        <v>191</v>
      </c>
      <c r="F13" t="s">
        <v>62</v>
      </c>
      <c r="G13" t="s">
        <v>68</v>
      </c>
      <c r="H13" t="s">
        <v>33</v>
      </c>
      <c r="I13" s="2">
        <v>2</v>
      </c>
      <c r="J13" s="3">
        <v>219</v>
      </c>
      <c r="K13" s="4">
        <v>0</v>
      </c>
      <c r="L13" s="3">
        <v>438</v>
      </c>
      <c r="M13" t="b">
        <v>1</v>
      </c>
      <c r="N13" t="s">
        <v>2343</v>
      </c>
    </row>
    <row r="14" spans="1:14" x14ac:dyDescent="0.25">
      <c r="A14" t="s">
        <v>1916</v>
      </c>
      <c r="B14" s="1">
        <v>45805</v>
      </c>
      <c r="C14" s="1">
        <v>45806</v>
      </c>
      <c r="D14" t="s">
        <v>662</v>
      </c>
      <c r="E14" t="s">
        <v>75</v>
      </c>
      <c r="F14" t="s">
        <v>76</v>
      </c>
      <c r="G14" t="s">
        <v>232</v>
      </c>
      <c r="H14" t="s">
        <v>2340</v>
      </c>
      <c r="I14" s="2">
        <v>3</v>
      </c>
      <c r="J14" s="3">
        <v>420</v>
      </c>
      <c r="K14" s="4">
        <v>0.08</v>
      </c>
      <c r="L14" s="3">
        <v>1159.2</v>
      </c>
      <c r="M14" t="b">
        <v>1</v>
      </c>
      <c r="N14" t="s">
        <v>2341</v>
      </c>
    </row>
    <row r="15" spans="1:14" x14ac:dyDescent="0.25">
      <c r="A15" t="s">
        <v>1904</v>
      </c>
      <c r="B15" s="1">
        <v>45810</v>
      </c>
      <c r="C15" s="1">
        <v>45813</v>
      </c>
      <c r="D15" t="s">
        <v>1602</v>
      </c>
      <c r="E15" t="s">
        <v>45</v>
      </c>
      <c r="F15" t="s">
        <v>46</v>
      </c>
      <c r="H15" t="s">
        <v>108</v>
      </c>
      <c r="I15" s="2">
        <v>25</v>
      </c>
      <c r="J15" s="3">
        <v>24.5</v>
      </c>
      <c r="K15" s="4">
        <v>0.1</v>
      </c>
      <c r="L15" s="3">
        <v>551.25</v>
      </c>
      <c r="M15" t="b">
        <v>1</v>
      </c>
      <c r="N15" t="s">
        <v>2347</v>
      </c>
    </row>
    <row r="16" spans="1:14" x14ac:dyDescent="0.25">
      <c r="A16" t="s">
        <v>1892</v>
      </c>
      <c r="B16" s="1">
        <v>45813</v>
      </c>
      <c r="C16" s="1">
        <v>45810</v>
      </c>
      <c r="D16" t="s">
        <v>1186</v>
      </c>
      <c r="E16" t="s">
        <v>126</v>
      </c>
      <c r="F16" t="s">
        <v>99</v>
      </c>
      <c r="G16" t="s">
        <v>100</v>
      </c>
      <c r="H16" t="s">
        <v>35</v>
      </c>
      <c r="I16" s="2">
        <v>3</v>
      </c>
      <c r="J16" s="3">
        <v>79</v>
      </c>
      <c r="K16" s="4">
        <v>0</v>
      </c>
      <c r="L16" s="3">
        <v>237</v>
      </c>
      <c r="M16" t="b">
        <v>1</v>
      </c>
      <c r="N16" t="s">
        <v>2339</v>
      </c>
    </row>
    <row r="17" spans="1:14" x14ac:dyDescent="0.25">
      <c r="A17" t="s">
        <v>1883</v>
      </c>
      <c r="B17" s="1">
        <v>45814</v>
      </c>
      <c r="C17" s="1">
        <v>45817</v>
      </c>
      <c r="D17" t="s">
        <v>412</v>
      </c>
      <c r="E17" t="s">
        <v>23</v>
      </c>
      <c r="F17" t="s">
        <v>24</v>
      </c>
      <c r="H17" t="s">
        <v>48</v>
      </c>
      <c r="I17" s="2">
        <v>2</v>
      </c>
      <c r="J17" s="3">
        <v>165</v>
      </c>
      <c r="K17" s="4">
        <v>0.02</v>
      </c>
      <c r="L17" s="3">
        <v>323.4</v>
      </c>
      <c r="M17" t="b">
        <v>1</v>
      </c>
      <c r="N17" t="s">
        <v>2347</v>
      </c>
    </row>
    <row r="18" spans="1:14" x14ac:dyDescent="0.25">
      <c r="A18" t="s">
        <v>1882</v>
      </c>
      <c r="B18" s="1" t="s">
        <v>2353</v>
      </c>
      <c r="C18" s="1">
        <v>45820</v>
      </c>
      <c r="D18" t="s">
        <v>521</v>
      </c>
      <c r="E18" t="s">
        <v>75</v>
      </c>
      <c r="F18" t="s">
        <v>76</v>
      </c>
      <c r="G18" t="s">
        <v>77</v>
      </c>
      <c r="H18" t="s">
        <v>150</v>
      </c>
      <c r="I18" s="2">
        <v>3</v>
      </c>
      <c r="J18" s="3">
        <v>790</v>
      </c>
      <c r="K18" s="4">
        <v>0.02</v>
      </c>
      <c r="L18" s="3">
        <v>2322.6</v>
      </c>
      <c r="M18" t="b">
        <v>1</v>
      </c>
      <c r="N18" t="s">
        <v>2343</v>
      </c>
    </row>
    <row r="19" spans="1:14" x14ac:dyDescent="0.25">
      <c r="A19" t="s">
        <v>1864</v>
      </c>
      <c r="B19" s="1">
        <v>45821</v>
      </c>
      <c r="C19" s="1">
        <v>45812</v>
      </c>
      <c r="D19" t="s">
        <v>1595</v>
      </c>
      <c r="E19" t="s">
        <v>209</v>
      </c>
      <c r="F19" t="s">
        <v>99</v>
      </c>
      <c r="G19" t="s">
        <v>265</v>
      </c>
      <c r="H19" t="s">
        <v>35</v>
      </c>
      <c r="I19" s="2">
        <v>2</v>
      </c>
      <c r="J19" s="3">
        <v>79</v>
      </c>
      <c r="K19" s="4">
        <v>0.02</v>
      </c>
      <c r="L19" s="3">
        <v>154.84</v>
      </c>
      <c r="M19" t="b">
        <v>1</v>
      </c>
      <c r="N19" t="s">
        <v>2339</v>
      </c>
    </row>
    <row r="20" spans="1:14" x14ac:dyDescent="0.25">
      <c r="A20" t="s">
        <v>1821</v>
      </c>
      <c r="B20" s="1">
        <v>45838</v>
      </c>
      <c r="C20" s="1">
        <v>45833</v>
      </c>
      <c r="D20" t="s">
        <v>321</v>
      </c>
      <c r="E20" t="s">
        <v>38</v>
      </c>
      <c r="F20" t="s">
        <v>39</v>
      </c>
      <c r="G20" t="s">
        <v>40</v>
      </c>
      <c r="H20" t="s">
        <v>42</v>
      </c>
      <c r="I20" s="2">
        <v>1</v>
      </c>
      <c r="J20" s="3">
        <v>55</v>
      </c>
      <c r="K20" s="4">
        <v>0.05</v>
      </c>
      <c r="L20" s="3">
        <v>52.25</v>
      </c>
      <c r="M20" t="b">
        <v>1</v>
      </c>
      <c r="N20" t="s">
        <v>2339</v>
      </c>
    </row>
    <row r="21" spans="1:14" x14ac:dyDescent="0.25">
      <c r="A21" t="s">
        <v>1789</v>
      </c>
      <c r="B21" s="1">
        <v>45848</v>
      </c>
      <c r="C21" s="1">
        <v>45852</v>
      </c>
      <c r="D21" t="s">
        <v>1790</v>
      </c>
      <c r="E21" t="s">
        <v>119</v>
      </c>
      <c r="F21" t="s">
        <v>24</v>
      </c>
      <c r="H21" t="s">
        <v>72</v>
      </c>
      <c r="I21" s="2">
        <v>2</v>
      </c>
      <c r="J21" s="3">
        <v>179</v>
      </c>
      <c r="K21" s="4">
        <v>0.05</v>
      </c>
      <c r="L21" s="3">
        <v>340.1</v>
      </c>
      <c r="M21" t="b">
        <v>1</v>
      </c>
      <c r="N21" t="s">
        <v>2347</v>
      </c>
    </row>
    <row r="22" spans="1:14" x14ac:dyDescent="0.25">
      <c r="A22" t="s">
        <v>1723</v>
      </c>
      <c r="B22" s="1">
        <v>45880</v>
      </c>
      <c r="C22" s="1">
        <v>45877</v>
      </c>
      <c r="D22" t="s">
        <v>1587</v>
      </c>
      <c r="E22" t="s">
        <v>251</v>
      </c>
      <c r="F22" t="s">
        <v>166</v>
      </c>
      <c r="G22" t="s">
        <v>248</v>
      </c>
      <c r="H22" t="s">
        <v>108</v>
      </c>
      <c r="I22" s="2">
        <v>5</v>
      </c>
      <c r="J22" s="3">
        <v>24.5</v>
      </c>
      <c r="K22" s="4">
        <v>0.02</v>
      </c>
      <c r="L22" s="3">
        <v>120.05</v>
      </c>
      <c r="M22" t="b">
        <v>1</v>
      </c>
      <c r="N22" t="s">
        <v>2339</v>
      </c>
    </row>
    <row r="23" spans="1:14" x14ac:dyDescent="0.25">
      <c r="A23" t="s">
        <v>1711</v>
      </c>
      <c r="B23" s="1">
        <v>45884</v>
      </c>
      <c r="C23" s="1">
        <v>45883</v>
      </c>
      <c r="D23" t="s">
        <v>1712</v>
      </c>
      <c r="E23" t="s">
        <v>30</v>
      </c>
      <c r="F23" t="s">
        <v>31</v>
      </c>
      <c r="G23" t="s">
        <v>375</v>
      </c>
      <c r="H23" t="s">
        <v>42</v>
      </c>
      <c r="I23" s="2">
        <v>2</v>
      </c>
      <c r="J23" s="3">
        <v>55</v>
      </c>
      <c r="K23" s="4">
        <v>0</v>
      </c>
      <c r="L23" s="3">
        <v>110</v>
      </c>
      <c r="M23" t="b">
        <v>1</v>
      </c>
      <c r="N23" t="s">
        <v>2339</v>
      </c>
    </row>
    <row r="24" spans="1:14" x14ac:dyDescent="0.25">
      <c r="A24" t="s">
        <v>1647</v>
      </c>
      <c r="B24" s="1" t="s">
        <v>2354</v>
      </c>
      <c r="C24" s="1">
        <v>45909</v>
      </c>
      <c r="D24" t="s">
        <v>1648</v>
      </c>
      <c r="E24" t="s">
        <v>119</v>
      </c>
      <c r="F24" t="s">
        <v>24</v>
      </c>
      <c r="G24" t="s">
        <v>25</v>
      </c>
      <c r="H24" t="s">
        <v>123</v>
      </c>
      <c r="I24" s="2">
        <v>5</v>
      </c>
      <c r="J24" s="3">
        <v>39.9</v>
      </c>
      <c r="K24" s="4">
        <v>0</v>
      </c>
      <c r="L24" s="3">
        <v>199.5</v>
      </c>
      <c r="M24" t="b">
        <v>1</v>
      </c>
      <c r="N24" t="s">
        <v>2343</v>
      </c>
    </row>
    <row r="25" spans="1:14" x14ac:dyDescent="0.25">
      <c r="A25" t="s">
        <v>1592</v>
      </c>
      <c r="B25" s="1">
        <v>45925</v>
      </c>
      <c r="C25" s="1">
        <v>45929</v>
      </c>
      <c r="D25" t="s">
        <v>288</v>
      </c>
      <c r="E25" t="s">
        <v>256</v>
      </c>
      <c r="F25" t="s">
        <v>88</v>
      </c>
      <c r="G25" t="s">
        <v>89</v>
      </c>
      <c r="H25" t="s">
        <v>196</v>
      </c>
      <c r="I25" s="2">
        <v>5</v>
      </c>
      <c r="J25" s="3">
        <v>185</v>
      </c>
      <c r="K25" s="4">
        <v>0</v>
      </c>
      <c r="L25" s="3">
        <v>925</v>
      </c>
      <c r="M25" t="b">
        <v>1</v>
      </c>
      <c r="N25" t="s">
        <v>2349</v>
      </c>
    </row>
    <row r="26" spans="1:14" x14ac:dyDescent="0.25">
      <c r="A26" t="s">
        <v>1581</v>
      </c>
      <c r="B26" s="1">
        <v>45929</v>
      </c>
      <c r="C26" s="1">
        <v>45930</v>
      </c>
      <c r="D26" t="s">
        <v>975</v>
      </c>
      <c r="E26" t="s">
        <v>175</v>
      </c>
      <c r="F26" t="s">
        <v>76</v>
      </c>
      <c r="G26" t="s">
        <v>176</v>
      </c>
      <c r="H26" t="s">
        <v>90</v>
      </c>
      <c r="I26" s="2">
        <v>5</v>
      </c>
      <c r="J26" s="3">
        <v>229</v>
      </c>
      <c r="K26" s="4">
        <v>0</v>
      </c>
      <c r="L26" s="3">
        <v>1145</v>
      </c>
      <c r="M26" t="b">
        <v>1</v>
      </c>
      <c r="N26" t="s">
        <v>2349</v>
      </c>
    </row>
    <row r="27" spans="1:14" x14ac:dyDescent="0.25">
      <c r="A27" t="s">
        <v>1555</v>
      </c>
      <c r="B27" s="1" t="s">
        <v>2355</v>
      </c>
      <c r="C27" s="1">
        <v>45943</v>
      </c>
      <c r="D27" t="s">
        <v>241</v>
      </c>
      <c r="E27" t="s">
        <v>242</v>
      </c>
      <c r="F27" t="s">
        <v>94</v>
      </c>
      <c r="G27" t="s">
        <v>154</v>
      </c>
      <c r="H27" t="s">
        <v>72</v>
      </c>
      <c r="I27" s="2">
        <v>2</v>
      </c>
      <c r="J27" s="3">
        <v>179</v>
      </c>
      <c r="K27" s="4">
        <v>0</v>
      </c>
      <c r="L27" s="3">
        <v>358</v>
      </c>
      <c r="M27" t="b">
        <v>1</v>
      </c>
      <c r="N27" t="s">
        <v>2343</v>
      </c>
    </row>
    <row r="28" spans="1:14" x14ac:dyDescent="0.25">
      <c r="A28" t="s">
        <v>1469</v>
      </c>
      <c r="B28" s="1" t="s">
        <v>2356</v>
      </c>
      <c r="C28" s="1">
        <v>45972</v>
      </c>
      <c r="D28" t="s">
        <v>1139</v>
      </c>
      <c r="E28" t="s">
        <v>213</v>
      </c>
      <c r="F28" t="s">
        <v>138</v>
      </c>
      <c r="G28" t="s">
        <v>214</v>
      </c>
      <c r="H28" t="s">
        <v>196</v>
      </c>
      <c r="I28" s="2">
        <v>5</v>
      </c>
      <c r="J28" s="3">
        <v>18.5</v>
      </c>
      <c r="K28" s="4">
        <v>0</v>
      </c>
      <c r="L28" s="3">
        <v>92.5</v>
      </c>
      <c r="M28" t="b">
        <v>1</v>
      </c>
      <c r="N28" t="s">
        <v>2343</v>
      </c>
    </row>
    <row r="29" spans="1:14" x14ac:dyDescent="0.25">
      <c r="A29" t="s">
        <v>1456</v>
      </c>
      <c r="B29" s="1">
        <v>45974</v>
      </c>
      <c r="C29" s="1">
        <v>45967</v>
      </c>
      <c r="D29" t="s">
        <v>134</v>
      </c>
      <c r="E29" t="s">
        <v>45</v>
      </c>
      <c r="F29" t="s">
        <v>46</v>
      </c>
      <c r="G29" t="s">
        <v>47</v>
      </c>
      <c r="H29" t="s">
        <v>33</v>
      </c>
      <c r="I29" s="2">
        <v>5</v>
      </c>
      <c r="J29" s="3">
        <v>219</v>
      </c>
      <c r="K29" s="4">
        <v>0</v>
      </c>
      <c r="L29" s="3">
        <v>1095</v>
      </c>
      <c r="M29" t="b">
        <v>1</v>
      </c>
      <c r="N29" t="s">
        <v>2339</v>
      </c>
    </row>
    <row r="30" spans="1:14" x14ac:dyDescent="0.25">
      <c r="A30" t="s">
        <v>1429</v>
      </c>
      <c r="B30" s="1">
        <v>45981</v>
      </c>
      <c r="C30" s="1">
        <v>45986</v>
      </c>
      <c r="D30" t="s">
        <v>959</v>
      </c>
      <c r="E30" t="s">
        <v>61</v>
      </c>
      <c r="F30" t="s">
        <v>62</v>
      </c>
      <c r="H30" t="s">
        <v>49</v>
      </c>
      <c r="I30" s="2">
        <v>1</v>
      </c>
      <c r="J30" s="3">
        <v>120</v>
      </c>
      <c r="K30" s="4">
        <v>0.02</v>
      </c>
      <c r="L30" s="3">
        <v>117.6</v>
      </c>
      <c r="M30" t="b">
        <v>1</v>
      </c>
      <c r="N30" t="s">
        <v>2347</v>
      </c>
    </row>
    <row r="31" spans="1:14" x14ac:dyDescent="0.25">
      <c r="A31" t="s">
        <v>1392</v>
      </c>
      <c r="B31" s="1" t="s">
        <v>2357</v>
      </c>
      <c r="C31" s="1">
        <v>45994</v>
      </c>
      <c r="D31" t="s">
        <v>1311</v>
      </c>
      <c r="E31" t="s">
        <v>54</v>
      </c>
      <c r="F31" t="s">
        <v>55</v>
      </c>
      <c r="G31" t="s">
        <v>56</v>
      </c>
      <c r="H31" t="s">
        <v>319</v>
      </c>
      <c r="I31" s="2">
        <v>4</v>
      </c>
      <c r="J31" s="3">
        <v>289</v>
      </c>
      <c r="K31" s="4">
        <v>0</v>
      </c>
      <c r="L31" s="3">
        <v>1156</v>
      </c>
      <c r="M31" t="b">
        <v>1</v>
      </c>
      <c r="N31" t="s">
        <v>2343</v>
      </c>
    </row>
    <row r="32" spans="1:14" x14ac:dyDescent="0.25">
      <c r="A32" t="s">
        <v>1349</v>
      </c>
      <c r="B32" s="1">
        <v>46001</v>
      </c>
      <c r="C32" s="1">
        <v>45999</v>
      </c>
      <c r="D32" t="s">
        <v>678</v>
      </c>
      <c r="E32" t="s">
        <v>137</v>
      </c>
      <c r="F32" t="s">
        <v>138</v>
      </c>
      <c r="G32" t="s">
        <v>139</v>
      </c>
      <c r="H32" t="s">
        <v>58</v>
      </c>
      <c r="I32" s="2">
        <v>4</v>
      </c>
      <c r="J32" s="3">
        <v>649</v>
      </c>
      <c r="K32" s="4">
        <v>0</v>
      </c>
      <c r="L32" s="3">
        <v>2596</v>
      </c>
      <c r="M32" t="b">
        <v>1</v>
      </c>
      <c r="N32" t="s">
        <v>2339</v>
      </c>
    </row>
    <row r="33" spans="1:14" x14ac:dyDescent="0.25">
      <c r="A33" t="s">
        <v>1304</v>
      </c>
      <c r="B33" s="1">
        <v>46013</v>
      </c>
      <c r="C33" s="1">
        <v>46014</v>
      </c>
      <c r="D33" t="s">
        <v>1305</v>
      </c>
      <c r="E33" t="s">
        <v>236</v>
      </c>
      <c r="F33" t="s">
        <v>39</v>
      </c>
      <c r="G33" t="s">
        <v>322</v>
      </c>
      <c r="H33" t="s">
        <v>108</v>
      </c>
      <c r="I33" s="2">
        <v>5</v>
      </c>
      <c r="J33" s="3">
        <v>245</v>
      </c>
      <c r="K33" s="4">
        <v>0</v>
      </c>
      <c r="L33" s="3">
        <v>1225</v>
      </c>
      <c r="M33" t="b">
        <v>1</v>
      </c>
      <c r="N33" t="s">
        <v>2349</v>
      </c>
    </row>
    <row r="34" spans="1:14" x14ac:dyDescent="0.25">
      <c r="A34" t="s">
        <v>1283</v>
      </c>
      <c r="B34" s="1">
        <v>46017</v>
      </c>
      <c r="C34" s="1">
        <v>46021</v>
      </c>
      <c r="D34" t="s">
        <v>1284</v>
      </c>
      <c r="E34" t="s">
        <v>119</v>
      </c>
      <c r="F34" t="s">
        <v>24</v>
      </c>
      <c r="G34" t="s">
        <v>116</v>
      </c>
      <c r="H34" t="s">
        <v>2344</v>
      </c>
      <c r="I34" s="2">
        <v>1</v>
      </c>
      <c r="J34" s="3">
        <v>165</v>
      </c>
      <c r="K34" s="4">
        <v>0.08</v>
      </c>
      <c r="L34" s="3">
        <v>151.8</v>
      </c>
      <c r="M34" t="b">
        <v>1</v>
      </c>
      <c r="N34" t="s">
        <v>2341</v>
      </c>
    </row>
    <row r="35" spans="1:14" x14ac:dyDescent="0.25">
      <c r="A35" t="s">
        <v>1288</v>
      </c>
      <c r="B35" s="1">
        <v>46017</v>
      </c>
      <c r="C35" s="1">
        <v>46020</v>
      </c>
      <c r="D35" t="s">
        <v>948</v>
      </c>
      <c r="E35" t="s">
        <v>54</v>
      </c>
      <c r="F35" t="s">
        <v>55</v>
      </c>
      <c r="G35" t="s">
        <v>71</v>
      </c>
      <c r="H35" t="s">
        <v>196</v>
      </c>
      <c r="I35" s="2">
        <v>5</v>
      </c>
      <c r="J35" s="3">
        <v>185</v>
      </c>
      <c r="K35" s="4">
        <v>0</v>
      </c>
      <c r="L35" s="3">
        <v>925</v>
      </c>
      <c r="M35" t="b">
        <v>1</v>
      </c>
      <c r="N35" t="s">
        <v>2349</v>
      </c>
    </row>
    <row r="36" spans="1:14" x14ac:dyDescent="0.25">
      <c r="A36" t="s">
        <v>1262</v>
      </c>
      <c r="B36" s="1">
        <v>46023</v>
      </c>
      <c r="C36" s="1">
        <v>46024</v>
      </c>
      <c r="D36" t="s">
        <v>504</v>
      </c>
      <c r="E36" t="s">
        <v>115</v>
      </c>
      <c r="F36" t="s">
        <v>24</v>
      </c>
      <c r="H36" t="s">
        <v>35</v>
      </c>
      <c r="I36" s="2">
        <v>2</v>
      </c>
      <c r="J36" s="3">
        <v>79</v>
      </c>
      <c r="K36" s="4">
        <v>0</v>
      </c>
      <c r="L36" s="3">
        <v>158</v>
      </c>
      <c r="M36" t="b">
        <v>1</v>
      </c>
      <c r="N36" t="s">
        <v>2347</v>
      </c>
    </row>
    <row r="37" spans="1:14" x14ac:dyDescent="0.25">
      <c r="A37" t="s">
        <v>2358</v>
      </c>
      <c r="B37" s="1" t="s">
        <v>2359</v>
      </c>
      <c r="C37" s="1">
        <v>46028</v>
      </c>
      <c r="D37" t="s">
        <v>343</v>
      </c>
      <c r="E37" t="s">
        <v>185</v>
      </c>
      <c r="F37" t="s">
        <v>31</v>
      </c>
      <c r="G37" t="s">
        <v>375</v>
      </c>
      <c r="H37" t="s">
        <v>84</v>
      </c>
      <c r="I37" s="2">
        <v>1</v>
      </c>
      <c r="J37" s="3">
        <v>420</v>
      </c>
      <c r="K37" s="4">
        <v>0</v>
      </c>
      <c r="L37" s="3">
        <v>420</v>
      </c>
      <c r="M37" t="b">
        <v>1</v>
      </c>
      <c r="N37" t="s">
        <v>2343</v>
      </c>
    </row>
    <row r="38" spans="1:14" x14ac:dyDescent="0.25">
      <c r="A38" t="s">
        <v>1249</v>
      </c>
      <c r="B38" s="1">
        <v>46030</v>
      </c>
      <c r="C38" s="1">
        <v>46029</v>
      </c>
      <c r="D38" t="s">
        <v>558</v>
      </c>
      <c r="E38" t="s">
        <v>316</v>
      </c>
      <c r="F38" t="s">
        <v>46</v>
      </c>
      <c r="G38" t="s">
        <v>158</v>
      </c>
      <c r="H38" t="s">
        <v>79</v>
      </c>
      <c r="I38" s="2">
        <v>5</v>
      </c>
      <c r="J38" s="3">
        <v>14.9</v>
      </c>
      <c r="K38" s="4">
        <v>0.02</v>
      </c>
      <c r="L38" s="3">
        <v>73.01</v>
      </c>
      <c r="M38" t="b">
        <v>1</v>
      </c>
      <c r="N38" t="s">
        <v>2339</v>
      </c>
    </row>
    <row r="39" spans="1:14" x14ac:dyDescent="0.25">
      <c r="A39" t="s">
        <v>2360</v>
      </c>
      <c r="B39" s="1">
        <v>46038</v>
      </c>
      <c r="C39" s="1">
        <v>46035</v>
      </c>
      <c r="D39" t="s">
        <v>579</v>
      </c>
      <c r="E39" t="s">
        <v>115</v>
      </c>
      <c r="F39" t="s">
        <v>24</v>
      </c>
      <c r="G39" t="s">
        <v>199</v>
      </c>
      <c r="H39" t="s">
        <v>49</v>
      </c>
      <c r="I39" s="2">
        <v>3</v>
      </c>
      <c r="J39" s="3">
        <v>120</v>
      </c>
      <c r="K39" s="4">
        <v>0</v>
      </c>
      <c r="L39" s="3">
        <v>360</v>
      </c>
      <c r="M39" t="b">
        <v>1</v>
      </c>
      <c r="N39" t="s">
        <v>2339</v>
      </c>
    </row>
    <row r="40" spans="1:14" x14ac:dyDescent="0.25">
      <c r="A40" t="s">
        <v>1094</v>
      </c>
      <c r="B40" s="1">
        <v>46071</v>
      </c>
      <c r="C40" s="1">
        <v>46078</v>
      </c>
      <c r="D40" t="s">
        <v>102</v>
      </c>
      <c r="E40" t="s">
        <v>61</v>
      </c>
      <c r="F40" t="s">
        <v>62</v>
      </c>
      <c r="G40" t="s">
        <v>63</v>
      </c>
      <c r="H40" t="s">
        <v>2340</v>
      </c>
      <c r="I40" s="2">
        <v>1</v>
      </c>
      <c r="J40" s="3">
        <v>69</v>
      </c>
      <c r="K40" s="4">
        <v>0.05</v>
      </c>
      <c r="L40" s="3">
        <v>65.55</v>
      </c>
      <c r="M40" t="b">
        <v>1</v>
      </c>
      <c r="N40" t="s">
        <v>2341</v>
      </c>
    </row>
    <row r="41" spans="1:14" x14ac:dyDescent="0.25">
      <c r="A41" t="s">
        <v>1052</v>
      </c>
      <c r="B41" s="1">
        <v>46084</v>
      </c>
      <c r="C41" s="1">
        <v>46090</v>
      </c>
      <c r="D41" t="s">
        <v>977</v>
      </c>
      <c r="E41" t="s">
        <v>336</v>
      </c>
      <c r="F41" t="s">
        <v>166</v>
      </c>
      <c r="H41" t="s">
        <v>196</v>
      </c>
      <c r="I41" s="2">
        <v>10</v>
      </c>
      <c r="J41" s="3">
        <v>18.5</v>
      </c>
      <c r="K41" s="4">
        <v>0</v>
      </c>
      <c r="L41" s="3">
        <v>185</v>
      </c>
      <c r="M41" t="b">
        <v>1</v>
      </c>
      <c r="N41" t="s">
        <v>2347</v>
      </c>
    </row>
    <row r="42" spans="1:14" x14ac:dyDescent="0.25">
      <c r="A42" t="s">
        <v>1054</v>
      </c>
      <c r="B42" s="1">
        <v>46084</v>
      </c>
      <c r="C42" s="1">
        <v>46087</v>
      </c>
      <c r="D42" t="s">
        <v>660</v>
      </c>
      <c r="E42" t="s">
        <v>256</v>
      </c>
      <c r="F42" t="s">
        <v>88</v>
      </c>
      <c r="G42" t="s">
        <v>142</v>
      </c>
      <c r="H42" t="s">
        <v>2344</v>
      </c>
      <c r="I42" s="2">
        <v>1</v>
      </c>
      <c r="J42" s="3">
        <v>245</v>
      </c>
      <c r="K42" s="4">
        <v>0</v>
      </c>
      <c r="L42" s="3">
        <v>245</v>
      </c>
      <c r="M42" t="b">
        <v>1</v>
      </c>
      <c r="N42" t="s">
        <v>2341</v>
      </c>
    </row>
    <row r="43" spans="1:14" x14ac:dyDescent="0.25">
      <c r="A43" t="s">
        <v>1042</v>
      </c>
      <c r="B43" s="1" t="s">
        <v>2361</v>
      </c>
      <c r="C43" s="1">
        <v>46092</v>
      </c>
      <c r="D43" t="s">
        <v>525</v>
      </c>
      <c r="E43" t="s">
        <v>130</v>
      </c>
      <c r="F43" t="s">
        <v>39</v>
      </c>
      <c r="G43" t="s">
        <v>40</v>
      </c>
      <c r="H43" t="s">
        <v>90</v>
      </c>
      <c r="I43" s="2">
        <v>15</v>
      </c>
      <c r="J43" s="3">
        <v>22.9</v>
      </c>
      <c r="K43" s="4">
        <v>0</v>
      </c>
      <c r="L43" s="3">
        <v>343.5</v>
      </c>
      <c r="M43" t="b">
        <v>1</v>
      </c>
      <c r="N43" t="s">
        <v>2343</v>
      </c>
    </row>
    <row r="44" spans="1:14" x14ac:dyDescent="0.25">
      <c r="A44" t="s">
        <v>1032</v>
      </c>
      <c r="B44" s="1" t="s">
        <v>2362</v>
      </c>
      <c r="C44" s="1">
        <v>46093</v>
      </c>
      <c r="D44" t="s">
        <v>198</v>
      </c>
      <c r="E44" t="s">
        <v>122</v>
      </c>
      <c r="F44" t="s">
        <v>24</v>
      </c>
      <c r="G44" t="s">
        <v>116</v>
      </c>
      <c r="H44" t="s">
        <v>35</v>
      </c>
      <c r="I44" s="2">
        <v>3</v>
      </c>
      <c r="J44" s="3">
        <v>79</v>
      </c>
      <c r="K44" s="4">
        <v>0</v>
      </c>
      <c r="L44" s="3">
        <v>237</v>
      </c>
      <c r="M44" t="b">
        <v>1</v>
      </c>
      <c r="N44" t="s">
        <v>2343</v>
      </c>
    </row>
    <row r="45" spans="1:14" x14ac:dyDescent="0.25">
      <c r="A45" t="s">
        <v>1024</v>
      </c>
      <c r="B45" s="1">
        <v>46092</v>
      </c>
      <c r="C45" s="1">
        <v>46099</v>
      </c>
      <c r="D45" t="s">
        <v>721</v>
      </c>
      <c r="E45" t="s">
        <v>307</v>
      </c>
      <c r="F45" t="s">
        <v>76</v>
      </c>
      <c r="G45" t="s">
        <v>232</v>
      </c>
      <c r="H45" t="s">
        <v>84</v>
      </c>
      <c r="I45" s="2">
        <v>-2</v>
      </c>
      <c r="J45" s="3">
        <v>420</v>
      </c>
      <c r="K45" s="4">
        <v>0.05</v>
      </c>
      <c r="L45" s="3">
        <v>-798</v>
      </c>
      <c r="M45" t="b">
        <v>1</v>
      </c>
      <c r="N45" t="s">
        <v>2348</v>
      </c>
    </row>
    <row r="46" spans="1:14" x14ac:dyDescent="0.25">
      <c r="A46" t="s">
        <v>956</v>
      </c>
      <c r="B46" s="1">
        <v>46107</v>
      </c>
      <c r="C46" s="1">
        <v>46104</v>
      </c>
      <c r="D46" t="s">
        <v>957</v>
      </c>
      <c r="E46" t="s">
        <v>38</v>
      </c>
      <c r="F46" t="s">
        <v>39</v>
      </c>
      <c r="G46" t="s">
        <v>40</v>
      </c>
      <c r="H46" t="s">
        <v>103</v>
      </c>
      <c r="I46" s="2">
        <v>2</v>
      </c>
      <c r="J46" s="3">
        <v>245</v>
      </c>
      <c r="K46" s="4">
        <v>0.02</v>
      </c>
      <c r="L46" s="3">
        <v>480.2</v>
      </c>
      <c r="M46" t="b">
        <v>1</v>
      </c>
      <c r="N46" t="s">
        <v>2339</v>
      </c>
    </row>
    <row r="47" spans="1:14" x14ac:dyDescent="0.25">
      <c r="A47" t="s">
        <v>895</v>
      </c>
      <c r="B47" s="1">
        <v>46122</v>
      </c>
      <c r="C47" s="1">
        <v>46128</v>
      </c>
      <c r="D47" t="s">
        <v>861</v>
      </c>
      <c r="E47" t="s">
        <v>175</v>
      </c>
      <c r="F47" t="s">
        <v>76</v>
      </c>
      <c r="G47" t="s">
        <v>232</v>
      </c>
      <c r="H47" t="s">
        <v>2340</v>
      </c>
      <c r="I47" s="2">
        <v>1</v>
      </c>
      <c r="J47" s="3">
        <v>149</v>
      </c>
      <c r="K47" s="4">
        <v>0.05</v>
      </c>
      <c r="L47" s="3">
        <v>141.55</v>
      </c>
      <c r="M47" t="b">
        <v>1</v>
      </c>
      <c r="N47" t="s">
        <v>2341</v>
      </c>
    </row>
    <row r="48" spans="1:14" x14ac:dyDescent="0.25">
      <c r="A48" t="s">
        <v>885</v>
      </c>
      <c r="B48" s="1">
        <v>46125</v>
      </c>
      <c r="C48" s="1">
        <v>46129</v>
      </c>
      <c r="D48" t="s">
        <v>886</v>
      </c>
      <c r="E48" t="s">
        <v>333</v>
      </c>
      <c r="F48" t="s">
        <v>138</v>
      </c>
      <c r="G48" t="s">
        <v>139</v>
      </c>
      <c r="H48" t="s">
        <v>319</v>
      </c>
      <c r="I48" s="2">
        <v>-3</v>
      </c>
      <c r="J48" s="3">
        <v>289</v>
      </c>
      <c r="K48" s="4">
        <v>0.02</v>
      </c>
      <c r="L48" s="3">
        <v>-849.66</v>
      </c>
      <c r="M48" t="b">
        <v>1</v>
      </c>
      <c r="N48" t="s">
        <v>2348</v>
      </c>
    </row>
    <row r="49" spans="1:14" x14ac:dyDescent="0.25">
      <c r="A49" t="s">
        <v>824</v>
      </c>
      <c r="B49" s="1">
        <v>46140</v>
      </c>
      <c r="C49" s="1">
        <v>46136</v>
      </c>
      <c r="D49" t="s">
        <v>825</v>
      </c>
      <c r="E49" t="s">
        <v>242</v>
      </c>
      <c r="F49" t="s">
        <v>94</v>
      </c>
      <c r="G49" t="s">
        <v>182</v>
      </c>
      <c r="H49" t="s">
        <v>27</v>
      </c>
      <c r="I49" s="2">
        <v>3</v>
      </c>
      <c r="J49" s="3">
        <v>310</v>
      </c>
      <c r="K49" s="4">
        <v>0.02</v>
      </c>
      <c r="L49" s="3">
        <v>911.4</v>
      </c>
      <c r="M49" t="b">
        <v>1</v>
      </c>
      <c r="N49" t="s">
        <v>2339</v>
      </c>
    </row>
    <row r="50" spans="1:14" x14ac:dyDescent="0.25">
      <c r="A50" t="s">
        <v>814</v>
      </c>
      <c r="B50" s="1">
        <v>46141</v>
      </c>
      <c r="C50" s="1">
        <v>46147</v>
      </c>
      <c r="D50" t="s">
        <v>815</v>
      </c>
      <c r="E50" t="s">
        <v>119</v>
      </c>
      <c r="F50" t="s">
        <v>24</v>
      </c>
      <c r="G50" t="s">
        <v>199</v>
      </c>
      <c r="H50" t="s">
        <v>51</v>
      </c>
      <c r="I50" s="2">
        <v>-3</v>
      </c>
      <c r="J50" s="3">
        <v>180</v>
      </c>
      <c r="K50" s="4">
        <v>0</v>
      </c>
      <c r="L50" s="3">
        <v>-540</v>
      </c>
      <c r="M50" t="b">
        <v>1</v>
      </c>
      <c r="N50" t="s">
        <v>2348</v>
      </c>
    </row>
    <row r="51" spans="1:14" x14ac:dyDescent="0.25">
      <c r="A51" t="s">
        <v>807</v>
      </c>
      <c r="B51" s="1">
        <v>46143</v>
      </c>
      <c r="C51" s="1">
        <v>46147</v>
      </c>
      <c r="D51" t="s">
        <v>808</v>
      </c>
      <c r="E51" t="s">
        <v>175</v>
      </c>
      <c r="F51" t="s">
        <v>76</v>
      </c>
      <c r="H51" t="s">
        <v>41</v>
      </c>
      <c r="I51" s="2">
        <v>2</v>
      </c>
      <c r="J51" s="3">
        <v>790</v>
      </c>
      <c r="K51" s="4">
        <v>0</v>
      </c>
      <c r="L51" s="3">
        <v>1580</v>
      </c>
      <c r="M51" t="b">
        <v>1</v>
      </c>
      <c r="N51" t="s">
        <v>2347</v>
      </c>
    </row>
    <row r="52" spans="1:14" x14ac:dyDescent="0.25">
      <c r="A52" t="s">
        <v>728</v>
      </c>
      <c r="B52" s="1">
        <v>46161</v>
      </c>
      <c r="C52" s="1">
        <v>46154</v>
      </c>
      <c r="D52" t="s">
        <v>729</v>
      </c>
      <c r="E52" t="s">
        <v>122</v>
      </c>
      <c r="F52" t="s">
        <v>24</v>
      </c>
      <c r="G52" t="s">
        <v>199</v>
      </c>
      <c r="H52" t="s">
        <v>83</v>
      </c>
      <c r="I52" s="2">
        <v>6</v>
      </c>
      <c r="J52" s="3">
        <v>49</v>
      </c>
      <c r="K52" s="4">
        <v>0.08</v>
      </c>
      <c r="L52" s="3">
        <v>270.48</v>
      </c>
      <c r="M52" t="b">
        <v>1</v>
      </c>
      <c r="N52" t="s">
        <v>2339</v>
      </c>
    </row>
    <row r="53" spans="1:14" x14ac:dyDescent="0.25">
      <c r="A53" t="s">
        <v>715</v>
      </c>
      <c r="B53" s="1">
        <v>46164</v>
      </c>
      <c r="C53" s="1">
        <v>46168</v>
      </c>
      <c r="D53" t="s">
        <v>716</v>
      </c>
      <c r="E53" t="s">
        <v>419</v>
      </c>
      <c r="F53" t="s">
        <v>62</v>
      </c>
      <c r="H53" t="s">
        <v>150</v>
      </c>
      <c r="I53" s="2">
        <v>1</v>
      </c>
      <c r="J53" s="3">
        <v>790</v>
      </c>
      <c r="K53" s="4">
        <v>0.22</v>
      </c>
      <c r="L53" s="3">
        <v>616.2</v>
      </c>
      <c r="M53" t="b">
        <v>1</v>
      </c>
      <c r="N53" t="s">
        <v>2347</v>
      </c>
    </row>
    <row r="54" spans="1:14" x14ac:dyDescent="0.25">
      <c r="A54" t="s">
        <v>685</v>
      </c>
      <c r="B54" s="1">
        <v>46174</v>
      </c>
      <c r="C54" s="1">
        <v>46176</v>
      </c>
      <c r="D54" t="s">
        <v>686</v>
      </c>
      <c r="E54" t="s">
        <v>256</v>
      </c>
      <c r="F54" t="s">
        <v>88</v>
      </c>
      <c r="G54" t="s">
        <v>226</v>
      </c>
      <c r="H54" t="s">
        <v>2340</v>
      </c>
      <c r="I54" s="2">
        <v>15</v>
      </c>
      <c r="J54" s="3">
        <v>24.5</v>
      </c>
      <c r="K54" s="4">
        <v>0.02</v>
      </c>
      <c r="L54" s="3">
        <v>360.15</v>
      </c>
      <c r="M54" t="b">
        <v>1</v>
      </c>
      <c r="N54" t="s">
        <v>2341</v>
      </c>
    </row>
    <row r="55" spans="1:14" x14ac:dyDescent="0.25">
      <c r="A55" t="s">
        <v>520</v>
      </c>
      <c r="B55" s="1">
        <v>46212</v>
      </c>
      <c r="C55" s="1">
        <v>46216</v>
      </c>
      <c r="D55" t="s">
        <v>521</v>
      </c>
      <c r="E55" t="s">
        <v>75</v>
      </c>
      <c r="F55" t="s">
        <v>76</v>
      </c>
      <c r="H55" t="s">
        <v>50</v>
      </c>
      <c r="I55" s="2">
        <v>2</v>
      </c>
      <c r="J55" s="3">
        <v>69</v>
      </c>
      <c r="K55" s="4">
        <v>0</v>
      </c>
      <c r="L55" s="3">
        <v>138</v>
      </c>
      <c r="M55" t="b">
        <v>1</v>
      </c>
      <c r="N55" t="s">
        <v>2347</v>
      </c>
    </row>
    <row r="56" spans="1:14" x14ac:dyDescent="0.25">
      <c r="A56" t="s">
        <v>526</v>
      </c>
      <c r="B56" s="1">
        <v>46212</v>
      </c>
      <c r="C56" s="1">
        <v>46216</v>
      </c>
      <c r="D56" t="s">
        <v>527</v>
      </c>
      <c r="E56" t="s">
        <v>149</v>
      </c>
      <c r="F56" t="s">
        <v>88</v>
      </c>
      <c r="G56" t="s">
        <v>89</v>
      </c>
      <c r="H56" t="s">
        <v>108</v>
      </c>
      <c r="I56" s="2">
        <v>-3</v>
      </c>
      <c r="J56" s="3">
        <v>24.5</v>
      </c>
      <c r="K56" s="4">
        <v>0.02</v>
      </c>
      <c r="L56" s="3">
        <v>-72.03</v>
      </c>
      <c r="M56" t="b">
        <v>1</v>
      </c>
      <c r="N56" t="s">
        <v>2348</v>
      </c>
    </row>
    <row r="57" spans="1:14" x14ac:dyDescent="0.25">
      <c r="A57" t="s">
        <v>493</v>
      </c>
      <c r="B57" s="1">
        <v>46220</v>
      </c>
      <c r="C57" s="1">
        <v>46225</v>
      </c>
      <c r="D57" t="s">
        <v>494</v>
      </c>
      <c r="E57" t="s">
        <v>270</v>
      </c>
      <c r="F57" t="s">
        <v>76</v>
      </c>
      <c r="G57" t="s">
        <v>232</v>
      </c>
      <c r="H57" t="s">
        <v>79</v>
      </c>
      <c r="I57" s="2">
        <v>15</v>
      </c>
      <c r="J57" s="3">
        <v>149</v>
      </c>
      <c r="K57" s="4">
        <v>0</v>
      </c>
      <c r="L57" s="3">
        <v>2235</v>
      </c>
      <c r="M57" t="b">
        <v>1</v>
      </c>
      <c r="N57" t="s">
        <v>2349</v>
      </c>
    </row>
    <row r="58" spans="1:14" x14ac:dyDescent="0.25">
      <c r="A58" t="s">
        <v>411</v>
      </c>
      <c r="B58" s="1" t="s">
        <v>2363</v>
      </c>
      <c r="C58" s="1">
        <v>46241</v>
      </c>
      <c r="D58" t="s">
        <v>412</v>
      </c>
      <c r="E58" t="s">
        <v>23</v>
      </c>
      <c r="F58" t="s">
        <v>24</v>
      </c>
      <c r="G58" t="s">
        <v>116</v>
      </c>
      <c r="H58" t="s">
        <v>112</v>
      </c>
      <c r="I58" s="2">
        <v>6</v>
      </c>
      <c r="J58" s="3">
        <v>129</v>
      </c>
      <c r="K58" s="4">
        <v>0.1</v>
      </c>
      <c r="L58" s="3">
        <v>696.6</v>
      </c>
      <c r="M58" t="b">
        <v>1</v>
      </c>
      <c r="N58" t="s">
        <v>2343</v>
      </c>
    </row>
    <row r="59" spans="1:14" x14ac:dyDescent="0.25">
      <c r="A59" t="s">
        <v>392</v>
      </c>
      <c r="B59" s="1">
        <v>46245</v>
      </c>
      <c r="C59" s="1">
        <v>46248</v>
      </c>
      <c r="D59" t="s">
        <v>393</v>
      </c>
      <c r="E59" t="s">
        <v>157</v>
      </c>
      <c r="F59" t="s">
        <v>46</v>
      </c>
      <c r="G59" t="s">
        <v>47</v>
      </c>
      <c r="H59" t="s">
        <v>64</v>
      </c>
      <c r="I59" s="2">
        <v>-3</v>
      </c>
      <c r="J59" s="3">
        <v>16.8</v>
      </c>
      <c r="K59" s="4">
        <v>0.05</v>
      </c>
      <c r="L59" s="3">
        <v>-47.88</v>
      </c>
      <c r="M59" t="b">
        <v>1</v>
      </c>
      <c r="N59" t="s">
        <v>2348</v>
      </c>
    </row>
    <row r="60" spans="1:14" x14ac:dyDescent="0.25">
      <c r="A60" t="s">
        <v>362</v>
      </c>
      <c r="B60" s="1">
        <v>46251</v>
      </c>
      <c r="C60" s="1">
        <v>46262</v>
      </c>
      <c r="D60" t="s">
        <v>363</v>
      </c>
      <c r="E60" t="s">
        <v>229</v>
      </c>
      <c r="F60" t="s">
        <v>55</v>
      </c>
      <c r="H60" t="s">
        <v>42</v>
      </c>
      <c r="I60" s="2">
        <v>1</v>
      </c>
      <c r="J60" s="3">
        <v>55</v>
      </c>
      <c r="K60" s="4">
        <v>0</v>
      </c>
      <c r="L60" s="3">
        <v>55</v>
      </c>
      <c r="M60" t="b">
        <v>1</v>
      </c>
      <c r="N60" t="s">
        <v>2347</v>
      </c>
    </row>
    <row r="61" spans="1:14" x14ac:dyDescent="0.25">
      <c r="A61" t="s">
        <v>289</v>
      </c>
      <c r="B61" s="1">
        <v>46266</v>
      </c>
      <c r="C61" s="1">
        <v>46272</v>
      </c>
      <c r="D61" t="s">
        <v>290</v>
      </c>
      <c r="E61" t="s">
        <v>191</v>
      </c>
      <c r="F61" t="s">
        <v>62</v>
      </c>
      <c r="G61" t="s">
        <v>68</v>
      </c>
      <c r="H61" t="s">
        <v>2340</v>
      </c>
      <c r="I61" s="2">
        <v>1</v>
      </c>
      <c r="J61" s="3">
        <v>149</v>
      </c>
      <c r="K61" s="4">
        <v>0.02</v>
      </c>
      <c r="L61" s="3">
        <v>146.02</v>
      </c>
      <c r="M61" t="b">
        <v>1</v>
      </c>
      <c r="N61" t="s">
        <v>2341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3" style="1" customWidth="1"/>
    <col min="6" max="6" width="16" customWidth="1"/>
  </cols>
  <sheetData>
    <row r="1" spans="1:6" s="5" customFormat="1" x14ac:dyDescent="0.25">
      <c r="A1" s="5" t="s">
        <v>3</v>
      </c>
      <c r="B1" s="5" t="s">
        <v>2364</v>
      </c>
      <c r="C1" s="5" t="s">
        <v>4</v>
      </c>
      <c r="D1" s="5" t="s">
        <v>2365</v>
      </c>
      <c r="E1" s="6" t="s">
        <v>2366</v>
      </c>
      <c r="F1" s="5" t="s">
        <v>2367</v>
      </c>
    </row>
    <row r="2" spans="1:6" x14ac:dyDescent="0.25">
      <c r="A2" t="s">
        <v>523</v>
      </c>
      <c r="B2" t="s">
        <v>2368</v>
      </c>
      <c r="C2" t="s">
        <v>185</v>
      </c>
      <c r="D2" t="s">
        <v>2369</v>
      </c>
      <c r="E2" s="1">
        <v>44439</v>
      </c>
    </row>
    <row r="3" spans="1:6" x14ac:dyDescent="0.25">
      <c r="A3" t="s">
        <v>656</v>
      </c>
      <c r="B3" t="s">
        <v>2370</v>
      </c>
      <c r="C3" t="s">
        <v>122</v>
      </c>
      <c r="D3" t="s">
        <v>2369</v>
      </c>
      <c r="E3" s="1">
        <v>42387</v>
      </c>
    </row>
    <row r="4" spans="1:6" x14ac:dyDescent="0.25">
      <c r="A4" t="s">
        <v>948</v>
      </c>
      <c r="B4" t="s">
        <v>2371</v>
      </c>
      <c r="C4" t="s">
        <v>54</v>
      </c>
      <c r="D4" t="s">
        <v>2369</v>
      </c>
      <c r="E4" s="1">
        <v>45890</v>
      </c>
    </row>
    <row r="5" spans="1:6" x14ac:dyDescent="0.25">
      <c r="A5" t="s">
        <v>819</v>
      </c>
      <c r="B5" t="s">
        <v>2372</v>
      </c>
      <c r="C5" t="s">
        <v>236</v>
      </c>
      <c r="D5" t="s">
        <v>2373</v>
      </c>
      <c r="E5" s="1">
        <v>46141</v>
      </c>
    </row>
    <row r="6" spans="1:6" x14ac:dyDescent="0.25">
      <c r="A6" t="s">
        <v>114</v>
      </c>
      <c r="B6" t="s">
        <v>2374</v>
      </c>
      <c r="C6" t="s">
        <v>115</v>
      </c>
      <c r="D6" t="s">
        <v>2369</v>
      </c>
      <c r="E6" s="1">
        <v>44277</v>
      </c>
    </row>
    <row r="7" spans="1:6" x14ac:dyDescent="0.25">
      <c r="A7" t="s">
        <v>889</v>
      </c>
      <c r="B7" t="s">
        <v>2375</v>
      </c>
      <c r="C7" t="s">
        <v>399</v>
      </c>
      <c r="D7" t="s">
        <v>2369</v>
      </c>
      <c r="E7" s="1">
        <v>44949</v>
      </c>
    </row>
    <row r="8" spans="1:6" x14ac:dyDescent="0.25">
      <c r="A8" t="s">
        <v>2376</v>
      </c>
      <c r="B8" t="s">
        <v>2377</v>
      </c>
      <c r="C8" t="s">
        <v>149</v>
      </c>
      <c r="D8" t="s">
        <v>2369</v>
      </c>
      <c r="E8" s="1">
        <v>43339</v>
      </c>
    </row>
    <row r="9" spans="1:6" x14ac:dyDescent="0.25">
      <c r="A9" t="s">
        <v>561</v>
      </c>
      <c r="B9" t="s">
        <v>2378</v>
      </c>
      <c r="C9" t="s">
        <v>137</v>
      </c>
      <c r="D9" t="s">
        <v>2369</v>
      </c>
      <c r="E9" s="1">
        <v>44074</v>
      </c>
    </row>
    <row r="10" spans="1:6" x14ac:dyDescent="0.25">
      <c r="A10" t="s">
        <v>2379</v>
      </c>
      <c r="B10" t="s">
        <v>2380</v>
      </c>
      <c r="C10" t="s">
        <v>67</v>
      </c>
      <c r="D10" t="s">
        <v>2369</v>
      </c>
      <c r="E10" s="1">
        <v>43157</v>
      </c>
    </row>
    <row r="11" spans="1:6" x14ac:dyDescent="0.25">
      <c r="A11" t="s">
        <v>721</v>
      </c>
      <c r="B11" t="s">
        <v>2381</v>
      </c>
      <c r="C11" t="s">
        <v>307</v>
      </c>
      <c r="D11" t="s">
        <v>2382</v>
      </c>
      <c r="E11" s="1">
        <v>41036</v>
      </c>
    </row>
    <row r="12" spans="1:6" x14ac:dyDescent="0.25">
      <c r="A12" t="s">
        <v>258</v>
      </c>
      <c r="B12" t="s">
        <v>2383</v>
      </c>
      <c r="C12" t="s">
        <v>61</v>
      </c>
      <c r="D12" t="s">
        <v>2384</v>
      </c>
      <c r="E12" s="1">
        <v>43284</v>
      </c>
    </row>
    <row r="13" spans="1:6" x14ac:dyDescent="0.25">
      <c r="A13" t="s">
        <v>1125</v>
      </c>
      <c r="B13" t="s">
        <v>2385</v>
      </c>
      <c r="C13" t="s">
        <v>75</v>
      </c>
      <c r="D13" t="s">
        <v>2369</v>
      </c>
      <c r="E13" s="1">
        <v>43154</v>
      </c>
    </row>
    <row r="14" spans="1:6" x14ac:dyDescent="0.25">
      <c r="A14" t="s">
        <v>787</v>
      </c>
      <c r="B14" t="s">
        <v>2386</v>
      </c>
      <c r="C14" t="s">
        <v>23</v>
      </c>
      <c r="D14" t="s">
        <v>2373</v>
      </c>
      <c r="E14" s="1">
        <v>45691</v>
      </c>
    </row>
    <row r="15" spans="1:6" x14ac:dyDescent="0.25">
      <c r="A15" t="s">
        <v>1368</v>
      </c>
      <c r="B15" t="s">
        <v>2387</v>
      </c>
      <c r="C15" t="s">
        <v>229</v>
      </c>
      <c r="D15" t="s">
        <v>2369</v>
      </c>
      <c r="E15" s="1">
        <v>42292</v>
      </c>
    </row>
    <row r="16" spans="1:6" x14ac:dyDescent="0.25">
      <c r="A16" t="s">
        <v>2107</v>
      </c>
      <c r="B16" t="s">
        <v>2388</v>
      </c>
      <c r="C16" t="s">
        <v>209</v>
      </c>
      <c r="D16" t="s">
        <v>2373</v>
      </c>
      <c r="E16" s="1">
        <v>45736</v>
      </c>
    </row>
    <row r="17" spans="1:6" x14ac:dyDescent="0.25">
      <c r="A17" t="s">
        <v>1771</v>
      </c>
      <c r="B17" t="s">
        <v>2389</v>
      </c>
      <c r="C17" t="s">
        <v>23</v>
      </c>
      <c r="D17" t="s">
        <v>2373</v>
      </c>
      <c r="E17" s="1">
        <v>43143</v>
      </c>
    </row>
    <row r="18" spans="1:6" x14ac:dyDescent="0.25">
      <c r="A18" t="s">
        <v>733</v>
      </c>
      <c r="B18" t="s">
        <v>2390</v>
      </c>
      <c r="C18" t="s">
        <v>307</v>
      </c>
      <c r="D18" t="s">
        <v>2391</v>
      </c>
      <c r="E18" s="1">
        <v>43907</v>
      </c>
    </row>
    <row r="19" spans="1:6" x14ac:dyDescent="0.25">
      <c r="A19" t="s">
        <v>1136</v>
      </c>
      <c r="B19" t="s">
        <v>2392</v>
      </c>
      <c r="C19" t="s">
        <v>191</v>
      </c>
      <c r="D19" t="s">
        <v>2369</v>
      </c>
      <c r="E19" s="1">
        <v>41451</v>
      </c>
    </row>
    <row r="20" spans="1:6" x14ac:dyDescent="0.25">
      <c r="A20" t="s">
        <v>1328</v>
      </c>
      <c r="B20" t="s">
        <v>2393</v>
      </c>
      <c r="C20" t="s">
        <v>449</v>
      </c>
      <c r="D20" t="s">
        <v>2373</v>
      </c>
      <c r="E20" s="1">
        <v>45215</v>
      </c>
    </row>
    <row r="21" spans="1:6" x14ac:dyDescent="0.25">
      <c r="A21" t="s">
        <v>1679</v>
      </c>
      <c r="B21" t="s">
        <v>2394</v>
      </c>
      <c r="C21" t="s">
        <v>172</v>
      </c>
      <c r="D21" t="s">
        <v>2373</v>
      </c>
      <c r="E21" s="1">
        <v>44382</v>
      </c>
    </row>
    <row r="22" spans="1:6" x14ac:dyDescent="0.25">
      <c r="A22" t="s">
        <v>1163</v>
      </c>
      <c r="B22" t="s">
        <v>2395</v>
      </c>
      <c r="C22" t="s">
        <v>54</v>
      </c>
      <c r="D22" t="s">
        <v>2373</v>
      </c>
      <c r="E22" s="1">
        <v>41534</v>
      </c>
    </row>
    <row r="23" spans="1:6" x14ac:dyDescent="0.25">
      <c r="A23" t="s">
        <v>585</v>
      </c>
      <c r="B23" t="s">
        <v>2396</v>
      </c>
      <c r="C23" t="s">
        <v>336</v>
      </c>
      <c r="D23" t="s">
        <v>2373</v>
      </c>
      <c r="E23" s="1">
        <v>45705</v>
      </c>
    </row>
    <row r="24" spans="1:6" x14ac:dyDescent="0.25">
      <c r="A24" t="s">
        <v>810</v>
      </c>
      <c r="B24" t="s">
        <v>2397</v>
      </c>
      <c r="C24" t="s">
        <v>30</v>
      </c>
      <c r="D24" t="s">
        <v>2369</v>
      </c>
      <c r="E24" s="1">
        <v>45485</v>
      </c>
    </row>
    <row r="25" spans="1:6" x14ac:dyDescent="0.25">
      <c r="A25" t="s">
        <v>2062</v>
      </c>
      <c r="B25" t="s">
        <v>2398</v>
      </c>
      <c r="C25" t="s">
        <v>336</v>
      </c>
      <c r="D25" t="s">
        <v>2384</v>
      </c>
      <c r="E25" s="1">
        <v>45446</v>
      </c>
    </row>
    <row r="26" spans="1:6" x14ac:dyDescent="0.25">
      <c r="A26" t="s">
        <v>81</v>
      </c>
      <c r="B26" t="s">
        <v>2399</v>
      </c>
      <c r="C26" t="s">
        <v>82</v>
      </c>
      <c r="D26" t="s">
        <v>2369</v>
      </c>
      <c r="E26" s="1">
        <v>42172</v>
      </c>
    </row>
    <row r="27" spans="1:6" x14ac:dyDescent="0.25">
      <c r="A27" t="s">
        <v>475</v>
      </c>
      <c r="B27" t="s">
        <v>2400</v>
      </c>
      <c r="C27" t="s">
        <v>122</v>
      </c>
      <c r="D27" t="s">
        <v>2373</v>
      </c>
      <c r="E27" s="1">
        <v>44813</v>
      </c>
    </row>
    <row r="28" spans="1:6" x14ac:dyDescent="0.25">
      <c r="A28" t="s">
        <v>932</v>
      </c>
      <c r="B28" t="s">
        <v>2401</v>
      </c>
      <c r="C28" t="s">
        <v>419</v>
      </c>
      <c r="D28" t="s">
        <v>2369</v>
      </c>
      <c r="E28" s="1">
        <v>43563</v>
      </c>
    </row>
    <row r="29" spans="1:6" x14ac:dyDescent="0.25">
      <c r="A29" t="s">
        <v>817</v>
      </c>
      <c r="B29" t="s">
        <v>2402</v>
      </c>
      <c r="C29" t="s">
        <v>165</v>
      </c>
      <c r="D29" t="s">
        <v>2384</v>
      </c>
      <c r="E29" s="1">
        <v>42443</v>
      </c>
    </row>
    <row r="30" spans="1:6" x14ac:dyDescent="0.25">
      <c r="A30" t="s">
        <v>975</v>
      </c>
      <c r="B30" t="s">
        <v>2403</v>
      </c>
      <c r="C30" t="s">
        <v>175</v>
      </c>
      <c r="D30" t="s">
        <v>2382</v>
      </c>
      <c r="E30" s="1">
        <v>43165</v>
      </c>
    </row>
    <row r="31" spans="1:6" x14ac:dyDescent="0.25">
      <c r="A31" t="s">
        <v>802</v>
      </c>
      <c r="B31" t="s">
        <v>2404</v>
      </c>
      <c r="C31" t="s">
        <v>236</v>
      </c>
      <c r="D31" t="s">
        <v>2373</v>
      </c>
      <c r="E31" s="1">
        <v>45855</v>
      </c>
    </row>
    <row r="32" spans="1:6" x14ac:dyDescent="0.25">
      <c r="A32" t="s">
        <v>436</v>
      </c>
      <c r="B32" t="s">
        <v>2405</v>
      </c>
      <c r="C32" t="s">
        <v>98</v>
      </c>
      <c r="D32" t="s">
        <v>2384</v>
      </c>
      <c r="E32" s="1">
        <v>44538</v>
      </c>
    </row>
    <row r="33" spans="1:6" x14ac:dyDescent="0.25">
      <c r="A33" t="s">
        <v>2264</v>
      </c>
      <c r="B33" t="s">
        <v>2406</v>
      </c>
      <c r="C33" t="s">
        <v>87</v>
      </c>
      <c r="D33" t="s">
        <v>2369</v>
      </c>
      <c r="E33" s="1">
        <v>42380</v>
      </c>
    </row>
    <row r="34" spans="1:6" x14ac:dyDescent="0.25">
      <c r="A34" t="s">
        <v>1290</v>
      </c>
      <c r="B34" t="s">
        <v>2407</v>
      </c>
      <c r="C34" t="s">
        <v>122</v>
      </c>
      <c r="D34" t="s">
        <v>2391</v>
      </c>
      <c r="E34" s="1">
        <v>42178</v>
      </c>
    </row>
    <row r="35" spans="1:6" x14ac:dyDescent="0.25">
      <c r="A35" t="s">
        <v>438</v>
      </c>
      <c r="B35" t="s">
        <v>2408</v>
      </c>
      <c r="C35" t="s">
        <v>175</v>
      </c>
      <c r="D35" t="s">
        <v>2369</v>
      </c>
      <c r="E35" s="1">
        <v>46020</v>
      </c>
    </row>
    <row r="36" spans="1:6" x14ac:dyDescent="0.25">
      <c r="A36" t="s">
        <v>1394</v>
      </c>
      <c r="B36" t="s">
        <v>2409</v>
      </c>
      <c r="C36" t="s">
        <v>209</v>
      </c>
      <c r="D36" t="s">
        <v>2391</v>
      </c>
      <c r="E36" s="1">
        <v>44232</v>
      </c>
    </row>
    <row r="37" spans="1:6" x14ac:dyDescent="0.25">
      <c r="A37" t="s">
        <v>1064</v>
      </c>
      <c r="B37" t="s">
        <v>2410</v>
      </c>
      <c r="C37" t="s">
        <v>242</v>
      </c>
      <c r="D37" t="s">
        <v>2369</v>
      </c>
      <c r="E37" s="1">
        <v>42103</v>
      </c>
    </row>
    <row r="38" spans="1:6" x14ac:dyDescent="0.25">
      <c r="A38" t="s">
        <v>2411</v>
      </c>
      <c r="B38" t="s">
        <v>2412</v>
      </c>
      <c r="C38" t="s">
        <v>333</v>
      </c>
      <c r="D38" t="s">
        <v>2413</v>
      </c>
      <c r="E38" s="1">
        <v>41381</v>
      </c>
    </row>
    <row r="39" spans="1:6" x14ac:dyDescent="0.25">
      <c r="A39" t="s">
        <v>2414</v>
      </c>
      <c r="B39" t="s">
        <v>2415</v>
      </c>
      <c r="C39" t="s">
        <v>229</v>
      </c>
      <c r="D39" t="s">
        <v>2382</v>
      </c>
      <c r="E39" s="1">
        <v>43833</v>
      </c>
    </row>
    <row r="40" spans="1:6" x14ac:dyDescent="0.25">
      <c r="A40" t="s">
        <v>1364</v>
      </c>
      <c r="B40" t="s">
        <v>2416</v>
      </c>
      <c r="C40" t="s">
        <v>137</v>
      </c>
      <c r="D40" t="s">
        <v>2382</v>
      </c>
      <c r="E40" s="1">
        <v>45826</v>
      </c>
    </row>
    <row r="41" spans="1:6" x14ac:dyDescent="0.25">
      <c r="A41" t="s">
        <v>37</v>
      </c>
      <c r="B41" t="s">
        <v>2417</v>
      </c>
      <c r="C41" t="s">
        <v>38</v>
      </c>
      <c r="D41" t="s">
        <v>2369</v>
      </c>
      <c r="E41" s="1">
        <v>46230</v>
      </c>
    </row>
    <row r="42" spans="1:6" x14ac:dyDescent="0.25">
      <c r="A42" t="s">
        <v>675</v>
      </c>
      <c r="B42" t="s">
        <v>2418</v>
      </c>
      <c r="C42" t="s">
        <v>98</v>
      </c>
      <c r="D42" t="s">
        <v>2369</v>
      </c>
      <c r="E42" s="1">
        <v>43798</v>
      </c>
    </row>
    <row r="43" spans="1:6" x14ac:dyDescent="0.25">
      <c r="A43" t="s">
        <v>484</v>
      </c>
      <c r="B43" t="s">
        <v>2419</v>
      </c>
      <c r="C43" t="s">
        <v>236</v>
      </c>
      <c r="D43" t="s">
        <v>2369</v>
      </c>
      <c r="E43" s="1">
        <v>46174</v>
      </c>
    </row>
    <row r="44" spans="1:6" x14ac:dyDescent="0.25">
      <c r="A44" t="s">
        <v>1366</v>
      </c>
      <c r="B44" t="s">
        <v>2420</v>
      </c>
      <c r="C44" t="s">
        <v>307</v>
      </c>
      <c r="D44" t="s">
        <v>2373</v>
      </c>
      <c r="E44" s="1">
        <v>45687</v>
      </c>
    </row>
    <row r="45" spans="1:6" x14ac:dyDescent="0.25">
      <c r="A45" t="s">
        <v>594</v>
      </c>
      <c r="B45" t="s">
        <v>2421</v>
      </c>
      <c r="C45" t="s">
        <v>126</v>
      </c>
      <c r="D45" t="s">
        <v>2369</v>
      </c>
      <c r="E45" s="1">
        <v>42926</v>
      </c>
    </row>
    <row r="46" spans="1:6" x14ac:dyDescent="0.25">
      <c r="A46" t="s">
        <v>2422</v>
      </c>
      <c r="B46" t="s">
        <v>2423</v>
      </c>
      <c r="C46" t="s">
        <v>419</v>
      </c>
      <c r="D46" t="s">
        <v>2369</v>
      </c>
      <c r="E46" s="1">
        <v>43150</v>
      </c>
    </row>
    <row r="47" spans="1:6" x14ac:dyDescent="0.25">
      <c r="A47" t="s">
        <v>2251</v>
      </c>
      <c r="B47" t="s">
        <v>2424</v>
      </c>
      <c r="C47" t="s">
        <v>122</v>
      </c>
      <c r="D47" t="s">
        <v>2382</v>
      </c>
      <c r="E47" s="1">
        <v>45114</v>
      </c>
    </row>
    <row r="48" spans="1:6" x14ac:dyDescent="0.25">
      <c r="A48" t="s">
        <v>1370</v>
      </c>
      <c r="B48" t="s">
        <v>2425</v>
      </c>
      <c r="C48" t="s">
        <v>175</v>
      </c>
      <c r="D48" t="s">
        <v>2373</v>
      </c>
      <c r="E48" s="1">
        <v>42446</v>
      </c>
    </row>
    <row r="49" spans="1:6" x14ac:dyDescent="0.25">
      <c r="A49" t="s">
        <v>1682</v>
      </c>
      <c r="B49" t="s">
        <v>2426</v>
      </c>
      <c r="C49" t="s">
        <v>119</v>
      </c>
      <c r="D49" t="s">
        <v>2369</v>
      </c>
      <c r="E49" s="1">
        <v>43872</v>
      </c>
    </row>
    <row r="50" spans="1:6" x14ac:dyDescent="0.25">
      <c r="A50" t="s">
        <v>1061</v>
      </c>
      <c r="B50" t="s">
        <v>2427</v>
      </c>
      <c r="C50" t="s">
        <v>165</v>
      </c>
      <c r="D50" t="s">
        <v>2391</v>
      </c>
      <c r="E50" s="1">
        <v>45667</v>
      </c>
    </row>
    <row r="51" spans="1:6" x14ac:dyDescent="0.25">
      <c r="A51" t="s">
        <v>1077</v>
      </c>
      <c r="B51" t="s">
        <v>2428</v>
      </c>
      <c r="C51" t="s">
        <v>175</v>
      </c>
      <c r="D51" t="s">
        <v>2382</v>
      </c>
      <c r="E51" s="1">
        <v>41880</v>
      </c>
      <c r="F51" t="s">
        <v>1862</v>
      </c>
    </row>
    <row r="52" spans="1:6" x14ac:dyDescent="0.25">
      <c r="A52" t="s">
        <v>1182</v>
      </c>
      <c r="B52" t="s">
        <v>2429</v>
      </c>
      <c r="C52" t="s">
        <v>67</v>
      </c>
      <c r="D52" t="s">
        <v>2413</v>
      </c>
      <c r="E52" s="1">
        <v>41841</v>
      </c>
    </row>
    <row r="53" spans="1:6" x14ac:dyDescent="0.25">
      <c r="A53" t="s">
        <v>1455</v>
      </c>
      <c r="B53" t="s">
        <v>2430</v>
      </c>
      <c r="C53" t="s">
        <v>191</v>
      </c>
      <c r="D53" t="s">
        <v>2382</v>
      </c>
      <c r="E53" s="1">
        <v>42138</v>
      </c>
    </row>
    <row r="54" spans="1:6" x14ac:dyDescent="0.25">
      <c r="A54" t="s">
        <v>2088</v>
      </c>
      <c r="B54" t="s">
        <v>2431</v>
      </c>
      <c r="C54" t="s">
        <v>175</v>
      </c>
      <c r="D54" t="s">
        <v>2382</v>
      </c>
      <c r="E54" s="1">
        <v>41764</v>
      </c>
    </row>
    <row r="55" spans="1:6" x14ac:dyDescent="0.25">
      <c r="A55" t="s">
        <v>988</v>
      </c>
      <c r="B55" t="s">
        <v>2432</v>
      </c>
      <c r="C55" t="s">
        <v>242</v>
      </c>
      <c r="D55" t="s">
        <v>2384</v>
      </c>
      <c r="E55" s="1">
        <v>45693</v>
      </c>
    </row>
    <row r="56" spans="1:6" x14ac:dyDescent="0.25">
      <c r="A56" t="s">
        <v>97</v>
      </c>
      <c r="B56" t="s">
        <v>2433</v>
      </c>
      <c r="C56" t="s">
        <v>98</v>
      </c>
      <c r="D56" t="s">
        <v>2413</v>
      </c>
      <c r="E56" s="1">
        <v>45295</v>
      </c>
    </row>
    <row r="57" spans="1:6" x14ac:dyDescent="0.25">
      <c r="A57" t="s">
        <v>22</v>
      </c>
      <c r="B57" t="s">
        <v>2434</v>
      </c>
      <c r="C57" t="s">
        <v>23</v>
      </c>
      <c r="D57" t="s">
        <v>2384</v>
      </c>
      <c r="E57" s="1">
        <v>46031</v>
      </c>
    </row>
    <row r="58" spans="1:6" x14ac:dyDescent="0.25">
      <c r="A58" t="s">
        <v>1628</v>
      </c>
      <c r="B58" t="s">
        <v>2435</v>
      </c>
      <c r="C58" t="s">
        <v>251</v>
      </c>
      <c r="D58" t="s">
        <v>2373</v>
      </c>
      <c r="E58" s="1">
        <v>43507</v>
      </c>
    </row>
    <row r="59" spans="1:6" x14ac:dyDescent="0.25">
      <c r="A59" t="s">
        <v>429</v>
      </c>
      <c r="B59" t="s">
        <v>2436</v>
      </c>
      <c r="C59" t="s">
        <v>242</v>
      </c>
      <c r="D59" t="s">
        <v>2384</v>
      </c>
      <c r="E59" s="1">
        <v>43444</v>
      </c>
    </row>
    <row r="60" spans="1:6" x14ac:dyDescent="0.25">
      <c r="A60" t="s">
        <v>410</v>
      </c>
      <c r="B60" t="s">
        <v>2437</v>
      </c>
      <c r="C60" t="s">
        <v>93</v>
      </c>
      <c r="D60" t="s">
        <v>2391</v>
      </c>
      <c r="E60" s="1">
        <v>46239</v>
      </c>
    </row>
    <row r="61" spans="1:6" x14ac:dyDescent="0.25">
      <c r="A61" t="s">
        <v>545</v>
      </c>
      <c r="B61" t="s">
        <v>2438</v>
      </c>
      <c r="C61" t="s">
        <v>449</v>
      </c>
      <c r="D61" t="s">
        <v>2369</v>
      </c>
      <c r="E61" s="1">
        <v>46209</v>
      </c>
    </row>
    <row r="62" spans="1:6" x14ac:dyDescent="0.25">
      <c r="A62" t="s">
        <v>216</v>
      </c>
      <c r="B62" t="s">
        <v>2439</v>
      </c>
      <c r="C62" t="s">
        <v>202</v>
      </c>
      <c r="D62" t="s">
        <v>2369</v>
      </c>
      <c r="E62" s="1">
        <v>42954</v>
      </c>
      <c r="F62" t="s">
        <v>696</v>
      </c>
    </row>
    <row r="63" spans="1:6" x14ac:dyDescent="0.25">
      <c r="A63" t="s">
        <v>1343</v>
      </c>
      <c r="B63" t="s">
        <v>2440</v>
      </c>
      <c r="C63" t="s">
        <v>374</v>
      </c>
      <c r="D63" t="s">
        <v>2382</v>
      </c>
      <c r="E63" s="1">
        <v>43530</v>
      </c>
    </row>
    <row r="64" spans="1:6" x14ac:dyDescent="0.25">
      <c r="A64" t="s">
        <v>1660</v>
      </c>
      <c r="B64" t="s">
        <v>2441</v>
      </c>
      <c r="C64" t="s">
        <v>185</v>
      </c>
      <c r="D64" t="s">
        <v>2384</v>
      </c>
      <c r="E64" s="1">
        <v>45749</v>
      </c>
    </row>
    <row r="65" spans="1:6" x14ac:dyDescent="0.25">
      <c r="A65" t="s">
        <v>1002</v>
      </c>
      <c r="B65" t="s">
        <v>2442</v>
      </c>
      <c r="C65" t="s">
        <v>229</v>
      </c>
      <c r="D65" t="s">
        <v>2413</v>
      </c>
      <c r="E65" s="1">
        <v>43959</v>
      </c>
    </row>
    <row r="66" spans="1:6" x14ac:dyDescent="0.25">
      <c r="A66" t="s">
        <v>239</v>
      </c>
      <c r="B66" t="s">
        <v>2443</v>
      </c>
      <c r="C66" t="s">
        <v>87</v>
      </c>
      <c r="D66" t="s">
        <v>2384</v>
      </c>
      <c r="E66" s="1">
        <v>41144</v>
      </c>
    </row>
    <row r="67" spans="1:6" x14ac:dyDescent="0.25">
      <c r="A67" t="s">
        <v>2444</v>
      </c>
      <c r="B67" t="s">
        <v>2445</v>
      </c>
      <c r="C67" t="s">
        <v>225</v>
      </c>
      <c r="D67" t="s">
        <v>2384</v>
      </c>
      <c r="E67" s="1">
        <v>44391</v>
      </c>
    </row>
    <row r="68" spans="1:6" x14ac:dyDescent="0.25">
      <c r="A68" t="s">
        <v>359</v>
      </c>
      <c r="B68" t="s">
        <v>2446</v>
      </c>
      <c r="C68" t="s">
        <v>137</v>
      </c>
      <c r="D68" t="s">
        <v>2369</v>
      </c>
      <c r="E68" s="1">
        <v>42719</v>
      </c>
    </row>
    <row r="69" spans="1:6" x14ac:dyDescent="0.25">
      <c r="A69" t="s">
        <v>815</v>
      </c>
      <c r="B69" t="s">
        <v>2447</v>
      </c>
      <c r="C69" t="s">
        <v>119</v>
      </c>
      <c r="D69" t="s">
        <v>2369</v>
      </c>
      <c r="E69" s="1">
        <v>45804</v>
      </c>
    </row>
    <row r="70" spans="1:6" x14ac:dyDescent="0.25">
      <c r="A70" t="s">
        <v>171</v>
      </c>
      <c r="B70" t="s">
        <v>2448</v>
      </c>
      <c r="C70" t="s">
        <v>172</v>
      </c>
      <c r="D70" t="s">
        <v>2369</v>
      </c>
      <c r="E70" s="1">
        <v>42653</v>
      </c>
    </row>
    <row r="71" spans="1:6" x14ac:dyDescent="0.25">
      <c r="A71" t="s">
        <v>614</v>
      </c>
      <c r="B71" t="s">
        <v>2449</v>
      </c>
      <c r="C71" t="s">
        <v>45</v>
      </c>
      <c r="D71" t="s">
        <v>2413</v>
      </c>
      <c r="E71" s="1">
        <v>42702</v>
      </c>
    </row>
    <row r="72" spans="1:6" x14ac:dyDescent="0.25">
      <c r="A72" t="s">
        <v>1912</v>
      </c>
      <c r="B72" t="s">
        <v>2450</v>
      </c>
      <c r="C72" t="s">
        <v>87</v>
      </c>
      <c r="D72" t="s">
        <v>2391</v>
      </c>
      <c r="E72" s="1">
        <v>42388</v>
      </c>
    </row>
    <row r="73" spans="1:6" x14ac:dyDescent="0.25">
      <c r="A73" t="s">
        <v>1256</v>
      </c>
      <c r="B73" t="s">
        <v>2451</v>
      </c>
      <c r="C73" t="s">
        <v>213</v>
      </c>
      <c r="D73" t="s">
        <v>2413</v>
      </c>
      <c r="E73" s="1">
        <v>43059</v>
      </c>
    </row>
    <row r="74" spans="1:6" x14ac:dyDescent="0.25">
      <c r="A74" t="s">
        <v>884</v>
      </c>
      <c r="B74" t="s">
        <v>2452</v>
      </c>
      <c r="C74" t="s">
        <v>384</v>
      </c>
      <c r="D74" t="s">
        <v>2369</v>
      </c>
      <c r="E74" s="1">
        <v>45679</v>
      </c>
    </row>
    <row r="75" spans="1:6" x14ac:dyDescent="0.25">
      <c r="A75" t="s">
        <v>865</v>
      </c>
      <c r="B75" t="s">
        <v>2453</v>
      </c>
      <c r="C75" t="s">
        <v>23</v>
      </c>
      <c r="D75" t="s">
        <v>2369</v>
      </c>
      <c r="E75" s="1">
        <v>43098</v>
      </c>
    </row>
    <row r="76" spans="1:6" x14ac:dyDescent="0.25">
      <c r="A76" t="s">
        <v>2110</v>
      </c>
      <c r="B76" t="s">
        <v>2454</v>
      </c>
      <c r="C76" t="s">
        <v>242</v>
      </c>
      <c r="D76" t="s">
        <v>2391</v>
      </c>
      <c r="E76" s="1">
        <v>43150</v>
      </c>
    </row>
    <row r="77" spans="1:6" x14ac:dyDescent="0.25">
      <c r="A77" t="s">
        <v>617</v>
      </c>
      <c r="B77" t="s">
        <v>2455</v>
      </c>
      <c r="C77" t="s">
        <v>130</v>
      </c>
      <c r="D77" t="s">
        <v>2369</v>
      </c>
      <c r="E77" s="1">
        <v>41984</v>
      </c>
    </row>
    <row r="78" spans="1:6" x14ac:dyDescent="0.25">
      <c r="A78" t="s">
        <v>421</v>
      </c>
      <c r="B78" t="s">
        <v>2456</v>
      </c>
      <c r="C78" t="s">
        <v>316</v>
      </c>
      <c r="D78" t="s">
        <v>2373</v>
      </c>
      <c r="E78" s="1">
        <v>42331</v>
      </c>
    </row>
    <row r="79" spans="1:6" x14ac:dyDescent="0.25">
      <c r="A79" t="s">
        <v>1168</v>
      </c>
      <c r="B79" t="s">
        <v>2457</v>
      </c>
      <c r="C79" t="s">
        <v>185</v>
      </c>
      <c r="D79" t="s">
        <v>2384</v>
      </c>
      <c r="E79" s="1">
        <v>41325</v>
      </c>
    </row>
    <row r="80" spans="1:6" x14ac:dyDescent="0.25">
      <c r="A80" t="s">
        <v>899</v>
      </c>
      <c r="B80" t="s">
        <v>2458</v>
      </c>
      <c r="C80" t="s">
        <v>122</v>
      </c>
      <c r="D80" t="s">
        <v>2384</v>
      </c>
      <c r="E80" s="1">
        <v>41995</v>
      </c>
    </row>
    <row r="81" spans="1:6" x14ac:dyDescent="0.25">
      <c r="A81" t="s">
        <v>834</v>
      </c>
      <c r="B81" t="s">
        <v>2459</v>
      </c>
      <c r="C81" t="s">
        <v>54</v>
      </c>
      <c r="D81" t="s">
        <v>2413</v>
      </c>
      <c r="E81" s="1">
        <v>45405</v>
      </c>
    </row>
    <row r="82" spans="1:6" x14ac:dyDescent="0.25">
      <c r="A82" t="s">
        <v>486</v>
      </c>
      <c r="B82" t="s">
        <v>2460</v>
      </c>
      <c r="C82" t="s">
        <v>149</v>
      </c>
      <c r="D82" t="s">
        <v>2382</v>
      </c>
      <c r="E82" s="1">
        <v>43742</v>
      </c>
    </row>
    <row r="83" spans="1:6" x14ac:dyDescent="0.25">
      <c r="A83" t="s">
        <v>118</v>
      </c>
      <c r="B83" t="s">
        <v>2461</v>
      </c>
      <c r="C83" t="s">
        <v>119</v>
      </c>
      <c r="D83" t="s">
        <v>2369</v>
      </c>
      <c r="E83" s="1">
        <v>42893</v>
      </c>
    </row>
    <row r="84" spans="1:6" x14ac:dyDescent="0.25">
      <c r="A84" t="s">
        <v>1996</v>
      </c>
      <c r="B84" t="s">
        <v>2462</v>
      </c>
      <c r="C84" t="s">
        <v>202</v>
      </c>
      <c r="D84" t="s">
        <v>2413</v>
      </c>
      <c r="E84" s="1">
        <v>45671</v>
      </c>
    </row>
    <row r="85" spans="1:6" x14ac:dyDescent="0.25">
      <c r="A85" t="s">
        <v>105</v>
      </c>
      <c r="B85" t="s">
        <v>2463</v>
      </c>
      <c r="C85" t="s">
        <v>67</v>
      </c>
      <c r="D85" t="s">
        <v>2382</v>
      </c>
      <c r="E85" s="1">
        <v>41722</v>
      </c>
    </row>
    <row r="86" spans="1:6" x14ac:dyDescent="0.25">
      <c r="A86" t="s">
        <v>858</v>
      </c>
      <c r="B86" t="s">
        <v>2464</v>
      </c>
      <c r="C86" t="s">
        <v>75</v>
      </c>
      <c r="D86" t="s">
        <v>2384</v>
      </c>
      <c r="E86" s="1">
        <v>44977</v>
      </c>
    </row>
    <row r="87" spans="1:6" x14ac:dyDescent="0.25">
      <c r="A87" t="s">
        <v>612</v>
      </c>
      <c r="B87" t="s">
        <v>2465</v>
      </c>
      <c r="C87" t="s">
        <v>157</v>
      </c>
      <c r="D87" t="s">
        <v>2369</v>
      </c>
      <c r="E87" s="1">
        <v>44151</v>
      </c>
    </row>
    <row r="88" spans="1:6" x14ac:dyDescent="0.25">
      <c r="A88" t="s">
        <v>939</v>
      </c>
      <c r="B88" t="s">
        <v>2466</v>
      </c>
      <c r="C88" t="s">
        <v>61</v>
      </c>
      <c r="D88" t="s">
        <v>2369</v>
      </c>
      <c r="E88" s="1">
        <v>43297</v>
      </c>
    </row>
    <row r="89" spans="1:6" x14ac:dyDescent="0.25">
      <c r="A89" t="s">
        <v>141</v>
      </c>
      <c r="B89" t="s">
        <v>2467</v>
      </c>
      <c r="C89" t="s">
        <v>87</v>
      </c>
      <c r="D89" t="s">
        <v>2373</v>
      </c>
      <c r="E89" s="1">
        <v>41064</v>
      </c>
    </row>
    <row r="90" spans="1:6" x14ac:dyDescent="0.25">
      <c r="A90" t="s">
        <v>1325</v>
      </c>
      <c r="B90" t="s">
        <v>2468</v>
      </c>
      <c r="C90" t="s">
        <v>185</v>
      </c>
      <c r="D90" t="s">
        <v>2391</v>
      </c>
      <c r="E90" s="1">
        <v>43937</v>
      </c>
    </row>
    <row r="91" spans="1:6" x14ac:dyDescent="0.25">
      <c r="A91" t="s">
        <v>398</v>
      </c>
      <c r="B91" t="s">
        <v>2469</v>
      </c>
      <c r="C91" t="s">
        <v>399</v>
      </c>
      <c r="D91" t="s">
        <v>2413</v>
      </c>
      <c r="E91" s="1">
        <v>46167</v>
      </c>
    </row>
    <row r="92" spans="1:6" x14ac:dyDescent="0.25">
      <c r="A92" t="s">
        <v>1105</v>
      </c>
      <c r="B92" t="s">
        <v>2470</v>
      </c>
      <c r="C92" t="s">
        <v>339</v>
      </c>
      <c r="D92" t="s">
        <v>2413</v>
      </c>
      <c r="E92" s="1">
        <v>42506</v>
      </c>
    </row>
    <row r="93" spans="1:6" x14ac:dyDescent="0.25">
      <c r="A93" t="s">
        <v>1051</v>
      </c>
      <c r="B93" t="s">
        <v>2471</v>
      </c>
      <c r="C93" t="s">
        <v>333</v>
      </c>
      <c r="D93" t="s">
        <v>2369</v>
      </c>
      <c r="E93" s="1">
        <v>42053</v>
      </c>
    </row>
    <row r="94" spans="1:6" x14ac:dyDescent="0.25">
      <c r="A94" t="s">
        <v>379</v>
      </c>
      <c r="B94" t="s">
        <v>2472</v>
      </c>
      <c r="C94" t="s">
        <v>374</v>
      </c>
      <c r="D94" t="s">
        <v>2369</v>
      </c>
      <c r="E94" s="1">
        <v>44020</v>
      </c>
    </row>
    <row r="95" spans="1:6" x14ac:dyDescent="0.25">
      <c r="A95" t="s">
        <v>136</v>
      </c>
      <c r="B95" t="s">
        <v>2473</v>
      </c>
      <c r="C95" t="s">
        <v>137</v>
      </c>
      <c r="D95" t="s">
        <v>2413</v>
      </c>
      <c r="E95" s="1">
        <v>41379</v>
      </c>
    </row>
    <row r="96" spans="1:6" x14ac:dyDescent="0.25">
      <c r="A96" t="s">
        <v>1535</v>
      </c>
      <c r="B96" t="s">
        <v>2474</v>
      </c>
      <c r="C96" t="s">
        <v>191</v>
      </c>
      <c r="D96" t="s">
        <v>2369</v>
      </c>
      <c r="E96" s="1">
        <v>41129</v>
      </c>
    </row>
    <row r="97" spans="1:6" x14ac:dyDescent="0.25">
      <c r="A97" t="s">
        <v>2475</v>
      </c>
      <c r="B97" t="s">
        <v>2476</v>
      </c>
      <c r="C97" t="s">
        <v>38</v>
      </c>
      <c r="D97" t="s">
        <v>2384</v>
      </c>
      <c r="E97" s="1">
        <v>43664</v>
      </c>
    </row>
    <row r="98" spans="1:6" x14ac:dyDescent="0.25">
      <c r="A98" t="s">
        <v>1036</v>
      </c>
      <c r="B98" t="s">
        <v>2477</v>
      </c>
      <c r="C98" t="s">
        <v>333</v>
      </c>
      <c r="D98" t="s">
        <v>2373</v>
      </c>
      <c r="E98" s="1">
        <v>41911</v>
      </c>
    </row>
    <row r="99" spans="1:6" x14ac:dyDescent="0.25">
      <c r="A99" t="s">
        <v>2246</v>
      </c>
      <c r="B99" t="s">
        <v>2478</v>
      </c>
      <c r="C99" t="s">
        <v>374</v>
      </c>
      <c r="D99" t="s">
        <v>2369</v>
      </c>
      <c r="E99" s="1">
        <v>42443</v>
      </c>
    </row>
    <row r="100" spans="1:6" x14ac:dyDescent="0.25">
      <c r="A100" t="s">
        <v>1531</v>
      </c>
      <c r="B100" t="s">
        <v>2479</v>
      </c>
      <c r="C100" t="s">
        <v>333</v>
      </c>
      <c r="D100" t="s">
        <v>2369</v>
      </c>
      <c r="E100" s="1">
        <v>41975</v>
      </c>
    </row>
    <row r="101" spans="1:6" x14ac:dyDescent="0.25">
      <c r="A101" t="s">
        <v>908</v>
      </c>
      <c r="B101" t="s">
        <v>2480</v>
      </c>
      <c r="C101" t="s">
        <v>30</v>
      </c>
      <c r="D101" t="s">
        <v>2369</v>
      </c>
      <c r="E101" s="1">
        <v>42940</v>
      </c>
    </row>
    <row r="102" spans="1:6" x14ac:dyDescent="0.25">
      <c r="A102" t="s">
        <v>701</v>
      </c>
      <c r="B102" t="s">
        <v>2481</v>
      </c>
      <c r="C102" t="s">
        <v>229</v>
      </c>
      <c r="D102" t="s">
        <v>2369</v>
      </c>
      <c r="E102" s="1">
        <v>45705</v>
      </c>
    </row>
    <row r="103" spans="1:6" x14ac:dyDescent="0.25">
      <c r="A103" t="s">
        <v>1722</v>
      </c>
      <c r="B103" t="s">
        <v>2482</v>
      </c>
      <c r="C103" t="s">
        <v>202</v>
      </c>
      <c r="D103" t="s">
        <v>2373</v>
      </c>
      <c r="E103" s="1">
        <v>45744</v>
      </c>
    </row>
    <row r="104" spans="1:6" x14ac:dyDescent="0.25">
      <c r="A104" t="s">
        <v>304</v>
      </c>
      <c r="B104" t="s">
        <v>2483</v>
      </c>
      <c r="C104" t="s">
        <v>119</v>
      </c>
      <c r="D104" t="s">
        <v>2384</v>
      </c>
      <c r="E104" s="1">
        <v>41974</v>
      </c>
    </row>
    <row r="105" spans="1:6" x14ac:dyDescent="0.25">
      <c r="A105" t="s">
        <v>298</v>
      </c>
      <c r="B105" t="s">
        <v>2484</v>
      </c>
      <c r="C105" t="s">
        <v>172</v>
      </c>
      <c r="D105" t="s">
        <v>2391</v>
      </c>
      <c r="E105" s="1">
        <v>46261</v>
      </c>
    </row>
    <row r="106" spans="1:6" x14ac:dyDescent="0.25">
      <c r="A106" t="s">
        <v>1252</v>
      </c>
      <c r="B106" t="s">
        <v>2485</v>
      </c>
      <c r="C106" t="s">
        <v>82</v>
      </c>
      <c r="D106" t="s">
        <v>2369</v>
      </c>
      <c r="E106" s="1">
        <v>44123</v>
      </c>
    </row>
    <row r="107" spans="1:6" x14ac:dyDescent="0.25">
      <c r="A107" t="s">
        <v>521</v>
      </c>
      <c r="B107" t="s">
        <v>2486</v>
      </c>
      <c r="C107" t="s">
        <v>75</v>
      </c>
      <c r="D107" t="s">
        <v>2413</v>
      </c>
      <c r="E107" s="1">
        <v>41086</v>
      </c>
    </row>
    <row r="108" spans="1:6" x14ac:dyDescent="0.25">
      <c r="A108" t="s">
        <v>1070</v>
      </c>
      <c r="B108" t="s">
        <v>2487</v>
      </c>
      <c r="C108" t="s">
        <v>384</v>
      </c>
      <c r="D108" t="s">
        <v>2413</v>
      </c>
      <c r="E108" s="1">
        <v>43675</v>
      </c>
    </row>
    <row r="109" spans="1:6" x14ac:dyDescent="0.25">
      <c r="A109" t="s">
        <v>60</v>
      </c>
      <c r="B109" t="s">
        <v>2488</v>
      </c>
      <c r="C109" t="s">
        <v>61</v>
      </c>
      <c r="D109" t="s">
        <v>2369</v>
      </c>
      <c r="E109" s="1">
        <v>45730</v>
      </c>
    </row>
    <row r="110" spans="1:6" x14ac:dyDescent="0.25">
      <c r="A110" t="s">
        <v>1114</v>
      </c>
      <c r="B110" t="s">
        <v>2489</v>
      </c>
      <c r="C110" t="s">
        <v>172</v>
      </c>
      <c r="D110" t="s">
        <v>2369</v>
      </c>
      <c r="E110" s="1">
        <v>41795</v>
      </c>
    </row>
    <row r="111" spans="1:6" x14ac:dyDescent="0.25">
      <c r="A111" t="s">
        <v>765</v>
      </c>
      <c r="B111" t="s">
        <v>2490</v>
      </c>
      <c r="C111" t="s">
        <v>419</v>
      </c>
      <c r="D111" t="s">
        <v>2384</v>
      </c>
      <c r="E111" s="1">
        <v>41970</v>
      </c>
    </row>
    <row r="112" spans="1:6" x14ac:dyDescent="0.25">
      <c r="A112" t="s">
        <v>678</v>
      </c>
      <c r="B112" t="s">
        <v>2491</v>
      </c>
      <c r="C112" t="s">
        <v>137</v>
      </c>
      <c r="D112" t="s">
        <v>2369</v>
      </c>
      <c r="E112" s="1">
        <v>45299</v>
      </c>
    </row>
    <row r="113" spans="1:6" x14ac:dyDescent="0.25">
      <c r="A113" t="s">
        <v>2492</v>
      </c>
      <c r="B113" t="s">
        <v>2493</v>
      </c>
      <c r="C113" t="s">
        <v>225</v>
      </c>
      <c r="D113" t="s">
        <v>2382</v>
      </c>
      <c r="E113" s="1">
        <v>41204</v>
      </c>
    </row>
    <row r="114" spans="1:6" x14ac:dyDescent="0.25">
      <c r="A114" t="s">
        <v>1570</v>
      </c>
      <c r="B114" t="s">
        <v>2494</v>
      </c>
      <c r="C114" t="s">
        <v>229</v>
      </c>
      <c r="D114" t="s">
        <v>2384</v>
      </c>
      <c r="E114" s="1">
        <v>45779</v>
      </c>
    </row>
    <row r="115" spans="1:6" x14ac:dyDescent="0.25">
      <c r="A115" t="s">
        <v>669</v>
      </c>
      <c r="B115" t="s">
        <v>2495</v>
      </c>
      <c r="C115" t="s">
        <v>165</v>
      </c>
      <c r="D115" t="s">
        <v>2413</v>
      </c>
      <c r="E115" s="1">
        <v>44305</v>
      </c>
    </row>
    <row r="116" spans="1:6" x14ac:dyDescent="0.25">
      <c r="A116" t="s">
        <v>982</v>
      </c>
      <c r="B116" t="s">
        <v>2496</v>
      </c>
      <c r="C116" t="s">
        <v>339</v>
      </c>
      <c r="D116" t="s">
        <v>2391</v>
      </c>
      <c r="E116" s="1">
        <v>45110</v>
      </c>
    </row>
    <row r="117" spans="1:6" x14ac:dyDescent="0.25">
      <c r="A117" t="s">
        <v>1585</v>
      </c>
      <c r="B117" t="s">
        <v>2497</v>
      </c>
      <c r="C117" t="s">
        <v>165</v>
      </c>
      <c r="D117" t="s">
        <v>2384</v>
      </c>
      <c r="E117" s="1">
        <v>45751</v>
      </c>
    </row>
    <row r="118" spans="1:6" x14ac:dyDescent="0.25">
      <c r="A118" t="s">
        <v>2498</v>
      </c>
      <c r="B118" t="s">
        <v>2499</v>
      </c>
      <c r="C118" t="s">
        <v>384</v>
      </c>
      <c r="D118" t="s">
        <v>2391</v>
      </c>
      <c r="E118" s="1">
        <v>45089</v>
      </c>
    </row>
    <row r="119" spans="1:6" x14ac:dyDescent="0.25">
      <c r="A119" t="s">
        <v>1313</v>
      </c>
      <c r="B119" t="s">
        <v>2500</v>
      </c>
      <c r="C119" t="s">
        <v>229</v>
      </c>
      <c r="D119" t="s">
        <v>2373</v>
      </c>
      <c r="E119" s="1">
        <v>44536</v>
      </c>
    </row>
    <row r="120" spans="1:6" x14ac:dyDescent="0.25">
      <c r="A120" t="s">
        <v>1190</v>
      </c>
      <c r="B120" t="s">
        <v>2501</v>
      </c>
      <c r="C120" t="s">
        <v>165</v>
      </c>
      <c r="D120" t="s">
        <v>2373</v>
      </c>
      <c r="E120" s="1">
        <v>44221</v>
      </c>
    </row>
    <row r="121" spans="1:6" x14ac:dyDescent="0.25">
      <c r="A121" t="s">
        <v>1186</v>
      </c>
      <c r="B121" t="s">
        <v>2502</v>
      </c>
      <c r="C121" t="s">
        <v>126</v>
      </c>
      <c r="D121" t="s">
        <v>2413</v>
      </c>
      <c r="E121" s="1">
        <v>42691</v>
      </c>
    </row>
    <row r="122" spans="1:6" x14ac:dyDescent="0.25">
      <c r="A122" t="s">
        <v>570</v>
      </c>
      <c r="B122" t="s">
        <v>2503</v>
      </c>
      <c r="C122" t="s">
        <v>126</v>
      </c>
      <c r="D122" t="s">
        <v>2369</v>
      </c>
      <c r="E122" s="1">
        <v>40998</v>
      </c>
    </row>
    <row r="123" spans="1:6" x14ac:dyDescent="0.25">
      <c r="A123" t="s">
        <v>619</v>
      </c>
      <c r="B123" t="s">
        <v>2504</v>
      </c>
      <c r="C123" t="s">
        <v>191</v>
      </c>
      <c r="D123" t="s">
        <v>2373</v>
      </c>
      <c r="E123" s="1">
        <v>44119</v>
      </c>
    </row>
    <row r="124" spans="1:6" x14ac:dyDescent="0.25">
      <c r="A124" t="s">
        <v>2505</v>
      </c>
      <c r="B124" t="s">
        <v>2506</v>
      </c>
      <c r="C124" t="s">
        <v>336</v>
      </c>
      <c r="D124" t="s">
        <v>2369</v>
      </c>
      <c r="E124" s="1">
        <v>41334</v>
      </c>
    </row>
    <row r="125" spans="1:6" x14ac:dyDescent="0.25">
      <c r="A125" t="s">
        <v>2507</v>
      </c>
      <c r="B125" t="s">
        <v>2508</v>
      </c>
      <c r="C125" t="s">
        <v>149</v>
      </c>
      <c r="D125" t="s">
        <v>2373</v>
      </c>
      <c r="E125" s="1">
        <v>45068</v>
      </c>
    </row>
    <row r="126" spans="1:6" x14ac:dyDescent="0.25">
      <c r="A126" t="s">
        <v>1740</v>
      </c>
      <c r="B126" t="s">
        <v>2509</v>
      </c>
      <c r="C126" t="s">
        <v>236</v>
      </c>
      <c r="D126" t="s">
        <v>2369</v>
      </c>
      <c r="E126" s="1">
        <v>41183</v>
      </c>
    </row>
    <row r="127" spans="1:6" x14ac:dyDescent="0.25">
      <c r="A127" t="s">
        <v>1016</v>
      </c>
      <c r="B127" t="s">
        <v>2510</v>
      </c>
      <c r="C127" t="s">
        <v>384</v>
      </c>
      <c r="D127" t="s">
        <v>2391</v>
      </c>
      <c r="E127" s="1">
        <v>41354</v>
      </c>
    </row>
    <row r="128" spans="1:6" x14ac:dyDescent="0.25">
      <c r="A128" t="s">
        <v>403</v>
      </c>
      <c r="B128" t="s">
        <v>2511</v>
      </c>
      <c r="C128" t="s">
        <v>236</v>
      </c>
      <c r="D128" t="s">
        <v>2369</v>
      </c>
      <c r="E128" s="1">
        <v>45666</v>
      </c>
    </row>
    <row r="129" spans="1:6" x14ac:dyDescent="0.25">
      <c r="A129" t="s">
        <v>583</v>
      </c>
      <c r="B129" t="s">
        <v>2512</v>
      </c>
      <c r="C129" t="s">
        <v>165</v>
      </c>
      <c r="D129" t="s">
        <v>2382</v>
      </c>
      <c r="E129" s="1">
        <v>42905</v>
      </c>
    </row>
    <row r="130" spans="1:6" x14ac:dyDescent="0.25">
      <c r="A130" t="s">
        <v>588</v>
      </c>
      <c r="B130" t="s">
        <v>2513</v>
      </c>
      <c r="C130" t="s">
        <v>225</v>
      </c>
      <c r="D130" t="s">
        <v>2373</v>
      </c>
      <c r="E130" s="1">
        <v>44929</v>
      </c>
    </row>
    <row r="131" spans="1:6" x14ac:dyDescent="0.25">
      <c r="A131" t="s">
        <v>391</v>
      </c>
      <c r="B131" t="s">
        <v>2514</v>
      </c>
      <c r="C131" t="s">
        <v>61</v>
      </c>
      <c r="D131" t="s">
        <v>2369</v>
      </c>
      <c r="E131" s="1">
        <v>44886</v>
      </c>
    </row>
    <row r="132" spans="1:6" x14ac:dyDescent="0.25">
      <c r="A132" t="s">
        <v>296</v>
      </c>
      <c r="B132" t="s">
        <v>2515</v>
      </c>
      <c r="C132" t="s">
        <v>229</v>
      </c>
      <c r="D132" t="s">
        <v>2369</v>
      </c>
      <c r="E132" s="1">
        <v>44536</v>
      </c>
    </row>
    <row r="133" spans="1:6" x14ac:dyDescent="0.25">
      <c r="A133" t="s">
        <v>2516</v>
      </c>
      <c r="B133" t="s">
        <v>2517</v>
      </c>
      <c r="C133" t="s">
        <v>229</v>
      </c>
      <c r="D133" t="s">
        <v>2413</v>
      </c>
      <c r="E133" s="1">
        <v>43437</v>
      </c>
    </row>
    <row r="134" spans="1:6" x14ac:dyDescent="0.25">
      <c r="A134" t="s">
        <v>575</v>
      </c>
      <c r="B134" t="s">
        <v>2518</v>
      </c>
      <c r="C134" t="s">
        <v>61</v>
      </c>
      <c r="D134" t="s">
        <v>2384</v>
      </c>
      <c r="E134" s="1">
        <v>43136</v>
      </c>
    </row>
    <row r="135" spans="1:6" x14ac:dyDescent="0.25">
      <c r="A135" t="s">
        <v>550</v>
      </c>
      <c r="B135" t="s">
        <v>2519</v>
      </c>
      <c r="C135" t="s">
        <v>209</v>
      </c>
      <c r="D135" t="s">
        <v>2369</v>
      </c>
      <c r="E135" s="1">
        <v>41092</v>
      </c>
    </row>
    <row r="136" spans="1:6" x14ac:dyDescent="0.25">
      <c r="A136" t="s">
        <v>1045</v>
      </c>
      <c r="B136" t="s">
        <v>2520</v>
      </c>
      <c r="C136" t="s">
        <v>185</v>
      </c>
      <c r="D136" t="s">
        <v>2369</v>
      </c>
      <c r="E136" s="1">
        <v>41575</v>
      </c>
    </row>
    <row r="137" spans="1:6" x14ac:dyDescent="0.25">
      <c r="A137" t="s">
        <v>169</v>
      </c>
      <c r="B137" t="s">
        <v>2521</v>
      </c>
      <c r="C137" t="s">
        <v>67</v>
      </c>
      <c r="D137" t="s">
        <v>2369</v>
      </c>
      <c r="E137" s="1">
        <v>45723</v>
      </c>
    </row>
    <row r="138" spans="1:6" x14ac:dyDescent="0.25">
      <c r="A138" t="s">
        <v>911</v>
      </c>
      <c r="B138" t="s">
        <v>2522</v>
      </c>
      <c r="C138" t="s">
        <v>399</v>
      </c>
      <c r="D138" t="s">
        <v>2413</v>
      </c>
      <c r="E138" s="1">
        <v>45869</v>
      </c>
    </row>
    <row r="139" spans="1:6" x14ac:dyDescent="0.25">
      <c r="A139" t="s">
        <v>148</v>
      </c>
      <c r="B139" t="s">
        <v>2523</v>
      </c>
      <c r="C139" t="s">
        <v>149</v>
      </c>
      <c r="D139" t="s">
        <v>2369</v>
      </c>
      <c r="E139" s="1">
        <v>45665</v>
      </c>
    </row>
    <row r="140" spans="1:6" x14ac:dyDescent="0.25">
      <c r="A140" t="s">
        <v>260</v>
      </c>
      <c r="B140" t="s">
        <v>2524</v>
      </c>
      <c r="C140" t="s">
        <v>157</v>
      </c>
      <c r="D140" t="s">
        <v>2369</v>
      </c>
      <c r="E140" s="1">
        <v>43965</v>
      </c>
    </row>
    <row r="141" spans="1:6" x14ac:dyDescent="0.25">
      <c r="A141" t="s">
        <v>877</v>
      </c>
      <c r="B141" t="s">
        <v>2525</v>
      </c>
      <c r="C141" t="s">
        <v>229</v>
      </c>
      <c r="D141" t="s">
        <v>2369</v>
      </c>
      <c r="E141" s="1">
        <v>45712</v>
      </c>
    </row>
    <row r="142" spans="1:6" x14ac:dyDescent="0.25">
      <c r="A142" t="s">
        <v>423</v>
      </c>
      <c r="B142" t="s">
        <v>2526</v>
      </c>
      <c r="C142" t="s">
        <v>229</v>
      </c>
      <c r="D142" t="s">
        <v>2369</v>
      </c>
      <c r="E142" s="1">
        <v>42037</v>
      </c>
    </row>
    <row r="143" spans="1:6" x14ac:dyDescent="0.25">
      <c r="A143" t="s">
        <v>623</v>
      </c>
      <c r="B143" t="s">
        <v>2527</v>
      </c>
      <c r="C143" t="s">
        <v>122</v>
      </c>
      <c r="D143" t="s">
        <v>2369</v>
      </c>
      <c r="E143" s="1">
        <v>41351</v>
      </c>
    </row>
    <row r="144" spans="1:6" x14ac:dyDescent="0.25">
      <c r="A144" t="s">
        <v>1506</v>
      </c>
      <c r="B144" t="s">
        <v>2528</v>
      </c>
      <c r="C144" t="s">
        <v>339</v>
      </c>
      <c r="D144" t="s">
        <v>2413</v>
      </c>
      <c r="E144" s="1">
        <v>42275</v>
      </c>
    </row>
    <row r="145" spans="1:6" x14ac:dyDescent="0.25">
      <c r="A145" t="s">
        <v>2126</v>
      </c>
      <c r="B145" t="s">
        <v>2529</v>
      </c>
      <c r="C145" t="s">
        <v>122</v>
      </c>
      <c r="D145" t="s">
        <v>2413</v>
      </c>
      <c r="E145" s="1">
        <v>42163</v>
      </c>
    </row>
    <row r="146" spans="1:6" x14ac:dyDescent="0.25">
      <c r="A146" t="s">
        <v>696</v>
      </c>
      <c r="B146" t="s">
        <v>2439</v>
      </c>
      <c r="C146" t="s">
        <v>202</v>
      </c>
      <c r="D146" t="s">
        <v>2369</v>
      </c>
      <c r="E146" s="1">
        <v>45737</v>
      </c>
      <c r="F146" t="s">
        <v>216</v>
      </c>
    </row>
    <row r="147" spans="1:6" x14ac:dyDescent="0.25">
      <c r="A147" t="s">
        <v>427</v>
      </c>
      <c r="B147" t="s">
        <v>2530</v>
      </c>
      <c r="C147" t="s">
        <v>236</v>
      </c>
      <c r="D147" t="s">
        <v>2413</v>
      </c>
      <c r="E147" s="1">
        <v>44740</v>
      </c>
    </row>
    <row r="148" spans="1:6" x14ac:dyDescent="0.25">
      <c r="A148" t="s">
        <v>1376</v>
      </c>
      <c r="B148" t="s">
        <v>2531</v>
      </c>
      <c r="C148" t="s">
        <v>87</v>
      </c>
      <c r="D148" t="s">
        <v>2413</v>
      </c>
      <c r="E148" s="1">
        <v>45994</v>
      </c>
    </row>
    <row r="149" spans="1:6" x14ac:dyDescent="0.25">
      <c r="A149" t="s">
        <v>660</v>
      </c>
      <c r="B149" t="s">
        <v>2532</v>
      </c>
      <c r="C149" t="s">
        <v>256</v>
      </c>
      <c r="D149" t="s">
        <v>2369</v>
      </c>
      <c r="E149" s="1">
        <v>41589</v>
      </c>
    </row>
    <row r="150" spans="1:6" x14ac:dyDescent="0.25">
      <c r="A150" t="s">
        <v>300</v>
      </c>
      <c r="B150" t="s">
        <v>2533</v>
      </c>
      <c r="C150" t="s">
        <v>172</v>
      </c>
      <c r="D150" t="s">
        <v>2382</v>
      </c>
      <c r="E150" s="1">
        <v>45713</v>
      </c>
    </row>
    <row r="151" spans="1:6" x14ac:dyDescent="0.25">
      <c r="A151" t="s">
        <v>2027</v>
      </c>
      <c r="B151" t="s">
        <v>2534</v>
      </c>
      <c r="C151" t="s">
        <v>191</v>
      </c>
      <c r="D151" t="s">
        <v>2413</v>
      </c>
      <c r="E151" s="1">
        <v>42375</v>
      </c>
    </row>
    <row r="152" spans="1:6" x14ac:dyDescent="0.25">
      <c r="A152" t="s">
        <v>1233</v>
      </c>
      <c r="B152" t="s">
        <v>2535</v>
      </c>
      <c r="C152" t="s">
        <v>270</v>
      </c>
      <c r="D152" t="s">
        <v>2369</v>
      </c>
      <c r="E152" s="1">
        <v>42542</v>
      </c>
    </row>
    <row r="153" spans="1:6" x14ac:dyDescent="0.25">
      <c r="A153" t="s">
        <v>442</v>
      </c>
      <c r="B153" t="s">
        <v>2536</v>
      </c>
      <c r="C153" t="s">
        <v>251</v>
      </c>
      <c r="D153" t="s">
        <v>2384</v>
      </c>
      <c r="E153" s="1">
        <v>42367</v>
      </c>
    </row>
    <row r="154" spans="1:6" x14ac:dyDescent="0.25">
      <c r="A154" t="s">
        <v>110</v>
      </c>
      <c r="B154" t="s">
        <v>2537</v>
      </c>
      <c r="C154" t="s">
        <v>45</v>
      </c>
      <c r="D154" t="s">
        <v>2369</v>
      </c>
      <c r="E154" s="1">
        <v>44886</v>
      </c>
    </row>
    <row r="155" spans="1:6" x14ac:dyDescent="0.25">
      <c r="A155" t="s">
        <v>1446</v>
      </c>
      <c r="B155" t="s">
        <v>2538</v>
      </c>
      <c r="C155" t="s">
        <v>202</v>
      </c>
      <c r="D155" t="s">
        <v>2369</v>
      </c>
      <c r="E155" s="1">
        <v>44587</v>
      </c>
    </row>
    <row r="156" spans="1:6" x14ac:dyDescent="0.25">
      <c r="A156" t="s">
        <v>1705</v>
      </c>
      <c r="B156" t="s">
        <v>2539</v>
      </c>
      <c r="C156" t="s">
        <v>165</v>
      </c>
      <c r="D156" t="s">
        <v>2413</v>
      </c>
      <c r="E156" s="1">
        <v>42977</v>
      </c>
    </row>
    <row r="157" spans="1:6" x14ac:dyDescent="0.25">
      <c r="A157" t="s">
        <v>324</v>
      </c>
      <c r="B157" t="s">
        <v>2540</v>
      </c>
      <c r="C157" t="s">
        <v>130</v>
      </c>
      <c r="D157" t="s">
        <v>2382</v>
      </c>
      <c r="E157" s="1">
        <v>43094</v>
      </c>
    </row>
    <row r="158" spans="1:6" x14ac:dyDescent="0.25">
      <c r="A158" t="s">
        <v>543</v>
      </c>
      <c r="B158" t="s">
        <v>2541</v>
      </c>
      <c r="C158" t="s">
        <v>130</v>
      </c>
      <c r="D158" t="s">
        <v>2373</v>
      </c>
      <c r="E158" s="1">
        <v>45743</v>
      </c>
    </row>
    <row r="159" spans="1:6" x14ac:dyDescent="0.25">
      <c r="A159" t="s">
        <v>2203</v>
      </c>
      <c r="B159" t="s">
        <v>2542</v>
      </c>
      <c r="C159" t="s">
        <v>175</v>
      </c>
      <c r="D159" t="s">
        <v>2391</v>
      </c>
      <c r="E159" s="1">
        <v>44855</v>
      </c>
    </row>
    <row r="160" spans="1:6" x14ac:dyDescent="0.25">
      <c r="A160" t="s">
        <v>1116</v>
      </c>
      <c r="B160" t="s">
        <v>2543</v>
      </c>
      <c r="C160" t="s">
        <v>137</v>
      </c>
      <c r="D160" t="s">
        <v>2369</v>
      </c>
      <c r="E160" s="1">
        <v>45572</v>
      </c>
    </row>
    <row r="161" spans="1:6" x14ac:dyDescent="0.25">
      <c r="A161" t="s">
        <v>972</v>
      </c>
      <c r="B161" t="s">
        <v>2544</v>
      </c>
      <c r="C161" t="s">
        <v>316</v>
      </c>
      <c r="D161" t="s">
        <v>2382</v>
      </c>
      <c r="E161" s="1">
        <v>44502</v>
      </c>
    </row>
    <row r="162" spans="1:6" x14ac:dyDescent="0.25">
      <c r="A162" t="s">
        <v>1039</v>
      </c>
      <c r="B162" t="s">
        <v>2545</v>
      </c>
      <c r="C162" t="s">
        <v>374</v>
      </c>
      <c r="D162" t="s">
        <v>2369</v>
      </c>
      <c r="E162" s="1">
        <v>45686</v>
      </c>
    </row>
    <row r="163" spans="1:6" x14ac:dyDescent="0.25">
      <c r="A163" t="s">
        <v>1316</v>
      </c>
      <c r="B163" t="s">
        <v>2546</v>
      </c>
      <c r="C163" t="s">
        <v>316</v>
      </c>
      <c r="D163" t="s">
        <v>2413</v>
      </c>
      <c r="E163" s="1">
        <v>45481</v>
      </c>
    </row>
    <row r="164" spans="1:6" x14ac:dyDescent="0.25">
      <c r="A164" t="s">
        <v>527</v>
      </c>
      <c r="B164" t="s">
        <v>2547</v>
      </c>
      <c r="C164" t="s">
        <v>149</v>
      </c>
      <c r="D164" t="s">
        <v>2382</v>
      </c>
      <c r="E164" s="1">
        <v>42920</v>
      </c>
    </row>
    <row r="165" spans="1:6" x14ac:dyDescent="0.25">
      <c r="A165" t="s">
        <v>1736</v>
      </c>
      <c r="B165" t="s">
        <v>2548</v>
      </c>
      <c r="C165" t="s">
        <v>137</v>
      </c>
      <c r="D165" t="s">
        <v>2373</v>
      </c>
      <c r="E165" s="1">
        <v>45667</v>
      </c>
    </row>
    <row r="166" spans="1:6" x14ac:dyDescent="0.25">
      <c r="A166" t="s">
        <v>538</v>
      </c>
      <c r="B166" t="s">
        <v>2549</v>
      </c>
      <c r="C166" t="s">
        <v>157</v>
      </c>
      <c r="D166" t="s">
        <v>2373</v>
      </c>
      <c r="E166" s="1">
        <v>42132</v>
      </c>
    </row>
    <row r="167" spans="1:6" x14ac:dyDescent="0.25">
      <c r="A167" t="s">
        <v>1718</v>
      </c>
      <c r="B167" t="s">
        <v>2550</v>
      </c>
      <c r="C167" t="s">
        <v>229</v>
      </c>
      <c r="D167" t="s">
        <v>2373</v>
      </c>
      <c r="E167" s="1">
        <v>44585</v>
      </c>
    </row>
    <row r="168" spans="1:6" x14ac:dyDescent="0.25">
      <c r="A168" t="s">
        <v>1399</v>
      </c>
      <c r="B168" t="s">
        <v>2551</v>
      </c>
      <c r="C168" t="s">
        <v>270</v>
      </c>
      <c r="D168" t="s">
        <v>2413</v>
      </c>
      <c r="E168" s="1">
        <v>45715</v>
      </c>
    </row>
    <row r="169" spans="1:6" x14ac:dyDescent="0.25">
      <c r="A169" t="s">
        <v>964</v>
      </c>
      <c r="B169" t="s">
        <v>2552</v>
      </c>
      <c r="C169" t="s">
        <v>122</v>
      </c>
      <c r="D169" t="s">
        <v>2369</v>
      </c>
      <c r="E169" s="1">
        <v>43437</v>
      </c>
    </row>
    <row r="170" spans="1:6" x14ac:dyDescent="0.25">
      <c r="A170" t="s">
        <v>854</v>
      </c>
      <c r="B170" t="s">
        <v>2553</v>
      </c>
      <c r="C170" t="s">
        <v>236</v>
      </c>
      <c r="D170" t="s">
        <v>2413</v>
      </c>
      <c r="E170" s="1">
        <v>43906</v>
      </c>
    </row>
    <row r="171" spans="1:6" x14ac:dyDescent="0.25">
      <c r="A171" t="s">
        <v>1511</v>
      </c>
      <c r="B171" t="s">
        <v>2554</v>
      </c>
      <c r="C171" t="s">
        <v>336</v>
      </c>
      <c r="D171" t="s">
        <v>2384</v>
      </c>
      <c r="E171" s="1">
        <v>43566</v>
      </c>
    </row>
    <row r="172" spans="1:6" x14ac:dyDescent="0.25">
      <c r="A172" t="s">
        <v>1845</v>
      </c>
      <c r="B172" t="s">
        <v>2555</v>
      </c>
      <c r="C172" t="s">
        <v>185</v>
      </c>
      <c r="D172" t="s">
        <v>2369</v>
      </c>
      <c r="E172" s="1">
        <v>43549</v>
      </c>
    </row>
    <row r="173" spans="1:6" x14ac:dyDescent="0.25">
      <c r="A173" t="s">
        <v>425</v>
      </c>
      <c r="B173" t="s">
        <v>2556</v>
      </c>
      <c r="C173" t="s">
        <v>175</v>
      </c>
      <c r="D173" t="s">
        <v>2373</v>
      </c>
      <c r="E173" s="1">
        <v>43339</v>
      </c>
    </row>
    <row r="174" spans="1:6" x14ac:dyDescent="0.25">
      <c r="A174" t="s">
        <v>597</v>
      </c>
      <c r="B174" t="s">
        <v>2557</v>
      </c>
      <c r="C174" t="s">
        <v>153</v>
      </c>
      <c r="D174" t="s">
        <v>2413</v>
      </c>
      <c r="E174" s="1">
        <v>45282</v>
      </c>
    </row>
    <row r="175" spans="1:6" x14ac:dyDescent="0.25">
      <c r="A175" t="s">
        <v>302</v>
      </c>
      <c r="B175" t="s">
        <v>2558</v>
      </c>
      <c r="C175" t="s">
        <v>67</v>
      </c>
      <c r="D175" t="s">
        <v>2369</v>
      </c>
      <c r="E175" s="1">
        <v>46073</v>
      </c>
    </row>
    <row r="176" spans="1:6" x14ac:dyDescent="0.25">
      <c r="A176" t="s">
        <v>828</v>
      </c>
      <c r="B176" t="s">
        <v>2559</v>
      </c>
      <c r="C176" t="s">
        <v>165</v>
      </c>
      <c r="D176" t="s">
        <v>2373</v>
      </c>
      <c r="E176" s="1">
        <v>44406</v>
      </c>
    </row>
    <row r="177" spans="1:6" x14ac:dyDescent="0.25">
      <c r="A177" t="s">
        <v>332</v>
      </c>
      <c r="B177" t="s">
        <v>2560</v>
      </c>
      <c r="C177" t="s">
        <v>333</v>
      </c>
      <c r="D177" t="s">
        <v>2413</v>
      </c>
      <c r="E177" s="1">
        <v>43808</v>
      </c>
    </row>
    <row r="178" spans="1:6" x14ac:dyDescent="0.25">
      <c r="A178" t="s">
        <v>1374</v>
      </c>
      <c r="B178" t="s">
        <v>2561</v>
      </c>
      <c r="C178" t="s">
        <v>82</v>
      </c>
      <c r="D178" t="s">
        <v>2384</v>
      </c>
      <c r="E178" s="1">
        <v>45747</v>
      </c>
    </row>
    <row r="179" spans="1:6" x14ac:dyDescent="0.25">
      <c r="A179" t="s">
        <v>121</v>
      </c>
      <c r="B179" t="s">
        <v>2562</v>
      </c>
      <c r="C179" t="s">
        <v>122</v>
      </c>
      <c r="D179" t="s">
        <v>2369</v>
      </c>
      <c r="E179" s="1">
        <v>42681</v>
      </c>
    </row>
    <row r="180" spans="1:6" x14ac:dyDescent="0.25">
      <c r="A180" t="s">
        <v>634</v>
      </c>
      <c r="B180" t="s">
        <v>2563</v>
      </c>
      <c r="C180" t="s">
        <v>23</v>
      </c>
      <c r="D180" t="s">
        <v>2391</v>
      </c>
      <c r="E180" s="1">
        <v>44742</v>
      </c>
    </row>
    <row r="181" spans="1:6" x14ac:dyDescent="0.25">
      <c r="A181" t="s">
        <v>1994</v>
      </c>
      <c r="B181" t="s">
        <v>2564</v>
      </c>
      <c r="C181" t="s">
        <v>419</v>
      </c>
      <c r="D181" t="s">
        <v>2384</v>
      </c>
      <c r="E181" s="1">
        <v>41564</v>
      </c>
    </row>
    <row r="182" spans="1:6" x14ac:dyDescent="0.25">
      <c r="A182" t="s">
        <v>1127</v>
      </c>
      <c r="B182" t="s">
        <v>2565</v>
      </c>
      <c r="C182" t="s">
        <v>191</v>
      </c>
      <c r="D182" t="s">
        <v>2369</v>
      </c>
      <c r="E182" s="1">
        <v>46065</v>
      </c>
    </row>
    <row r="183" spans="1:6" x14ac:dyDescent="0.25">
      <c r="A183" t="s">
        <v>1909</v>
      </c>
      <c r="B183" t="s">
        <v>2566</v>
      </c>
      <c r="C183" t="s">
        <v>434</v>
      </c>
      <c r="D183" t="s">
        <v>2369</v>
      </c>
      <c r="E183" s="1">
        <v>44561</v>
      </c>
    </row>
    <row r="184" spans="1:6" x14ac:dyDescent="0.25">
      <c r="A184" t="s">
        <v>886</v>
      </c>
      <c r="B184" t="s">
        <v>2567</v>
      </c>
      <c r="C184" t="s">
        <v>333</v>
      </c>
      <c r="D184" t="s">
        <v>2373</v>
      </c>
      <c r="E184" s="1">
        <v>46087</v>
      </c>
    </row>
    <row r="185" spans="1:6" x14ac:dyDescent="0.25">
      <c r="A185" t="s">
        <v>228</v>
      </c>
      <c r="B185" t="s">
        <v>2568</v>
      </c>
      <c r="C185" t="s">
        <v>229</v>
      </c>
      <c r="D185" t="s">
        <v>2369</v>
      </c>
      <c r="E185" s="1">
        <v>41676</v>
      </c>
    </row>
    <row r="186" spans="1:6" x14ac:dyDescent="0.25">
      <c r="A186" t="s">
        <v>652</v>
      </c>
      <c r="B186" t="s">
        <v>2569</v>
      </c>
      <c r="C186" t="s">
        <v>229</v>
      </c>
      <c r="D186" t="s">
        <v>2384</v>
      </c>
      <c r="E186" s="1">
        <v>46183</v>
      </c>
    </row>
    <row r="187" spans="1:6" x14ac:dyDescent="0.25">
      <c r="A187" t="s">
        <v>891</v>
      </c>
      <c r="B187" t="s">
        <v>2570</v>
      </c>
      <c r="C187" t="s">
        <v>185</v>
      </c>
      <c r="D187" t="s">
        <v>2373</v>
      </c>
      <c r="E187" s="1">
        <v>43375</v>
      </c>
    </row>
    <row r="188" spans="1:6" x14ac:dyDescent="0.25">
      <c r="A188" t="s">
        <v>1178</v>
      </c>
      <c r="B188" t="s">
        <v>2571</v>
      </c>
      <c r="C188" t="s">
        <v>191</v>
      </c>
      <c r="D188" t="s">
        <v>2382</v>
      </c>
      <c r="E188" s="1">
        <v>41435</v>
      </c>
    </row>
    <row r="189" spans="1:6" x14ac:dyDescent="0.25">
      <c r="A189" t="s">
        <v>389</v>
      </c>
      <c r="B189" t="s">
        <v>2572</v>
      </c>
      <c r="C189" t="s">
        <v>149</v>
      </c>
      <c r="D189" t="s">
        <v>2384</v>
      </c>
      <c r="E189" s="1">
        <v>44949</v>
      </c>
    </row>
    <row r="190" spans="1:6" x14ac:dyDescent="0.25">
      <c r="A190" t="s">
        <v>467</v>
      </c>
      <c r="B190" t="s">
        <v>2573</v>
      </c>
      <c r="C190" t="s">
        <v>157</v>
      </c>
      <c r="D190" t="s">
        <v>2373</v>
      </c>
      <c r="E190" s="1">
        <v>45380</v>
      </c>
    </row>
    <row r="191" spans="1:6" x14ac:dyDescent="0.25">
      <c r="A191" t="s">
        <v>347</v>
      </c>
      <c r="B191" t="s">
        <v>2574</v>
      </c>
      <c r="C191" t="s">
        <v>242</v>
      </c>
      <c r="D191" t="s">
        <v>2369</v>
      </c>
      <c r="E191" s="1">
        <v>44182</v>
      </c>
    </row>
    <row r="192" spans="1:6" x14ac:dyDescent="0.25">
      <c r="A192" t="s">
        <v>830</v>
      </c>
      <c r="B192" t="s">
        <v>2575</v>
      </c>
      <c r="C192" t="s">
        <v>236</v>
      </c>
      <c r="D192" t="s">
        <v>2384</v>
      </c>
      <c r="E192" s="1">
        <v>44365</v>
      </c>
    </row>
    <row r="193" spans="1:6" x14ac:dyDescent="0.25">
      <c r="A193" t="s">
        <v>351</v>
      </c>
      <c r="B193" t="s">
        <v>2576</v>
      </c>
      <c r="C193" t="s">
        <v>202</v>
      </c>
      <c r="D193" t="s">
        <v>2413</v>
      </c>
      <c r="E193" s="1">
        <v>45117</v>
      </c>
    </row>
    <row r="194" spans="1:6" x14ac:dyDescent="0.25">
      <c r="A194" t="s">
        <v>349</v>
      </c>
      <c r="B194" t="s">
        <v>2577</v>
      </c>
      <c r="C194" t="s">
        <v>194</v>
      </c>
      <c r="D194" t="s">
        <v>2369</v>
      </c>
      <c r="E194" s="1">
        <v>45730</v>
      </c>
    </row>
    <row r="195" spans="1:6" x14ac:dyDescent="0.25">
      <c r="A195" t="s">
        <v>608</v>
      </c>
      <c r="B195" t="s">
        <v>2578</v>
      </c>
      <c r="C195" t="s">
        <v>185</v>
      </c>
      <c r="D195" t="s">
        <v>2384</v>
      </c>
      <c r="E195" s="1">
        <v>42025</v>
      </c>
    </row>
    <row r="196" spans="1:6" x14ac:dyDescent="0.25">
      <c r="A196" t="s">
        <v>719</v>
      </c>
      <c r="B196" t="s">
        <v>2579</v>
      </c>
      <c r="C196" t="s">
        <v>229</v>
      </c>
      <c r="D196" t="s">
        <v>2373</v>
      </c>
      <c r="E196" s="1">
        <v>43941</v>
      </c>
    </row>
    <row r="197" spans="1:6" x14ac:dyDescent="0.25">
      <c r="A197" t="s">
        <v>1300</v>
      </c>
      <c r="B197" t="s">
        <v>2580</v>
      </c>
      <c r="C197" t="s">
        <v>236</v>
      </c>
      <c r="D197" t="s">
        <v>2382</v>
      </c>
      <c r="E197" s="1">
        <v>45959</v>
      </c>
    </row>
    <row r="198" spans="1:6" x14ac:dyDescent="0.25">
      <c r="A198" t="s">
        <v>1227</v>
      </c>
      <c r="B198" t="s">
        <v>2581</v>
      </c>
      <c r="C198" t="s">
        <v>38</v>
      </c>
      <c r="D198" t="s">
        <v>2413</v>
      </c>
      <c r="E198" s="1">
        <v>45930</v>
      </c>
    </row>
    <row r="199" spans="1:6" x14ac:dyDescent="0.25">
      <c r="A199" t="s">
        <v>796</v>
      </c>
      <c r="B199" t="s">
        <v>2582</v>
      </c>
      <c r="C199" t="s">
        <v>45</v>
      </c>
      <c r="D199" t="s">
        <v>2382</v>
      </c>
      <c r="E199" s="1">
        <v>42207</v>
      </c>
    </row>
    <row r="200" spans="1:6" x14ac:dyDescent="0.25">
      <c r="A200" t="s">
        <v>338</v>
      </c>
      <c r="B200" t="s">
        <v>2583</v>
      </c>
      <c r="C200" t="s">
        <v>339</v>
      </c>
      <c r="D200" t="s">
        <v>2384</v>
      </c>
      <c r="E200" s="1">
        <v>41767</v>
      </c>
    </row>
    <row r="201" spans="1:6" x14ac:dyDescent="0.25">
      <c r="A201" t="s">
        <v>174</v>
      </c>
      <c r="B201" t="s">
        <v>2584</v>
      </c>
      <c r="C201" t="s">
        <v>175</v>
      </c>
      <c r="D201" t="s">
        <v>2373</v>
      </c>
      <c r="E201" s="1">
        <v>46065</v>
      </c>
    </row>
    <row r="202" spans="1:6" x14ac:dyDescent="0.25">
      <c r="A202" t="s">
        <v>1786</v>
      </c>
      <c r="B202" t="s">
        <v>2585</v>
      </c>
      <c r="C202" t="s">
        <v>191</v>
      </c>
      <c r="D202" t="s">
        <v>2382</v>
      </c>
      <c r="E202" s="1">
        <v>43424</v>
      </c>
    </row>
    <row r="203" spans="1:6" x14ac:dyDescent="0.25">
      <c r="A203" t="s">
        <v>723</v>
      </c>
      <c r="B203" t="s">
        <v>2586</v>
      </c>
      <c r="C203" t="s">
        <v>399</v>
      </c>
      <c r="D203" t="s">
        <v>2413</v>
      </c>
      <c r="E203" s="1">
        <v>44714</v>
      </c>
    </row>
    <row r="204" spans="1:6" x14ac:dyDescent="0.25">
      <c r="A204" t="s">
        <v>1120</v>
      </c>
      <c r="B204" t="s">
        <v>2587</v>
      </c>
      <c r="C204" t="s">
        <v>165</v>
      </c>
      <c r="D204" t="s">
        <v>2384</v>
      </c>
      <c r="E204" s="1">
        <v>45894</v>
      </c>
    </row>
    <row r="205" spans="1:6" x14ac:dyDescent="0.25">
      <c r="A205" t="s">
        <v>926</v>
      </c>
      <c r="B205" t="s">
        <v>2588</v>
      </c>
      <c r="C205" t="s">
        <v>45</v>
      </c>
      <c r="D205" t="s">
        <v>2391</v>
      </c>
      <c r="E205" s="1">
        <v>45866</v>
      </c>
    </row>
    <row r="206" spans="1:6" x14ac:dyDescent="0.25">
      <c r="A206" t="s">
        <v>1096</v>
      </c>
      <c r="B206" t="s">
        <v>2589</v>
      </c>
      <c r="C206" t="s">
        <v>384</v>
      </c>
      <c r="D206" t="s">
        <v>2369</v>
      </c>
      <c r="E206" s="1">
        <v>45672</v>
      </c>
    </row>
    <row r="207" spans="1:6" x14ac:dyDescent="0.25">
      <c r="A207" t="s">
        <v>664</v>
      </c>
      <c r="B207" t="s">
        <v>2590</v>
      </c>
      <c r="C207" t="s">
        <v>87</v>
      </c>
      <c r="D207" t="s">
        <v>2384</v>
      </c>
      <c r="E207" s="1">
        <v>44568</v>
      </c>
    </row>
    <row r="208" spans="1:6" x14ac:dyDescent="0.25">
      <c r="A208" t="s">
        <v>341</v>
      </c>
      <c r="B208" t="s">
        <v>2591</v>
      </c>
      <c r="C208" t="s">
        <v>30</v>
      </c>
      <c r="D208" t="s">
        <v>2384</v>
      </c>
      <c r="E208" s="1">
        <v>45917</v>
      </c>
    </row>
    <row r="209" spans="1:6" x14ac:dyDescent="0.25">
      <c r="A209" t="s">
        <v>458</v>
      </c>
      <c r="B209" t="s">
        <v>2592</v>
      </c>
      <c r="C209" t="s">
        <v>419</v>
      </c>
      <c r="D209" t="s">
        <v>2413</v>
      </c>
      <c r="E209" s="1">
        <v>43595</v>
      </c>
    </row>
    <row r="210" spans="1:6" x14ac:dyDescent="0.25">
      <c r="A210" t="s">
        <v>433</v>
      </c>
      <c r="B210" t="s">
        <v>2593</v>
      </c>
      <c r="C210" t="s">
        <v>434</v>
      </c>
      <c r="D210" t="s">
        <v>2373</v>
      </c>
      <c r="E210" s="1">
        <v>45727</v>
      </c>
    </row>
    <row r="211" spans="1:6" x14ac:dyDescent="0.25">
      <c r="A211" t="s">
        <v>144</v>
      </c>
      <c r="B211" t="s">
        <v>2594</v>
      </c>
      <c r="C211" t="s">
        <v>45</v>
      </c>
      <c r="D211" t="s">
        <v>2413</v>
      </c>
      <c r="E211" s="1">
        <v>44858</v>
      </c>
    </row>
    <row r="212" spans="1:6" x14ac:dyDescent="0.25">
      <c r="A212" t="s">
        <v>1385</v>
      </c>
      <c r="B212" t="s">
        <v>2595</v>
      </c>
      <c r="C212" t="s">
        <v>339</v>
      </c>
      <c r="D212" t="s">
        <v>2373</v>
      </c>
      <c r="E212" s="1">
        <v>43234</v>
      </c>
    </row>
    <row r="213" spans="1:6" x14ac:dyDescent="0.25">
      <c r="A213" t="s">
        <v>1009</v>
      </c>
      <c r="B213" t="s">
        <v>2596</v>
      </c>
      <c r="C213" t="s">
        <v>165</v>
      </c>
      <c r="D213" t="s">
        <v>2373</v>
      </c>
      <c r="E213" s="1">
        <v>42289</v>
      </c>
    </row>
    <row r="214" spans="1:6" x14ac:dyDescent="0.25">
      <c r="A214" t="s">
        <v>729</v>
      </c>
      <c r="B214" t="s">
        <v>2597</v>
      </c>
      <c r="C214" t="s">
        <v>122</v>
      </c>
      <c r="D214" t="s">
        <v>2391</v>
      </c>
      <c r="E214" s="1">
        <v>41730</v>
      </c>
    </row>
    <row r="215" spans="1:6" x14ac:dyDescent="0.25">
      <c r="A215" t="s">
        <v>1244</v>
      </c>
      <c r="B215" t="s">
        <v>2598</v>
      </c>
      <c r="C215" t="s">
        <v>172</v>
      </c>
      <c r="D215" t="s">
        <v>2369</v>
      </c>
      <c r="E215" s="1">
        <v>44575</v>
      </c>
    </row>
    <row r="216" spans="1:6" x14ac:dyDescent="0.25">
      <c r="A216" t="s">
        <v>335</v>
      </c>
      <c r="B216" t="s">
        <v>2599</v>
      </c>
      <c r="C216" t="s">
        <v>336</v>
      </c>
      <c r="D216" t="s">
        <v>2369</v>
      </c>
      <c r="E216" s="1">
        <v>44005</v>
      </c>
    </row>
    <row r="217" spans="1:6" x14ac:dyDescent="0.25">
      <c r="A217" t="s">
        <v>2306</v>
      </c>
      <c r="B217" t="s">
        <v>2600</v>
      </c>
      <c r="C217" t="s">
        <v>242</v>
      </c>
      <c r="D217" t="s">
        <v>2413</v>
      </c>
      <c r="E217" s="1">
        <v>42009</v>
      </c>
    </row>
    <row r="218" spans="1:6" x14ac:dyDescent="0.25">
      <c r="A218" t="s">
        <v>250</v>
      </c>
      <c r="B218" t="s">
        <v>2601</v>
      </c>
      <c r="C218" t="s">
        <v>251</v>
      </c>
      <c r="D218" t="s">
        <v>2384</v>
      </c>
      <c r="E218" s="1">
        <v>40987</v>
      </c>
    </row>
    <row r="219" spans="1:6" x14ac:dyDescent="0.25">
      <c r="A219" t="s">
        <v>284</v>
      </c>
      <c r="B219" t="s">
        <v>2602</v>
      </c>
      <c r="C219" t="s">
        <v>242</v>
      </c>
      <c r="D219" t="s">
        <v>2373</v>
      </c>
      <c r="E219" s="1">
        <v>42606</v>
      </c>
    </row>
    <row r="220" spans="1:6" x14ac:dyDescent="0.25">
      <c r="A220" t="s">
        <v>1842</v>
      </c>
      <c r="B220" t="s">
        <v>2603</v>
      </c>
      <c r="C220" t="s">
        <v>209</v>
      </c>
      <c r="D220" t="s">
        <v>2369</v>
      </c>
      <c r="E220" s="1">
        <v>45432</v>
      </c>
    </row>
    <row r="221" spans="1:6" x14ac:dyDescent="0.25">
      <c r="A221" t="s">
        <v>1758</v>
      </c>
      <c r="B221" t="s">
        <v>2604</v>
      </c>
      <c r="C221" t="s">
        <v>242</v>
      </c>
      <c r="D221" t="s">
        <v>2384</v>
      </c>
      <c r="E221" s="1">
        <v>44158</v>
      </c>
    </row>
    <row r="222" spans="1:6" x14ac:dyDescent="0.25">
      <c r="A222" t="s">
        <v>363</v>
      </c>
      <c r="B222" t="s">
        <v>2605</v>
      </c>
      <c r="C222" t="s">
        <v>229</v>
      </c>
      <c r="D222" t="s">
        <v>2413</v>
      </c>
      <c r="E222" s="1">
        <v>41372</v>
      </c>
    </row>
    <row r="223" spans="1:6" x14ac:dyDescent="0.25">
      <c r="A223" t="s">
        <v>288</v>
      </c>
      <c r="B223" t="s">
        <v>2606</v>
      </c>
      <c r="C223" t="s">
        <v>256</v>
      </c>
      <c r="D223" t="s">
        <v>2369</v>
      </c>
      <c r="E223" s="1">
        <v>42172</v>
      </c>
    </row>
    <row r="224" spans="1:6" x14ac:dyDescent="0.25">
      <c r="A224" t="s">
        <v>2607</v>
      </c>
      <c r="B224" t="s">
        <v>2608</v>
      </c>
      <c r="C224" t="s">
        <v>172</v>
      </c>
      <c r="D224" t="s">
        <v>2373</v>
      </c>
      <c r="E224" s="1">
        <v>41653</v>
      </c>
    </row>
    <row r="225" spans="1:6" x14ac:dyDescent="0.25">
      <c r="A225" t="s">
        <v>2609</v>
      </c>
      <c r="B225" t="s">
        <v>2610</v>
      </c>
      <c r="C225" t="s">
        <v>242</v>
      </c>
      <c r="D225" t="s">
        <v>2369</v>
      </c>
      <c r="E225" s="1">
        <v>42593</v>
      </c>
    </row>
    <row r="226" spans="1:6" x14ac:dyDescent="0.25">
      <c r="A226" t="s">
        <v>262</v>
      </c>
      <c r="B226" t="s">
        <v>2611</v>
      </c>
      <c r="C226" t="s">
        <v>119</v>
      </c>
      <c r="D226" t="s">
        <v>2369</v>
      </c>
      <c r="E226" s="1">
        <v>45439</v>
      </c>
    </row>
    <row r="227" spans="1:6" x14ac:dyDescent="0.25">
      <c r="A227" t="s">
        <v>509</v>
      </c>
      <c r="B227" t="s">
        <v>2612</v>
      </c>
      <c r="C227" t="s">
        <v>333</v>
      </c>
      <c r="D227" t="s">
        <v>2384</v>
      </c>
      <c r="E227" s="1">
        <v>42202</v>
      </c>
    </row>
    <row r="228" spans="1:6" x14ac:dyDescent="0.25">
      <c r="A228" t="s">
        <v>1087</v>
      </c>
      <c r="B228" t="s">
        <v>2613</v>
      </c>
      <c r="C228" t="s">
        <v>399</v>
      </c>
      <c r="D228" t="s">
        <v>2413</v>
      </c>
      <c r="E228" s="1">
        <v>45821</v>
      </c>
    </row>
    <row r="229" spans="1:6" x14ac:dyDescent="0.25">
      <c r="A229" t="s">
        <v>431</v>
      </c>
      <c r="B229" t="s">
        <v>2614</v>
      </c>
      <c r="C229" t="s">
        <v>194</v>
      </c>
      <c r="D229" t="s">
        <v>2369</v>
      </c>
      <c r="E229" s="1">
        <v>45659</v>
      </c>
    </row>
    <row r="230" spans="1:6" x14ac:dyDescent="0.25">
      <c r="A230" t="s">
        <v>2615</v>
      </c>
      <c r="B230" t="s">
        <v>2616</v>
      </c>
      <c r="C230" t="s">
        <v>202</v>
      </c>
      <c r="D230" t="s">
        <v>2369</v>
      </c>
      <c r="E230" s="1">
        <v>45168</v>
      </c>
    </row>
    <row r="231" spans="1:6" x14ac:dyDescent="0.25">
      <c r="A231" t="s">
        <v>2617</v>
      </c>
      <c r="B231" t="s">
        <v>2618</v>
      </c>
      <c r="C231" t="s">
        <v>191</v>
      </c>
      <c r="D231" t="s">
        <v>2384</v>
      </c>
      <c r="E231" s="1">
        <v>42164</v>
      </c>
    </row>
    <row r="232" spans="1:6" x14ac:dyDescent="0.25">
      <c r="A232" t="s">
        <v>1919</v>
      </c>
      <c r="B232" t="s">
        <v>2619</v>
      </c>
      <c r="C232" t="s">
        <v>45</v>
      </c>
      <c r="D232" t="s">
        <v>2369</v>
      </c>
      <c r="E232" s="1">
        <v>44586</v>
      </c>
    </row>
    <row r="233" spans="1:6" x14ac:dyDescent="0.25">
      <c r="A233" t="s">
        <v>1422</v>
      </c>
      <c r="B233" t="s">
        <v>2620</v>
      </c>
      <c r="C233" t="s">
        <v>251</v>
      </c>
      <c r="D233" t="s">
        <v>2369</v>
      </c>
      <c r="E233" s="1">
        <v>43791</v>
      </c>
    </row>
    <row r="234" spans="1:6" x14ac:dyDescent="0.25">
      <c r="A234" t="s">
        <v>681</v>
      </c>
      <c r="B234" t="s">
        <v>2621</v>
      </c>
      <c r="C234" t="s">
        <v>236</v>
      </c>
      <c r="D234" t="s">
        <v>2369</v>
      </c>
      <c r="E234" s="1">
        <v>42416</v>
      </c>
    </row>
    <row r="235" spans="1:6" x14ac:dyDescent="0.25">
      <c r="A235" t="s">
        <v>1635</v>
      </c>
      <c r="B235" t="s">
        <v>2622</v>
      </c>
      <c r="C235" t="s">
        <v>172</v>
      </c>
      <c r="D235" t="s">
        <v>2382</v>
      </c>
      <c r="E235" s="1">
        <v>43766</v>
      </c>
    </row>
    <row r="236" spans="1:6" x14ac:dyDescent="0.25">
      <c r="A236" t="s">
        <v>152</v>
      </c>
      <c r="B236" t="s">
        <v>2623</v>
      </c>
      <c r="C236" t="s">
        <v>153</v>
      </c>
      <c r="D236" t="s">
        <v>2373</v>
      </c>
      <c r="E236" s="1">
        <v>45798</v>
      </c>
    </row>
    <row r="237" spans="1:6" x14ac:dyDescent="0.25">
      <c r="A237" t="s">
        <v>2214</v>
      </c>
      <c r="B237" t="s">
        <v>2624</v>
      </c>
      <c r="C237" t="s">
        <v>82</v>
      </c>
      <c r="D237" t="s">
        <v>2391</v>
      </c>
      <c r="E237" s="1">
        <v>42863</v>
      </c>
    </row>
    <row r="238" spans="1:6" x14ac:dyDescent="0.25">
      <c r="A238" t="s">
        <v>269</v>
      </c>
      <c r="B238" t="s">
        <v>2625</v>
      </c>
      <c r="C238" t="s">
        <v>270</v>
      </c>
      <c r="D238" t="s">
        <v>2413</v>
      </c>
      <c r="E238" s="1">
        <v>45681</v>
      </c>
    </row>
    <row r="239" spans="1:6" x14ac:dyDescent="0.25">
      <c r="A239" t="s">
        <v>473</v>
      </c>
      <c r="B239" t="s">
        <v>2626</v>
      </c>
      <c r="C239" t="s">
        <v>82</v>
      </c>
      <c r="D239" t="s">
        <v>2382</v>
      </c>
      <c r="E239" s="1">
        <v>45404</v>
      </c>
    </row>
    <row r="240" spans="1:6" x14ac:dyDescent="0.25">
      <c r="A240" t="s">
        <v>832</v>
      </c>
      <c r="B240" t="s">
        <v>2627</v>
      </c>
      <c r="C240" t="s">
        <v>256</v>
      </c>
      <c r="D240" t="s">
        <v>2413</v>
      </c>
      <c r="E240" s="1">
        <v>43868</v>
      </c>
    </row>
    <row r="241" spans="1:6" x14ac:dyDescent="0.25">
      <c r="A241" t="s">
        <v>414</v>
      </c>
      <c r="B241" t="s">
        <v>2628</v>
      </c>
      <c r="C241" t="s">
        <v>172</v>
      </c>
      <c r="D241" t="s">
        <v>2369</v>
      </c>
      <c r="E241" s="1">
        <v>44001</v>
      </c>
    </row>
    <row r="242" spans="1:6" x14ac:dyDescent="0.25">
      <c r="A242" t="s">
        <v>627</v>
      </c>
      <c r="B242" t="s">
        <v>2629</v>
      </c>
      <c r="C242" t="s">
        <v>242</v>
      </c>
      <c r="D242" t="s">
        <v>2369</v>
      </c>
      <c r="E242" s="1">
        <v>45702</v>
      </c>
    </row>
    <row r="243" spans="1:6" x14ac:dyDescent="0.25">
      <c r="A243" t="s">
        <v>552</v>
      </c>
      <c r="B243" t="s">
        <v>2630</v>
      </c>
      <c r="C243" t="s">
        <v>137</v>
      </c>
      <c r="D243" t="s">
        <v>2369</v>
      </c>
      <c r="E243" s="1">
        <v>45775</v>
      </c>
    </row>
    <row r="244" spans="1:6" x14ac:dyDescent="0.25">
      <c r="A244" t="s">
        <v>673</v>
      </c>
      <c r="B244" t="s">
        <v>2631</v>
      </c>
      <c r="C244" t="s">
        <v>229</v>
      </c>
      <c r="D244" t="s">
        <v>2391</v>
      </c>
      <c r="E244" s="1">
        <v>42341</v>
      </c>
    </row>
    <row r="245" spans="1:6" x14ac:dyDescent="0.25">
      <c r="A245" t="s">
        <v>181</v>
      </c>
      <c r="B245" t="s">
        <v>2632</v>
      </c>
      <c r="C245" t="s">
        <v>153</v>
      </c>
      <c r="D245" t="s">
        <v>2369</v>
      </c>
      <c r="E245" s="1">
        <v>46020</v>
      </c>
    </row>
    <row r="246" spans="1:6" x14ac:dyDescent="0.25">
      <c r="A246" t="s">
        <v>365</v>
      </c>
      <c r="B246" t="s">
        <v>2633</v>
      </c>
      <c r="C246" t="s">
        <v>119</v>
      </c>
      <c r="D246" t="s">
        <v>2413</v>
      </c>
      <c r="E246" s="1">
        <v>45800</v>
      </c>
    </row>
    <row r="247" spans="1:6" x14ac:dyDescent="0.25">
      <c r="A247" t="s">
        <v>621</v>
      </c>
      <c r="B247" t="s">
        <v>2634</v>
      </c>
      <c r="C247" t="s">
        <v>54</v>
      </c>
      <c r="D247" t="s">
        <v>2382</v>
      </c>
      <c r="E247" s="1">
        <v>41135</v>
      </c>
    </row>
    <row r="248" spans="1:6" x14ac:dyDescent="0.25">
      <c r="A248" t="s">
        <v>1058</v>
      </c>
      <c r="B248" t="s">
        <v>2635</v>
      </c>
      <c r="C248" t="s">
        <v>157</v>
      </c>
      <c r="D248" t="s">
        <v>2384</v>
      </c>
      <c r="E248" s="1">
        <v>44557</v>
      </c>
      <c r="F248" t="s">
        <v>465</v>
      </c>
    </row>
    <row r="249" spans="1:6" x14ac:dyDescent="0.25">
      <c r="A249" t="s">
        <v>1493</v>
      </c>
      <c r="B249" t="s">
        <v>2636</v>
      </c>
      <c r="C249" t="s">
        <v>191</v>
      </c>
      <c r="D249" t="s">
        <v>2369</v>
      </c>
      <c r="E249" s="1">
        <v>44096</v>
      </c>
    </row>
    <row r="250" spans="1:6" x14ac:dyDescent="0.25">
      <c r="A250" t="s">
        <v>2637</v>
      </c>
      <c r="B250" t="s">
        <v>2638</v>
      </c>
      <c r="C250" t="s">
        <v>172</v>
      </c>
      <c r="D250" t="s">
        <v>2391</v>
      </c>
      <c r="E250" s="1">
        <v>43377</v>
      </c>
    </row>
    <row r="251" spans="1:6" x14ac:dyDescent="0.25">
      <c r="A251" t="s">
        <v>920</v>
      </c>
      <c r="B251" t="s">
        <v>2639</v>
      </c>
      <c r="C251" t="s">
        <v>137</v>
      </c>
      <c r="D251" t="s">
        <v>2384</v>
      </c>
      <c r="E251" s="1">
        <v>43689</v>
      </c>
    </row>
    <row r="252" spans="1:6" x14ac:dyDescent="0.25">
      <c r="A252" t="s">
        <v>1214</v>
      </c>
      <c r="B252" t="s">
        <v>2640</v>
      </c>
      <c r="C252" t="s">
        <v>256</v>
      </c>
      <c r="D252" t="s">
        <v>2369</v>
      </c>
      <c r="E252" s="1">
        <v>42159</v>
      </c>
    </row>
    <row r="253" spans="1:6" x14ac:dyDescent="0.25">
      <c r="A253" t="s">
        <v>1608</v>
      </c>
      <c r="B253" t="s">
        <v>2641</v>
      </c>
      <c r="C253" t="s">
        <v>185</v>
      </c>
      <c r="D253" t="s">
        <v>2384</v>
      </c>
      <c r="E253" s="1">
        <v>42537</v>
      </c>
    </row>
    <row r="254" spans="1:6" x14ac:dyDescent="0.25">
      <c r="A254" t="s">
        <v>1922</v>
      </c>
      <c r="B254" t="s">
        <v>2642</v>
      </c>
      <c r="C254" t="s">
        <v>209</v>
      </c>
      <c r="D254" t="s">
        <v>2369</v>
      </c>
      <c r="E254" s="1">
        <v>44319</v>
      </c>
    </row>
    <row r="255" spans="1:6" x14ac:dyDescent="0.25">
      <c r="A255" t="s">
        <v>1318</v>
      </c>
      <c r="B255" t="s">
        <v>2643</v>
      </c>
      <c r="C255" t="s">
        <v>209</v>
      </c>
      <c r="D255" t="s">
        <v>2413</v>
      </c>
      <c r="E255" s="1">
        <v>41274</v>
      </c>
    </row>
    <row r="256" spans="1:6" x14ac:dyDescent="0.25">
      <c r="A256" t="s">
        <v>2644</v>
      </c>
      <c r="B256" t="s">
        <v>2645</v>
      </c>
      <c r="C256" t="s">
        <v>45</v>
      </c>
      <c r="D256" t="s">
        <v>2369</v>
      </c>
      <c r="E256" s="1">
        <v>42611</v>
      </c>
    </row>
    <row r="257" spans="1:6" x14ac:dyDescent="0.25">
      <c r="A257" t="s">
        <v>1391</v>
      </c>
      <c r="B257" t="s">
        <v>2646</v>
      </c>
      <c r="C257" t="s">
        <v>242</v>
      </c>
      <c r="D257" t="s">
        <v>2384</v>
      </c>
      <c r="E257" s="1">
        <v>43999</v>
      </c>
    </row>
    <row r="258" spans="1:6" x14ac:dyDescent="0.25">
      <c r="A258" t="s">
        <v>532</v>
      </c>
      <c r="B258" t="s">
        <v>2647</v>
      </c>
      <c r="C258" t="s">
        <v>165</v>
      </c>
      <c r="D258" t="s">
        <v>2382</v>
      </c>
      <c r="E258" s="1">
        <v>45607</v>
      </c>
    </row>
    <row r="259" spans="1:6" x14ac:dyDescent="0.25">
      <c r="A259" t="s">
        <v>235</v>
      </c>
      <c r="B259" t="s">
        <v>2648</v>
      </c>
      <c r="C259" t="s">
        <v>236</v>
      </c>
      <c r="D259" t="s">
        <v>2373</v>
      </c>
      <c r="E259" s="1">
        <v>45701</v>
      </c>
    </row>
    <row r="260" spans="1:6" x14ac:dyDescent="0.25">
      <c r="A260" t="s">
        <v>1026</v>
      </c>
      <c r="B260" t="s">
        <v>2649</v>
      </c>
      <c r="C260" t="s">
        <v>225</v>
      </c>
      <c r="D260" t="s">
        <v>2369</v>
      </c>
      <c r="E260" s="1">
        <v>42506</v>
      </c>
    </row>
    <row r="261" spans="1:6" x14ac:dyDescent="0.25">
      <c r="A261" t="s">
        <v>1696</v>
      </c>
      <c r="B261" t="s">
        <v>2650</v>
      </c>
      <c r="C261" t="s">
        <v>336</v>
      </c>
      <c r="D261" t="s">
        <v>2382</v>
      </c>
      <c r="E261" s="1">
        <v>43304</v>
      </c>
    </row>
    <row r="262" spans="1:6" x14ac:dyDescent="0.25">
      <c r="A262" t="s">
        <v>1075</v>
      </c>
      <c r="B262" t="s">
        <v>2651</v>
      </c>
      <c r="C262" t="s">
        <v>316</v>
      </c>
      <c r="D262" t="s">
        <v>2369</v>
      </c>
      <c r="E262" s="1">
        <v>46076</v>
      </c>
    </row>
    <row r="263" spans="1:6" x14ac:dyDescent="0.25">
      <c r="A263" t="s">
        <v>408</v>
      </c>
      <c r="B263" t="s">
        <v>2652</v>
      </c>
      <c r="C263" t="s">
        <v>153</v>
      </c>
      <c r="D263" t="s">
        <v>2369</v>
      </c>
      <c r="E263" s="1">
        <v>45937</v>
      </c>
    </row>
    <row r="264" spans="1:6" x14ac:dyDescent="0.25">
      <c r="A264" t="s">
        <v>1689</v>
      </c>
      <c r="B264" t="s">
        <v>2653</v>
      </c>
      <c r="C264" t="s">
        <v>175</v>
      </c>
      <c r="D264" t="s">
        <v>2373</v>
      </c>
      <c r="E264" s="1">
        <v>45894</v>
      </c>
    </row>
    <row r="265" spans="1:6" x14ac:dyDescent="0.25">
      <c r="A265" t="s">
        <v>1871</v>
      </c>
      <c r="B265" t="s">
        <v>2654</v>
      </c>
      <c r="C265" t="s">
        <v>165</v>
      </c>
      <c r="D265" t="s">
        <v>2382</v>
      </c>
      <c r="E265" s="1">
        <v>45819</v>
      </c>
    </row>
    <row r="266" spans="1:6" x14ac:dyDescent="0.25">
      <c r="A266" t="s">
        <v>997</v>
      </c>
      <c r="B266" t="s">
        <v>2655</v>
      </c>
      <c r="C266" t="s">
        <v>149</v>
      </c>
      <c r="D266" t="s">
        <v>2384</v>
      </c>
      <c r="E266" s="1">
        <v>45876</v>
      </c>
    </row>
    <row r="267" spans="1:6" x14ac:dyDescent="0.25">
      <c r="A267" t="s">
        <v>1109</v>
      </c>
      <c r="B267" t="s">
        <v>2656</v>
      </c>
      <c r="C267" t="s">
        <v>229</v>
      </c>
      <c r="D267" t="s">
        <v>2373</v>
      </c>
      <c r="E267" s="1">
        <v>45889</v>
      </c>
    </row>
    <row r="268" spans="1:6" x14ac:dyDescent="0.25">
      <c r="A268" t="s">
        <v>294</v>
      </c>
      <c r="B268" t="s">
        <v>2657</v>
      </c>
      <c r="C268" t="s">
        <v>82</v>
      </c>
      <c r="D268" t="s">
        <v>2413</v>
      </c>
      <c r="E268" s="1">
        <v>43768</v>
      </c>
    </row>
    <row r="269" spans="1:6" x14ac:dyDescent="0.25">
      <c r="A269" t="s">
        <v>1467</v>
      </c>
      <c r="B269" t="s">
        <v>2658</v>
      </c>
      <c r="C269" t="s">
        <v>194</v>
      </c>
      <c r="D269" t="s">
        <v>2369</v>
      </c>
      <c r="E269" s="1">
        <v>45833</v>
      </c>
    </row>
    <row r="270" spans="1:6" x14ac:dyDescent="0.25">
      <c r="A270" t="s">
        <v>704</v>
      </c>
      <c r="B270" t="s">
        <v>2659</v>
      </c>
      <c r="C270" t="s">
        <v>67</v>
      </c>
      <c r="D270" t="s">
        <v>2369</v>
      </c>
      <c r="E270" s="1">
        <v>44340</v>
      </c>
    </row>
    <row r="271" spans="1:6" x14ac:dyDescent="0.25">
      <c r="A271" t="s">
        <v>504</v>
      </c>
      <c r="B271" t="s">
        <v>2660</v>
      </c>
      <c r="C271" t="s">
        <v>115</v>
      </c>
      <c r="D271" t="s">
        <v>2413</v>
      </c>
      <c r="E271" s="1">
        <v>43847</v>
      </c>
    </row>
    <row r="272" spans="1:6" x14ac:dyDescent="0.25">
      <c r="A272" t="s">
        <v>781</v>
      </c>
      <c r="B272" t="s">
        <v>2661</v>
      </c>
      <c r="C272" t="s">
        <v>256</v>
      </c>
      <c r="D272" t="s">
        <v>2373</v>
      </c>
      <c r="E272" s="1">
        <v>45831</v>
      </c>
    </row>
    <row r="273" spans="1:6" x14ac:dyDescent="0.25">
      <c r="A273" t="s">
        <v>255</v>
      </c>
      <c r="B273" t="s">
        <v>2662</v>
      </c>
      <c r="C273" t="s">
        <v>256</v>
      </c>
      <c r="D273" t="s">
        <v>2369</v>
      </c>
      <c r="E273" s="1">
        <v>44858</v>
      </c>
    </row>
    <row r="274" spans="1:6" x14ac:dyDescent="0.25">
      <c r="A274" t="s">
        <v>792</v>
      </c>
      <c r="B274" t="s">
        <v>2663</v>
      </c>
      <c r="C274" t="s">
        <v>191</v>
      </c>
      <c r="D274" t="s">
        <v>2373</v>
      </c>
      <c r="E274" s="1">
        <v>46142</v>
      </c>
    </row>
    <row r="275" spans="1:6" x14ac:dyDescent="0.25">
      <c r="A275" t="s">
        <v>357</v>
      </c>
      <c r="B275" t="s">
        <v>2664</v>
      </c>
      <c r="C275" t="s">
        <v>87</v>
      </c>
      <c r="D275" t="s">
        <v>2373</v>
      </c>
      <c r="E275" s="1">
        <v>41340</v>
      </c>
    </row>
    <row r="276" spans="1:6" x14ac:dyDescent="0.25">
      <c r="A276" t="s">
        <v>477</v>
      </c>
      <c r="B276" t="s">
        <v>2665</v>
      </c>
      <c r="C276" t="s">
        <v>122</v>
      </c>
      <c r="D276" t="s">
        <v>2413</v>
      </c>
      <c r="E276" s="1">
        <v>45679</v>
      </c>
    </row>
    <row r="277" spans="1:6" x14ac:dyDescent="0.25">
      <c r="A277" t="s">
        <v>412</v>
      </c>
      <c r="B277" t="s">
        <v>2666</v>
      </c>
      <c r="C277" t="s">
        <v>23</v>
      </c>
      <c r="D277" t="s">
        <v>2369</v>
      </c>
      <c r="E277" s="1">
        <v>44515</v>
      </c>
    </row>
    <row r="278" spans="1:6" x14ac:dyDescent="0.25">
      <c r="A278" t="s">
        <v>465</v>
      </c>
      <c r="B278" t="s">
        <v>2635</v>
      </c>
      <c r="C278" t="s">
        <v>157</v>
      </c>
      <c r="D278" t="s">
        <v>2384</v>
      </c>
      <c r="E278" s="1">
        <v>45860</v>
      </c>
      <c r="F278" t="s">
        <v>1058</v>
      </c>
    </row>
    <row r="279" spans="1:6" x14ac:dyDescent="0.25">
      <c r="A279" t="s">
        <v>904</v>
      </c>
      <c r="B279" t="s">
        <v>2667</v>
      </c>
      <c r="C279" t="s">
        <v>87</v>
      </c>
      <c r="D279" t="s">
        <v>2369</v>
      </c>
      <c r="E279" s="1">
        <v>43157</v>
      </c>
    </row>
    <row r="280" spans="1:6" x14ac:dyDescent="0.25">
      <c r="A280" t="s">
        <v>1294</v>
      </c>
      <c r="B280" t="s">
        <v>2668</v>
      </c>
      <c r="C280" t="s">
        <v>236</v>
      </c>
      <c r="D280" t="s">
        <v>2384</v>
      </c>
      <c r="E280" s="1">
        <v>43129</v>
      </c>
    </row>
    <row r="281" spans="1:6" x14ac:dyDescent="0.25">
      <c r="A281" t="s">
        <v>711</v>
      </c>
      <c r="B281" t="s">
        <v>2669</v>
      </c>
      <c r="C281" t="s">
        <v>61</v>
      </c>
      <c r="D281" t="s">
        <v>2413</v>
      </c>
      <c r="E281" s="1">
        <v>42093</v>
      </c>
    </row>
    <row r="282" spans="1:6" x14ac:dyDescent="0.25">
      <c r="A282" t="s">
        <v>274</v>
      </c>
      <c r="B282" t="s">
        <v>2670</v>
      </c>
      <c r="C282" t="s">
        <v>229</v>
      </c>
      <c r="D282" t="s">
        <v>2369</v>
      </c>
      <c r="E282" s="1">
        <v>41134</v>
      </c>
    </row>
    <row r="283" spans="1:6" x14ac:dyDescent="0.25">
      <c r="A283" t="s">
        <v>825</v>
      </c>
      <c r="B283" t="s">
        <v>2671</v>
      </c>
      <c r="C283" t="s">
        <v>242</v>
      </c>
      <c r="D283" t="s">
        <v>2369</v>
      </c>
      <c r="E283" s="1">
        <v>42692</v>
      </c>
    </row>
    <row r="284" spans="1:6" x14ac:dyDescent="0.25">
      <c r="A284" t="s">
        <v>760</v>
      </c>
      <c r="B284" t="s">
        <v>2672</v>
      </c>
      <c r="C284" t="s">
        <v>339</v>
      </c>
      <c r="D284" t="s">
        <v>2369</v>
      </c>
      <c r="E284" s="1">
        <v>42522</v>
      </c>
    </row>
    <row r="285" spans="1:6" x14ac:dyDescent="0.25">
      <c r="A285" t="s">
        <v>2005</v>
      </c>
      <c r="B285" t="s">
        <v>2673</v>
      </c>
      <c r="C285" t="s">
        <v>191</v>
      </c>
      <c r="D285" t="s">
        <v>2391</v>
      </c>
      <c r="E285" s="1">
        <v>44768</v>
      </c>
    </row>
    <row r="286" spans="1:6" x14ac:dyDescent="0.25">
      <c r="A286" t="s">
        <v>742</v>
      </c>
      <c r="B286" t="s">
        <v>2674</v>
      </c>
      <c r="C286" t="s">
        <v>98</v>
      </c>
      <c r="D286" t="s">
        <v>2384</v>
      </c>
      <c r="E286" s="1">
        <v>43193</v>
      </c>
    </row>
    <row r="287" spans="1:6" x14ac:dyDescent="0.25">
      <c r="A287" t="s">
        <v>1411</v>
      </c>
      <c r="B287" t="s">
        <v>2675</v>
      </c>
      <c r="C287" t="s">
        <v>333</v>
      </c>
      <c r="D287" t="s">
        <v>2384</v>
      </c>
      <c r="E287" s="1">
        <v>42055</v>
      </c>
    </row>
    <row r="288" spans="1:6" x14ac:dyDescent="0.25">
      <c r="A288" t="s">
        <v>1161</v>
      </c>
      <c r="B288" t="s">
        <v>2676</v>
      </c>
      <c r="C288" t="s">
        <v>229</v>
      </c>
      <c r="D288" t="s">
        <v>2384</v>
      </c>
      <c r="E288" s="1">
        <v>42919</v>
      </c>
    </row>
    <row r="289" spans="1:6" x14ac:dyDescent="0.25">
      <c r="A289" t="s">
        <v>2220</v>
      </c>
      <c r="B289" t="s">
        <v>2677</v>
      </c>
      <c r="C289" t="s">
        <v>172</v>
      </c>
      <c r="D289" t="s">
        <v>2369</v>
      </c>
      <c r="E289" s="1">
        <v>44123</v>
      </c>
    </row>
    <row r="290" spans="1:6" x14ac:dyDescent="0.25">
      <c r="A290" t="s">
        <v>1572</v>
      </c>
      <c r="B290" t="s">
        <v>2678</v>
      </c>
      <c r="C290" t="s">
        <v>251</v>
      </c>
      <c r="D290" t="s">
        <v>2373</v>
      </c>
      <c r="E290" s="1">
        <v>45930</v>
      </c>
    </row>
    <row r="291" spans="1:6" x14ac:dyDescent="0.25">
      <c r="A291" t="s">
        <v>513</v>
      </c>
      <c r="B291" t="s">
        <v>2679</v>
      </c>
      <c r="C291" t="s">
        <v>54</v>
      </c>
      <c r="D291" t="s">
        <v>2369</v>
      </c>
      <c r="E291" s="1">
        <v>41718</v>
      </c>
    </row>
    <row r="292" spans="1:6" x14ac:dyDescent="0.25">
      <c r="A292" t="s">
        <v>1209</v>
      </c>
      <c r="B292" t="s">
        <v>2680</v>
      </c>
      <c r="C292" t="s">
        <v>119</v>
      </c>
      <c r="D292" t="s">
        <v>2369</v>
      </c>
      <c r="E292" s="1">
        <v>43073</v>
      </c>
    </row>
    <row r="293" spans="1:6" x14ac:dyDescent="0.25">
      <c r="A293" t="s">
        <v>1345</v>
      </c>
      <c r="B293" t="s">
        <v>2681</v>
      </c>
      <c r="C293" t="s">
        <v>149</v>
      </c>
      <c r="D293" t="s">
        <v>2382</v>
      </c>
      <c r="E293" s="1">
        <v>42051</v>
      </c>
    </row>
    <row r="294" spans="1:6" x14ac:dyDescent="0.25">
      <c r="A294" t="s">
        <v>977</v>
      </c>
      <c r="B294" t="s">
        <v>2682</v>
      </c>
      <c r="C294" t="s">
        <v>336</v>
      </c>
      <c r="D294" t="s">
        <v>2391</v>
      </c>
      <c r="E294" s="1">
        <v>45784</v>
      </c>
    </row>
    <row r="295" spans="1:6" x14ac:dyDescent="0.25">
      <c r="A295" t="s">
        <v>1599</v>
      </c>
      <c r="B295" t="s">
        <v>2683</v>
      </c>
      <c r="C295" t="s">
        <v>45</v>
      </c>
      <c r="D295" t="s">
        <v>2369</v>
      </c>
      <c r="E295" s="1">
        <v>42664</v>
      </c>
    </row>
    <row r="296" spans="1:6" x14ac:dyDescent="0.25">
      <c r="A296" t="s">
        <v>1673</v>
      </c>
      <c r="B296" t="s">
        <v>2684</v>
      </c>
      <c r="C296" t="s">
        <v>157</v>
      </c>
      <c r="D296" t="s">
        <v>2413</v>
      </c>
      <c r="E296" s="1">
        <v>43706</v>
      </c>
    </row>
    <row r="297" spans="1:6" x14ac:dyDescent="0.25">
      <c r="A297" t="s">
        <v>156</v>
      </c>
      <c r="B297" t="s">
        <v>2685</v>
      </c>
      <c r="C297" t="s">
        <v>157</v>
      </c>
      <c r="D297" t="s">
        <v>2369</v>
      </c>
      <c r="E297" s="1">
        <v>45714</v>
      </c>
    </row>
    <row r="298" spans="1:6" x14ac:dyDescent="0.25">
      <c r="A298" t="s">
        <v>519</v>
      </c>
      <c r="B298" t="s">
        <v>2686</v>
      </c>
      <c r="C298" t="s">
        <v>122</v>
      </c>
      <c r="D298" t="s">
        <v>2369</v>
      </c>
      <c r="E298" s="1">
        <v>46212</v>
      </c>
    </row>
    <row r="299" spans="1:6" x14ac:dyDescent="0.25">
      <c r="A299" t="s">
        <v>2258</v>
      </c>
      <c r="B299" t="s">
        <v>2687</v>
      </c>
      <c r="C299" t="s">
        <v>185</v>
      </c>
      <c r="D299" t="s">
        <v>2369</v>
      </c>
      <c r="E299" s="1">
        <v>41876</v>
      </c>
    </row>
    <row r="300" spans="1:6" x14ac:dyDescent="0.25">
      <c r="A300" t="s">
        <v>482</v>
      </c>
      <c r="B300" t="s">
        <v>2688</v>
      </c>
      <c r="C300" t="s">
        <v>185</v>
      </c>
      <c r="D300" t="s">
        <v>2384</v>
      </c>
      <c r="E300" s="1">
        <v>41141</v>
      </c>
    </row>
    <row r="301" spans="1:6" x14ac:dyDescent="0.25">
      <c r="A301" t="s">
        <v>581</v>
      </c>
      <c r="B301" t="s">
        <v>2689</v>
      </c>
      <c r="C301" t="s">
        <v>75</v>
      </c>
      <c r="D301" t="s">
        <v>2413</v>
      </c>
      <c r="E301" s="1">
        <v>43973</v>
      </c>
    </row>
    <row r="302" spans="1:6" x14ac:dyDescent="0.25">
      <c r="A302" t="s">
        <v>1311</v>
      </c>
      <c r="B302" t="s">
        <v>2690</v>
      </c>
      <c r="C302" t="s">
        <v>54</v>
      </c>
      <c r="D302" t="s">
        <v>2369</v>
      </c>
      <c r="E302" s="1">
        <v>45754</v>
      </c>
    </row>
    <row r="303" spans="1:6" x14ac:dyDescent="0.25">
      <c r="A303" t="s">
        <v>1451</v>
      </c>
      <c r="B303" t="s">
        <v>2691</v>
      </c>
      <c r="C303" t="s">
        <v>130</v>
      </c>
      <c r="D303" t="s">
        <v>2413</v>
      </c>
      <c r="E303" s="1">
        <v>42445</v>
      </c>
    </row>
    <row r="304" spans="1:6" x14ac:dyDescent="0.25">
      <c r="A304" t="s">
        <v>2123</v>
      </c>
      <c r="B304" t="s">
        <v>2692</v>
      </c>
      <c r="C304" t="s">
        <v>225</v>
      </c>
      <c r="D304" t="s">
        <v>2369</v>
      </c>
      <c r="E304" s="1">
        <v>45733</v>
      </c>
    </row>
    <row r="305" spans="1:6" x14ac:dyDescent="0.25">
      <c r="A305" t="s">
        <v>1006</v>
      </c>
      <c r="B305" t="s">
        <v>2693</v>
      </c>
      <c r="C305" t="s">
        <v>122</v>
      </c>
      <c r="D305" t="s">
        <v>2384</v>
      </c>
      <c r="E305" s="1">
        <v>42640</v>
      </c>
    </row>
    <row r="306" spans="1:6" x14ac:dyDescent="0.25">
      <c r="A306" t="s">
        <v>1271</v>
      </c>
      <c r="B306" t="s">
        <v>2694</v>
      </c>
      <c r="C306" t="s">
        <v>185</v>
      </c>
      <c r="D306" t="s">
        <v>2391</v>
      </c>
      <c r="E306" s="1">
        <v>43861</v>
      </c>
    </row>
    <row r="307" spans="1:6" x14ac:dyDescent="0.25">
      <c r="A307" t="s">
        <v>1098</v>
      </c>
      <c r="B307" t="s">
        <v>2695</v>
      </c>
      <c r="C307" t="s">
        <v>122</v>
      </c>
      <c r="D307" t="s">
        <v>2369</v>
      </c>
      <c r="E307" s="1">
        <v>43119</v>
      </c>
    </row>
    <row r="308" spans="1:6" x14ac:dyDescent="0.25">
      <c r="A308" t="s">
        <v>1824</v>
      </c>
      <c r="B308" t="s">
        <v>2696</v>
      </c>
      <c r="C308" t="s">
        <v>87</v>
      </c>
      <c r="D308" t="s">
        <v>2373</v>
      </c>
      <c r="E308" s="1">
        <v>41939</v>
      </c>
    </row>
    <row r="309" spans="1:6" x14ac:dyDescent="0.25">
      <c r="A309" t="s">
        <v>164</v>
      </c>
      <c r="B309" t="s">
        <v>2697</v>
      </c>
      <c r="C309" t="s">
        <v>165</v>
      </c>
      <c r="D309" t="s">
        <v>2391</v>
      </c>
      <c r="E309" s="1">
        <v>43873</v>
      </c>
    </row>
    <row r="310" spans="1:6" x14ac:dyDescent="0.25">
      <c r="A310" t="s">
        <v>629</v>
      </c>
      <c r="B310" t="s">
        <v>2698</v>
      </c>
      <c r="C310" t="s">
        <v>119</v>
      </c>
      <c r="D310" t="s">
        <v>2391</v>
      </c>
      <c r="E310" s="1">
        <v>42654</v>
      </c>
    </row>
    <row r="311" spans="1:6" x14ac:dyDescent="0.25">
      <c r="A311" t="s">
        <v>1441</v>
      </c>
      <c r="B311" t="s">
        <v>2699</v>
      </c>
      <c r="C311" t="s">
        <v>242</v>
      </c>
      <c r="D311" t="s">
        <v>2369</v>
      </c>
      <c r="E311" s="1">
        <v>45568</v>
      </c>
    </row>
    <row r="312" spans="1:6" x14ac:dyDescent="0.25">
      <c r="A312" t="s">
        <v>692</v>
      </c>
      <c r="B312" t="s">
        <v>2700</v>
      </c>
      <c r="C312" t="s">
        <v>30</v>
      </c>
      <c r="D312" t="s">
        <v>2373</v>
      </c>
      <c r="E312" s="1">
        <v>42871</v>
      </c>
    </row>
    <row r="313" spans="1:6" x14ac:dyDescent="0.25">
      <c r="A313" t="s">
        <v>1142</v>
      </c>
      <c r="B313" t="s">
        <v>2701</v>
      </c>
      <c r="C313" t="s">
        <v>175</v>
      </c>
      <c r="D313" t="s">
        <v>2384</v>
      </c>
      <c r="E313" s="1">
        <v>42713</v>
      </c>
    </row>
    <row r="314" spans="1:6" x14ac:dyDescent="0.25">
      <c r="A314" t="s">
        <v>1643</v>
      </c>
      <c r="B314" t="s">
        <v>2702</v>
      </c>
      <c r="C314" t="s">
        <v>137</v>
      </c>
      <c r="D314" t="s">
        <v>2369</v>
      </c>
      <c r="E314" s="1">
        <v>43766</v>
      </c>
    </row>
    <row r="315" spans="1:6" x14ac:dyDescent="0.25">
      <c r="A315" t="s">
        <v>1811</v>
      </c>
      <c r="B315" t="s">
        <v>2703</v>
      </c>
      <c r="C315" t="s">
        <v>229</v>
      </c>
      <c r="D315" t="s">
        <v>2373</v>
      </c>
      <c r="E315" s="1">
        <v>43427</v>
      </c>
    </row>
    <row r="316" spans="1:6" x14ac:dyDescent="0.25">
      <c r="A316" t="s">
        <v>2165</v>
      </c>
      <c r="B316" t="s">
        <v>2704</v>
      </c>
      <c r="C316" t="s">
        <v>67</v>
      </c>
      <c r="D316" t="s">
        <v>2369</v>
      </c>
      <c r="E316" s="1">
        <v>45716</v>
      </c>
    </row>
    <row r="317" spans="1:6" x14ac:dyDescent="0.25">
      <c r="A317" t="s">
        <v>318</v>
      </c>
      <c r="B317" t="s">
        <v>2705</v>
      </c>
      <c r="C317" t="s">
        <v>130</v>
      </c>
      <c r="D317" t="s">
        <v>2369</v>
      </c>
      <c r="E317" s="1">
        <v>46239</v>
      </c>
    </row>
    <row r="318" spans="1:6" x14ac:dyDescent="0.25">
      <c r="A318" t="s">
        <v>573</v>
      </c>
      <c r="B318" t="s">
        <v>2706</v>
      </c>
      <c r="C318" t="s">
        <v>23</v>
      </c>
      <c r="D318" t="s">
        <v>2373</v>
      </c>
      <c r="E318" s="1">
        <v>45840</v>
      </c>
    </row>
    <row r="319" spans="1:6" x14ac:dyDescent="0.25">
      <c r="A319" t="s">
        <v>2119</v>
      </c>
      <c r="B319" t="s">
        <v>2707</v>
      </c>
      <c r="C319" t="s">
        <v>333</v>
      </c>
      <c r="D319" t="s">
        <v>2413</v>
      </c>
      <c r="E319" s="1">
        <v>45733</v>
      </c>
    </row>
    <row r="320" spans="1:6" x14ac:dyDescent="0.25">
      <c r="A320" t="s">
        <v>1201</v>
      </c>
      <c r="B320" t="s">
        <v>2708</v>
      </c>
      <c r="C320" t="s">
        <v>333</v>
      </c>
      <c r="D320" t="s">
        <v>2373</v>
      </c>
      <c r="E320" s="1">
        <v>45785</v>
      </c>
    </row>
    <row r="321" spans="1:6" x14ac:dyDescent="0.25">
      <c r="A321" t="s">
        <v>2095</v>
      </c>
      <c r="B321" t="s">
        <v>2709</v>
      </c>
      <c r="C321" t="s">
        <v>137</v>
      </c>
      <c r="D321" t="s">
        <v>2413</v>
      </c>
      <c r="E321" s="1">
        <v>44263</v>
      </c>
    </row>
    <row r="322" spans="1:6" x14ac:dyDescent="0.25">
      <c r="A322" t="s">
        <v>453</v>
      </c>
      <c r="B322" t="s">
        <v>2710</v>
      </c>
      <c r="C322" t="s">
        <v>130</v>
      </c>
      <c r="D322" t="s">
        <v>2384</v>
      </c>
      <c r="E322" s="1">
        <v>44719</v>
      </c>
    </row>
    <row r="323" spans="1:6" x14ac:dyDescent="0.25">
      <c r="A323" t="s">
        <v>1278</v>
      </c>
      <c r="B323" t="s">
        <v>2711</v>
      </c>
      <c r="C323" t="s">
        <v>172</v>
      </c>
      <c r="D323" t="s">
        <v>2413</v>
      </c>
      <c r="E323" s="1">
        <v>44792</v>
      </c>
    </row>
    <row r="324" spans="1:6" x14ac:dyDescent="0.25">
      <c r="A324" t="s">
        <v>777</v>
      </c>
      <c r="B324" t="s">
        <v>2712</v>
      </c>
      <c r="C324" t="s">
        <v>256</v>
      </c>
      <c r="D324" t="s">
        <v>2369</v>
      </c>
      <c r="E324" s="1">
        <v>41100</v>
      </c>
    </row>
    <row r="325" spans="1:6" x14ac:dyDescent="0.25">
      <c r="A325" t="s">
        <v>1602</v>
      </c>
      <c r="B325" t="s">
        <v>2713</v>
      </c>
      <c r="C325" t="s">
        <v>45</v>
      </c>
      <c r="D325" t="s">
        <v>2369</v>
      </c>
      <c r="E325" s="1">
        <v>45628</v>
      </c>
    </row>
    <row r="326" spans="1:6" x14ac:dyDescent="0.25">
      <c r="A326" t="s">
        <v>714</v>
      </c>
      <c r="B326" t="s">
        <v>2714</v>
      </c>
      <c r="C326" t="s">
        <v>175</v>
      </c>
      <c r="D326" t="s">
        <v>2369</v>
      </c>
      <c r="E326" s="1">
        <v>41589</v>
      </c>
    </row>
    <row r="327" spans="1:6" x14ac:dyDescent="0.25">
      <c r="A327" t="s">
        <v>134</v>
      </c>
      <c r="B327" t="s">
        <v>2715</v>
      </c>
      <c r="C327" t="s">
        <v>45</v>
      </c>
      <c r="D327" t="s">
        <v>2369</v>
      </c>
      <c r="E327" s="1">
        <v>45069</v>
      </c>
    </row>
    <row r="328" spans="1:6" x14ac:dyDescent="0.25">
      <c r="A328" t="s">
        <v>455</v>
      </c>
      <c r="B328" t="s">
        <v>2716</v>
      </c>
      <c r="C328" t="s">
        <v>256</v>
      </c>
      <c r="D328" t="s">
        <v>2373</v>
      </c>
      <c r="E328" s="1">
        <v>43521</v>
      </c>
    </row>
    <row r="329" spans="1:6" x14ac:dyDescent="0.25">
      <c r="A329" t="s">
        <v>565</v>
      </c>
      <c r="B329" t="s">
        <v>2717</v>
      </c>
      <c r="C329" t="s">
        <v>122</v>
      </c>
      <c r="D329" t="s">
        <v>2413</v>
      </c>
      <c r="E329" s="1">
        <v>43661</v>
      </c>
    </row>
    <row r="330" spans="1:6" x14ac:dyDescent="0.25">
      <c r="A330" t="s">
        <v>224</v>
      </c>
      <c r="B330" t="s">
        <v>2718</v>
      </c>
      <c r="C330" t="s">
        <v>225</v>
      </c>
      <c r="D330" t="s">
        <v>2382</v>
      </c>
      <c r="E330" s="1">
        <v>45446</v>
      </c>
    </row>
    <row r="331" spans="1:6" x14ac:dyDescent="0.25">
      <c r="A331" t="s">
        <v>930</v>
      </c>
      <c r="B331" t="s">
        <v>2719</v>
      </c>
      <c r="C331" t="s">
        <v>236</v>
      </c>
      <c r="D331" t="s">
        <v>2384</v>
      </c>
      <c r="E331" s="1">
        <v>42978</v>
      </c>
    </row>
    <row r="332" spans="1:6" x14ac:dyDescent="0.25">
      <c r="A332" t="s">
        <v>654</v>
      </c>
      <c r="B332" t="s">
        <v>2720</v>
      </c>
      <c r="C332" t="s">
        <v>87</v>
      </c>
      <c r="D332" t="s">
        <v>2373</v>
      </c>
      <c r="E332" s="1">
        <v>45719</v>
      </c>
    </row>
    <row r="333" spans="1:6" x14ac:dyDescent="0.25">
      <c r="A333" t="s">
        <v>321</v>
      </c>
      <c r="B333" t="s">
        <v>2721</v>
      </c>
      <c r="C333" t="s">
        <v>38</v>
      </c>
      <c r="D333" t="s">
        <v>2413</v>
      </c>
      <c r="E333" s="1">
        <v>45665</v>
      </c>
    </row>
    <row r="334" spans="1:6" x14ac:dyDescent="0.25">
      <c r="A334" t="s">
        <v>146</v>
      </c>
      <c r="B334" t="s">
        <v>2722</v>
      </c>
      <c r="C334" t="s">
        <v>30</v>
      </c>
      <c r="D334" t="s">
        <v>2382</v>
      </c>
      <c r="E334" s="1">
        <v>42411</v>
      </c>
    </row>
    <row r="335" spans="1:6" x14ac:dyDescent="0.25">
      <c r="A335" t="s">
        <v>416</v>
      </c>
      <c r="B335" t="s">
        <v>2723</v>
      </c>
      <c r="C335" t="s">
        <v>61</v>
      </c>
      <c r="D335" t="s">
        <v>2369</v>
      </c>
      <c r="E335" s="1">
        <v>43577</v>
      </c>
    </row>
    <row r="336" spans="1:6" x14ac:dyDescent="0.25">
      <c r="A336" t="s">
        <v>272</v>
      </c>
      <c r="B336" t="s">
        <v>2724</v>
      </c>
      <c r="C336" t="s">
        <v>225</v>
      </c>
      <c r="D336" t="s">
        <v>2369</v>
      </c>
      <c r="E336" s="1">
        <v>44368</v>
      </c>
    </row>
    <row r="337" spans="1:6" x14ac:dyDescent="0.25">
      <c r="A337" t="s">
        <v>789</v>
      </c>
      <c r="B337" t="s">
        <v>2725</v>
      </c>
      <c r="C337" t="s">
        <v>115</v>
      </c>
      <c r="D337" t="s">
        <v>2413</v>
      </c>
      <c r="E337" s="1">
        <v>40917</v>
      </c>
    </row>
    <row r="338" spans="1:6" x14ac:dyDescent="0.25">
      <c r="A338" t="s">
        <v>740</v>
      </c>
      <c r="B338" t="s">
        <v>2726</v>
      </c>
      <c r="C338" t="s">
        <v>172</v>
      </c>
      <c r="D338" t="s">
        <v>2369</v>
      </c>
      <c r="E338" s="1">
        <v>43532</v>
      </c>
    </row>
    <row r="339" spans="1:6" x14ac:dyDescent="0.25">
      <c r="A339" t="s">
        <v>278</v>
      </c>
      <c r="B339" t="s">
        <v>2727</v>
      </c>
      <c r="C339" t="s">
        <v>137</v>
      </c>
      <c r="D339" t="s">
        <v>2413</v>
      </c>
      <c r="E339" s="1">
        <v>43840</v>
      </c>
    </row>
    <row r="340" spans="1:6" x14ac:dyDescent="0.25">
      <c r="A340" t="s">
        <v>2728</v>
      </c>
      <c r="B340" t="s">
        <v>2729</v>
      </c>
      <c r="C340" t="s">
        <v>316</v>
      </c>
      <c r="D340" t="s">
        <v>2369</v>
      </c>
      <c r="E340" s="1">
        <v>45481</v>
      </c>
    </row>
    <row r="341" spans="1:6" x14ac:dyDescent="0.25">
      <c r="A341" t="s">
        <v>1946</v>
      </c>
      <c r="B341" t="s">
        <v>2730</v>
      </c>
      <c r="C341" t="s">
        <v>38</v>
      </c>
      <c r="D341" t="s">
        <v>2369</v>
      </c>
      <c r="E341" s="1">
        <v>41530</v>
      </c>
    </row>
    <row r="342" spans="1:6" x14ac:dyDescent="0.25">
      <c r="A342" t="s">
        <v>309</v>
      </c>
      <c r="B342" t="s">
        <v>2731</v>
      </c>
      <c r="C342" t="s">
        <v>256</v>
      </c>
      <c r="D342" t="s">
        <v>2384</v>
      </c>
      <c r="E342" s="1">
        <v>42065</v>
      </c>
    </row>
    <row r="343" spans="1:6" x14ac:dyDescent="0.25">
      <c r="A343" t="s">
        <v>2732</v>
      </c>
      <c r="B343" t="s">
        <v>2733</v>
      </c>
      <c r="C343" t="s">
        <v>165</v>
      </c>
      <c r="D343" t="s">
        <v>2369</v>
      </c>
      <c r="E343" s="1">
        <v>45345</v>
      </c>
    </row>
    <row r="344" spans="1:6" x14ac:dyDescent="0.25">
      <c r="A344" t="s">
        <v>840</v>
      </c>
      <c r="B344" t="s">
        <v>2734</v>
      </c>
      <c r="C344" t="s">
        <v>98</v>
      </c>
      <c r="D344" t="s">
        <v>2413</v>
      </c>
      <c r="E344" s="1">
        <v>44489</v>
      </c>
    </row>
    <row r="345" spans="1:6" x14ac:dyDescent="0.25">
      <c r="A345" t="s">
        <v>1359</v>
      </c>
      <c r="B345" t="s">
        <v>2735</v>
      </c>
      <c r="C345" t="s">
        <v>122</v>
      </c>
      <c r="D345" t="s">
        <v>2369</v>
      </c>
      <c r="E345" s="1">
        <v>45975</v>
      </c>
    </row>
    <row r="346" spans="1:6" x14ac:dyDescent="0.25">
      <c r="A346" t="s">
        <v>994</v>
      </c>
      <c r="B346" t="s">
        <v>2736</v>
      </c>
      <c r="C346" t="s">
        <v>75</v>
      </c>
      <c r="D346" t="s">
        <v>2369</v>
      </c>
      <c r="E346" s="1">
        <v>44000</v>
      </c>
    </row>
    <row r="347" spans="1:6" x14ac:dyDescent="0.25">
      <c r="A347" t="s">
        <v>2273</v>
      </c>
      <c r="B347" t="s">
        <v>2737</v>
      </c>
      <c r="C347" t="s">
        <v>30</v>
      </c>
      <c r="D347" t="s">
        <v>2369</v>
      </c>
      <c r="E347" s="1">
        <v>45294</v>
      </c>
    </row>
    <row r="348" spans="1:6" x14ac:dyDescent="0.25">
      <c r="A348" t="s">
        <v>1543</v>
      </c>
      <c r="B348" t="s">
        <v>2738</v>
      </c>
      <c r="C348" t="s">
        <v>225</v>
      </c>
      <c r="D348" t="s">
        <v>2384</v>
      </c>
      <c r="E348" s="1">
        <v>42443</v>
      </c>
    </row>
    <row r="349" spans="1:6" x14ac:dyDescent="0.25">
      <c r="A349" t="s">
        <v>219</v>
      </c>
      <c r="B349" t="s">
        <v>2739</v>
      </c>
      <c r="C349" t="s">
        <v>213</v>
      </c>
      <c r="D349" t="s">
        <v>2413</v>
      </c>
      <c r="E349" s="1">
        <v>43448</v>
      </c>
    </row>
    <row r="350" spans="1:6" x14ac:dyDescent="0.25">
      <c r="A350" t="s">
        <v>373</v>
      </c>
      <c r="B350" t="s">
        <v>2740</v>
      </c>
      <c r="C350" t="s">
        <v>374</v>
      </c>
      <c r="D350" t="s">
        <v>2391</v>
      </c>
      <c r="E350" s="1">
        <v>44306</v>
      </c>
    </row>
    <row r="351" spans="1:6" x14ac:dyDescent="0.25">
      <c r="A351" t="s">
        <v>1779</v>
      </c>
      <c r="B351" t="s">
        <v>2741</v>
      </c>
      <c r="C351" t="s">
        <v>242</v>
      </c>
      <c r="D351" t="s">
        <v>2373</v>
      </c>
      <c r="E351" s="1">
        <v>45292</v>
      </c>
    </row>
    <row r="352" spans="1:6" x14ac:dyDescent="0.25">
      <c r="A352" t="s">
        <v>469</v>
      </c>
      <c r="B352" t="s">
        <v>2742</v>
      </c>
      <c r="C352" t="s">
        <v>122</v>
      </c>
      <c r="D352" t="s">
        <v>2384</v>
      </c>
      <c r="E352" s="1">
        <v>42534</v>
      </c>
    </row>
    <row r="353" spans="1:6" x14ac:dyDescent="0.25">
      <c r="A353" t="s">
        <v>198</v>
      </c>
      <c r="B353" t="s">
        <v>2743</v>
      </c>
      <c r="C353" t="s">
        <v>122</v>
      </c>
      <c r="D353" t="s">
        <v>2382</v>
      </c>
      <c r="E353" s="1">
        <v>45694</v>
      </c>
    </row>
    <row r="354" spans="1:6" x14ac:dyDescent="0.25">
      <c r="A354" t="s">
        <v>2083</v>
      </c>
      <c r="B354" t="s">
        <v>2744</v>
      </c>
      <c r="C354" t="s">
        <v>165</v>
      </c>
      <c r="D354" t="s">
        <v>2413</v>
      </c>
      <c r="E354" s="1">
        <v>45702</v>
      </c>
    </row>
    <row r="355" spans="1:6" x14ac:dyDescent="0.25">
      <c r="A355" t="s">
        <v>2745</v>
      </c>
      <c r="B355" t="s">
        <v>2746</v>
      </c>
      <c r="C355" t="s">
        <v>93</v>
      </c>
      <c r="D355" t="s">
        <v>2369</v>
      </c>
      <c r="E355" s="1">
        <v>43003</v>
      </c>
    </row>
    <row r="356" spans="1:6" x14ac:dyDescent="0.25">
      <c r="A356" t="s">
        <v>451</v>
      </c>
      <c r="B356" t="s">
        <v>2747</v>
      </c>
      <c r="C356" t="s">
        <v>30</v>
      </c>
      <c r="D356" t="s">
        <v>2384</v>
      </c>
      <c r="E356" s="1">
        <v>45334</v>
      </c>
    </row>
    <row r="357" spans="1:6" x14ac:dyDescent="0.25">
      <c r="A357" t="s">
        <v>599</v>
      </c>
      <c r="B357" t="s">
        <v>2748</v>
      </c>
      <c r="C357" t="s">
        <v>307</v>
      </c>
      <c r="D357" t="s">
        <v>2413</v>
      </c>
      <c r="E357" s="1">
        <v>43633</v>
      </c>
    </row>
    <row r="358" spans="1:6" x14ac:dyDescent="0.25">
      <c r="A358" t="s">
        <v>282</v>
      </c>
      <c r="B358" t="s">
        <v>2749</v>
      </c>
      <c r="C358" t="s">
        <v>236</v>
      </c>
      <c r="D358" t="s">
        <v>2384</v>
      </c>
      <c r="E358" s="1">
        <v>46072</v>
      </c>
    </row>
    <row r="359" spans="1:6" x14ac:dyDescent="0.25">
      <c r="A359" t="s">
        <v>709</v>
      </c>
      <c r="B359" t="s">
        <v>2750</v>
      </c>
      <c r="C359" t="s">
        <v>82</v>
      </c>
      <c r="D359" t="s">
        <v>2382</v>
      </c>
      <c r="E359" s="1">
        <v>41878</v>
      </c>
    </row>
    <row r="360" spans="1:6" x14ac:dyDescent="0.25">
      <c r="A360" t="s">
        <v>966</v>
      </c>
      <c r="B360" t="s">
        <v>2751</v>
      </c>
      <c r="C360" t="s">
        <v>172</v>
      </c>
      <c r="D360" t="s">
        <v>2413</v>
      </c>
      <c r="E360" s="1">
        <v>46094</v>
      </c>
    </row>
    <row r="361" spans="1:6" x14ac:dyDescent="0.25">
      <c r="A361" t="s">
        <v>92</v>
      </c>
      <c r="B361" t="s">
        <v>2752</v>
      </c>
      <c r="C361" t="s">
        <v>93</v>
      </c>
      <c r="D361" t="s">
        <v>2413</v>
      </c>
      <c r="E361" s="1">
        <v>44837</v>
      </c>
    </row>
    <row r="362" spans="1:6" x14ac:dyDescent="0.25">
      <c r="A362" t="s">
        <v>953</v>
      </c>
      <c r="B362" t="s">
        <v>2753</v>
      </c>
      <c r="C362" t="s">
        <v>236</v>
      </c>
      <c r="D362" t="s">
        <v>2384</v>
      </c>
      <c r="E362" s="1">
        <v>46108</v>
      </c>
    </row>
    <row r="363" spans="1:6" x14ac:dyDescent="0.25">
      <c r="A363" t="s">
        <v>1481</v>
      </c>
      <c r="B363" t="s">
        <v>2754</v>
      </c>
      <c r="C363" t="s">
        <v>75</v>
      </c>
      <c r="D363" t="s">
        <v>2373</v>
      </c>
      <c r="E363" s="1">
        <v>44935</v>
      </c>
    </row>
    <row r="364" spans="1:6" x14ac:dyDescent="0.25">
      <c r="A364" t="s">
        <v>869</v>
      </c>
      <c r="B364" t="s">
        <v>2755</v>
      </c>
      <c r="C364" t="s">
        <v>175</v>
      </c>
      <c r="D364" t="s">
        <v>2369</v>
      </c>
      <c r="E364" s="1">
        <v>45820</v>
      </c>
    </row>
    <row r="365" spans="1:6" x14ac:dyDescent="0.25">
      <c r="A365" t="s">
        <v>893</v>
      </c>
      <c r="B365" t="s">
        <v>2756</v>
      </c>
      <c r="C365" t="s">
        <v>153</v>
      </c>
      <c r="D365" t="s">
        <v>2369</v>
      </c>
      <c r="E365" s="1">
        <v>45705</v>
      </c>
    </row>
    <row r="366" spans="1:6" x14ac:dyDescent="0.25">
      <c r="A366" t="s">
        <v>1268</v>
      </c>
      <c r="B366" t="s">
        <v>2757</v>
      </c>
      <c r="C366" t="s">
        <v>191</v>
      </c>
      <c r="D366" t="s">
        <v>2373</v>
      </c>
      <c r="E366" s="1">
        <v>45750</v>
      </c>
    </row>
    <row r="367" spans="1:6" x14ac:dyDescent="0.25">
      <c r="A367" t="s">
        <v>193</v>
      </c>
      <c r="B367" t="s">
        <v>2758</v>
      </c>
      <c r="C367" t="s">
        <v>194</v>
      </c>
      <c r="D367" t="s">
        <v>2413</v>
      </c>
      <c r="E367" s="1">
        <v>46280</v>
      </c>
    </row>
    <row r="368" spans="1:6" x14ac:dyDescent="0.25">
      <c r="A368" t="s">
        <v>823</v>
      </c>
      <c r="B368" t="s">
        <v>2759</v>
      </c>
      <c r="C368" t="s">
        <v>399</v>
      </c>
      <c r="D368" t="s">
        <v>2369</v>
      </c>
      <c r="E368" s="1">
        <v>44473</v>
      </c>
    </row>
    <row r="369" spans="1:6" x14ac:dyDescent="0.25">
      <c r="A369" t="s">
        <v>959</v>
      </c>
      <c r="B369" t="s">
        <v>2760</v>
      </c>
      <c r="C369" t="s">
        <v>61</v>
      </c>
      <c r="D369" t="s">
        <v>2369</v>
      </c>
      <c r="E369" s="1">
        <v>43528</v>
      </c>
    </row>
    <row r="370" spans="1:6" x14ac:dyDescent="0.25">
      <c r="A370" t="s">
        <v>699</v>
      </c>
      <c r="B370" t="s">
        <v>2761</v>
      </c>
      <c r="C370" t="s">
        <v>165</v>
      </c>
      <c r="D370" t="s">
        <v>2384</v>
      </c>
      <c r="E370" s="1">
        <v>44964</v>
      </c>
    </row>
    <row r="371" spans="1:6" x14ac:dyDescent="0.25">
      <c r="A371" t="s">
        <v>204</v>
      </c>
      <c r="B371" t="s">
        <v>2762</v>
      </c>
      <c r="C371" t="s">
        <v>93</v>
      </c>
      <c r="D371" t="s">
        <v>2384</v>
      </c>
      <c r="E371" s="1">
        <v>45726</v>
      </c>
    </row>
    <row r="372" spans="1:6" x14ac:dyDescent="0.25">
      <c r="A372" t="s">
        <v>480</v>
      </c>
      <c r="B372" t="s">
        <v>2763</v>
      </c>
      <c r="C372" t="s">
        <v>399</v>
      </c>
      <c r="D372" t="s">
        <v>2384</v>
      </c>
      <c r="E372" s="1">
        <v>43375</v>
      </c>
    </row>
    <row r="373" spans="1:6" x14ac:dyDescent="0.25">
      <c r="A373" t="s">
        <v>190</v>
      </c>
      <c r="B373" t="s">
        <v>2764</v>
      </c>
      <c r="C373" t="s">
        <v>191</v>
      </c>
      <c r="D373" t="s">
        <v>2391</v>
      </c>
      <c r="E373" s="1">
        <v>44886</v>
      </c>
    </row>
    <row r="374" spans="1:6" x14ac:dyDescent="0.25">
      <c r="A374" t="s">
        <v>666</v>
      </c>
      <c r="B374" t="s">
        <v>2765</v>
      </c>
      <c r="C374" t="s">
        <v>225</v>
      </c>
      <c r="D374" t="s">
        <v>2369</v>
      </c>
      <c r="E374" s="1">
        <v>43322</v>
      </c>
    </row>
    <row r="375" spans="1:6" x14ac:dyDescent="0.25">
      <c r="A375" t="s">
        <v>1426</v>
      </c>
      <c r="B375" t="s">
        <v>2766</v>
      </c>
      <c r="C375" t="s">
        <v>38</v>
      </c>
      <c r="D375" t="s">
        <v>2369</v>
      </c>
      <c r="E375" s="1">
        <v>43188</v>
      </c>
    </row>
    <row r="376" spans="1:6" x14ac:dyDescent="0.25">
      <c r="A376" t="s">
        <v>902</v>
      </c>
      <c r="B376" t="s">
        <v>2767</v>
      </c>
      <c r="C376" t="s">
        <v>225</v>
      </c>
      <c r="D376" t="s">
        <v>2369</v>
      </c>
      <c r="E376" s="1">
        <v>41400</v>
      </c>
    </row>
    <row r="377" spans="1:6" x14ac:dyDescent="0.25">
      <c r="A377" t="s">
        <v>129</v>
      </c>
      <c r="B377" t="s">
        <v>2768</v>
      </c>
      <c r="C377" t="s">
        <v>130</v>
      </c>
      <c r="D377" t="s">
        <v>2382</v>
      </c>
      <c r="E377" s="1">
        <v>44425</v>
      </c>
    </row>
    <row r="378" spans="1:6" x14ac:dyDescent="0.25">
      <c r="A378" t="s">
        <v>1231</v>
      </c>
      <c r="B378" t="s">
        <v>2769</v>
      </c>
      <c r="C378" t="s">
        <v>194</v>
      </c>
      <c r="D378" t="s">
        <v>2369</v>
      </c>
      <c r="E378" s="1">
        <v>45728</v>
      </c>
    </row>
    <row r="379" spans="1:6" x14ac:dyDescent="0.25">
      <c r="A379" t="s">
        <v>924</v>
      </c>
      <c r="B379" t="s">
        <v>2770</v>
      </c>
      <c r="C379" t="s">
        <v>67</v>
      </c>
      <c r="D379" t="s">
        <v>2391</v>
      </c>
      <c r="E379" s="1">
        <v>42475</v>
      </c>
    </row>
    <row r="380" spans="1:6" x14ac:dyDescent="0.25">
      <c r="A380" t="s">
        <v>44</v>
      </c>
      <c r="B380" t="s">
        <v>2771</v>
      </c>
      <c r="C380" t="s">
        <v>45</v>
      </c>
      <c r="D380" t="s">
        <v>2382</v>
      </c>
      <c r="E380" s="1">
        <v>45741</v>
      </c>
    </row>
    <row r="381" spans="1:6" x14ac:dyDescent="0.25">
      <c r="A381" t="s">
        <v>53</v>
      </c>
      <c r="B381" t="s">
        <v>2772</v>
      </c>
      <c r="C381" t="s">
        <v>54</v>
      </c>
      <c r="D381" t="s">
        <v>2384</v>
      </c>
      <c r="E381" s="1">
        <v>44057</v>
      </c>
    </row>
    <row r="382" spans="1:6" x14ac:dyDescent="0.25">
      <c r="A382" t="s">
        <v>784</v>
      </c>
      <c r="B382" t="s">
        <v>2773</v>
      </c>
      <c r="C382" t="s">
        <v>153</v>
      </c>
      <c r="D382" t="s">
        <v>2369</v>
      </c>
      <c r="E382" s="1">
        <v>41460</v>
      </c>
    </row>
    <row r="383" spans="1:6" x14ac:dyDescent="0.25">
      <c r="A383" t="s">
        <v>280</v>
      </c>
      <c r="B383" t="s">
        <v>2774</v>
      </c>
      <c r="C383" t="s">
        <v>270</v>
      </c>
      <c r="D383" t="s">
        <v>2384</v>
      </c>
      <c r="E383" s="1">
        <v>44921</v>
      </c>
    </row>
    <row r="384" spans="1:6" x14ac:dyDescent="0.25">
      <c r="A384" t="s">
        <v>1041</v>
      </c>
      <c r="B384" t="s">
        <v>2775</v>
      </c>
      <c r="C384" t="s">
        <v>38</v>
      </c>
      <c r="D384" t="s">
        <v>2369</v>
      </c>
      <c r="E384" s="1">
        <v>42387</v>
      </c>
    </row>
    <row r="385" spans="1:6" x14ac:dyDescent="0.25">
      <c r="A385" t="s">
        <v>767</v>
      </c>
      <c r="B385" t="s">
        <v>2776</v>
      </c>
      <c r="C385" t="s">
        <v>93</v>
      </c>
      <c r="D385" t="s">
        <v>2373</v>
      </c>
      <c r="E385" s="1">
        <v>41183</v>
      </c>
    </row>
    <row r="386" spans="1:6" x14ac:dyDescent="0.25">
      <c r="A386" t="s">
        <v>371</v>
      </c>
      <c r="B386" t="s">
        <v>2777</v>
      </c>
      <c r="C386" t="s">
        <v>126</v>
      </c>
      <c r="D386" t="s">
        <v>2369</v>
      </c>
      <c r="E386" s="1">
        <v>42936</v>
      </c>
    </row>
    <row r="387" spans="1:6" x14ac:dyDescent="0.25">
      <c r="A387" t="s">
        <v>491</v>
      </c>
      <c r="B387" t="s">
        <v>2778</v>
      </c>
      <c r="C387" t="s">
        <v>172</v>
      </c>
      <c r="D387" t="s">
        <v>2391</v>
      </c>
      <c r="E387" s="1">
        <v>45629</v>
      </c>
    </row>
    <row r="388" spans="1:6" x14ac:dyDescent="0.25">
      <c r="A388" t="s">
        <v>1056</v>
      </c>
      <c r="B388" t="s">
        <v>2779</v>
      </c>
      <c r="C388" t="s">
        <v>54</v>
      </c>
      <c r="D388" t="s">
        <v>2369</v>
      </c>
      <c r="E388" s="1">
        <v>43361</v>
      </c>
    </row>
    <row r="389" spans="1:6" x14ac:dyDescent="0.25">
      <c r="A389" t="s">
        <v>808</v>
      </c>
      <c r="B389" t="s">
        <v>2780</v>
      </c>
      <c r="C389" t="s">
        <v>175</v>
      </c>
      <c r="D389" t="s">
        <v>2369</v>
      </c>
      <c r="E389" s="1">
        <v>42807</v>
      </c>
    </row>
    <row r="390" spans="1:6" x14ac:dyDescent="0.25">
      <c r="A390" t="s">
        <v>401</v>
      </c>
      <c r="B390" t="s">
        <v>2781</v>
      </c>
      <c r="C390" t="s">
        <v>175</v>
      </c>
      <c r="D390" t="s">
        <v>2384</v>
      </c>
      <c r="E390" s="1">
        <v>42290</v>
      </c>
    </row>
    <row r="391" spans="1:6" x14ac:dyDescent="0.25">
      <c r="A391" t="s">
        <v>1131</v>
      </c>
      <c r="B391" t="s">
        <v>2782</v>
      </c>
      <c r="C391" t="s">
        <v>202</v>
      </c>
      <c r="D391" t="s">
        <v>2413</v>
      </c>
      <c r="E391" s="1">
        <v>45148</v>
      </c>
    </row>
    <row r="392" spans="1:6" x14ac:dyDescent="0.25">
      <c r="A392" t="s">
        <v>381</v>
      </c>
      <c r="B392" t="s">
        <v>2783</v>
      </c>
      <c r="C392" t="s">
        <v>157</v>
      </c>
      <c r="D392" t="s">
        <v>2369</v>
      </c>
      <c r="E392" s="1">
        <v>45785</v>
      </c>
    </row>
    <row r="393" spans="1:6" x14ac:dyDescent="0.25">
      <c r="A393" t="s">
        <v>1587</v>
      </c>
      <c r="B393" t="s">
        <v>2784</v>
      </c>
      <c r="C393" t="s">
        <v>251</v>
      </c>
      <c r="D393" t="s">
        <v>2373</v>
      </c>
      <c r="E393" s="1">
        <v>42534</v>
      </c>
    </row>
    <row r="394" spans="1:6" x14ac:dyDescent="0.25">
      <c r="A394" t="s">
        <v>290</v>
      </c>
      <c r="B394" t="s">
        <v>2785</v>
      </c>
      <c r="C394" t="s">
        <v>191</v>
      </c>
      <c r="D394" t="s">
        <v>2369</v>
      </c>
      <c r="E394" s="1">
        <v>45264</v>
      </c>
    </row>
    <row r="395" spans="1:6" x14ac:dyDescent="0.25">
      <c r="A395" t="s">
        <v>770</v>
      </c>
      <c r="B395" t="s">
        <v>2786</v>
      </c>
      <c r="C395" t="s">
        <v>38</v>
      </c>
      <c r="D395" t="s">
        <v>2391</v>
      </c>
      <c r="E395" s="1">
        <v>44599</v>
      </c>
    </row>
    <row r="396" spans="1:6" x14ac:dyDescent="0.25">
      <c r="A396" t="s">
        <v>418</v>
      </c>
      <c r="B396" t="s">
        <v>2787</v>
      </c>
      <c r="C396" t="s">
        <v>419</v>
      </c>
      <c r="D396" t="s">
        <v>2391</v>
      </c>
      <c r="E396" s="1">
        <v>41638</v>
      </c>
    </row>
    <row r="397" spans="1:6" x14ac:dyDescent="0.25">
      <c r="A397" t="s">
        <v>554</v>
      </c>
      <c r="B397" t="s">
        <v>2788</v>
      </c>
      <c r="C397" t="s">
        <v>242</v>
      </c>
      <c r="D397" t="s">
        <v>2373</v>
      </c>
      <c r="E397" s="1">
        <v>44760</v>
      </c>
    </row>
    <row r="398" spans="1:6" x14ac:dyDescent="0.25">
      <c r="A398" t="s">
        <v>662</v>
      </c>
      <c r="B398" t="s">
        <v>2789</v>
      </c>
      <c r="C398" t="s">
        <v>75</v>
      </c>
      <c r="D398" t="s">
        <v>2369</v>
      </c>
      <c r="E398" s="1">
        <v>45624</v>
      </c>
    </row>
    <row r="399" spans="1:6" x14ac:dyDescent="0.25">
      <c r="A399" t="s">
        <v>461</v>
      </c>
      <c r="B399" t="s">
        <v>2790</v>
      </c>
      <c r="C399" t="s">
        <v>61</v>
      </c>
      <c r="D399" t="s">
        <v>2369</v>
      </c>
      <c r="E399" s="1">
        <v>41855</v>
      </c>
    </row>
    <row r="400" spans="1:6" x14ac:dyDescent="0.25">
      <c r="A400" t="s">
        <v>1419</v>
      </c>
      <c r="B400" t="s">
        <v>2791</v>
      </c>
      <c r="C400" t="s">
        <v>38</v>
      </c>
      <c r="D400" t="s">
        <v>2413</v>
      </c>
      <c r="E400" s="1">
        <v>43655</v>
      </c>
    </row>
    <row r="401" spans="1:6" x14ac:dyDescent="0.25">
      <c r="A401" t="s">
        <v>1188</v>
      </c>
      <c r="B401" t="s">
        <v>2792</v>
      </c>
      <c r="C401" t="s">
        <v>251</v>
      </c>
      <c r="D401" t="s">
        <v>2369</v>
      </c>
      <c r="E401" s="1">
        <v>44802</v>
      </c>
    </row>
    <row r="402" spans="1:6" x14ac:dyDescent="0.25">
      <c r="A402" t="s">
        <v>1980</v>
      </c>
      <c r="B402" t="s">
        <v>2793</v>
      </c>
      <c r="C402" t="s">
        <v>449</v>
      </c>
      <c r="D402" t="s">
        <v>2391</v>
      </c>
      <c r="E402" s="1">
        <v>45782</v>
      </c>
    </row>
    <row r="403" spans="1:6" x14ac:dyDescent="0.25">
      <c r="A403" t="s">
        <v>1874</v>
      </c>
      <c r="B403" t="s">
        <v>2794</v>
      </c>
      <c r="C403" t="s">
        <v>130</v>
      </c>
      <c r="D403" t="s">
        <v>2391</v>
      </c>
      <c r="E403" s="1">
        <v>45026</v>
      </c>
    </row>
    <row r="404" spans="1:6" x14ac:dyDescent="0.25">
      <c r="A404" t="s">
        <v>507</v>
      </c>
      <c r="B404" t="s">
        <v>2795</v>
      </c>
      <c r="C404" t="s">
        <v>157</v>
      </c>
      <c r="D404" t="s">
        <v>2391</v>
      </c>
      <c r="E404" s="1">
        <v>43703</v>
      </c>
    </row>
    <row r="405" spans="1:6" x14ac:dyDescent="0.25">
      <c r="A405" t="s">
        <v>1519</v>
      </c>
      <c r="B405" t="s">
        <v>2796</v>
      </c>
      <c r="C405" t="s">
        <v>270</v>
      </c>
      <c r="D405" t="s">
        <v>2369</v>
      </c>
      <c r="E405" s="1">
        <v>41827</v>
      </c>
    </row>
    <row r="406" spans="1:6" x14ac:dyDescent="0.25">
      <c r="A406" t="s">
        <v>530</v>
      </c>
      <c r="B406" t="s">
        <v>2797</v>
      </c>
      <c r="C406" t="s">
        <v>242</v>
      </c>
      <c r="D406" t="s">
        <v>2373</v>
      </c>
      <c r="E406" s="1">
        <v>46072</v>
      </c>
      <c r="F406" t="s">
        <v>1431</v>
      </c>
    </row>
    <row r="407" spans="1:6" x14ac:dyDescent="0.25">
      <c r="A407" t="s">
        <v>355</v>
      </c>
      <c r="B407" t="s">
        <v>2798</v>
      </c>
      <c r="C407" t="s">
        <v>256</v>
      </c>
      <c r="D407" t="s">
        <v>2413</v>
      </c>
      <c r="E407" s="1">
        <v>45350</v>
      </c>
    </row>
    <row r="408" spans="1:6" x14ac:dyDescent="0.25">
      <c r="A408" t="s">
        <v>821</v>
      </c>
      <c r="B408" t="s">
        <v>2799</v>
      </c>
      <c r="C408" t="s">
        <v>236</v>
      </c>
      <c r="D408" t="s">
        <v>2373</v>
      </c>
      <c r="E408" s="1">
        <v>42522</v>
      </c>
    </row>
    <row r="409" spans="1:6" x14ac:dyDescent="0.25">
      <c r="A409" t="s">
        <v>1139</v>
      </c>
      <c r="B409" t="s">
        <v>2800</v>
      </c>
      <c r="C409" t="s">
        <v>213</v>
      </c>
      <c r="D409" t="s">
        <v>2369</v>
      </c>
      <c r="E409" s="1">
        <v>42443</v>
      </c>
    </row>
    <row r="410" spans="1:6" x14ac:dyDescent="0.25">
      <c r="A410" t="s">
        <v>875</v>
      </c>
      <c r="B410" t="s">
        <v>2801</v>
      </c>
      <c r="C410" t="s">
        <v>137</v>
      </c>
      <c r="D410" t="s">
        <v>2369</v>
      </c>
      <c r="E410" s="1">
        <v>43228</v>
      </c>
    </row>
    <row r="411" spans="1:6" x14ac:dyDescent="0.25">
      <c r="A411" t="s">
        <v>535</v>
      </c>
      <c r="B411" t="s">
        <v>2802</v>
      </c>
      <c r="C411" t="s">
        <v>236</v>
      </c>
      <c r="D411" t="s">
        <v>2369</v>
      </c>
      <c r="E411" s="1">
        <v>43326</v>
      </c>
    </row>
    <row r="412" spans="1:6" x14ac:dyDescent="0.25">
      <c r="A412" t="s">
        <v>377</v>
      </c>
      <c r="B412" t="s">
        <v>2803</v>
      </c>
      <c r="C412" t="s">
        <v>45</v>
      </c>
      <c r="D412" t="s">
        <v>2384</v>
      </c>
      <c r="E412" s="1">
        <v>41179</v>
      </c>
    </row>
    <row r="413" spans="1:6" x14ac:dyDescent="0.25">
      <c r="A413" t="s">
        <v>558</v>
      </c>
      <c r="B413" t="s">
        <v>2804</v>
      </c>
      <c r="C413" t="s">
        <v>316</v>
      </c>
      <c r="D413" t="s">
        <v>2373</v>
      </c>
      <c r="E413" s="1">
        <v>41957</v>
      </c>
    </row>
    <row r="414" spans="1:6" x14ac:dyDescent="0.25">
      <c r="A414" t="s">
        <v>1287</v>
      </c>
      <c r="B414" t="s">
        <v>2805</v>
      </c>
      <c r="C414" t="s">
        <v>236</v>
      </c>
      <c r="D414" t="s">
        <v>2382</v>
      </c>
      <c r="E414" s="1">
        <v>45834</v>
      </c>
    </row>
    <row r="415" spans="1:6" x14ac:dyDescent="0.25">
      <c r="A415" t="s">
        <v>306</v>
      </c>
      <c r="B415" t="s">
        <v>2806</v>
      </c>
      <c r="C415" t="s">
        <v>307</v>
      </c>
      <c r="D415" t="s">
        <v>2373</v>
      </c>
      <c r="E415" s="1">
        <v>46260</v>
      </c>
    </row>
    <row r="416" spans="1:6" x14ac:dyDescent="0.25">
      <c r="A416" t="s">
        <v>1641</v>
      </c>
      <c r="B416" t="s">
        <v>2807</v>
      </c>
      <c r="C416" t="s">
        <v>45</v>
      </c>
      <c r="D416" t="s">
        <v>2369</v>
      </c>
      <c r="E416" s="1">
        <v>45524</v>
      </c>
    </row>
    <row r="417" spans="1:6" x14ac:dyDescent="0.25">
      <c r="A417" t="s">
        <v>1389</v>
      </c>
      <c r="B417" t="s">
        <v>2808</v>
      </c>
      <c r="C417" t="s">
        <v>242</v>
      </c>
      <c r="D417" t="s">
        <v>2413</v>
      </c>
      <c r="E417" s="1">
        <v>44938</v>
      </c>
    </row>
    <row r="418" spans="1:6" x14ac:dyDescent="0.25">
      <c r="A418" t="s">
        <v>1734</v>
      </c>
      <c r="B418" t="s">
        <v>2809</v>
      </c>
      <c r="C418" t="s">
        <v>45</v>
      </c>
      <c r="D418" t="s">
        <v>2391</v>
      </c>
      <c r="E418" s="1">
        <v>41883</v>
      </c>
    </row>
    <row r="419" spans="1:6" x14ac:dyDescent="0.25">
      <c r="A419" t="s">
        <v>1397</v>
      </c>
      <c r="B419" t="s">
        <v>2810</v>
      </c>
      <c r="C419" t="s">
        <v>137</v>
      </c>
      <c r="D419" t="s">
        <v>2369</v>
      </c>
      <c r="E419" s="1">
        <v>45733</v>
      </c>
    </row>
    <row r="420" spans="1:6" x14ac:dyDescent="0.25">
      <c r="A420" t="s">
        <v>1665</v>
      </c>
      <c r="B420" t="s">
        <v>2811</v>
      </c>
      <c r="C420" t="s">
        <v>336</v>
      </c>
      <c r="D420" t="s">
        <v>2413</v>
      </c>
      <c r="E420" s="1">
        <v>42964</v>
      </c>
    </row>
    <row r="421" spans="1:6" x14ac:dyDescent="0.25">
      <c r="A421" t="s">
        <v>1320</v>
      </c>
      <c r="B421" t="s">
        <v>2812</v>
      </c>
      <c r="C421" t="s">
        <v>172</v>
      </c>
      <c r="D421" t="s">
        <v>2369</v>
      </c>
      <c r="E421" s="1">
        <v>43616</v>
      </c>
    </row>
    <row r="422" spans="1:6" x14ac:dyDescent="0.25">
      <c r="A422" t="s">
        <v>1431</v>
      </c>
      <c r="B422" t="s">
        <v>2797</v>
      </c>
      <c r="C422" t="s">
        <v>242</v>
      </c>
      <c r="D422" t="s">
        <v>2373</v>
      </c>
      <c r="E422" s="1">
        <v>41029</v>
      </c>
      <c r="F422" t="s">
        <v>530</v>
      </c>
    </row>
    <row r="423" spans="1:6" x14ac:dyDescent="0.25">
      <c r="A423" t="s">
        <v>494</v>
      </c>
      <c r="B423" t="s">
        <v>2813</v>
      </c>
      <c r="C423" t="s">
        <v>270</v>
      </c>
      <c r="D423" t="s">
        <v>2369</v>
      </c>
      <c r="E423" s="1">
        <v>40910</v>
      </c>
    </row>
    <row r="424" spans="1:6" x14ac:dyDescent="0.25">
      <c r="A424" t="s">
        <v>643</v>
      </c>
      <c r="B424" t="s">
        <v>2814</v>
      </c>
      <c r="C424" t="s">
        <v>242</v>
      </c>
      <c r="D424" t="s">
        <v>2373</v>
      </c>
      <c r="E424" s="1">
        <v>44909</v>
      </c>
    </row>
    <row r="425" spans="1:6" x14ac:dyDescent="0.25">
      <c r="A425" t="s">
        <v>367</v>
      </c>
      <c r="B425" t="s">
        <v>2815</v>
      </c>
      <c r="C425" t="s">
        <v>175</v>
      </c>
      <c r="D425" t="s">
        <v>2369</v>
      </c>
      <c r="E425" s="1">
        <v>42549</v>
      </c>
    </row>
    <row r="426" spans="1:6" x14ac:dyDescent="0.25">
      <c r="A426" t="s">
        <v>2346</v>
      </c>
      <c r="B426" t="s">
        <v>2816</v>
      </c>
      <c r="C426" t="s">
        <v>98</v>
      </c>
      <c r="D426" t="s">
        <v>2369</v>
      </c>
      <c r="E426" s="1">
        <v>42045</v>
      </c>
    </row>
    <row r="427" spans="1:6" x14ac:dyDescent="0.25">
      <c r="A427" t="s">
        <v>2817</v>
      </c>
      <c r="B427" t="s">
        <v>2818</v>
      </c>
      <c r="C427" t="s">
        <v>30</v>
      </c>
      <c r="D427" t="s">
        <v>2369</v>
      </c>
      <c r="E427" s="1">
        <v>43819</v>
      </c>
    </row>
    <row r="428" spans="1:6" x14ac:dyDescent="0.25">
      <c r="A428" t="s">
        <v>1401</v>
      </c>
      <c r="B428" t="s">
        <v>2819</v>
      </c>
      <c r="C428" t="s">
        <v>236</v>
      </c>
      <c r="D428" t="s">
        <v>2384</v>
      </c>
      <c r="E428" s="1">
        <v>45096</v>
      </c>
    </row>
    <row r="429" spans="1:6" x14ac:dyDescent="0.25">
      <c r="A429" t="s">
        <v>683</v>
      </c>
      <c r="B429" t="s">
        <v>2820</v>
      </c>
      <c r="C429" t="s">
        <v>229</v>
      </c>
      <c r="D429" t="s">
        <v>2369</v>
      </c>
      <c r="E429" s="1">
        <v>44872</v>
      </c>
    </row>
    <row r="430" spans="1:6" x14ac:dyDescent="0.25">
      <c r="A430" t="s">
        <v>253</v>
      </c>
      <c r="B430" t="s">
        <v>2821</v>
      </c>
      <c r="C430" t="s">
        <v>165</v>
      </c>
      <c r="D430" t="s">
        <v>2391</v>
      </c>
      <c r="E430" s="1">
        <v>45660</v>
      </c>
    </row>
    <row r="431" spans="1:6" x14ac:dyDescent="0.25">
      <c r="A431" t="s">
        <v>579</v>
      </c>
      <c r="B431" t="s">
        <v>2822</v>
      </c>
      <c r="C431" t="s">
        <v>115</v>
      </c>
      <c r="D431" t="s">
        <v>2382</v>
      </c>
      <c r="E431" s="1">
        <v>46038</v>
      </c>
    </row>
    <row r="432" spans="1:6" x14ac:dyDescent="0.25">
      <c r="A432" t="s">
        <v>716</v>
      </c>
      <c r="B432" t="s">
        <v>2823</v>
      </c>
      <c r="C432" t="s">
        <v>419</v>
      </c>
      <c r="D432" t="s">
        <v>2369</v>
      </c>
      <c r="E432" s="1">
        <v>42249</v>
      </c>
    </row>
    <row r="433" spans="1:6" x14ac:dyDescent="0.25">
      <c r="A433" t="s">
        <v>1084</v>
      </c>
      <c r="B433" t="s">
        <v>2824</v>
      </c>
      <c r="C433" t="s">
        <v>172</v>
      </c>
      <c r="D433" t="s">
        <v>2413</v>
      </c>
      <c r="E433" s="1">
        <v>44161</v>
      </c>
    </row>
    <row r="434" spans="1:6" x14ac:dyDescent="0.25">
      <c r="A434" t="s">
        <v>1170</v>
      </c>
      <c r="B434" t="s">
        <v>2825</v>
      </c>
      <c r="C434" t="s">
        <v>149</v>
      </c>
      <c r="D434" t="s">
        <v>2369</v>
      </c>
      <c r="E434" s="1">
        <v>44340</v>
      </c>
    </row>
    <row r="435" spans="1:6" x14ac:dyDescent="0.25">
      <c r="A435" t="s">
        <v>934</v>
      </c>
      <c r="B435" t="s">
        <v>2826</v>
      </c>
      <c r="C435" t="s">
        <v>419</v>
      </c>
      <c r="D435" t="s">
        <v>2384</v>
      </c>
      <c r="E435" s="1">
        <v>45121</v>
      </c>
    </row>
    <row r="436" spans="1:6" x14ac:dyDescent="0.25">
      <c r="A436" t="s">
        <v>1684</v>
      </c>
      <c r="B436" t="s">
        <v>2827</v>
      </c>
      <c r="C436" t="s">
        <v>119</v>
      </c>
      <c r="D436" t="s">
        <v>2369</v>
      </c>
      <c r="E436" s="1">
        <v>42800</v>
      </c>
    </row>
    <row r="437" spans="1:6" x14ac:dyDescent="0.25">
      <c r="A437" t="s">
        <v>29</v>
      </c>
      <c r="B437" t="s">
        <v>2828</v>
      </c>
      <c r="C437" t="s">
        <v>30</v>
      </c>
      <c r="D437" t="s">
        <v>2369</v>
      </c>
      <c r="E437" s="1">
        <v>45950</v>
      </c>
    </row>
    <row r="438" spans="1:6" x14ac:dyDescent="0.25">
      <c r="A438" t="s">
        <v>762</v>
      </c>
      <c r="B438" t="s">
        <v>2829</v>
      </c>
      <c r="C438" t="s">
        <v>30</v>
      </c>
      <c r="D438" t="s">
        <v>2382</v>
      </c>
      <c r="E438" s="1">
        <v>42005</v>
      </c>
    </row>
    <row r="439" spans="1:6" x14ac:dyDescent="0.25">
      <c r="A439" t="s">
        <v>286</v>
      </c>
      <c r="B439" t="s">
        <v>2830</v>
      </c>
      <c r="C439" t="s">
        <v>115</v>
      </c>
      <c r="D439" t="s">
        <v>2384</v>
      </c>
      <c r="E439" s="1">
        <v>41278</v>
      </c>
    </row>
    <row r="440" spans="1:6" x14ac:dyDescent="0.25">
      <c r="A440" t="s">
        <v>160</v>
      </c>
      <c r="B440" t="s">
        <v>2831</v>
      </c>
      <c r="C440" t="s">
        <v>137</v>
      </c>
      <c r="D440" t="s">
        <v>2369</v>
      </c>
      <c r="E440" s="1">
        <v>43753</v>
      </c>
    </row>
    <row r="441" spans="1:6" x14ac:dyDescent="0.25">
      <c r="A441" t="s">
        <v>1259</v>
      </c>
      <c r="B441" t="s">
        <v>2832</v>
      </c>
      <c r="C441" t="s">
        <v>225</v>
      </c>
      <c r="D441" t="s">
        <v>2369</v>
      </c>
      <c r="E441" s="1">
        <v>43263</v>
      </c>
    </row>
    <row r="442" spans="1:6" x14ac:dyDescent="0.25">
      <c r="A442" t="s">
        <v>882</v>
      </c>
      <c r="B442" t="s">
        <v>2833</v>
      </c>
      <c r="C442" t="s">
        <v>333</v>
      </c>
      <c r="D442" t="s">
        <v>2373</v>
      </c>
      <c r="E442" s="1">
        <v>45936</v>
      </c>
    </row>
    <row r="443" spans="1:6" x14ac:dyDescent="0.25">
      <c r="A443" t="s">
        <v>856</v>
      </c>
      <c r="B443" t="s">
        <v>2834</v>
      </c>
      <c r="C443" t="s">
        <v>175</v>
      </c>
      <c r="D443" t="s">
        <v>2391</v>
      </c>
      <c r="E443" s="1">
        <v>42779</v>
      </c>
    </row>
    <row r="444" spans="1:6" x14ac:dyDescent="0.25">
      <c r="A444" t="s">
        <v>957</v>
      </c>
      <c r="B444" t="s">
        <v>2835</v>
      </c>
      <c r="C444" t="s">
        <v>38</v>
      </c>
      <c r="D444" t="s">
        <v>2369</v>
      </c>
      <c r="E444" s="1">
        <v>42696</v>
      </c>
    </row>
    <row r="445" spans="1:6" x14ac:dyDescent="0.25">
      <c r="A445" t="s">
        <v>208</v>
      </c>
      <c r="B445" t="s">
        <v>2836</v>
      </c>
      <c r="C445" t="s">
        <v>209</v>
      </c>
      <c r="D445" t="s">
        <v>2369</v>
      </c>
      <c r="E445" s="1">
        <v>44337</v>
      </c>
    </row>
    <row r="446" spans="1:6" x14ac:dyDescent="0.25">
      <c r="A446" t="s">
        <v>812</v>
      </c>
      <c r="B446" t="s">
        <v>2837</v>
      </c>
      <c r="C446" t="s">
        <v>175</v>
      </c>
      <c r="D446" t="s">
        <v>2369</v>
      </c>
      <c r="E446" s="1">
        <v>42024</v>
      </c>
    </row>
    <row r="447" spans="1:6" x14ac:dyDescent="0.25">
      <c r="A447" t="s">
        <v>2050</v>
      </c>
      <c r="B447" t="s">
        <v>2838</v>
      </c>
      <c r="C447" t="s">
        <v>175</v>
      </c>
      <c r="D447" t="s">
        <v>2373</v>
      </c>
      <c r="E447" s="1">
        <v>45756</v>
      </c>
    </row>
    <row r="448" spans="1:6" x14ac:dyDescent="0.25">
      <c r="A448" t="s">
        <v>1790</v>
      </c>
      <c r="B448" t="s">
        <v>2839</v>
      </c>
      <c r="C448" t="s">
        <v>119</v>
      </c>
      <c r="D448" t="s">
        <v>2373</v>
      </c>
      <c r="E448" s="1">
        <v>43922</v>
      </c>
    </row>
    <row r="449" spans="1:6" x14ac:dyDescent="0.25">
      <c r="A449" t="s">
        <v>1495</v>
      </c>
      <c r="B449" t="s">
        <v>2840</v>
      </c>
      <c r="C449" t="s">
        <v>45</v>
      </c>
      <c r="D449" t="s">
        <v>2413</v>
      </c>
      <c r="E449" s="1">
        <v>43592</v>
      </c>
    </row>
    <row r="450" spans="1:6" x14ac:dyDescent="0.25">
      <c r="A450" t="s">
        <v>313</v>
      </c>
      <c r="B450" t="s">
        <v>2841</v>
      </c>
      <c r="C450" t="s">
        <v>93</v>
      </c>
      <c r="D450" t="s">
        <v>2373</v>
      </c>
      <c r="E450" s="1">
        <v>45919</v>
      </c>
    </row>
    <row r="451" spans="1:6" x14ac:dyDescent="0.25">
      <c r="A451" t="s">
        <v>125</v>
      </c>
      <c r="B451" t="s">
        <v>2842</v>
      </c>
      <c r="C451" t="s">
        <v>126</v>
      </c>
      <c r="D451" t="s">
        <v>2369</v>
      </c>
      <c r="E451" s="1">
        <v>43955</v>
      </c>
    </row>
    <row r="452" spans="1:6" x14ac:dyDescent="0.25">
      <c r="A452" t="s">
        <v>1049</v>
      </c>
      <c r="B452" t="s">
        <v>2843</v>
      </c>
      <c r="C452" t="s">
        <v>23</v>
      </c>
      <c r="D452" t="s">
        <v>2369</v>
      </c>
      <c r="E452" s="1">
        <v>42795</v>
      </c>
    </row>
    <row r="453" spans="1:6" x14ac:dyDescent="0.25">
      <c r="A453" t="s">
        <v>800</v>
      </c>
      <c r="B453" t="s">
        <v>2844</v>
      </c>
      <c r="C453" t="s">
        <v>165</v>
      </c>
      <c r="D453" t="s">
        <v>2413</v>
      </c>
      <c r="E453" s="1">
        <v>42591</v>
      </c>
    </row>
    <row r="454" spans="1:6" x14ac:dyDescent="0.25">
      <c r="A454" t="s">
        <v>1195</v>
      </c>
      <c r="B454" t="s">
        <v>2845</v>
      </c>
      <c r="C454" t="s">
        <v>229</v>
      </c>
      <c r="D454" t="s">
        <v>2384</v>
      </c>
      <c r="E454" s="1">
        <v>45939</v>
      </c>
    </row>
    <row r="455" spans="1:6" x14ac:dyDescent="0.25">
      <c r="A455" t="s">
        <v>745</v>
      </c>
      <c r="B455" t="s">
        <v>2846</v>
      </c>
      <c r="C455" t="s">
        <v>270</v>
      </c>
      <c r="D455" t="s">
        <v>2369</v>
      </c>
      <c r="E455" s="1">
        <v>40996</v>
      </c>
    </row>
    <row r="456" spans="1:6" x14ac:dyDescent="0.25">
      <c r="A456" t="s">
        <v>245</v>
      </c>
      <c r="B456" t="s">
        <v>2847</v>
      </c>
      <c r="C456" t="s">
        <v>175</v>
      </c>
      <c r="D456" t="s">
        <v>2413</v>
      </c>
      <c r="E456" s="1">
        <v>41696</v>
      </c>
    </row>
    <row r="457" spans="1:6" x14ac:dyDescent="0.25">
      <c r="A457" t="s">
        <v>1712</v>
      </c>
      <c r="B457" t="s">
        <v>2848</v>
      </c>
      <c r="C457" t="s">
        <v>30</v>
      </c>
      <c r="D457" t="s">
        <v>2413</v>
      </c>
      <c r="E457" s="1">
        <v>44510</v>
      </c>
    </row>
    <row r="458" spans="1:6" x14ac:dyDescent="0.25">
      <c r="A458" t="s">
        <v>1648</v>
      </c>
      <c r="B458" t="s">
        <v>2849</v>
      </c>
      <c r="C458" t="s">
        <v>119</v>
      </c>
      <c r="D458" t="s">
        <v>2373</v>
      </c>
      <c r="E458" s="1">
        <v>43143</v>
      </c>
    </row>
    <row r="459" spans="1:6" x14ac:dyDescent="0.25">
      <c r="A459" t="s">
        <v>2850</v>
      </c>
      <c r="B459" t="s">
        <v>2851</v>
      </c>
      <c r="C459" t="s">
        <v>185</v>
      </c>
      <c r="D459" t="s">
        <v>2413</v>
      </c>
      <c r="E459" s="1">
        <v>43696</v>
      </c>
    </row>
    <row r="460" spans="1:6" x14ac:dyDescent="0.25">
      <c r="A460" t="s">
        <v>70</v>
      </c>
      <c r="B460" t="s">
        <v>2852</v>
      </c>
      <c r="C460" t="s">
        <v>54</v>
      </c>
      <c r="D460" t="s">
        <v>2369</v>
      </c>
      <c r="E460" s="1">
        <v>45790</v>
      </c>
    </row>
    <row r="461" spans="1:6" x14ac:dyDescent="0.25">
      <c r="A461" t="s">
        <v>498</v>
      </c>
      <c r="B461" t="s">
        <v>2853</v>
      </c>
      <c r="C461" t="s">
        <v>419</v>
      </c>
      <c r="D461" t="s">
        <v>2391</v>
      </c>
      <c r="E461" s="1">
        <v>42964</v>
      </c>
    </row>
    <row r="462" spans="1:6" x14ac:dyDescent="0.25">
      <c r="A462" t="s">
        <v>1742</v>
      </c>
      <c r="B462" t="s">
        <v>2854</v>
      </c>
      <c r="C462" t="s">
        <v>242</v>
      </c>
      <c r="D462" t="s">
        <v>2413</v>
      </c>
      <c r="E462" s="1">
        <v>45859</v>
      </c>
    </row>
    <row r="463" spans="1:6" x14ac:dyDescent="0.25">
      <c r="A463" t="s">
        <v>178</v>
      </c>
      <c r="B463" t="s">
        <v>2855</v>
      </c>
      <c r="C463" t="s">
        <v>165</v>
      </c>
      <c r="D463" t="s">
        <v>2413</v>
      </c>
      <c r="E463" s="1">
        <v>41898</v>
      </c>
    </row>
    <row r="464" spans="1:6" x14ac:dyDescent="0.25">
      <c r="A464" t="s">
        <v>1886</v>
      </c>
      <c r="B464" t="s">
        <v>2856</v>
      </c>
      <c r="C464" t="s">
        <v>130</v>
      </c>
      <c r="D464" t="s">
        <v>2413</v>
      </c>
      <c r="E464" s="1">
        <v>45551</v>
      </c>
    </row>
    <row r="465" spans="1:6" x14ac:dyDescent="0.25">
      <c r="A465" t="s">
        <v>689</v>
      </c>
      <c r="B465" t="s">
        <v>2857</v>
      </c>
      <c r="C465" t="s">
        <v>270</v>
      </c>
      <c r="D465" t="s">
        <v>2373</v>
      </c>
      <c r="E465" s="1">
        <v>43955</v>
      </c>
    </row>
    <row r="466" spans="1:6" x14ac:dyDescent="0.25">
      <c r="A466" t="s">
        <v>1337</v>
      </c>
      <c r="B466" t="s">
        <v>2858</v>
      </c>
      <c r="C466" t="s">
        <v>98</v>
      </c>
      <c r="D466" t="s">
        <v>2373</v>
      </c>
      <c r="E466" s="1">
        <v>41330</v>
      </c>
    </row>
    <row r="467" spans="1:6" x14ac:dyDescent="0.25">
      <c r="A467" t="s">
        <v>2859</v>
      </c>
      <c r="B467" t="s">
        <v>2860</v>
      </c>
      <c r="C467" t="s">
        <v>23</v>
      </c>
      <c r="D467" t="s">
        <v>2369</v>
      </c>
      <c r="E467" s="1">
        <v>42135</v>
      </c>
    </row>
    <row r="468" spans="1:6" x14ac:dyDescent="0.25">
      <c r="A468" t="s">
        <v>353</v>
      </c>
      <c r="B468" t="s">
        <v>2861</v>
      </c>
      <c r="C468" t="s">
        <v>149</v>
      </c>
      <c r="D468" t="s">
        <v>2382</v>
      </c>
      <c r="E468" s="1">
        <v>42068</v>
      </c>
    </row>
    <row r="469" spans="1:6" x14ac:dyDescent="0.25">
      <c r="A469" t="s">
        <v>463</v>
      </c>
      <c r="B469" t="s">
        <v>2862</v>
      </c>
      <c r="C469" t="s">
        <v>115</v>
      </c>
      <c r="D469" t="s">
        <v>2369</v>
      </c>
      <c r="E469" s="1">
        <v>45784</v>
      </c>
    </row>
    <row r="470" spans="1:6" x14ac:dyDescent="0.25">
      <c r="A470" t="s">
        <v>345</v>
      </c>
      <c r="B470" t="s">
        <v>2863</v>
      </c>
      <c r="C470" t="s">
        <v>191</v>
      </c>
      <c r="D470" t="s">
        <v>2413</v>
      </c>
      <c r="E470" s="1">
        <v>41995</v>
      </c>
    </row>
    <row r="471" spans="1:6" x14ac:dyDescent="0.25">
      <c r="A471" t="s">
        <v>844</v>
      </c>
      <c r="B471" t="s">
        <v>2864</v>
      </c>
      <c r="C471" t="s">
        <v>236</v>
      </c>
      <c r="D471" t="s">
        <v>2391</v>
      </c>
      <c r="E471" s="1">
        <v>41729</v>
      </c>
    </row>
    <row r="472" spans="1:6" x14ac:dyDescent="0.25">
      <c r="A472" t="s">
        <v>906</v>
      </c>
      <c r="B472" t="s">
        <v>2865</v>
      </c>
      <c r="C472" t="s">
        <v>175</v>
      </c>
      <c r="D472" t="s">
        <v>2413</v>
      </c>
      <c r="E472" s="1">
        <v>45779</v>
      </c>
    </row>
    <row r="473" spans="1:6" x14ac:dyDescent="0.25">
      <c r="A473" t="s">
        <v>515</v>
      </c>
      <c r="B473" t="s">
        <v>2866</v>
      </c>
      <c r="C473" t="s">
        <v>165</v>
      </c>
      <c r="D473" t="s">
        <v>2384</v>
      </c>
      <c r="E473" s="1">
        <v>43172</v>
      </c>
    </row>
    <row r="474" spans="1:6" x14ac:dyDescent="0.25">
      <c r="A474" t="s">
        <v>1112</v>
      </c>
      <c r="B474" t="s">
        <v>2867</v>
      </c>
      <c r="C474" t="s">
        <v>122</v>
      </c>
      <c r="D474" t="s">
        <v>2384</v>
      </c>
      <c r="E474" s="1">
        <v>41362</v>
      </c>
    </row>
    <row r="475" spans="1:6" x14ac:dyDescent="0.25">
      <c r="A475" t="s">
        <v>1517</v>
      </c>
      <c r="B475" t="s">
        <v>2868</v>
      </c>
      <c r="C475" t="s">
        <v>213</v>
      </c>
      <c r="D475" t="s">
        <v>2369</v>
      </c>
      <c r="E475" s="1">
        <v>44908</v>
      </c>
    </row>
    <row r="476" spans="1:6" x14ac:dyDescent="0.25">
      <c r="A476" t="s">
        <v>1878</v>
      </c>
      <c r="B476" t="s">
        <v>2869</v>
      </c>
      <c r="C476" t="s">
        <v>236</v>
      </c>
      <c r="D476" t="s">
        <v>2391</v>
      </c>
      <c r="E476" s="1">
        <v>42639</v>
      </c>
    </row>
    <row r="477" spans="1:6" x14ac:dyDescent="0.25">
      <c r="A477" t="s">
        <v>917</v>
      </c>
      <c r="B477" t="s">
        <v>2870</v>
      </c>
      <c r="C477" t="s">
        <v>229</v>
      </c>
      <c r="D477" t="s">
        <v>2373</v>
      </c>
      <c r="E477" s="1">
        <v>45177</v>
      </c>
    </row>
    <row r="478" spans="1:6" x14ac:dyDescent="0.25">
      <c r="A478" t="s">
        <v>1417</v>
      </c>
      <c r="B478" t="s">
        <v>2871</v>
      </c>
      <c r="C478" t="s">
        <v>165</v>
      </c>
      <c r="D478" t="s">
        <v>2384</v>
      </c>
      <c r="E478" s="1">
        <v>42723</v>
      </c>
    </row>
    <row r="479" spans="1:6" x14ac:dyDescent="0.25">
      <c r="A479" t="s">
        <v>556</v>
      </c>
      <c r="B479" t="s">
        <v>2872</v>
      </c>
      <c r="C479" t="s">
        <v>153</v>
      </c>
      <c r="D479" t="s">
        <v>2369</v>
      </c>
      <c r="E479" s="1">
        <v>45782</v>
      </c>
    </row>
    <row r="480" spans="1:6" x14ac:dyDescent="0.25">
      <c r="A480" t="s">
        <v>567</v>
      </c>
      <c r="B480" t="s">
        <v>2873</v>
      </c>
      <c r="C480" t="s">
        <v>374</v>
      </c>
      <c r="D480" t="s">
        <v>2369</v>
      </c>
      <c r="E480" s="1">
        <v>42016</v>
      </c>
    </row>
    <row r="481" spans="1:6" x14ac:dyDescent="0.25">
      <c r="A481" t="s">
        <v>292</v>
      </c>
      <c r="B481" t="s">
        <v>2874</v>
      </c>
      <c r="C481" t="s">
        <v>45</v>
      </c>
      <c r="D481" t="s">
        <v>2373</v>
      </c>
      <c r="E481" s="1">
        <v>45706</v>
      </c>
    </row>
    <row r="482" spans="1:6" x14ac:dyDescent="0.25">
      <c r="A482" t="s">
        <v>991</v>
      </c>
      <c r="B482" t="s">
        <v>2875</v>
      </c>
      <c r="C482" t="s">
        <v>115</v>
      </c>
      <c r="D482" t="s">
        <v>2384</v>
      </c>
      <c r="E482" s="1">
        <v>46015</v>
      </c>
    </row>
    <row r="483" spans="1:6" x14ac:dyDescent="0.25">
      <c r="A483" t="s">
        <v>361</v>
      </c>
      <c r="B483" t="s">
        <v>2876</v>
      </c>
      <c r="C483" t="s">
        <v>165</v>
      </c>
      <c r="D483" t="s">
        <v>2369</v>
      </c>
      <c r="E483" s="1">
        <v>42646</v>
      </c>
    </row>
    <row r="484" spans="1:6" x14ac:dyDescent="0.25">
      <c r="A484" t="s">
        <v>188</v>
      </c>
      <c r="B484" t="s">
        <v>2877</v>
      </c>
      <c r="C484" t="s">
        <v>30</v>
      </c>
      <c r="D484" t="s">
        <v>2373</v>
      </c>
      <c r="E484" s="1">
        <v>41414</v>
      </c>
    </row>
    <row r="485" spans="1:6" x14ac:dyDescent="0.25">
      <c r="A485" t="s">
        <v>1323</v>
      </c>
      <c r="B485" t="s">
        <v>2878</v>
      </c>
      <c r="C485" t="s">
        <v>336</v>
      </c>
      <c r="D485" t="s">
        <v>2369</v>
      </c>
      <c r="E485" s="1">
        <v>43703</v>
      </c>
    </row>
    <row r="486" spans="1:6" x14ac:dyDescent="0.25">
      <c r="A486" t="s">
        <v>222</v>
      </c>
      <c r="B486" t="s">
        <v>2879</v>
      </c>
      <c r="C486" t="s">
        <v>165</v>
      </c>
      <c r="D486" t="s">
        <v>2382</v>
      </c>
      <c r="E486" s="1">
        <v>43440</v>
      </c>
    </row>
    <row r="487" spans="1:6" x14ac:dyDescent="0.25">
      <c r="A487" t="s">
        <v>446</v>
      </c>
      <c r="B487" t="s">
        <v>2880</v>
      </c>
      <c r="C487" t="s">
        <v>191</v>
      </c>
      <c r="D487" t="s">
        <v>2369</v>
      </c>
      <c r="E487" s="1">
        <v>45691</v>
      </c>
    </row>
    <row r="488" spans="1:6" x14ac:dyDescent="0.25">
      <c r="A488" t="s">
        <v>1579</v>
      </c>
      <c r="B488" t="s">
        <v>2881</v>
      </c>
      <c r="C488" t="s">
        <v>172</v>
      </c>
      <c r="D488" t="s">
        <v>2369</v>
      </c>
      <c r="E488" s="1">
        <v>45684</v>
      </c>
    </row>
    <row r="489" spans="1:6" x14ac:dyDescent="0.25">
      <c r="A489" t="s">
        <v>1240</v>
      </c>
      <c r="B489" t="s">
        <v>2882</v>
      </c>
      <c r="C489" t="s">
        <v>374</v>
      </c>
      <c r="D489" t="s">
        <v>2369</v>
      </c>
      <c r="E489" s="1">
        <v>44151</v>
      </c>
    </row>
    <row r="490" spans="1:6" x14ac:dyDescent="0.25">
      <c r="A490" t="s">
        <v>86</v>
      </c>
      <c r="B490" t="s">
        <v>2883</v>
      </c>
      <c r="C490" t="s">
        <v>87</v>
      </c>
      <c r="D490" t="s">
        <v>2369</v>
      </c>
      <c r="E490" s="1">
        <v>46290</v>
      </c>
    </row>
    <row r="491" spans="1:6" x14ac:dyDescent="0.25">
      <c r="A491" t="s">
        <v>1021</v>
      </c>
      <c r="B491" t="s">
        <v>2884</v>
      </c>
      <c r="C491" t="s">
        <v>242</v>
      </c>
      <c r="D491" t="s">
        <v>2413</v>
      </c>
      <c r="E491" s="1">
        <v>43916</v>
      </c>
    </row>
    <row r="492" spans="1:6" x14ac:dyDescent="0.25">
      <c r="A492" t="s">
        <v>212</v>
      </c>
      <c r="B492" t="s">
        <v>2885</v>
      </c>
      <c r="C492" t="s">
        <v>213</v>
      </c>
      <c r="D492" t="s">
        <v>2384</v>
      </c>
      <c r="E492" s="1">
        <v>45873</v>
      </c>
    </row>
    <row r="493" spans="1:6" x14ac:dyDescent="0.25">
      <c r="A493" t="s">
        <v>74</v>
      </c>
      <c r="B493" t="s">
        <v>2886</v>
      </c>
      <c r="C493" t="s">
        <v>75</v>
      </c>
      <c r="D493" t="s">
        <v>2369</v>
      </c>
      <c r="E493" s="1">
        <v>42870</v>
      </c>
    </row>
    <row r="494" spans="1:6" x14ac:dyDescent="0.25">
      <c r="A494" t="s">
        <v>448</v>
      </c>
      <c r="B494" t="s">
        <v>2887</v>
      </c>
      <c r="C494" t="s">
        <v>449</v>
      </c>
      <c r="D494" t="s">
        <v>2382</v>
      </c>
      <c r="E494" s="1">
        <v>42040</v>
      </c>
    </row>
    <row r="495" spans="1:6" x14ac:dyDescent="0.25">
      <c r="A495" t="s">
        <v>2888</v>
      </c>
      <c r="B495" t="s">
        <v>2889</v>
      </c>
      <c r="C495" t="s">
        <v>153</v>
      </c>
      <c r="D495" t="s">
        <v>2391</v>
      </c>
      <c r="E495" s="1">
        <v>43390</v>
      </c>
    </row>
    <row r="496" spans="1:6" x14ac:dyDescent="0.25">
      <c r="A496" t="s">
        <v>1101</v>
      </c>
      <c r="B496" t="s">
        <v>2890</v>
      </c>
      <c r="C496" t="s">
        <v>75</v>
      </c>
      <c r="D496" t="s">
        <v>2384</v>
      </c>
      <c r="E496" s="1">
        <v>41464</v>
      </c>
    </row>
    <row r="497" spans="1:6" x14ac:dyDescent="0.25">
      <c r="A497" t="s">
        <v>604</v>
      </c>
      <c r="B497" t="s">
        <v>2891</v>
      </c>
      <c r="C497" t="s">
        <v>419</v>
      </c>
      <c r="D497" t="s">
        <v>2369</v>
      </c>
      <c r="E497" s="1">
        <v>45012</v>
      </c>
    </row>
    <row r="498" spans="1:6" x14ac:dyDescent="0.25">
      <c r="A498" t="s">
        <v>1356</v>
      </c>
      <c r="B498" t="s">
        <v>2892</v>
      </c>
      <c r="C498" t="s">
        <v>67</v>
      </c>
      <c r="D498" t="s">
        <v>2369</v>
      </c>
      <c r="E498" s="1">
        <v>41618</v>
      </c>
    </row>
    <row r="499" spans="1:6" x14ac:dyDescent="0.25">
      <c r="A499" t="s">
        <v>1645</v>
      </c>
      <c r="B499" t="s">
        <v>2893</v>
      </c>
      <c r="C499" t="s">
        <v>449</v>
      </c>
      <c r="D499" t="s">
        <v>2369</v>
      </c>
      <c r="E499" s="1">
        <v>43937</v>
      </c>
    </row>
    <row r="500" spans="1:6" x14ac:dyDescent="0.25">
      <c r="A500" t="s">
        <v>748</v>
      </c>
      <c r="B500" t="s">
        <v>2894</v>
      </c>
      <c r="C500" t="s">
        <v>336</v>
      </c>
      <c r="D500" t="s">
        <v>2373</v>
      </c>
      <c r="E500" s="1">
        <v>41164</v>
      </c>
    </row>
    <row r="501" spans="1:6" x14ac:dyDescent="0.25">
      <c r="A501" t="s">
        <v>326</v>
      </c>
      <c r="B501" t="s">
        <v>2895</v>
      </c>
      <c r="C501" t="s">
        <v>61</v>
      </c>
      <c r="D501" t="s">
        <v>2369</v>
      </c>
      <c r="E501" s="1">
        <v>45240</v>
      </c>
    </row>
    <row r="502" spans="1:6" x14ac:dyDescent="0.25">
      <c r="A502" t="s">
        <v>440</v>
      </c>
      <c r="B502" t="s">
        <v>2896</v>
      </c>
      <c r="C502" t="s">
        <v>126</v>
      </c>
      <c r="D502" t="s">
        <v>2384</v>
      </c>
      <c r="E502" s="1">
        <v>44669</v>
      </c>
    </row>
    <row r="503" spans="1:6" x14ac:dyDescent="0.25">
      <c r="A503" t="s">
        <v>686</v>
      </c>
      <c r="B503" t="s">
        <v>2897</v>
      </c>
      <c r="C503" t="s">
        <v>256</v>
      </c>
      <c r="D503" t="s">
        <v>2382</v>
      </c>
      <c r="E503" s="1">
        <v>45712</v>
      </c>
    </row>
    <row r="504" spans="1:6" x14ac:dyDescent="0.25">
      <c r="A504" t="s">
        <v>970</v>
      </c>
      <c r="B504" t="s">
        <v>2898</v>
      </c>
      <c r="C504" t="s">
        <v>242</v>
      </c>
      <c r="D504" t="s">
        <v>2373</v>
      </c>
      <c r="E504" s="1">
        <v>42635</v>
      </c>
    </row>
    <row r="505" spans="1:6" x14ac:dyDescent="0.25">
      <c r="A505" t="s">
        <v>1862</v>
      </c>
      <c r="B505" t="s">
        <v>2428</v>
      </c>
      <c r="C505" t="s">
        <v>175</v>
      </c>
      <c r="D505" t="s">
        <v>2382</v>
      </c>
      <c r="E505" s="1">
        <v>45825</v>
      </c>
      <c r="F505" t="s">
        <v>1077</v>
      </c>
    </row>
    <row r="506" spans="1:6" x14ac:dyDescent="0.25">
      <c r="A506" t="s">
        <v>2899</v>
      </c>
      <c r="B506" t="s">
        <v>2900</v>
      </c>
      <c r="C506" t="s">
        <v>339</v>
      </c>
      <c r="D506" t="s">
        <v>2373</v>
      </c>
      <c r="E506" s="1">
        <v>43551</v>
      </c>
    </row>
    <row r="507" spans="1:6" x14ac:dyDescent="0.25">
      <c r="A507" t="s">
        <v>913</v>
      </c>
      <c r="B507" t="s">
        <v>2901</v>
      </c>
      <c r="C507" t="s">
        <v>339</v>
      </c>
      <c r="D507" t="s">
        <v>2373</v>
      </c>
      <c r="E507" s="1">
        <v>45762</v>
      </c>
    </row>
    <row r="508" spans="1:6" x14ac:dyDescent="0.25">
      <c r="A508" t="s">
        <v>1030</v>
      </c>
      <c r="B508" t="s">
        <v>2902</v>
      </c>
      <c r="C508" t="s">
        <v>175</v>
      </c>
      <c r="D508" t="s">
        <v>2369</v>
      </c>
      <c r="E508" s="1">
        <v>41877</v>
      </c>
    </row>
    <row r="509" spans="1:6" x14ac:dyDescent="0.25">
      <c r="A509" t="s">
        <v>750</v>
      </c>
      <c r="B509" t="s">
        <v>2903</v>
      </c>
      <c r="C509" t="s">
        <v>229</v>
      </c>
      <c r="D509" t="s">
        <v>2369</v>
      </c>
      <c r="E509" s="1">
        <v>45846</v>
      </c>
    </row>
    <row r="510" spans="1:6" x14ac:dyDescent="0.25">
      <c r="A510" t="s">
        <v>328</v>
      </c>
      <c r="B510" t="s">
        <v>2904</v>
      </c>
      <c r="C510" t="s">
        <v>153</v>
      </c>
      <c r="D510" t="s">
        <v>2382</v>
      </c>
      <c r="E510" s="1">
        <v>40954</v>
      </c>
    </row>
    <row r="511" spans="1:6" x14ac:dyDescent="0.25">
      <c r="A511" t="s">
        <v>1284</v>
      </c>
      <c r="B511" t="s">
        <v>2905</v>
      </c>
      <c r="C511" t="s">
        <v>119</v>
      </c>
      <c r="D511" t="s">
        <v>2369</v>
      </c>
      <c r="E511" s="1">
        <v>45741</v>
      </c>
    </row>
    <row r="512" spans="1:6" x14ac:dyDescent="0.25">
      <c r="A512" t="s">
        <v>1413</v>
      </c>
      <c r="B512" t="s">
        <v>2906</v>
      </c>
      <c r="C512" t="s">
        <v>137</v>
      </c>
      <c r="D512" t="s">
        <v>2384</v>
      </c>
      <c r="E512" s="1">
        <v>44028</v>
      </c>
    </row>
    <row r="513" spans="1:6" x14ac:dyDescent="0.25">
      <c r="A513" t="s">
        <v>1197</v>
      </c>
      <c r="B513" t="s">
        <v>2907</v>
      </c>
      <c r="C513" t="s">
        <v>229</v>
      </c>
      <c r="D513" t="s">
        <v>2384</v>
      </c>
      <c r="E513" s="1">
        <v>45729</v>
      </c>
    </row>
    <row r="514" spans="1:6" x14ac:dyDescent="0.25">
      <c r="A514" t="s">
        <v>2908</v>
      </c>
      <c r="B514" t="s">
        <v>2909</v>
      </c>
      <c r="C514" t="s">
        <v>316</v>
      </c>
      <c r="D514" t="s">
        <v>2369</v>
      </c>
      <c r="E514" s="1">
        <v>44284</v>
      </c>
    </row>
    <row r="515" spans="1:6" x14ac:dyDescent="0.25">
      <c r="A515" t="s">
        <v>201</v>
      </c>
      <c r="B515" t="s">
        <v>2910</v>
      </c>
      <c r="C515" t="s">
        <v>202</v>
      </c>
      <c r="D515" t="s">
        <v>2373</v>
      </c>
      <c r="E515" s="1">
        <v>43852</v>
      </c>
    </row>
    <row r="516" spans="1:6" x14ac:dyDescent="0.25">
      <c r="A516" t="s">
        <v>1595</v>
      </c>
      <c r="B516" t="s">
        <v>2911</v>
      </c>
      <c r="C516" t="s">
        <v>209</v>
      </c>
      <c r="D516" t="s">
        <v>2384</v>
      </c>
      <c r="E516" s="1">
        <v>44540</v>
      </c>
    </row>
    <row r="517" spans="1:6" x14ac:dyDescent="0.25">
      <c r="A517" t="s">
        <v>1620</v>
      </c>
      <c r="B517" t="s">
        <v>2912</v>
      </c>
      <c r="C517" t="s">
        <v>137</v>
      </c>
      <c r="D517" t="s">
        <v>2384</v>
      </c>
      <c r="E517" s="1">
        <v>44930</v>
      </c>
    </row>
    <row r="518" spans="1:6" x14ac:dyDescent="0.25">
      <c r="A518" t="s">
        <v>752</v>
      </c>
      <c r="B518" t="s">
        <v>2913</v>
      </c>
      <c r="C518" t="s">
        <v>137</v>
      </c>
      <c r="D518" t="s">
        <v>2413</v>
      </c>
      <c r="E518" s="1">
        <v>44361</v>
      </c>
    </row>
    <row r="519" spans="1:6" x14ac:dyDescent="0.25">
      <c r="A519" t="s">
        <v>1237</v>
      </c>
      <c r="B519" t="s">
        <v>2914</v>
      </c>
      <c r="C519" t="s">
        <v>194</v>
      </c>
      <c r="D519" t="s">
        <v>2373</v>
      </c>
      <c r="E519" s="1">
        <v>45687</v>
      </c>
    </row>
    <row r="520" spans="1:6" x14ac:dyDescent="0.25">
      <c r="A520" t="s">
        <v>444</v>
      </c>
      <c r="B520" t="s">
        <v>2915</v>
      </c>
      <c r="C520" t="s">
        <v>225</v>
      </c>
      <c r="D520" t="s">
        <v>2413</v>
      </c>
      <c r="E520" s="1">
        <v>44159</v>
      </c>
    </row>
    <row r="521" spans="1:6" x14ac:dyDescent="0.25">
      <c r="A521" t="s">
        <v>2066</v>
      </c>
      <c r="B521" t="s">
        <v>2916</v>
      </c>
      <c r="C521" t="s">
        <v>449</v>
      </c>
      <c r="D521" t="s">
        <v>2369</v>
      </c>
      <c r="E521" s="1">
        <v>44984</v>
      </c>
    </row>
    <row r="522" spans="1:6" x14ac:dyDescent="0.25">
      <c r="A522" t="s">
        <v>897</v>
      </c>
      <c r="B522" t="s">
        <v>2917</v>
      </c>
      <c r="C522" t="s">
        <v>87</v>
      </c>
      <c r="D522" t="s">
        <v>2413</v>
      </c>
      <c r="E522" s="1">
        <v>42352</v>
      </c>
    </row>
    <row r="523" spans="1:6" x14ac:dyDescent="0.25">
      <c r="A523" t="s">
        <v>369</v>
      </c>
      <c r="B523" t="s">
        <v>2918</v>
      </c>
      <c r="C523" t="s">
        <v>157</v>
      </c>
      <c r="D523" t="s">
        <v>2384</v>
      </c>
      <c r="E523" s="1">
        <v>41855</v>
      </c>
    </row>
    <row r="524" spans="1:6" x14ac:dyDescent="0.25">
      <c r="A524" t="s">
        <v>1613</v>
      </c>
      <c r="B524" t="s">
        <v>2919</v>
      </c>
      <c r="C524" t="s">
        <v>316</v>
      </c>
      <c r="D524" t="s">
        <v>2413</v>
      </c>
      <c r="E524" s="1">
        <v>45741</v>
      </c>
    </row>
    <row r="525" spans="1:6" x14ac:dyDescent="0.25">
      <c r="A525" t="s">
        <v>738</v>
      </c>
      <c r="B525" t="s">
        <v>2920</v>
      </c>
      <c r="C525" t="s">
        <v>122</v>
      </c>
      <c r="D525" t="s">
        <v>2369</v>
      </c>
      <c r="E525" s="1">
        <v>42018</v>
      </c>
    </row>
    <row r="526" spans="1:6" x14ac:dyDescent="0.25">
      <c r="A526" t="s">
        <v>330</v>
      </c>
      <c r="B526" t="s">
        <v>2921</v>
      </c>
      <c r="C526" t="s">
        <v>23</v>
      </c>
      <c r="D526" t="s">
        <v>2384</v>
      </c>
      <c r="E526" s="1">
        <v>44144</v>
      </c>
    </row>
    <row r="527" spans="1:6" x14ac:dyDescent="0.25">
      <c r="A527" t="s">
        <v>1783</v>
      </c>
      <c r="B527" t="s">
        <v>2922</v>
      </c>
      <c r="C527" t="s">
        <v>339</v>
      </c>
      <c r="D527" t="s">
        <v>2373</v>
      </c>
      <c r="E527" s="1">
        <v>45188</v>
      </c>
    </row>
    <row r="528" spans="1:6" x14ac:dyDescent="0.25">
      <c r="A528" t="s">
        <v>2923</v>
      </c>
      <c r="B528" t="s">
        <v>2924</v>
      </c>
      <c r="C528" t="s">
        <v>270</v>
      </c>
      <c r="D528" t="s">
        <v>2384</v>
      </c>
      <c r="E528" s="1">
        <v>44946</v>
      </c>
    </row>
    <row r="529" spans="1:6" x14ac:dyDescent="0.25">
      <c r="A529" t="s">
        <v>2129</v>
      </c>
      <c r="B529" t="s">
        <v>2925</v>
      </c>
      <c r="C529" t="s">
        <v>256</v>
      </c>
      <c r="D529" t="s">
        <v>2373</v>
      </c>
      <c r="E529" s="1">
        <v>43370</v>
      </c>
    </row>
    <row r="530" spans="1:6" x14ac:dyDescent="0.25">
      <c r="A530" t="s">
        <v>951</v>
      </c>
      <c r="B530" t="s">
        <v>2926</v>
      </c>
      <c r="C530" t="s">
        <v>384</v>
      </c>
      <c r="D530" t="s">
        <v>2369</v>
      </c>
      <c r="E530" s="1">
        <v>44620</v>
      </c>
    </row>
    <row r="531" spans="1:6" x14ac:dyDescent="0.25">
      <c r="A531" t="s">
        <v>2009</v>
      </c>
      <c r="B531" t="s">
        <v>2927</v>
      </c>
      <c r="C531" t="s">
        <v>172</v>
      </c>
      <c r="D531" t="s">
        <v>2373</v>
      </c>
      <c r="E531" s="1">
        <v>45771</v>
      </c>
    </row>
    <row r="532" spans="1:6" x14ac:dyDescent="0.25">
      <c r="A532" t="s">
        <v>775</v>
      </c>
      <c r="B532" t="s">
        <v>2928</v>
      </c>
      <c r="C532" t="s">
        <v>137</v>
      </c>
      <c r="D532" t="s">
        <v>2369</v>
      </c>
      <c r="E532" s="1">
        <v>45860</v>
      </c>
    </row>
    <row r="533" spans="1:6" x14ac:dyDescent="0.25">
      <c r="A533" t="s">
        <v>2162</v>
      </c>
      <c r="B533" t="s">
        <v>2929</v>
      </c>
      <c r="C533" t="s">
        <v>126</v>
      </c>
      <c r="D533" t="s">
        <v>2384</v>
      </c>
      <c r="E533" s="1">
        <v>41806</v>
      </c>
    </row>
    <row r="534" spans="1:6" x14ac:dyDescent="0.25">
      <c r="A534" t="s">
        <v>648</v>
      </c>
      <c r="B534" t="s">
        <v>2930</v>
      </c>
      <c r="C534" t="s">
        <v>236</v>
      </c>
      <c r="D534" t="s">
        <v>2369</v>
      </c>
      <c r="E534" s="1">
        <v>44389</v>
      </c>
    </row>
    <row r="535" spans="1:6" x14ac:dyDescent="0.25">
      <c r="A535" t="s">
        <v>1881</v>
      </c>
      <c r="B535" t="s">
        <v>2931</v>
      </c>
      <c r="C535" t="s">
        <v>191</v>
      </c>
      <c r="D535" t="s">
        <v>2369</v>
      </c>
      <c r="E535" s="1">
        <v>41400</v>
      </c>
    </row>
    <row r="536" spans="1:6" x14ac:dyDescent="0.25">
      <c r="A536" t="s">
        <v>1308</v>
      </c>
      <c r="B536" t="s">
        <v>2932</v>
      </c>
      <c r="C536" t="s">
        <v>209</v>
      </c>
      <c r="D536" t="s">
        <v>2384</v>
      </c>
      <c r="E536" s="1">
        <v>42709</v>
      </c>
    </row>
    <row r="537" spans="1:6" x14ac:dyDescent="0.25">
      <c r="A537" t="s">
        <v>276</v>
      </c>
      <c r="B537" t="s">
        <v>2933</v>
      </c>
      <c r="C537" t="s">
        <v>229</v>
      </c>
      <c r="D537" t="s">
        <v>2369</v>
      </c>
      <c r="E537" s="1">
        <v>45686</v>
      </c>
    </row>
    <row r="538" spans="1:6" x14ac:dyDescent="0.25">
      <c r="A538" t="s">
        <v>231</v>
      </c>
      <c r="B538" t="s">
        <v>2934</v>
      </c>
      <c r="C538" t="s">
        <v>175</v>
      </c>
      <c r="D538" t="s">
        <v>2369</v>
      </c>
      <c r="E538" s="1">
        <v>42095</v>
      </c>
    </row>
    <row r="539" spans="1:6" x14ac:dyDescent="0.25">
      <c r="A539" t="s">
        <v>548</v>
      </c>
      <c r="B539" t="s">
        <v>2935</v>
      </c>
      <c r="C539" t="s">
        <v>45</v>
      </c>
      <c r="D539" t="s">
        <v>2373</v>
      </c>
      <c r="E539" s="1">
        <v>44992</v>
      </c>
    </row>
    <row r="540" spans="1:6" x14ac:dyDescent="0.25">
      <c r="A540" t="s">
        <v>267</v>
      </c>
      <c r="B540" t="s">
        <v>2936</v>
      </c>
      <c r="C540" t="s">
        <v>157</v>
      </c>
      <c r="D540" t="s">
        <v>2369</v>
      </c>
      <c r="E540" s="1">
        <v>45890</v>
      </c>
    </row>
    <row r="541" spans="1:6" x14ac:dyDescent="0.25">
      <c r="A541" t="s">
        <v>2937</v>
      </c>
      <c r="B541" t="s">
        <v>2938</v>
      </c>
      <c r="C541" t="s">
        <v>126</v>
      </c>
      <c r="D541" t="s">
        <v>2369</v>
      </c>
      <c r="E541" s="1">
        <v>45026</v>
      </c>
    </row>
    <row r="542" spans="1:6" x14ac:dyDescent="0.25">
      <c r="A542" t="s">
        <v>1246</v>
      </c>
      <c r="B542" t="s">
        <v>2939</v>
      </c>
      <c r="C542" t="s">
        <v>213</v>
      </c>
      <c r="D542" t="s">
        <v>2413</v>
      </c>
      <c r="E542" s="1">
        <v>42688</v>
      </c>
    </row>
    <row r="543" spans="1:6" x14ac:dyDescent="0.25">
      <c r="A543" t="s">
        <v>2940</v>
      </c>
      <c r="B543" t="s">
        <v>2941</v>
      </c>
      <c r="C543" t="s">
        <v>30</v>
      </c>
      <c r="D543" t="s">
        <v>2413</v>
      </c>
      <c r="E543" s="1">
        <v>45320</v>
      </c>
    </row>
    <row r="544" spans="1:6" x14ac:dyDescent="0.25">
      <c r="A544" t="s">
        <v>873</v>
      </c>
      <c r="B544" t="s">
        <v>2942</v>
      </c>
      <c r="C544" t="s">
        <v>122</v>
      </c>
      <c r="D544" t="s">
        <v>2373</v>
      </c>
      <c r="E544" s="1">
        <v>45720</v>
      </c>
    </row>
    <row r="545" spans="1:6" x14ac:dyDescent="0.25">
      <c r="A545" t="s">
        <v>184</v>
      </c>
      <c r="B545" t="s">
        <v>2943</v>
      </c>
      <c r="C545" t="s">
        <v>185</v>
      </c>
      <c r="D545" t="s">
        <v>2384</v>
      </c>
      <c r="E545" s="1">
        <v>43299</v>
      </c>
    </row>
    <row r="546" spans="1:6" x14ac:dyDescent="0.25">
      <c r="A546" t="s">
        <v>2217</v>
      </c>
      <c r="B546" t="s">
        <v>2944</v>
      </c>
      <c r="C546" t="s">
        <v>87</v>
      </c>
      <c r="D546" t="s">
        <v>2373</v>
      </c>
      <c r="E546" s="1">
        <v>42142</v>
      </c>
    </row>
    <row r="547" spans="1:6" x14ac:dyDescent="0.25">
      <c r="A547" t="s">
        <v>1515</v>
      </c>
      <c r="B547" t="s">
        <v>2945</v>
      </c>
      <c r="C547" t="s">
        <v>194</v>
      </c>
      <c r="D547" t="s">
        <v>2391</v>
      </c>
      <c r="E547" s="1">
        <v>45133</v>
      </c>
    </row>
    <row r="548" spans="1:6" x14ac:dyDescent="0.25">
      <c r="A548" t="s">
        <v>1146</v>
      </c>
      <c r="B548" t="s">
        <v>2946</v>
      </c>
      <c r="C548" t="s">
        <v>137</v>
      </c>
      <c r="D548" t="s">
        <v>2369</v>
      </c>
      <c r="E548" s="1">
        <v>45805</v>
      </c>
    </row>
    <row r="549" spans="1:6" x14ac:dyDescent="0.25">
      <c r="A549" t="s">
        <v>315</v>
      </c>
      <c r="B549" t="s">
        <v>2947</v>
      </c>
      <c r="C549" t="s">
        <v>316</v>
      </c>
      <c r="D549" t="s">
        <v>2369</v>
      </c>
      <c r="E549" s="1">
        <v>44313</v>
      </c>
    </row>
    <row r="550" spans="1:6" x14ac:dyDescent="0.25">
      <c r="A550" t="s">
        <v>386</v>
      </c>
      <c r="B550" t="s">
        <v>2948</v>
      </c>
      <c r="C550" t="s">
        <v>172</v>
      </c>
      <c r="D550" t="s">
        <v>2384</v>
      </c>
      <c r="E550" s="1">
        <v>41204</v>
      </c>
    </row>
    <row r="551" spans="1:6" x14ac:dyDescent="0.25">
      <c r="A551" t="s">
        <v>736</v>
      </c>
      <c r="B551" t="s">
        <v>2949</v>
      </c>
      <c r="C551" t="s">
        <v>316</v>
      </c>
      <c r="D551" t="s">
        <v>2384</v>
      </c>
      <c r="E551" s="1">
        <v>40945</v>
      </c>
    </row>
    <row r="552" spans="1:6" x14ac:dyDescent="0.25">
      <c r="A552" t="s">
        <v>637</v>
      </c>
      <c r="B552" t="s">
        <v>2950</v>
      </c>
      <c r="C552" t="s">
        <v>336</v>
      </c>
      <c r="D552" t="s">
        <v>2373</v>
      </c>
      <c r="E552" s="1">
        <v>45784</v>
      </c>
    </row>
    <row r="553" spans="1:6" x14ac:dyDescent="0.25">
      <c r="A553" t="s">
        <v>2311</v>
      </c>
      <c r="B553" t="s">
        <v>2951</v>
      </c>
      <c r="C553" t="s">
        <v>175</v>
      </c>
      <c r="D553" t="s">
        <v>2369</v>
      </c>
      <c r="E553" s="1">
        <v>42342</v>
      </c>
    </row>
    <row r="554" spans="1:6" x14ac:dyDescent="0.25">
      <c r="A554" t="s">
        <v>1152</v>
      </c>
      <c r="B554" t="s">
        <v>2952</v>
      </c>
      <c r="C554" t="s">
        <v>194</v>
      </c>
      <c r="D554" t="s">
        <v>2369</v>
      </c>
      <c r="E554" s="1">
        <v>41192</v>
      </c>
    </row>
    <row r="555" spans="1:6" x14ac:dyDescent="0.25">
      <c r="A555" t="s">
        <v>2953</v>
      </c>
      <c r="B555" t="s">
        <v>2954</v>
      </c>
      <c r="C555" t="s">
        <v>213</v>
      </c>
      <c r="D555" t="s">
        <v>2369</v>
      </c>
      <c r="E555" s="1">
        <v>42005</v>
      </c>
    </row>
    <row r="556" spans="1:6" x14ac:dyDescent="0.25">
      <c r="A556" t="s">
        <v>311</v>
      </c>
      <c r="B556" t="s">
        <v>2955</v>
      </c>
      <c r="C556" t="s">
        <v>93</v>
      </c>
      <c r="D556" t="s">
        <v>2413</v>
      </c>
      <c r="E556" s="1">
        <v>43836</v>
      </c>
    </row>
    <row r="557" spans="1:6" x14ac:dyDescent="0.25">
      <c r="A557" t="s">
        <v>395</v>
      </c>
      <c r="B557" t="s">
        <v>2956</v>
      </c>
      <c r="C557" t="s">
        <v>229</v>
      </c>
      <c r="D557" t="s">
        <v>2369</v>
      </c>
      <c r="E557" s="1">
        <v>41617</v>
      </c>
    </row>
    <row r="558" spans="1:6" x14ac:dyDescent="0.25">
      <c r="A558" t="s">
        <v>102</v>
      </c>
      <c r="B558" t="s">
        <v>2957</v>
      </c>
      <c r="C558" t="s">
        <v>61</v>
      </c>
      <c r="D558" t="s">
        <v>2373</v>
      </c>
      <c r="E558" s="1">
        <v>44740</v>
      </c>
    </row>
    <row r="559" spans="1:6" x14ac:dyDescent="0.25">
      <c r="A559" t="s">
        <v>541</v>
      </c>
      <c r="B559" t="s">
        <v>2958</v>
      </c>
      <c r="C559" t="s">
        <v>339</v>
      </c>
      <c r="D559" t="s">
        <v>2369</v>
      </c>
      <c r="E559" s="1">
        <v>45012</v>
      </c>
    </row>
    <row r="560" spans="1:6" x14ac:dyDescent="0.25">
      <c r="A560" t="s">
        <v>754</v>
      </c>
      <c r="B560" t="s">
        <v>2959</v>
      </c>
      <c r="C560" t="s">
        <v>149</v>
      </c>
      <c r="D560" t="s">
        <v>2369</v>
      </c>
      <c r="E560" s="1">
        <v>45020</v>
      </c>
    </row>
    <row r="561" spans="1:6" x14ac:dyDescent="0.25">
      <c r="A561" t="s">
        <v>241</v>
      </c>
      <c r="B561" t="s">
        <v>2960</v>
      </c>
      <c r="C561" t="s">
        <v>242</v>
      </c>
      <c r="D561" t="s">
        <v>2369</v>
      </c>
      <c r="E561" s="1">
        <v>44494</v>
      </c>
    </row>
    <row r="562" spans="1:6" x14ac:dyDescent="0.25">
      <c r="A562" t="s">
        <v>1305</v>
      </c>
      <c r="B562" t="s">
        <v>2961</v>
      </c>
      <c r="C562" t="s">
        <v>236</v>
      </c>
      <c r="D562" t="s">
        <v>2382</v>
      </c>
      <c r="E562" s="1">
        <v>45455</v>
      </c>
    </row>
    <row r="563" spans="1:6" x14ac:dyDescent="0.25">
      <c r="A563" t="s">
        <v>525</v>
      </c>
      <c r="B563" t="s">
        <v>2962</v>
      </c>
      <c r="C563" t="s">
        <v>130</v>
      </c>
      <c r="D563" t="s">
        <v>2382</v>
      </c>
      <c r="E563" s="1">
        <v>46059</v>
      </c>
    </row>
    <row r="564" spans="1:6" x14ac:dyDescent="0.25">
      <c r="A564" t="s">
        <v>850</v>
      </c>
      <c r="B564" t="s">
        <v>2963</v>
      </c>
      <c r="C564" t="s">
        <v>229</v>
      </c>
      <c r="D564" t="s">
        <v>2369</v>
      </c>
      <c r="E564" s="1">
        <v>45966</v>
      </c>
    </row>
    <row r="565" spans="1:6" x14ac:dyDescent="0.25">
      <c r="A565" t="s">
        <v>848</v>
      </c>
      <c r="B565" t="s">
        <v>2964</v>
      </c>
      <c r="C565" t="s">
        <v>242</v>
      </c>
      <c r="D565" t="s">
        <v>2369</v>
      </c>
      <c r="E565" s="1">
        <v>42614</v>
      </c>
    </row>
    <row r="566" spans="1:6" x14ac:dyDescent="0.25">
      <c r="A566" t="s">
        <v>247</v>
      </c>
      <c r="B566" t="s">
        <v>2965</v>
      </c>
      <c r="C566" t="s">
        <v>165</v>
      </c>
      <c r="D566" t="s">
        <v>2369</v>
      </c>
      <c r="E566" s="1">
        <v>41561</v>
      </c>
    </row>
    <row r="567" spans="1:6" x14ac:dyDescent="0.25">
      <c r="A567" t="s">
        <v>383</v>
      </c>
      <c r="B567" t="s">
        <v>2966</v>
      </c>
      <c r="C567" t="s">
        <v>384</v>
      </c>
      <c r="D567" t="s">
        <v>2384</v>
      </c>
      <c r="E567" s="1">
        <v>46246</v>
      </c>
    </row>
    <row r="568" spans="1:6" x14ac:dyDescent="0.25">
      <c r="A568" t="s">
        <v>879</v>
      </c>
      <c r="B568" t="s">
        <v>2967</v>
      </c>
      <c r="C568" t="s">
        <v>126</v>
      </c>
      <c r="D568" t="s">
        <v>2373</v>
      </c>
      <c r="E568" s="1">
        <v>41801</v>
      </c>
    </row>
    <row r="569" spans="1:6" x14ac:dyDescent="0.25">
      <c r="A569" t="s">
        <v>592</v>
      </c>
      <c r="B569" t="s">
        <v>2968</v>
      </c>
      <c r="C569" t="s">
        <v>98</v>
      </c>
      <c r="D569" t="s">
        <v>2373</v>
      </c>
      <c r="E569" s="1">
        <v>45854</v>
      </c>
    </row>
    <row r="570" spans="1:6" x14ac:dyDescent="0.25">
      <c r="A570" t="s">
        <v>511</v>
      </c>
      <c r="B570" t="s">
        <v>2969</v>
      </c>
      <c r="C570" t="s">
        <v>242</v>
      </c>
      <c r="D570" t="s">
        <v>2369</v>
      </c>
      <c r="E570" s="1">
        <v>45700</v>
      </c>
    </row>
    <row r="571" spans="1:6" x14ac:dyDescent="0.25">
      <c r="A571" t="s">
        <v>1529</v>
      </c>
      <c r="B571" t="s">
        <v>2970</v>
      </c>
      <c r="C571" t="s">
        <v>153</v>
      </c>
      <c r="D571" t="s">
        <v>2369</v>
      </c>
      <c r="E571" s="1">
        <v>43552</v>
      </c>
    </row>
    <row r="572" spans="1:6" x14ac:dyDescent="0.25">
      <c r="A572" t="s">
        <v>488</v>
      </c>
      <c r="B572" t="s">
        <v>2971</v>
      </c>
      <c r="C572" t="s">
        <v>333</v>
      </c>
      <c r="D572" t="s">
        <v>2369</v>
      </c>
      <c r="E572" s="1">
        <v>43923</v>
      </c>
    </row>
    <row r="573" spans="1:6" x14ac:dyDescent="0.25">
      <c r="A573" t="s">
        <v>842</v>
      </c>
      <c r="B573" t="s">
        <v>2972</v>
      </c>
      <c r="C573" t="s">
        <v>30</v>
      </c>
      <c r="D573" t="s">
        <v>2413</v>
      </c>
      <c r="E573" s="1">
        <v>45621</v>
      </c>
    </row>
    <row r="574" spans="1:6" x14ac:dyDescent="0.25">
      <c r="A574" t="s">
        <v>1837</v>
      </c>
      <c r="B574" t="s">
        <v>2973</v>
      </c>
      <c r="C574" t="s">
        <v>54</v>
      </c>
      <c r="D574" t="s">
        <v>2373</v>
      </c>
      <c r="E574" s="1">
        <v>45635</v>
      </c>
    </row>
    <row r="575" spans="1:6" x14ac:dyDescent="0.25">
      <c r="A575" t="s">
        <v>861</v>
      </c>
      <c r="B575" t="s">
        <v>2974</v>
      </c>
      <c r="C575" t="s">
        <v>175</v>
      </c>
      <c r="D575" t="s">
        <v>2384</v>
      </c>
      <c r="E575" s="1">
        <v>43375</v>
      </c>
    </row>
    <row r="576" spans="1:6" x14ac:dyDescent="0.25">
      <c r="A576" t="s">
        <v>758</v>
      </c>
      <c r="B576" t="s">
        <v>2975</v>
      </c>
      <c r="C576" t="s">
        <v>307</v>
      </c>
      <c r="D576" t="s">
        <v>2384</v>
      </c>
      <c r="E576" s="1">
        <v>43952</v>
      </c>
    </row>
    <row r="577" spans="1:6" x14ac:dyDescent="0.25">
      <c r="A577" t="s">
        <v>1223</v>
      </c>
      <c r="B577" t="s">
        <v>2976</v>
      </c>
      <c r="C577" t="s">
        <v>185</v>
      </c>
      <c r="D577" t="s">
        <v>2373</v>
      </c>
      <c r="E577" s="1">
        <v>42716</v>
      </c>
    </row>
    <row r="578" spans="1:6" x14ac:dyDescent="0.25">
      <c r="A578" t="s">
        <v>1801</v>
      </c>
      <c r="B578" t="s">
        <v>2977</v>
      </c>
      <c r="C578" t="s">
        <v>213</v>
      </c>
      <c r="D578" t="s">
        <v>2384</v>
      </c>
      <c r="E578" s="1">
        <v>45763</v>
      </c>
    </row>
    <row r="579" spans="1:6" x14ac:dyDescent="0.25">
      <c r="A579" t="s">
        <v>405</v>
      </c>
      <c r="B579" t="s">
        <v>2978</v>
      </c>
      <c r="C579" t="s">
        <v>256</v>
      </c>
      <c r="D579" t="s">
        <v>2384</v>
      </c>
      <c r="E579" s="1">
        <v>40913</v>
      </c>
    </row>
    <row r="580" spans="1:6" x14ac:dyDescent="0.25">
      <c r="A580" t="s">
        <v>502</v>
      </c>
      <c r="B580" t="s">
        <v>2979</v>
      </c>
      <c r="C580" t="s">
        <v>229</v>
      </c>
      <c r="D580" t="s">
        <v>2369</v>
      </c>
      <c r="E580" s="1">
        <v>42648</v>
      </c>
    </row>
    <row r="581" spans="1:6" x14ac:dyDescent="0.25">
      <c r="A581" t="s">
        <v>1013</v>
      </c>
      <c r="B581" t="s">
        <v>2980</v>
      </c>
      <c r="C581" t="s">
        <v>449</v>
      </c>
      <c r="D581" t="s">
        <v>2369</v>
      </c>
      <c r="E581" s="1">
        <v>41431</v>
      </c>
    </row>
    <row r="582" spans="1:6" x14ac:dyDescent="0.25">
      <c r="A582" t="s">
        <v>731</v>
      </c>
      <c r="B582" t="s">
        <v>2981</v>
      </c>
      <c r="C582" t="s">
        <v>209</v>
      </c>
      <c r="D582" t="s">
        <v>2413</v>
      </c>
      <c r="E582" s="1">
        <v>45107</v>
      </c>
    </row>
    <row r="583" spans="1:6" x14ac:dyDescent="0.25">
      <c r="A583" t="s">
        <v>694</v>
      </c>
      <c r="B583" t="s">
        <v>2982</v>
      </c>
      <c r="C583" t="s">
        <v>45</v>
      </c>
      <c r="D583" t="s">
        <v>2369</v>
      </c>
      <c r="E583" s="1">
        <v>41513</v>
      </c>
    </row>
    <row r="584" spans="1:6" x14ac:dyDescent="0.25">
      <c r="A584" t="s">
        <v>610</v>
      </c>
      <c r="B584" t="s">
        <v>2983</v>
      </c>
      <c r="C584" t="s">
        <v>61</v>
      </c>
      <c r="D584" t="s">
        <v>2391</v>
      </c>
      <c r="E584" s="1">
        <v>41345</v>
      </c>
    </row>
    <row r="585" spans="1:6" x14ac:dyDescent="0.25">
      <c r="A585" t="s">
        <v>471</v>
      </c>
      <c r="B585" t="s">
        <v>2984</v>
      </c>
      <c r="C585" t="s">
        <v>185</v>
      </c>
      <c r="D585" t="s">
        <v>2369</v>
      </c>
      <c r="E585" s="1">
        <v>43921</v>
      </c>
    </row>
    <row r="586" spans="1:6" x14ac:dyDescent="0.25">
      <c r="A586" t="s">
        <v>264</v>
      </c>
      <c r="B586" t="s">
        <v>2985</v>
      </c>
      <c r="C586" t="s">
        <v>98</v>
      </c>
      <c r="D586" t="s">
        <v>2391</v>
      </c>
      <c r="E586" s="1">
        <v>42313</v>
      </c>
    </row>
    <row r="587" spans="1:6" x14ac:dyDescent="0.25">
      <c r="A587" t="s">
        <v>1657</v>
      </c>
      <c r="B587" t="s">
        <v>2986</v>
      </c>
      <c r="C587" t="s">
        <v>209</v>
      </c>
      <c r="D587" t="s">
        <v>2413</v>
      </c>
      <c r="E587" s="1">
        <v>42471</v>
      </c>
    </row>
    <row r="588" spans="1:6" x14ac:dyDescent="0.25">
      <c r="A588" t="s">
        <v>343</v>
      </c>
      <c r="B588" t="s">
        <v>2987</v>
      </c>
      <c r="C588" t="s">
        <v>185</v>
      </c>
      <c r="D588" t="s">
        <v>2384</v>
      </c>
      <c r="E588" s="1">
        <v>44452</v>
      </c>
    </row>
    <row r="589" spans="1:6" x14ac:dyDescent="0.25">
      <c r="A589" t="s">
        <v>639</v>
      </c>
      <c r="B589" t="s">
        <v>2988</v>
      </c>
      <c r="C589" t="s">
        <v>374</v>
      </c>
      <c r="D589" t="s">
        <v>2413</v>
      </c>
      <c r="E589" s="1">
        <v>46177</v>
      </c>
    </row>
    <row r="590" spans="1:6" x14ac:dyDescent="0.25">
      <c r="A590" t="s">
        <v>1331</v>
      </c>
      <c r="B590" t="s">
        <v>2989</v>
      </c>
      <c r="C590" t="s">
        <v>449</v>
      </c>
      <c r="D590" t="s">
        <v>2384</v>
      </c>
      <c r="E590" s="1">
        <v>45607</v>
      </c>
    </row>
    <row r="591" spans="1:6" x14ac:dyDescent="0.25">
      <c r="A591" t="s">
        <v>1212</v>
      </c>
      <c r="B591" t="s">
        <v>2990</v>
      </c>
      <c r="C591" t="s">
        <v>307</v>
      </c>
      <c r="D591" t="s">
        <v>2373</v>
      </c>
      <c r="E591" s="1">
        <v>42933</v>
      </c>
    </row>
    <row r="592" spans="1:6" x14ac:dyDescent="0.25">
      <c r="A592" t="s">
        <v>867</v>
      </c>
      <c r="B592" t="s">
        <v>2991</v>
      </c>
      <c r="C592" t="s">
        <v>202</v>
      </c>
      <c r="D592" t="s">
        <v>2369</v>
      </c>
      <c r="E592" s="1">
        <v>42682</v>
      </c>
    </row>
    <row r="593" spans="1:6" x14ac:dyDescent="0.25">
      <c r="A593" t="s">
        <v>1173</v>
      </c>
      <c r="B593" t="s">
        <v>2992</v>
      </c>
      <c r="C593" t="s">
        <v>209</v>
      </c>
      <c r="D593" t="s">
        <v>2391</v>
      </c>
      <c r="E593" s="1">
        <v>42520</v>
      </c>
    </row>
    <row r="594" spans="1:6" x14ac:dyDescent="0.25">
      <c r="A594" t="s">
        <v>66</v>
      </c>
      <c r="B594" t="s">
        <v>2993</v>
      </c>
      <c r="C594" t="s">
        <v>67</v>
      </c>
      <c r="D594" t="s">
        <v>2413</v>
      </c>
      <c r="E594" s="1">
        <v>41085</v>
      </c>
    </row>
    <row r="595" spans="1:6" x14ac:dyDescent="0.25">
      <c r="A595" t="s">
        <v>773</v>
      </c>
      <c r="B595" t="s">
        <v>2994</v>
      </c>
      <c r="C595" t="s">
        <v>229</v>
      </c>
      <c r="D595" t="s">
        <v>2382</v>
      </c>
      <c r="E595" s="1">
        <v>43188</v>
      </c>
    </row>
    <row r="596" spans="1:6" x14ac:dyDescent="0.25">
      <c r="A596" t="s">
        <v>1192</v>
      </c>
      <c r="B596" t="s">
        <v>2995</v>
      </c>
      <c r="C596" t="s">
        <v>256</v>
      </c>
      <c r="D596" t="s">
        <v>2369</v>
      </c>
      <c r="E596" s="1">
        <v>45021</v>
      </c>
    </row>
    <row r="597" spans="1:6" x14ac:dyDescent="0.25">
      <c r="A597" t="s">
        <v>393</v>
      </c>
      <c r="B597" t="s">
        <v>2996</v>
      </c>
      <c r="C597" t="s">
        <v>157</v>
      </c>
      <c r="D597" t="s">
        <v>2382</v>
      </c>
      <c r="E597" s="1">
        <v>43677</v>
      </c>
    </row>
    <row r="598" spans="1:6" x14ac:dyDescent="0.25">
      <c r="A598" t="s">
        <v>1107</v>
      </c>
      <c r="B598" t="s">
        <v>2997</v>
      </c>
      <c r="C598" t="s">
        <v>45</v>
      </c>
      <c r="D598" t="s">
        <v>2391</v>
      </c>
      <c r="E598" s="1">
        <v>43364</v>
      </c>
    </row>
    <row r="599" spans="1:6" x14ac:dyDescent="0.25">
      <c r="A599" t="s">
        <v>1476</v>
      </c>
      <c r="B599" t="s">
        <v>2998</v>
      </c>
      <c r="C599" t="s">
        <v>45</v>
      </c>
      <c r="D599" t="s">
        <v>2369</v>
      </c>
      <c r="E599" s="1">
        <v>44039</v>
      </c>
    </row>
    <row r="600" spans="1:6" x14ac:dyDescent="0.25">
      <c r="A600" t="s">
        <v>1166</v>
      </c>
      <c r="B600" t="s">
        <v>2999</v>
      </c>
      <c r="C600" t="s">
        <v>165</v>
      </c>
      <c r="D600" t="s">
        <v>2369</v>
      </c>
      <c r="E600" s="1">
        <v>41191</v>
      </c>
    </row>
    <row r="601" spans="1:6" x14ac:dyDescent="0.25">
      <c r="A601" t="s">
        <v>955</v>
      </c>
      <c r="B601" t="s">
        <v>3000</v>
      </c>
      <c r="C601" t="s">
        <v>185</v>
      </c>
      <c r="D601" t="s">
        <v>2391</v>
      </c>
      <c r="E601" s="1">
        <v>42313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4" style="3" customWidth="1"/>
  </cols>
  <sheetData>
    <row r="1" spans="1:5" s="5" customFormat="1" x14ac:dyDescent="0.25">
      <c r="A1" s="5" t="s">
        <v>7</v>
      </c>
      <c r="B1" s="5" t="s">
        <v>3001</v>
      </c>
      <c r="C1" s="5" t="s">
        <v>15</v>
      </c>
      <c r="D1" s="8" t="s">
        <v>3002</v>
      </c>
      <c r="E1" s="8" t="s">
        <v>3003</v>
      </c>
    </row>
    <row r="2" spans="1:5" x14ac:dyDescent="0.25">
      <c r="A2" t="s">
        <v>162</v>
      </c>
      <c r="B2" t="s">
        <v>3004</v>
      </c>
      <c r="C2" t="s">
        <v>3005</v>
      </c>
      <c r="D2" s="3">
        <v>289</v>
      </c>
      <c r="E2" s="3">
        <v>193.63</v>
      </c>
    </row>
    <row r="3" spans="1:5" x14ac:dyDescent="0.25">
      <c r="A3" t="s">
        <v>58</v>
      </c>
      <c r="B3" t="s">
        <v>3006</v>
      </c>
      <c r="C3" t="s">
        <v>3005</v>
      </c>
      <c r="D3" s="3">
        <v>649</v>
      </c>
      <c r="E3" s="3">
        <v>408.87</v>
      </c>
    </row>
    <row r="4" spans="1:5" x14ac:dyDescent="0.25">
      <c r="A4" t="s">
        <v>205</v>
      </c>
      <c r="B4" t="s">
        <v>3007</v>
      </c>
      <c r="C4" t="s">
        <v>3005</v>
      </c>
      <c r="D4" s="3">
        <v>359</v>
      </c>
      <c r="E4" s="3">
        <v>204.63</v>
      </c>
    </row>
    <row r="5" spans="1:5" x14ac:dyDescent="0.25">
      <c r="A5" t="s">
        <v>35</v>
      </c>
      <c r="B5" t="s">
        <v>3008</v>
      </c>
      <c r="C5" t="s">
        <v>3005</v>
      </c>
      <c r="D5" s="3">
        <v>79</v>
      </c>
      <c r="E5" s="3">
        <v>46.61</v>
      </c>
    </row>
    <row r="6" spans="1:5" x14ac:dyDescent="0.25">
      <c r="A6" t="s">
        <v>237</v>
      </c>
      <c r="B6" t="s">
        <v>3009</v>
      </c>
      <c r="C6" t="s">
        <v>3005</v>
      </c>
      <c r="D6" s="3">
        <v>890</v>
      </c>
      <c r="E6" s="3">
        <v>596.3</v>
      </c>
    </row>
    <row r="7" spans="1:5" x14ac:dyDescent="0.25">
      <c r="A7" t="s">
        <v>84</v>
      </c>
      <c r="B7" t="s">
        <v>3010</v>
      </c>
      <c r="C7" t="s">
        <v>3005</v>
      </c>
      <c r="D7" s="3">
        <v>420</v>
      </c>
      <c r="E7" s="3">
        <v>243.6</v>
      </c>
    </row>
    <row r="8" spans="1:5" x14ac:dyDescent="0.25">
      <c r="A8" t="s">
        <v>48</v>
      </c>
      <c r="B8" t="s">
        <v>3011</v>
      </c>
      <c r="C8" t="s">
        <v>3005</v>
      </c>
      <c r="D8" s="3">
        <v>165</v>
      </c>
      <c r="E8" s="3">
        <v>107.25</v>
      </c>
    </row>
    <row r="9" spans="1:5" x14ac:dyDescent="0.25">
      <c r="A9" t="s">
        <v>112</v>
      </c>
      <c r="B9" t="s">
        <v>3012</v>
      </c>
      <c r="C9" t="s">
        <v>3005</v>
      </c>
      <c r="D9" s="3">
        <v>129</v>
      </c>
      <c r="E9" s="3">
        <v>86.43</v>
      </c>
    </row>
    <row r="10" spans="1:5" x14ac:dyDescent="0.25">
      <c r="A10" t="s">
        <v>103</v>
      </c>
      <c r="B10" t="s">
        <v>3013</v>
      </c>
      <c r="C10" t="s">
        <v>3005</v>
      </c>
      <c r="D10" s="3">
        <v>245</v>
      </c>
      <c r="E10" s="3">
        <v>164.15</v>
      </c>
    </row>
    <row r="11" spans="1:5" x14ac:dyDescent="0.25">
      <c r="A11" t="s">
        <v>606</v>
      </c>
      <c r="B11" t="s">
        <v>3014</v>
      </c>
      <c r="C11" t="s">
        <v>3005</v>
      </c>
      <c r="D11" s="3">
        <v>1150</v>
      </c>
      <c r="E11" s="3">
        <v>713</v>
      </c>
    </row>
    <row r="12" spans="1:5" x14ac:dyDescent="0.25">
      <c r="A12" t="s">
        <v>27</v>
      </c>
      <c r="B12" t="s">
        <v>3015</v>
      </c>
      <c r="C12" t="s">
        <v>3005</v>
      </c>
      <c r="D12" s="3">
        <v>310</v>
      </c>
      <c r="E12" s="3">
        <v>186</v>
      </c>
    </row>
    <row r="13" spans="1:5" x14ac:dyDescent="0.25">
      <c r="A13" t="s">
        <v>83</v>
      </c>
      <c r="B13" t="s">
        <v>3016</v>
      </c>
      <c r="C13" t="s">
        <v>3005</v>
      </c>
      <c r="D13" s="3">
        <v>49</v>
      </c>
      <c r="E13" s="3">
        <v>28.42</v>
      </c>
    </row>
    <row r="14" spans="1:5" x14ac:dyDescent="0.25">
      <c r="A14" t="s">
        <v>217</v>
      </c>
      <c r="B14" t="s">
        <v>3017</v>
      </c>
      <c r="C14" t="s">
        <v>3018</v>
      </c>
      <c r="D14" s="3">
        <v>1090</v>
      </c>
      <c r="E14" s="3">
        <v>817.5</v>
      </c>
    </row>
    <row r="15" spans="1:5" x14ac:dyDescent="0.25">
      <c r="A15" t="s">
        <v>78</v>
      </c>
      <c r="B15" t="s">
        <v>3019</v>
      </c>
      <c r="C15" t="s">
        <v>3018</v>
      </c>
      <c r="D15" s="3">
        <v>1390</v>
      </c>
      <c r="E15" s="3">
        <v>1125.9</v>
      </c>
    </row>
    <row r="16" spans="1:5" x14ac:dyDescent="0.25">
      <c r="A16" t="s">
        <v>41</v>
      </c>
      <c r="B16" t="s">
        <v>3020</v>
      </c>
      <c r="C16" t="s">
        <v>3018</v>
      </c>
      <c r="D16" s="3">
        <v>790</v>
      </c>
      <c r="E16" s="3">
        <v>576.7</v>
      </c>
    </row>
    <row r="17" spans="1:5" x14ac:dyDescent="0.25">
      <c r="A17" t="s">
        <v>72</v>
      </c>
      <c r="B17" t="s">
        <v>3021</v>
      </c>
      <c r="C17" t="s">
        <v>3018</v>
      </c>
      <c r="D17" s="3">
        <v>179</v>
      </c>
      <c r="E17" s="3">
        <v>146.78</v>
      </c>
    </row>
    <row r="18" spans="1:5" x14ac:dyDescent="0.25">
      <c r="A18" t="s">
        <v>319</v>
      </c>
      <c r="B18" t="s">
        <v>3022</v>
      </c>
      <c r="C18" t="s">
        <v>3018</v>
      </c>
      <c r="D18" s="3">
        <v>289</v>
      </c>
      <c r="E18" s="3">
        <v>213.86</v>
      </c>
    </row>
    <row r="19" spans="1:5" x14ac:dyDescent="0.25">
      <c r="A19" t="s">
        <v>33</v>
      </c>
      <c r="B19" t="s">
        <v>3023</v>
      </c>
      <c r="C19" t="s">
        <v>3018</v>
      </c>
      <c r="D19" s="3">
        <v>219</v>
      </c>
      <c r="E19" s="3">
        <v>179.58</v>
      </c>
    </row>
    <row r="20" spans="1:5" x14ac:dyDescent="0.25">
      <c r="A20" t="s">
        <v>127</v>
      </c>
      <c r="B20" t="s">
        <v>3024</v>
      </c>
      <c r="C20" t="s">
        <v>3018</v>
      </c>
      <c r="D20" s="3">
        <v>649</v>
      </c>
      <c r="E20" s="3">
        <v>480.26</v>
      </c>
    </row>
    <row r="21" spans="1:5" x14ac:dyDescent="0.25">
      <c r="A21" t="s">
        <v>150</v>
      </c>
      <c r="B21" t="s">
        <v>3025</v>
      </c>
      <c r="C21" t="s">
        <v>3018</v>
      </c>
      <c r="D21" s="3">
        <v>790</v>
      </c>
      <c r="E21" s="3">
        <v>584.6</v>
      </c>
    </row>
    <row r="22" spans="1:5" x14ac:dyDescent="0.25">
      <c r="A22" t="s">
        <v>50</v>
      </c>
      <c r="B22" t="s">
        <v>3026</v>
      </c>
      <c r="C22" t="s">
        <v>3018</v>
      </c>
      <c r="D22" s="3">
        <v>69</v>
      </c>
      <c r="E22" s="3">
        <v>54.51</v>
      </c>
    </row>
    <row r="23" spans="1:5" x14ac:dyDescent="0.25">
      <c r="A23" t="s">
        <v>57</v>
      </c>
      <c r="B23" t="s">
        <v>3027</v>
      </c>
      <c r="C23" t="s">
        <v>3018</v>
      </c>
      <c r="D23" s="3">
        <v>149</v>
      </c>
      <c r="E23" s="3">
        <v>114.73</v>
      </c>
    </row>
    <row r="24" spans="1:5" x14ac:dyDescent="0.25">
      <c r="A24" t="s">
        <v>107</v>
      </c>
      <c r="B24" t="s">
        <v>3028</v>
      </c>
      <c r="C24" t="s">
        <v>3018</v>
      </c>
      <c r="D24" s="3">
        <v>99</v>
      </c>
      <c r="E24" s="3">
        <v>75.24</v>
      </c>
    </row>
    <row r="25" spans="1:5" x14ac:dyDescent="0.25">
      <c r="A25" t="s">
        <v>34</v>
      </c>
      <c r="B25" t="s">
        <v>3029</v>
      </c>
      <c r="C25" t="s">
        <v>3018</v>
      </c>
      <c r="D25" s="3">
        <v>340</v>
      </c>
      <c r="E25" s="3">
        <v>275.4</v>
      </c>
    </row>
    <row r="26" spans="1:5" x14ac:dyDescent="0.25">
      <c r="A26" t="s">
        <v>233</v>
      </c>
      <c r="B26" t="s">
        <v>3030</v>
      </c>
      <c r="C26" t="s">
        <v>3031</v>
      </c>
      <c r="D26" s="3">
        <v>27.5</v>
      </c>
      <c r="E26" s="3">
        <v>15.4</v>
      </c>
    </row>
    <row r="27" spans="1:5" x14ac:dyDescent="0.25">
      <c r="A27" t="s">
        <v>79</v>
      </c>
      <c r="B27" t="s">
        <v>3032</v>
      </c>
      <c r="C27" t="s">
        <v>3031</v>
      </c>
      <c r="D27" s="3">
        <v>14.9</v>
      </c>
      <c r="E27" s="3">
        <v>8.05</v>
      </c>
    </row>
    <row r="28" spans="1:5" x14ac:dyDescent="0.25">
      <c r="A28" t="s">
        <v>161</v>
      </c>
      <c r="B28" t="s">
        <v>3033</v>
      </c>
      <c r="C28" t="s">
        <v>3031</v>
      </c>
      <c r="D28" s="3">
        <v>32</v>
      </c>
      <c r="E28" s="3">
        <v>17.6</v>
      </c>
    </row>
    <row r="29" spans="1:5" x14ac:dyDescent="0.25">
      <c r="A29" t="s">
        <v>123</v>
      </c>
      <c r="B29" t="s">
        <v>3034</v>
      </c>
      <c r="C29" t="s">
        <v>3031</v>
      </c>
      <c r="D29" s="3">
        <v>39.9</v>
      </c>
      <c r="E29" s="3">
        <v>22.34</v>
      </c>
    </row>
    <row r="30" spans="1:5" x14ac:dyDescent="0.25">
      <c r="A30" t="s">
        <v>803</v>
      </c>
      <c r="B30" t="s">
        <v>3035</v>
      </c>
      <c r="C30" t="s">
        <v>3031</v>
      </c>
      <c r="D30" s="3">
        <v>89</v>
      </c>
      <c r="E30" s="3">
        <v>44.5</v>
      </c>
    </row>
    <row r="31" spans="1:5" x14ac:dyDescent="0.25">
      <c r="A31" t="s">
        <v>196</v>
      </c>
      <c r="B31" t="s">
        <v>3036</v>
      </c>
      <c r="C31" t="s">
        <v>3031</v>
      </c>
      <c r="D31" s="3">
        <v>18.5</v>
      </c>
      <c r="E31" s="3">
        <v>9.44</v>
      </c>
    </row>
    <row r="32" spans="1:5" x14ac:dyDescent="0.25">
      <c r="A32" t="s">
        <v>206</v>
      </c>
      <c r="B32" t="s">
        <v>3037</v>
      </c>
      <c r="C32" t="s">
        <v>3031</v>
      </c>
      <c r="D32" s="3">
        <v>34</v>
      </c>
      <c r="E32" s="3">
        <v>19.38</v>
      </c>
    </row>
    <row r="33" spans="1:5" x14ac:dyDescent="0.25">
      <c r="A33" t="s">
        <v>90</v>
      </c>
      <c r="B33" t="s">
        <v>3038</v>
      </c>
      <c r="C33" t="s">
        <v>3031</v>
      </c>
      <c r="D33" s="3">
        <v>22.9</v>
      </c>
      <c r="E33" s="3">
        <v>12.82</v>
      </c>
    </row>
    <row r="34" spans="1:5" x14ac:dyDescent="0.25">
      <c r="A34" t="s">
        <v>64</v>
      </c>
      <c r="B34" t="s">
        <v>3039</v>
      </c>
      <c r="C34" t="s">
        <v>3031</v>
      </c>
      <c r="D34" s="3">
        <v>16.8</v>
      </c>
      <c r="E34" s="3">
        <v>8.74</v>
      </c>
    </row>
    <row r="35" spans="1:5" x14ac:dyDescent="0.25">
      <c r="A35" t="s">
        <v>108</v>
      </c>
      <c r="B35" t="s">
        <v>3040</v>
      </c>
      <c r="C35" t="s">
        <v>3031</v>
      </c>
      <c r="D35" s="3">
        <v>24.5</v>
      </c>
      <c r="E35" s="3">
        <v>14.7</v>
      </c>
    </row>
    <row r="36" spans="1:5" x14ac:dyDescent="0.25">
      <c r="A36" t="s">
        <v>49</v>
      </c>
      <c r="B36" t="s">
        <v>3041</v>
      </c>
      <c r="C36" t="s">
        <v>3042</v>
      </c>
      <c r="D36" s="3">
        <v>120</v>
      </c>
      <c r="E36" s="3">
        <v>55.2</v>
      </c>
    </row>
    <row r="37" spans="1:5" x14ac:dyDescent="0.25">
      <c r="A37" t="s">
        <v>26</v>
      </c>
      <c r="B37" t="s">
        <v>3043</v>
      </c>
      <c r="C37" t="s">
        <v>3042</v>
      </c>
      <c r="D37" s="3">
        <v>290</v>
      </c>
      <c r="E37" s="3">
        <v>139.2</v>
      </c>
    </row>
    <row r="38" spans="1:5" x14ac:dyDescent="0.25">
      <c r="A38" t="s">
        <v>3044</v>
      </c>
      <c r="B38" t="s">
        <v>3045</v>
      </c>
      <c r="C38" t="s">
        <v>3042</v>
      </c>
      <c r="D38" s="3">
        <v>1200</v>
      </c>
      <c r="E38" s="3">
        <v>576</v>
      </c>
    </row>
    <row r="39" spans="1:5" x14ac:dyDescent="0.25">
      <c r="A39" t="s">
        <v>132</v>
      </c>
      <c r="B39" t="s">
        <v>3046</v>
      </c>
      <c r="C39" t="s">
        <v>3042</v>
      </c>
      <c r="D39" s="3">
        <v>650</v>
      </c>
      <c r="E39" s="3">
        <v>273</v>
      </c>
    </row>
    <row r="40" spans="1:5" x14ac:dyDescent="0.25">
      <c r="A40" t="s">
        <v>42</v>
      </c>
      <c r="B40" t="s">
        <v>3047</v>
      </c>
      <c r="C40" t="s">
        <v>3042</v>
      </c>
      <c r="D40" s="3">
        <v>55</v>
      </c>
      <c r="E40" s="3">
        <v>24.75</v>
      </c>
    </row>
    <row r="41" spans="1:5" x14ac:dyDescent="0.25">
      <c r="A41" t="s">
        <v>51</v>
      </c>
      <c r="B41" t="s">
        <v>3048</v>
      </c>
      <c r="C41" t="s">
        <v>3042</v>
      </c>
      <c r="D41" s="3">
        <v>180</v>
      </c>
      <c r="E41" s="3">
        <v>82.8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5" customFormat="1" x14ac:dyDescent="0.25">
      <c r="A1" s="5" t="s">
        <v>5</v>
      </c>
      <c r="B1" s="5" t="s">
        <v>4</v>
      </c>
      <c r="C1" s="5" t="s">
        <v>14</v>
      </c>
      <c r="D1" s="5" t="s">
        <v>3049</v>
      </c>
    </row>
    <row r="2" spans="1:4" x14ac:dyDescent="0.25">
      <c r="A2" t="s">
        <v>24</v>
      </c>
      <c r="B2" t="s">
        <v>122</v>
      </c>
      <c r="C2" t="s">
        <v>3050</v>
      </c>
      <c r="D2" t="s">
        <v>3051</v>
      </c>
    </row>
    <row r="3" spans="1:4" x14ac:dyDescent="0.25">
      <c r="A3" t="s">
        <v>99</v>
      </c>
      <c r="B3" t="s">
        <v>172</v>
      </c>
      <c r="C3" t="s">
        <v>3050</v>
      </c>
      <c r="D3" t="s">
        <v>3052</v>
      </c>
    </row>
    <row r="4" spans="1:4" x14ac:dyDescent="0.25">
      <c r="A4" t="s">
        <v>138</v>
      </c>
      <c r="B4" t="s">
        <v>3053</v>
      </c>
      <c r="C4" t="s">
        <v>3054</v>
      </c>
      <c r="D4" t="s">
        <v>3055</v>
      </c>
    </row>
    <row r="5" spans="1:4" x14ac:dyDescent="0.25">
      <c r="A5" t="s">
        <v>76</v>
      </c>
      <c r="B5" t="s">
        <v>3056</v>
      </c>
      <c r="C5" t="s">
        <v>3054</v>
      </c>
      <c r="D5" t="s">
        <v>3057</v>
      </c>
    </row>
    <row r="6" spans="1:4" x14ac:dyDescent="0.25">
      <c r="A6" t="s">
        <v>166</v>
      </c>
      <c r="B6" t="s">
        <v>165</v>
      </c>
      <c r="C6" t="s">
        <v>3058</v>
      </c>
      <c r="D6" t="s">
        <v>3059</v>
      </c>
    </row>
    <row r="7" spans="1:4" x14ac:dyDescent="0.25">
      <c r="A7" t="s">
        <v>31</v>
      </c>
      <c r="B7" t="s">
        <v>185</v>
      </c>
      <c r="C7" t="s">
        <v>3058</v>
      </c>
      <c r="D7" t="s">
        <v>3060</v>
      </c>
    </row>
    <row r="8" spans="1:4" x14ac:dyDescent="0.25">
      <c r="A8" t="s">
        <v>39</v>
      </c>
      <c r="B8" t="s">
        <v>236</v>
      </c>
      <c r="C8" t="s">
        <v>3061</v>
      </c>
      <c r="D8" t="s">
        <v>3062</v>
      </c>
    </row>
    <row r="9" spans="1:4" x14ac:dyDescent="0.25">
      <c r="A9" t="s">
        <v>88</v>
      </c>
      <c r="B9" t="s">
        <v>256</v>
      </c>
      <c r="C9" t="s">
        <v>3061</v>
      </c>
      <c r="D9" t="s">
        <v>3063</v>
      </c>
    </row>
    <row r="10" spans="1:4" x14ac:dyDescent="0.25">
      <c r="A10" t="s">
        <v>62</v>
      </c>
      <c r="B10" t="s">
        <v>191</v>
      </c>
      <c r="C10" t="s">
        <v>3064</v>
      </c>
      <c r="D10" t="s">
        <v>3065</v>
      </c>
    </row>
    <row r="11" spans="1:4" x14ac:dyDescent="0.25">
      <c r="A11" t="s">
        <v>94</v>
      </c>
      <c r="B11" t="s">
        <v>242</v>
      </c>
      <c r="C11" t="s">
        <v>3064</v>
      </c>
      <c r="D11" t="s">
        <v>3066</v>
      </c>
    </row>
    <row r="12" spans="1:4" x14ac:dyDescent="0.25">
      <c r="A12" t="s">
        <v>46</v>
      </c>
      <c r="B12" t="s">
        <v>45</v>
      </c>
      <c r="C12" t="s">
        <v>3067</v>
      </c>
      <c r="D12" t="s">
        <v>3068</v>
      </c>
    </row>
    <row r="13" spans="1:4" x14ac:dyDescent="0.25">
      <c r="A13" t="s">
        <v>55</v>
      </c>
      <c r="B13" t="s">
        <v>229</v>
      </c>
      <c r="C13" t="s">
        <v>3067</v>
      </c>
      <c r="D13" t="s">
        <v>3069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style="10" customWidth="1"/>
    <col min="3" max="3" width="14" style="3" customWidth="1"/>
  </cols>
  <sheetData>
    <row r="1" spans="1:3" s="5" customFormat="1" x14ac:dyDescent="0.25">
      <c r="A1" s="5" t="s">
        <v>5</v>
      </c>
      <c r="B1" s="11" t="s">
        <v>3070</v>
      </c>
      <c r="C1" s="8" t="s">
        <v>3071</v>
      </c>
    </row>
    <row r="2" spans="1:3" x14ac:dyDescent="0.25">
      <c r="A2" t="s">
        <v>24</v>
      </c>
      <c r="B2" s="10">
        <v>45658</v>
      </c>
      <c r="C2" s="3">
        <v>4600</v>
      </c>
    </row>
    <row r="3" spans="1:3" x14ac:dyDescent="0.25">
      <c r="A3" t="s">
        <v>24</v>
      </c>
      <c r="B3" s="10">
        <v>45689</v>
      </c>
      <c r="C3" s="3">
        <v>5500</v>
      </c>
    </row>
    <row r="4" spans="1:3" x14ac:dyDescent="0.25">
      <c r="A4" t="s">
        <v>24</v>
      </c>
      <c r="B4" s="10">
        <v>45717</v>
      </c>
      <c r="C4" s="3">
        <v>6000</v>
      </c>
    </row>
    <row r="5" spans="1:3" x14ac:dyDescent="0.25">
      <c r="A5" t="s">
        <v>24</v>
      </c>
      <c r="B5" s="10">
        <v>45748</v>
      </c>
      <c r="C5" s="3">
        <v>5200</v>
      </c>
    </row>
    <row r="6" spans="1:3" x14ac:dyDescent="0.25">
      <c r="A6" t="s">
        <v>24</v>
      </c>
      <c r="B6" s="10">
        <v>45778</v>
      </c>
      <c r="C6" s="3">
        <v>4800</v>
      </c>
    </row>
    <row r="7" spans="1:3" x14ac:dyDescent="0.25">
      <c r="A7" t="s">
        <v>24</v>
      </c>
      <c r="B7" s="10">
        <v>45809</v>
      </c>
      <c r="C7" s="3">
        <v>5700</v>
      </c>
    </row>
    <row r="8" spans="1:3" x14ac:dyDescent="0.25">
      <c r="A8" t="s">
        <v>24</v>
      </c>
      <c r="B8" s="10">
        <v>45839</v>
      </c>
      <c r="C8" s="3">
        <v>4800</v>
      </c>
    </row>
    <row r="9" spans="1:3" x14ac:dyDescent="0.25">
      <c r="A9" t="s">
        <v>24</v>
      </c>
      <c r="B9" s="10">
        <v>45870</v>
      </c>
      <c r="C9" s="3">
        <v>3200</v>
      </c>
    </row>
    <row r="10" spans="1:3" x14ac:dyDescent="0.25">
      <c r="A10" t="s">
        <v>24</v>
      </c>
      <c r="B10" s="10">
        <v>45901</v>
      </c>
      <c r="C10" s="3">
        <v>5500</v>
      </c>
    </row>
    <row r="11" spans="1:3" x14ac:dyDescent="0.25">
      <c r="A11" t="s">
        <v>24</v>
      </c>
      <c r="B11" s="10">
        <v>45931</v>
      </c>
      <c r="C11" s="3">
        <v>5900</v>
      </c>
    </row>
    <row r="12" spans="1:3" x14ac:dyDescent="0.25">
      <c r="A12" t="s">
        <v>24</v>
      </c>
      <c r="B12" s="10">
        <v>45962</v>
      </c>
      <c r="C12" s="3">
        <v>6000</v>
      </c>
    </row>
    <row r="13" spans="1:3" x14ac:dyDescent="0.25">
      <c r="A13" t="s">
        <v>24</v>
      </c>
      <c r="B13" s="10">
        <v>45992</v>
      </c>
      <c r="C13" s="3">
        <v>6700</v>
      </c>
    </row>
    <row r="14" spans="1:3" x14ac:dyDescent="0.25">
      <c r="A14" t="s">
        <v>24</v>
      </c>
      <c r="B14" s="10">
        <v>46023</v>
      </c>
      <c r="C14" s="3">
        <v>5000</v>
      </c>
    </row>
    <row r="15" spans="1:3" x14ac:dyDescent="0.25">
      <c r="A15" t="s">
        <v>24</v>
      </c>
      <c r="B15" s="10">
        <v>46054</v>
      </c>
      <c r="C15" s="3">
        <v>5500</v>
      </c>
    </row>
    <row r="16" spans="1:3" x14ac:dyDescent="0.25">
      <c r="A16" t="s">
        <v>24</v>
      </c>
      <c r="B16" s="10">
        <v>46082</v>
      </c>
      <c r="C16" s="3">
        <v>6000</v>
      </c>
    </row>
    <row r="17" spans="1:3" x14ac:dyDescent="0.25">
      <c r="A17" t="s">
        <v>24</v>
      </c>
      <c r="B17" s="10">
        <v>46113</v>
      </c>
      <c r="C17" s="3">
        <v>5500</v>
      </c>
    </row>
    <row r="18" spans="1:3" x14ac:dyDescent="0.25">
      <c r="A18" t="s">
        <v>24</v>
      </c>
      <c r="B18" s="10">
        <v>46143</v>
      </c>
      <c r="C18" s="3">
        <v>5100</v>
      </c>
    </row>
    <row r="19" spans="1:3" x14ac:dyDescent="0.25">
      <c r="A19" t="s">
        <v>24</v>
      </c>
      <c r="B19" s="10">
        <v>46174</v>
      </c>
      <c r="C19" s="3">
        <v>5800</v>
      </c>
    </row>
    <row r="20" spans="1:3" x14ac:dyDescent="0.25">
      <c r="A20" t="s">
        <v>24</v>
      </c>
      <c r="B20" s="10">
        <v>46204</v>
      </c>
      <c r="C20" s="3">
        <v>4800</v>
      </c>
    </row>
    <row r="21" spans="1:3" x14ac:dyDescent="0.25">
      <c r="A21" t="s">
        <v>24</v>
      </c>
      <c r="B21" s="10">
        <v>46235</v>
      </c>
      <c r="C21" s="3">
        <v>3400</v>
      </c>
    </row>
    <row r="22" spans="1:3" x14ac:dyDescent="0.25">
      <c r="A22" t="s">
        <v>24</v>
      </c>
      <c r="B22" s="10">
        <v>46266</v>
      </c>
      <c r="C22" s="3">
        <v>6100</v>
      </c>
    </row>
    <row r="23" spans="1:3" x14ac:dyDescent="0.25">
      <c r="A23" t="s">
        <v>99</v>
      </c>
      <c r="B23" s="10">
        <v>45658</v>
      </c>
      <c r="C23" s="3">
        <v>3600</v>
      </c>
    </row>
    <row r="24" spans="1:3" x14ac:dyDescent="0.25">
      <c r="A24" t="s">
        <v>99</v>
      </c>
      <c r="B24" s="10">
        <v>45689</v>
      </c>
      <c r="C24" s="3">
        <v>4100</v>
      </c>
    </row>
    <row r="25" spans="1:3" x14ac:dyDescent="0.25">
      <c r="A25" t="s">
        <v>99</v>
      </c>
      <c r="B25" s="10">
        <v>45717</v>
      </c>
      <c r="C25" s="3">
        <v>4900</v>
      </c>
    </row>
    <row r="26" spans="1:3" x14ac:dyDescent="0.25">
      <c r="A26" t="s">
        <v>99</v>
      </c>
      <c r="B26" s="10">
        <v>45748</v>
      </c>
      <c r="C26" s="3">
        <v>4100</v>
      </c>
    </row>
    <row r="27" spans="1:3" x14ac:dyDescent="0.25">
      <c r="A27" t="s">
        <v>99</v>
      </c>
      <c r="B27" s="10">
        <v>45778</v>
      </c>
      <c r="C27" s="3">
        <v>4100</v>
      </c>
    </row>
    <row r="28" spans="1:3" x14ac:dyDescent="0.25">
      <c r="A28" t="s">
        <v>99</v>
      </c>
      <c r="B28" s="10">
        <v>45809</v>
      </c>
      <c r="C28" s="3">
        <v>4700</v>
      </c>
    </row>
    <row r="29" spans="1:3" x14ac:dyDescent="0.25">
      <c r="A29" t="s">
        <v>99</v>
      </c>
      <c r="B29" s="10">
        <v>45839</v>
      </c>
      <c r="C29" s="3">
        <v>3900</v>
      </c>
    </row>
    <row r="30" spans="1:3" x14ac:dyDescent="0.25">
      <c r="A30" t="s">
        <v>99</v>
      </c>
      <c r="B30" s="10">
        <v>45870</v>
      </c>
      <c r="C30" s="3">
        <v>2500</v>
      </c>
    </row>
    <row r="31" spans="1:3" x14ac:dyDescent="0.25">
      <c r="A31" t="s">
        <v>99</v>
      </c>
      <c r="B31" s="10">
        <v>45901</v>
      </c>
      <c r="C31" s="3">
        <v>4500</v>
      </c>
    </row>
    <row r="32" spans="1:3" x14ac:dyDescent="0.25">
      <c r="A32" t="s">
        <v>99</v>
      </c>
      <c r="B32" s="10">
        <v>45931</v>
      </c>
      <c r="C32" s="3">
        <v>4400</v>
      </c>
    </row>
    <row r="33" spans="1:3" x14ac:dyDescent="0.25">
      <c r="A33" t="s">
        <v>99</v>
      </c>
      <c r="B33" s="10">
        <v>45962</v>
      </c>
      <c r="C33" s="3">
        <v>4200</v>
      </c>
    </row>
    <row r="34" spans="1:3" x14ac:dyDescent="0.25">
      <c r="A34" t="s">
        <v>99</v>
      </c>
      <c r="B34" s="10">
        <v>45992</v>
      </c>
      <c r="C34" s="3">
        <v>5400</v>
      </c>
    </row>
    <row r="35" spans="1:3" x14ac:dyDescent="0.25">
      <c r="A35" t="s">
        <v>99</v>
      </c>
      <c r="B35" s="10">
        <v>46023</v>
      </c>
      <c r="C35" s="3">
        <v>4100</v>
      </c>
    </row>
    <row r="36" spans="1:3" x14ac:dyDescent="0.25">
      <c r="A36" t="s">
        <v>99</v>
      </c>
      <c r="B36" s="10">
        <v>46054</v>
      </c>
      <c r="C36" s="3">
        <v>4200</v>
      </c>
    </row>
    <row r="37" spans="1:3" x14ac:dyDescent="0.25">
      <c r="A37" t="s">
        <v>99</v>
      </c>
      <c r="B37" s="10">
        <v>46082</v>
      </c>
      <c r="C37" s="3">
        <v>4800</v>
      </c>
    </row>
    <row r="38" spans="1:3" x14ac:dyDescent="0.25">
      <c r="A38" t="s">
        <v>99</v>
      </c>
      <c r="B38" s="10">
        <v>46113</v>
      </c>
      <c r="C38" s="3">
        <v>4600</v>
      </c>
    </row>
    <row r="39" spans="1:3" x14ac:dyDescent="0.25">
      <c r="A39" t="s">
        <v>99</v>
      </c>
      <c r="B39" s="10">
        <v>46143</v>
      </c>
      <c r="C39" s="3">
        <v>4200</v>
      </c>
    </row>
    <row r="40" spans="1:3" x14ac:dyDescent="0.25">
      <c r="A40" t="s">
        <v>99</v>
      </c>
      <c r="B40" s="10">
        <v>46174</v>
      </c>
      <c r="C40" s="3">
        <v>4700</v>
      </c>
    </row>
    <row r="41" spans="1:3" x14ac:dyDescent="0.25">
      <c r="A41" t="s">
        <v>99</v>
      </c>
      <c r="B41" s="10">
        <v>46204</v>
      </c>
      <c r="C41" s="3">
        <v>4000</v>
      </c>
    </row>
    <row r="42" spans="1:3" x14ac:dyDescent="0.25">
      <c r="A42" t="s">
        <v>99</v>
      </c>
      <c r="B42" s="10">
        <v>46235</v>
      </c>
      <c r="C42" s="3">
        <v>2700</v>
      </c>
    </row>
    <row r="43" spans="1:3" x14ac:dyDescent="0.25">
      <c r="A43" t="s">
        <v>99</v>
      </c>
      <c r="B43" s="10">
        <v>46266</v>
      </c>
      <c r="C43" s="3">
        <v>4900</v>
      </c>
    </row>
    <row r="44" spans="1:3" x14ac:dyDescent="0.25">
      <c r="A44" t="s">
        <v>138</v>
      </c>
      <c r="B44" s="10">
        <v>45658</v>
      </c>
      <c r="C44" s="3">
        <v>6400</v>
      </c>
    </row>
    <row r="45" spans="1:3" x14ac:dyDescent="0.25">
      <c r="A45" t="s">
        <v>138</v>
      </c>
      <c r="B45" s="10">
        <v>45689</v>
      </c>
      <c r="C45" s="3">
        <v>6800</v>
      </c>
    </row>
    <row r="46" spans="1:3" x14ac:dyDescent="0.25">
      <c r="A46" t="s">
        <v>138</v>
      </c>
      <c r="B46" s="10">
        <v>45717</v>
      </c>
      <c r="C46" s="3">
        <v>8700</v>
      </c>
    </row>
    <row r="47" spans="1:3" x14ac:dyDescent="0.25">
      <c r="A47" t="s">
        <v>138</v>
      </c>
      <c r="B47" s="10">
        <v>45748</v>
      </c>
      <c r="C47" s="3">
        <v>7200</v>
      </c>
    </row>
    <row r="48" spans="1:3" x14ac:dyDescent="0.25">
      <c r="A48" t="s">
        <v>138</v>
      </c>
      <c r="B48" s="10">
        <v>45778</v>
      </c>
      <c r="C48" s="3">
        <v>6700</v>
      </c>
    </row>
    <row r="49" spans="1:3" x14ac:dyDescent="0.25">
      <c r="A49" t="s">
        <v>138</v>
      </c>
      <c r="B49" s="10">
        <v>45809</v>
      </c>
      <c r="C49" s="3">
        <v>6900</v>
      </c>
    </row>
    <row r="50" spans="1:3" x14ac:dyDescent="0.25">
      <c r="A50" t="s">
        <v>138</v>
      </c>
      <c r="B50" s="10">
        <v>45839</v>
      </c>
      <c r="C50" s="3">
        <v>6400</v>
      </c>
    </row>
    <row r="51" spans="1:3" x14ac:dyDescent="0.25">
      <c r="A51" t="s">
        <v>138</v>
      </c>
      <c r="B51" s="10">
        <v>45870</v>
      </c>
      <c r="C51" s="3">
        <v>4500</v>
      </c>
    </row>
    <row r="52" spans="1:3" x14ac:dyDescent="0.25">
      <c r="A52" t="s">
        <v>138</v>
      </c>
      <c r="B52" s="10">
        <v>45901</v>
      </c>
      <c r="C52" s="3">
        <v>7500</v>
      </c>
    </row>
    <row r="53" spans="1:3" x14ac:dyDescent="0.25">
      <c r="A53" t="s">
        <v>138</v>
      </c>
      <c r="B53" s="10">
        <v>45931</v>
      </c>
      <c r="C53" s="3">
        <v>7600</v>
      </c>
    </row>
    <row r="54" spans="1:3" x14ac:dyDescent="0.25">
      <c r="A54" t="s">
        <v>138</v>
      </c>
      <c r="B54" s="10">
        <v>45962</v>
      </c>
      <c r="C54" s="3">
        <v>7800</v>
      </c>
    </row>
    <row r="55" spans="1:3" x14ac:dyDescent="0.25">
      <c r="A55" t="s">
        <v>138</v>
      </c>
      <c r="B55" s="10">
        <v>45992</v>
      </c>
      <c r="C55" s="3">
        <v>8700</v>
      </c>
    </row>
    <row r="56" spans="1:3" x14ac:dyDescent="0.25">
      <c r="A56" t="s">
        <v>138</v>
      </c>
      <c r="B56" s="10">
        <v>46023</v>
      </c>
      <c r="C56" s="3">
        <v>6800</v>
      </c>
    </row>
    <row r="57" spans="1:3" x14ac:dyDescent="0.25">
      <c r="A57" t="s">
        <v>138</v>
      </c>
      <c r="B57" s="10">
        <v>46054</v>
      </c>
      <c r="C57" s="3">
        <v>7000</v>
      </c>
    </row>
    <row r="58" spans="1:3" x14ac:dyDescent="0.25">
      <c r="A58" t="s">
        <v>138</v>
      </c>
      <c r="B58" s="10">
        <v>46082</v>
      </c>
      <c r="C58" s="3">
        <v>8600</v>
      </c>
    </row>
    <row r="59" spans="1:3" x14ac:dyDescent="0.25">
      <c r="A59" t="s">
        <v>138</v>
      </c>
      <c r="B59" s="10">
        <v>46113</v>
      </c>
      <c r="C59" s="3">
        <v>7400</v>
      </c>
    </row>
    <row r="60" spans="1:3" x14ac:dyDescent="0.25">
      <c r="A60" t="s">
        <v>138</v>
      </c>
      <c r="B60" s="10">
        <v>46143</v>
      </c>
      <c r="C60" s="3">
        <v>6900</v>
      </c>
    </row>
    <row r="61" spans="1:3" x14ac:dyDescent="0.25">
      <c r="A61" t="s">
        <v>138</v>
      </c>
      <c r="B61" s="10">
        <v>46174</v>
      </c>
      <c r="C61" s="3">
        <v>7600</v>
      </c>
    </row>
    <row r="62" spans="1:3" x14ac:dyDescent="0.25">
      <c r="A62" t="s">
        <v>138</v>
      </c>
      <c r="B62" s="10">
        <v>46204</v>
      </c>
      <c r="C62" s="3">
        <v>6300</v>
      </c>
    </row>
    <row r="63" spans="1:3" x14ac:dyDescent="0.25">
      <c r="A63" t="s">
        <v>138</v>
      </c>
      <c r="B63" s="10">
        <v>46235</v>
      </c>
      <c r="C63" s="3">
        <v>4600</v>
      </c>
    </row>
    <row r="64" spans="1:3" x14ac:dyDescent="0.25">
      <c r="A64" t="s">
        <v>138</v>
      </c>
      <c r="B64" s="10">
        <v>46266</v>
      </c>
      <c r="C64" s="3">
        <v>7900</v>
      </c>
    </row>
    <row r="65" spans="1:3" x14ac:dyDescent="0.25">
      <c r="A65" t="s">
        <v>76</v>
      </c>
      <c r="B65" s="10">
        <v>45658</v>
      </c>
      <c r="C65" s="3">
        <v>6400</v>
      </c>
    </row>
    <row r="66" spans="1:3" x14ac:dyDescent="0.25">
      <c r="A66" t="s">
        <v>76</v>
      </c>
      <c r="B66" s="10">
        <v>45689</v>
      </c>
      <c r="C66" s="3">
        <v>6000</v>
      </c>
    </row>
    <row r="67" spans="1:3" x14ac:dyDescent="0.25">
      <c r="A67" t="s">
        <v>76</v>
      </c>
      <c r="B67" s="10">
        <v>45717</v>
      </c>
      <c r="C67" s="3">
        <v>6600</v>
      </c>
    </row>
    <row r="68" spans="1:3" x14ac:dyDescent="0.25">
      <c r="A68" t="s">
        <v>76</v>
      </c>
      <c r="B68" s="10">
        <v>45748</v>
      </c>
      <c r="C68" s="3">
        <v>6700</v>
      </c>
    </row>
    <row r="69" spans="1:3" x14ac:dyDescent="0.25">
      <c r="A69" t="s">
        <v>76</v>
      </c>
      <c r="B69" s="10">
        <v>45778</v>
      </c>
      <c r="C69" s="3">
        <v>6400</v>
      </c>
    </row>
    <row r="70" spans="1:3" x14ac:dyDescent="0.25">
      <c r="A70" t="s">
        <v>76</v>
      </c>
      <c r="B70" s="10">
        <v>45809</v>
      </c>
      <c r="C70" s="3">
        <v>6800</v>
      </c>
    </row>
    <row r="71" spans="1:3" x14ac:dyDescent="0.25">
      <c r="A71" t="s">
        <v>76</v>
      </c>
      <c r="B71" s="10">
        <v>45839</v>
      </c>
      <c r="C71" s="3">
        <v>6200</v>
      </c>
    </row>
    <row r="72" spans="1:3" x14ac:dyDescent="0.25">
      <c r="A72" t="s">
        <v>76</v>
      </c>
      <c r="B72" s="10">
        <v>45870</v>
      </c>
      <c r="C72" s="3">
        <v>4300</v>
      </c>
    </row>
    <row r="73" spans="1:3" x14ac:dyDescent="0.25">
      <c r="A73" t="s">
        <v>76</v>
      </c>
      <c r="B73" s="10">
        <v>45901</v>
      </c>
      <c r="C73" s="3">
        <v>7500</v>
      </c>
    </row>
    <row r="74" spans="1:3" x14ac:dyDescent="0.25">
      <c r="A74" t="s">
        <v>76</v>
      </c>
      <c r="B74" s="10">
        <v>45931</v>
      </c>
      <c r="C74" s="3">
        <v>7300</v>
      </c>
    </row>
    <row r="75" spans="1:3" x14ac:dyDescent="0.25">
      <c r="A75" t="s">
        <v>76</v>
      </c>
      <c r="B75" s="10">
        <v>45962</v>
      </c>
      <c r="C75" s="3">
        <v>7800</v>
      </c>
    </row>
    <row r="76" spans="1:3" x14ac:dyDescent="0.25">
      <c r="A76" t="s">
        <v>76</v>
      </c>
      <c r="B76" s="10">
        <v>45992</v>
      </c>
      <c r="C76" s="3">
        <v>8100</v>
      </c>
    </row>
    <row r="77" spans="1:3" x14ac:dyDescent="0.25">
      <c r="A77" t="s">
        <v>76</v>
      </c>
      <c r="B77" s="10">
        <v>46023</v>
      </c>
      <c r="C77" s="3">
        <v>6400</v>
      </c>
    </row>
    <row r="78" spans="1:3" x14ac:dyDescent="0.25">
      <c r="A78" t="s">
        <v>76</v>
      </c>
      <c r="B78" s="10">
        <v>46054</v>
      </c>
      <c r="C78" s="3">
        <v>6600</v>
      </c>
    </row>
    <row r="79" spans="1:3" x14ac:dyDescent="0.25">
      <c r="A79" t="s">
        <v>76</v>
      </c>
      <c r="B79" s="10">
        <v>46082</v>
      </c>
      <c r="C79" s="3">
        <v>7300</v>
      </c>
    </row>
    <row r="80" spans="1:3" x14ac:dyDescent="0.25">
      <c r="A80" t="s">
        <v>76</v>
      </c>
      <c r="B80" s="10">
        <v>46113</v>
      </c>
      <c r="C80" s="3">
        <v>7000</v>
      </c>
    </row>
    <row r="81" spans="1:3" x14ac:dyDescent="0.25">
      <c r="A81" t="s">
        <v>76</v>
      </c>
      <c r="B81" s="10">
        <v>46143</v>
      </c>
      <c r="C81" s="3">
        <v>6700</v>
      </c>
    </row>
    <row r="82" spans="1:3" x14ac:dyDescent="0.25">
      <c r="A82" t="s">
        <v>76</v>
      </c>
      <c r="B82" s="10">
        <v>46174</v>
      </c>
      <c r="C82" s="3">
        <v>7300</v>
      </c>
    </row>
    <row r="83" spans="1:3" x14ac:dyDescent="0.25">
      <c r="A83" t="s">
        <v>76</v>
      </c>
      <c r="B83" s="10">
        <v>46204</v>
      </c>
      <c r="C83" s="3">
        <v>6100</v>
      </c>
    </row>
    <row r="84" spans="1:3" x14ac:dyDescent="0.25">
      <c r="A84" t="s">
        <v>76</v>
      </c>
      <c r="B84" s="10">
        <v>46235</v>
      </c>
      <c r="C84" s="3">
        <v>4400</v>
      </c>
    </row>
    <row r="85" spans="1:3" x14ac:dyDescent="0.25">
      <c r="A85" t="s">
        <v>76</v>
      </c>
      <c r="B85" s="10">
        <v>46266</v>
      </c>
      <c r="C85" s="3">
        <v>7500</v>
      </c>
    </row>
    <row r="86" spans="1:3" x14ac:dyDescent="0.25">
      <c r="A86" t="s">
        <v>166</v>
      </c>
      <c r="B86" s="10">
        <v>45658</v>
      </c>
      <c r="C86" s="3">
        <v>4900</v>
      </c>
    </row>
    <row r="87" spans="1:3" x14ac:dyDescent="0.25">
      <c r="A87" t="s">
        <v>166</v>
      </c>
      <c r="B87" s="10">
        <v>45689</v>
      </c>
      <c r="C87" s="3">
        <v>4500</v>
      </c>
    </row>
    <row r="88" spans="1:3" x14ac:dyDescent="0.25">
      <c r="A88" t="s">
        <v>166</v>
      </c>
      <c r="B88" s="10">
        <v>45717</v>
      </c>
      <c r="C88" s="3">
        <v>5200</v>
      </c>
    </row>
    <row r="89" spans="1:3" x14ac:dyDescent="0.25">
      <c r="A89" t="s">
        <v>166</v>
      </c>
      <c r="B89" s="10">
        <v>45748</v>
      </c>
      <c r="C89" s="3">
        <v>4700</v>
      </c>
    </row>
    <row r="90" spans="1:3" x14ac:dyDescent="0.25">
      <c r="A90" t="s">
        <v>166</v>
      </c>
      <c r="B90" s="10">
        <v>45778</v>
      </c>
      <c r="C90" s="3">
        <v>5100</v>
      </c>
    </row>
    <row r="91" spans="1:3" x14ac:dyDescent="0.25">
      <c r="A91" t="s">
        <v>166</v>
      </c>
      <c r="B91" s="10">
        <v>45809</v>
      </c>
      <c r="C91" s="3">
        <v>5400</v>
      </c>
    </row>
    <row r="92" spans="1:3" x14ac:dyDescent="0.25">
      <c r="A92" t="s">
        <v>166</v>
      </c>
      <c r="B92" s="10">
        <v>45839</v>
      </c>
      <c r="C92" s="3">
        <v>4300</v>
      </c>
    </row>
    <row r="93" spans="1:3" x14ac:dyDescent="0.25">
      <c r="A93" t="s">
        <v>166</v>
      </c>
      <c r="B93" s="10">
        <v>45870</v>
      </c>
      <c r="C93" s="3">
        <v>3000</v>
      </c>
    </row>
    <row r="94" spans="1:3" x14ac:dyDescent="0.25">
      <c r="A94" t="s">
        <v>166</v>
      </c>
      <c r="B94" s="10">
        <v>45901</v>
      </c>
      <c r="C94" s="3">
        <v>5300</v>
      </c>
    </row>
    <row r="95" spans="1:3" x14ac:dyDescent="0.25">
      <c r="A95" t="s">
        <v>166</v>
      </c>
      <c r="B95" s="10">
        <v>45931</v>
      </c>
      <c r="C95" s="3">
        <v>5400</v>
      </c>
    </row>
    <row r="96" spans="1:3" x14ac:dyDescent="0.25">
      <c r="A96" t="s">
        <v>166</v>
      </c>
      <c r="B96" s="10">
        <v>45962</v>
      </c>
      <c r="C96" s="3">
        <v>5700</v>
      </c>
    </row>
    <row r="97" spans="1:3" x14ac:dyDescent="0.25">
      <c r="A97" t="s">
        <v>166</v>
      </c>
      <c r="B97" s="10">
        <v>45992</v>
      </c>
      <c r="C97" s="3">
        <v>6600</v>
      </c>
    </row>
    <row r="98" spans="1:3" x14ac:dyDescent="0.25">
      <c r="A98" t="s">
        <v>166</v>
      </c>
      <c r="B98" s="10">
        <v>46023</v>
      </c>
      <c r="C98" s="3">
        <v>5000</v>
      </c>
    </row>
    <row r="99" spans="1:3" x14ac:dyDescent="0.25">
      <c r="A99" t="s">
        <v>166</v>
      </c>
      <c r="B99" s="10">
        <v>46054</v>
      </c>
      <c r="C99" s="3">
        <v>4900</v>
      </c>
    </row>
    <row r="100" spans="1:3" x14ac:dyDescent="0.25">
      <c r="A100" t="s">
        <v>166</v>
      </c>
      <c r="B100" s="10">
        <v>46082</v>
      </c>
      <c r="C100" s="3">
        <v>5600</v>
      </c>
    </row>
    <row r="101" spans="1:3" x14ac:dyDescent="0.25">
      <c r="A101" t="s">
        <v>166</v>
      </c>
      <c r="B101" s="10">
        <v>46113</v>
      </c>
      <c r="C101" s="3">
        <v>5200</v>
      </c>
    </row>
    <row r="102" spans="1:3" x14ac:dyDescent="0.25">
      <c r="A102" t="s">
        <v>166</v>
      </c>
      <c r="B102" s="10">
        <v>46143</v>
      </c>
      <c r="C102" s="3">
        <v>5000</v>
      </c>
    </row>
    <row r="103" spans="1:3" x14ac:dyDescent="0.25">
      <c r="A103" t="s">
        <v>166</v>
      </c>
      <c r="B103" s="10">
        <v>46174</v>
      </c>
      <c r="C103" s="3">
        <v>5400</v>
      </c>
    </row>
    <row r="104" spans="1:3" x14ac:dyDescent="0.25">
      <c r="A104" t="s">
        <v>166</v>
      </c>
      <c r="B104" s="10">
        <v>46204</v>
      </c>
      <c r="C104" s="3">
        <v>4700</v>
      </c>
    </row>
    <row r="105" spans="1:3" x14ac:dyDescent="0.25">
      <c r="A105" t="s">
        <v>166</v>
      </c>
      <c r="B105" s="10">
        <v>46235</v>
      </c>
      <c r="C105" s="3">
        <v>3200</v>
      </c>
    </row>
    <row r="106" spans="1:3" x14ac:dyDescent="0.25">
      <c r="A106" t="s">
        <v>166</v>
      </c>
      <c r="B106" s="10">
        <v>46266</v>
      </c>
      <c r="C106" s="3">
        <v>5600</v>
      </c>
    </row>
    <row r="107" spans="1:3" x14ac:dyDescent="0.25">
      <c r="A107" t="s">
        <v>31</v>
      </c>
      <c r="B107" s="10">
        <v>45658</v>
      </c>
      <c r="C107" s="3">
        <v>4200</v>
      </c>
    </row>
    <row r="108" spans="1:3" x14ac:dyDescent="0.25">
      <c r="A108" t="s">
        <v>31</v>
      </c>
      <c r="B108" s="10">
        <v>45689</v>
      </c>
      <c r="C108" s="3">
        <v>4000</v>
      </c>
    </row>
    <row r="109" spans="1:3" x14ac:dyDescent="0.25">
      <c r="A109" t="s">
        <v>31</v>
      </c>
      <c r="B109" s="10">
        <v>45717</v>
      </c>
      <c r="C109" s="3">
        <v>4800</v>
      </c>
    </row>
    <row r="110" spans="1:3" x14ac:dyDescent="0.25">
      <c r="A110" t="s">
        <v>31</v>
      </c>
      <c r="B110" s="10">
        <v>45748</v>
      </c>
      <c r="C110" s="3">
        <v>4100</v>
      </c>
    </row>
    <row r="111" spans="1:3" x14ac:dyDescent="0.25">
      <c r="A111" t="s">
        <v>31</v>
      </c>
      <c r="B111" s="10">
        <v>45778</v>
      </c>
      <c r="C111" s="3">
        <v>4500</v>
      </c>
    </row>
    <row r="112" spans="1:3" x14ac:dyDescent="0.25">
      <c r="A112" t="s">
        <v>31</v>
      </c>
      <c r="B112" s="10">
        <v>45809</v>
      </c>
      <c r="C112" s="3">
        <v>4400</v>
      </c>
    </row>
    <row r="113" spans="1:3" x14ac:dyDescent="0.25">
      <c r="A113" t="s">
        <v>31</v>
      </c>
      <c r="B113" s="10">
        <v>45839</v>
      </c>
      <c r="C113" s="3">
        <v>3900</v>
      </c>
    </row>
    <row r="114" spans="1:3" x14ac:dyDescent="0.25">
      <c r="A114" t="s">
        <v>31</v>
      </c>
      <c r="B114" s="10">
        <v>45870</v>
      </c>
      <c r="C114" s="3">
        <v>2600</v>
      </c>
    </row>
    <row r="115" spans="1:3" x14ac:dyDescent="0.25">
      <c r="A115" t="s">
        <v>31</v>
      </c>
      <c r="B115" s="10">
        <v>45901</v>
      </c>
      <c r="C115" s="3">
        <v>4700</v>
      </c>
    </row>
    <row r="116" spans="1:3" x14ac:dyDescent="0.25">
      <c r="A116" t="s">
        <v>31</v>
      </c>
      <c r="B116" s="10">
        <v>45931</v>
      </c>
      <c r="C116" s="3">
        <v>4500</v>
      </c>
    </row>
    <row r="117" spans="1:3" x14ac:dyDescent="0.25">
      <c r="A117" t="s">
        <v>31</v>
      </c>
      <c r="B117" s="10">
        <v>45962</v>
      </c>
      <c r="C117" s="3">
        <v>5000</v>
      </c>
    </row>
    <row r="118" spans="1:3" x14ac:dyDescent="0.25">
      <c r="A118" t="s">
        <v>31</v>
      </c>
      <c r="B118" s="10">
        <v>45992</v>
      </c>
      <c r="C118" s="3">
        <v>5100</v>
      </c>
    </row>
    <row r="119" spans="1:3" x14ac:dyDescent="0.25">
      <c r="A119" t="s">
        <v>31</v>
      </c>
      <c r="B119" s="10">
        <v>46023</v>
      </c>
      <c r="C119" s="3">
        <v>4200</v>
      </c>
    </row>
    <row r="120" spans="1:3" x14ac:dyDescent="0.25">
      <c r="A120" t="s">
        <v>31</v>
      </c>
      <c r="B120" s="10">
        <v>46054</v>
      </c>
      <c r="C120" s="3">
        <v>4400</v>
      </c>
    </row>
    <row r="121" spans="1:3" x14ac:dyDescent="0.25">
      <c r="A121" t="s">
        <v>31</v>
      </c>
      <c r="B121" s="10">
        <v>46082</v>
      </c>
      <c r="C121" s="3">
        <v>4800</v>
      </c>
    </row>
    <row r="122" spans="1:3" x14ac:dyDescent="0.25">
      <c r="A122" t="s">
        <v>31</v>
      </c>
      <c r="B122" s="10">
        <v>46113</v>
      </c>
      <c r="C122" s="3">
        <v>4600</v>
      </c>
    </row>
    <row r="123" spans="1:3" x14ac:dyDescent="0.25">
      <c r="A123" t="s">
        <v>31</v>
      </c>
      <c r="B123" s="10">
        <v>46143</v>
      </c>
      <c r="C123" s="3">
        <v>4400</v>
      </c>
    </row>
    <row r="124" spans="1:3" x14ac:dyDescent="0.25">
      <c r="A124" t="s">
        <v>31</v>
      </c>
      <c r="B124" s="10">
        <v>46174</v>
      </c>
      <c r="C124" s="3">
        <v>4600</v>
      </c>
    </row>
    <row r="125" spans="1:3" x14ac:dyDescent="0.25">
      <c r="A125" t="s">
        <v>31</v>
      </c>
      <c r="B125" s="10">
        <v>46204</v>
      </c>
      <c r="C125" s="3">
        <v>4100</v>
      </c>
    </row>
    <row r="126" spans="1:3" x14ac:dyDescent="0.25">
      <c r="A126" t="s">
        <v>31</v>
      </c>
      <c r="B126" s="10">
        <v>46235</v>
      </c>
      <c r="C126" s="3">
        <v>2800</v>
      </c>
    </row>
    <row r="127" spans="1:3" x14ac:dyDescent="0.25">
      <c r="A127" t="s">
        <v>31</v>
      </c>
      <c r="B127" s="10">
        <v>46266</v>
      </c>
      <c r="C127" s="3">
        <v>4900</v>
      </c>
    </row>
    <row r="128" spans="1:3" x14ac:dyDescent="0.25">
      <c r="A128" t="s">
        <v>39</v>
      </c>
      <c r="B128" s="10">
        <v>45658</v>
      </c>
      <c r="C128" s="3">
        <v>5300</v>
      </c>
    </row>
    <row r="129" spans="1:3" x14ac:dyDescent="0.25">
      <c r="A129" t="s">
        <v>39</v>
      </c>
      <c r="B129" s="10">
        <v>45689</v>
      </c>
      <c r="C129" s="3">
        <v>5000</v>
      </c>
    </row>
    <row r="130" spans="1:3" x14ac:dyDescent="0.25">
      <c r="A130" t="s">
        <v>39</v>
      </c>
      <c r="B130" s="10">
        <v>45717</v>
      </c>
      <c r="C130" s="3">
        <v>5500</v>
      </c>
    </row>
    <row r="131" spans="1:3" x14ac:dyDescent="0.25">
      <c r="A131" t="s">
        <v>39</v>
      </c>
      <c r="B131" s="10">
        <v>45748</v>
      </c>
      <c r="C131" s="3">
        <v>5400</v>
      </c>
    </row>
    <row r="132" spans="1:3" x14ac:dyDescent="0.25">
      <c r="A132" t="s">
        <v>39</v>
      </c>
      <c r="B132" s="10">
        <v>45778</v>
      </c>
      <c r="C132" s="3">
        <v>5200</v>
      </c>
    </row>
    <row r="133" spans="1:3" x14ac:dyDescent="0.25">
      <c r="A133" t="s">
        <v>39</v>
      </c>
      <c r="B133" s="10">
        <v>45809</v>
      </c>
      <c r="C133" s="3">
        <v>5600</v>
      </c>
    </row>
    <row r="134" spans="1:3" x14ac:dyDescent="0.25">
      <c r="A134" t="s">
        <v>39</v>
      </c>
      <c r="B134" s="10">
        <v>45839</v>
      </c>
      <c r="C134" s="3">
        <v>5000</v>
      </c>
    </row>
    <row r="135" spans="1:3" x14ac:dyDescent="0.25">
      <c r="A135" t="s">
        <v>39</v>
      </c>
      <c r="B135" s="10">
        <v>45870</v>
      </c>
      <c r="C135" s="3">
        <v>3300</v>
      </c>
    </row>
    <row r="136" spans="1:3" x14ac:dyDescent="0.25">
      <c r="A136" t="s">
        <v>39</v>
      </c>
      <c r="B136" s="10">
        <v>45901</v>
      </c>
      <c r="C136" s="3">
        <v>5800</v>
      </c>
    </row>
    <row r="137" spans="1:3" x14ac:dyDescent="0.25">
      <c r="A137" t="s">
        <v>39</v>
      </c>
      <c r="B137" s="10">
        <v>45931</v>
      </c>
      <c r="C137" s="3">
        <v>5400</v>
      </c>
    </row>
    <row r="138" spans="1:3" x14ac:dyDescent="0.25">
      <c r="A138" t="s">
        <v>39</v>
      </c>
      <c r="B138" s="10">
        <v>45962</v>
      </c>
      <c r="C138" s="3">
        <v>5800</v>
      </c>
    </row>
    <row r="139" spans="1:3" x14ac:dyDescent="0.25">
      <c r="A139" t="s">
        <v>39</v>
      </c>
      <c r="B139" s="10">
        <v>45992</v>
      </c>
      <c r="C139" s="3">
        <v>6900</v>
      </c>
    </row>
    <row r="140" spans="1:3" x14ac:dyDescent="0.25">
      <c r="A140" t="s">
        <v>39</v>
      </c>
      <c r="B140" s="10">
        <v>46023</v>
      </c>
      <c r="C140" s="3">
        <v>5300</v>
      </c>
    </row>
    <row r="141" spans="1:3" x14ac:dyDescent="0.25">
      <c r="A141" t="s">
        <v>39</v>
      </c>
      <c r="B141" s="10">
        <v>46054</v>
      </c>
      <c r="C141" s="3">
        <v>5200</v>
      </c>
    </row>
    <row r="142" spans="1:3" x14ac:dyDescent="0.25">
      <c r="A142" t="s">
        <v>39</v>
      </c>
      <c r="B142" s="10">
        <v>46082</v>
      </c>
      <c r="C142" s="3">
        <v>6000</v>
      </c>
    </row>
    <row r="143" spans="1:3" x14ac:dyDescent="0.25">
      <c r="A143" t="s">
        <v>39</v>
      </c>
      <c r="B143" s="10">
        <v>46113</v>
      </c>
      <c r="C143" s="3">
        <v>5700</v>
      </c>
    </row>
    <row r="144" spans="1:3" x14ac:dyDescent="0.25">
      <c r="A144" t="s">
        <v>39</v>
      </c>
      <c r="B144" s="10">
        <v>46143</v>
      </c>
      <c r="C144" s="3">
        <v>5200</v>
      </c>
    </row>
    <row r="145" spans="1:3" x14ac:dyDescent="0.25">
      <c r="A145" t="s">
        <v>39</v>
      </c>
      <c r="B145" s="10">
        <v>46174</v>
      </c>
      <c r="C145" s="3">
        <v>5900</v>
      </c>
    </row>
    <row r="146" spans="1:3" x14ac:dyDescent="0.25">
      <c r="A146" t="s">
        <v>39</v>
      </c>
      <c r="B146" s="10">
        <v>46204</v>
      </c>
      <c r="C146" s="3">
        <v>4900</v>
      </c>
    </row>
    <row r="147" spans="1:3" x14ac:dyDescent="0.25">
      <c r="A147" t="s">
        <v>39</v>
      </c>
      <c r="B147" s="10">
        <v>46235</v>
      </c>
      <c r="C147" s="3">
        <v>3400</v>
      </c>
    </row>
    <row r="148" spans="1:3" x14ac:dyDescent="0.25">
      <c r="A148" t="s">
        <v>39</v>
      </c>
      <c r="B148" s="10">
        <v>46266</v>
      </c>
      <c r="C148" s="3">
        <v>6200</v>
      </c>
    </row>
    <row r="149" spans="1:3" x14ac:dyDescent="0.25">
      <c r="A149" t="s">
        <v>88</v>
      </c>
      <c r="B149" s="10">
        <v>45658</v>
      </c>
      <c r="C149" s="3">
        <v>4700</v>
      </c>
    </row>
    <row r="150" spans="1:3" x14ac:dyDescent="0.25">
      <c r="A150" t="s">
        <v>88</v>
      </c>
      <c r="B150" s="10">
        <v>45689</v>
      </c>
      <c r="C150" s="3">
        <v>4600</v>
      </c>
    </row>
    <row r="151" spans="1:3" x14ac:dyDescent="0.25">
      <c r="A151" t="s">
        <v>88</v>
      </c>
      <c r="B151" s="10">
        <v>45717</v>
      </c>
      <c r="C151" s="3">
        <v>5500</v>
      </c>
    </row>
    <row r="152" spans="1:3" x14ac:dyDescent="0.25">
      <c r="A152" t="s">
        <v>88</v>
      </c>
      <c r="B152" s="10">
        <v>45748</v>
      </c>
      <c r="C152" s="3">
        <v>5300</v>
      </c>
    </row>
    <row r="153" spans="1:3" x14ac:dyDescent="0.25">
      <c r="A153" t="s">
        <v>88</v>
      </c>
      <c r="B153" s="10">
        <v>45778</v>
      </c>
      <c r="C153" s="3">
        <v>5000</v>
      </c>
    </row>
    <row r="154" spans="1:3" x14ac:dyDescent="0.25">
      <c r="A154" t="s">
        <v>88</v>
      </c>
      <c r="B154" s="10">
        <v>45809</v>
      </c>
      <c r="C154" s="3">
        <v>5000</v>
      </c>
    </row>
    <row r="155" spans="1:3" x14ac:dyDescent="0.25">
      <c r="A155" t="s">
        <v>88</v>
      </c>
      <c r="B155" s="10">
        <v>45839</v>
      </c>
      <c r="C155" s="3">
        <v>4600</v>
      </c>
    </row>
    <row r="156" spans="1:3" x14ac:dyDescent="0.25">
      <c r="A156" t="s">
        <v>88</v>
      </c>
      <c r="B156" s="10">
        <v>45870</v>
      </c>
      <c r="C156" s="3">
        <v>3000</v>
      </c>
    </row>
    <row r="157" spans="1:3" x14ac:dyDescent="0.25">
      <c r="A157" t="s">
        <v>88</v>
      </c>
      <c r="B157" s="10">
        <v>45901</v>
      </c>
      <c r="C157" s="3">
        <v>5000</v>
      </c>
    </row>
    <row r="158" spans="1:3" x14ac:dyDescent="0.25">
      <c r="A158" t="s">
        <v>88</v>
      </c>
      <c r="B158" s="10">
        <v>45931</v>
      </c>
      <c r="C158" s="3">
        <v>5500</v>
      </c>
    </row>
    <row r="159" spans="1:3" x14ac:dyDescent="0.25">
      <c r="A159" t="s">
        <v>88</v>
      </c>
      <c r="B159" s="10">
        <v>45962</v>
      </c>
      <c r="C159" s="3">
        <v>5600</v>
      </c>
    </row>
    <row r="160" spans="1:3" x14ac:dyDescent="0.25">
      <c r="A160" t="s">
        <v>88</v>
      </c>
      <c r="B160" s="10">
        <v>45992</v>
      </c>
      <c r="C160" s="3">
        <v>6300</v>
      </c>
    </row>
    <row r="161" spans="1:3" x14ac:dyDescent="0.25">
      <c r="A161" t="s">
        <v>88</v>
      </c>
      <c r="B161" s="10">
        <v>46023</v>
      </c>
      <c r="C161" s="3">
        <v>4800</v>
      </c>
    </row>
    <row r="162" spans="1:3" x14ac:dyDescent="0.25">
      <c r="A162" t="s">
        <v>88</v>
      </c>
      <c r="B162" s="10">
        <v>46054</v>
      </c>
      <c r="C162" s="3">
        <v>5000</v>
      </c>
    </row>
    <row r="163" spans="1:3" x14ac:dyDescent="0.25">
      <c r="A163" t="s">
        <v>88</v>
      </c>
      <c r="B163" s="10">
        <v>46082</v>
      </c>
      <c r="C163" s="3">
        <v>5600</v>
      </c>
    </row>
    <row r="164" spans="1:3" x14ac:dyDescent="0.25">
      <c r="A164" t="s">
        <v>88</v>
      </c>
      <c r="B164" s="10">
        <v>46113</v>
      </c>
      <c r="C164" s="3">
        <v>5400</v>
      </c>
    </row>
    <row r="165" spans="1:3" x14ac:dyDescent="0.25">
      <c r="A165" t="s">
        <v>88</v>
      </c>
      <c r="B165" s="10">
        <v>46143</v>
      </c>
      <c r="C165" s="3">
        <v>5100</v>
      </c>
    </row>
    <row r="166" spans="1:3" x14ac:dyDescent="0.25">
      <c r="A166" t="s">
        <v>88</v>
      </c>
      <c r="B166" s="10">
        <v>46174</v>
      </c>
      <c r="C166" s="3">
        <v>5300</v>
      </c>
    </row>
    <row r="167" spans="1:3" x14ac:dyDescent="0.25">
      <c r="A167" t="s">
        <v>88</v>
      </c>
      <c r="B167" s="10">
        <v>46204</v>
      </c>
      <c r="C167" s="3">
        <v>4800</v>
      </c>
    </row>
    <row r="168" spans="1:3" x14ac:dyDescent="0.25">
      <c r="A168" t="s">
        <v>88</v>
      </c>
      <c r="B168" s="10">
        <v>46235</v>
      </c>
      <c r="C168" s="3">
        <v>3100</v>
      </c>
    </row>
    <row r="169" spans="1:3" x14ac:dyDescent="0.25">
      <c r="A169" t="s">
        <v>88</v>
      </c>
      <c r="B169" s="10">
        <v>46266</v>
      </c>
      <c r="C169" s="3">
        <v>5500</v>
      </c>
    </row>
    <row r="170" spans="1:3" x14ac:dyDescent="0.25">
      <c r="A170" t="s">
        <v>62</v>
      </c>
      <c r="B170" s="10">
        <v>45658</v>
      </c>
      <c r="C170" s="3">
        <v>4700</v>
      </c>
    </row>
    <row r="171" spans="1:3" x14ac:dyDescent="0.25">
      <c r="A171" t="s">
        <v>62</v>
      </c>
      <c r="B171" s="10">
        <v>45689</v>
      </c>
      <c r="C171" s="3">
        <v>4900</v>
      </c>
    </row>
    <row r="172" spans="1:3" x14ac:dyDescent="0.25">
      <c r="A172" t="s">
        <v>62</v>
      </c>
      <c r="B172" s="10">
        <v>45717</v>
      </c>
      <c r="C172" s="3">
        <v>5500</v>
      </c>
    </row>
    <row r="173" spans="1:3" x14ac:dyDescent="0.25">
      <c r="A173" t="s">
        <v>62</v>
      </c>
      <c r="B173" s="10">
        <v>45748</v>
      </c>
      <c r="C173" s="3">
        <v>5400</v>
      </c>
    </row>
    <row r="174" spans="1:3" x14ac:dyDescent="0.25">
      <c r="A174" t="s">
        <v>62</v>
      </c>
      <c r="B174" s="10">
        <v>45778</v>
      </c>
      <c r="C174" s="3">
        <v>5200</v>
      </c>
    </row>
    <row r="175" spans="1:3" x14ac:dyDescent="0.25">
      <c r="A175" t="s">
        <v>62</v>
      </c>
      <c r="B175" s="10">
        <v>45809</v>
      </c>
      <c r="C175" s="3">
        <v>5200</v>
      </c>
    </row>
    <row r="176" spans="1:3" x14ac:dyDescent="0.25">
      <c r="A176" t="s">
        <v>62</v>
      </c>
      <c r="B176" s="10">
        <v>45839</v>
      </c>
      <c r="C176" s="3">
        <v>4800</v>
      </c>
    </row>
    <row r="177" spans="1:3" x14ac:dyDescent="0.25">
      <c r="A177" t="s">
        <v>62</v>
      </c>
      <c r="B177" s="10">
        <v>45870</v>
      </c>
      <c r="C177" s="3">
        <v>3100</v>
      </c>
    </row>
    <row r="178" spans="1:3" x14ac:dyDescent="0.25">
      <c r="A178" t="s">
        <v>62</v>
      </c>
      <c r="B178" s="10">
        <v>45901</v>
      </c>
      <c r="C178" s="3">
        <v>5500</v>
      </c>
    </row>
    <row r="179" spans="1:3" x14ac:dyDescent="0.25">
      <c r="A179" t="s">
        <v>62</v>
      </c>
      <c r="B179" s="10">
        <v>45931</v>
      </c>
      <c r="C179" s="3">
        <v>5700</v>
      </c>
    </row>
    <row r="180" spans="1:3" x14ac:dyDescent="0.25">
      <c r="A180" t="s">
        <v>62</v>
      </c>
      <c r="B180" s="10">
        <v>45962</v>
      </c>
      <c r="C180" s="3">
        <v>6000</v>
      </c>
    </row>
    <row r="181" spans="1:3" x14ac:dyDescent="0.25">
      <c r="A181" t="s">
        <v>62</v>
      </c>
      <c r="B181" s="10">
        <v>45992</v>
      </c>
      <c r="C181" s="3">
        <v>6100</v>
      </c>
    </row>
    <row r="182" spans="1:3" x14ac:dyDescent="0.25">
      <c r="A182" t="s">
        <v>62</v>
      </c>
      <c r="B182" s="10">
        <v>46023</v>
      </c>
      <c r="C182" s="3">
        <v>5100</v>
      </c>
    </row>
    <row r="183" spans="1:3" x14ac:dyDescent="0.25">
      <c r="A183" t="s">
        <v>62</v>
      </c>
      <c r="B183" s="10">
        <v>46054</v>
      </c>
      <c r="C183" s="3">
        <v>5200</v>
      </c>
    </row>
    <row r="184" spans="1:3" x14ac:dyDescent="0.25">
      <c r="A184" t="s">
        <v>62</v>
      </c>
      <c r="B184" s="10">
        <v>46082</v>
      </c>
      <c r="C184" s="3">
        <v>5900</v>
      </c>
    </row>
    <row r="185" spans="1:3" x14ac:dyDescent="0.25">
      <c r="A185" t="s">
        <v>62</v>
      </c>
      <c r="B185" s="10">
        <v>46113</v>
      </c>
      <c r="C185" s="3">
        <v>5600</v>
      </c>
    </row>
    <row r="186" spans="1:3" x14ac:dyDescent="0.25">
      <c r="A186" t="s">
        <v>62</v>
      </c>
      <c r="B186" s="10">
        <v>46143</v>
      </c>
      <c r="C186" s="3">
        <v>5500</v>
      </c>
    </row>
    <row r="187" spans="1:3" x14ac:dyDescent="0.25">
      <c r="A187" t="s">
        <v>62</v>
      </c>
      <c r="B187" s="10">
        <v>46174</v>
      </c>
      <c r="C187" s="3">
        <v>5700</v>
      </c>
    </row>
    <row r="188" spans="1:3" x14ac:dyDescent="0.25">
      <c r="A188" t="s">
        <v>62</v>
      </c>
      <c r="B188" s="10">
        <v>46204</v>
      </c>
      <c r="C188" s="3">
        <v>4800</v>
      </c>
    </row>
    <row r="189" spans="1:3" x14ac:dyDescent="0.25">
      <c r="A189" t="s">
        <v>62</v>
      </c>
      <c r="B189" s="10">
        <v>46235</v>
      </c>
      <c r="C189" s="3">
        <v>3500</v>
      </c>
    </row>
    <row r="190" spans="1:3" x14ac:dyDescent="0.25">
      <c r="A190" t="s">
        <v>62</v>
      </c>
      <c r="B190" s="10">
        <v>46266</v>
      </c>
      <c r="C190" s="3">
        <v>6100</v>
      </c>
    </row>
    <row r="191" spans="1:3" x14ac:dyDescent="0.25">
      <c r="A191" t="s">
        <v>94</v>
      </c>
      <c r="B191" s="10">
        <v>45658</v>
      </c>
      <c r="C191" s="3">
        <v>3900</v>
      </c>
    </row>
    <row r="192" spans="1:3" x14ac:dyDescent="0.25">
      <c r="A192" t="s">
        <v>94</v>
      </c>
      <c r="B192" s="10">
        <v>45689</v>
      </c>
      <c r="C192" s="3">
        <v>4200</v>
      </c>
    </row>
    <row r="193" spans="1:3" x14ac:dyDescent="0.25">
      <c r="A193" t="s">
        <v>94</v>
      </c>
      <c r="B193" s="10">
        <v>45717</v>
      </c>
      <c r="C193" s="3">
        <v>4600</v>
      </c>
    </row>
    <row r="194" spans="1:3" x14ac:dyDescent="0.25">
      <c r="A194" t="s">
        <v>94</v>
      </c>
      <c r="B194" s="10">
        <v>45748</v>
      </c>
      <c r="C194" s="3">
        <v>4600</v>
      </c>
    </row>
    <row r="195" spans="1:3" x14ac:dyDescent="0.25">
      <c r="A195" t="s">
        <v>94</v>
      </c>
      <c r="B195" s="10">
        <v>45778</v>
      </c>
      <c r="C195" s="3">
        <v>4100</v>
      </c>
    </row>
    <row r="196" spans="1:3" x14ac:dyDescent="0.25">
      <c r="A196" t="s">
        <v>94</v>
      </c>
      <c r="B196" s="10">
        <v>45809</v>
      </c>
      <c r="C196" s="3">
        <v>4300</v>
      </c>
    </row>
    <row r="197" spans="1:3" x14ac:dyDescent="0.25">
      <c r="A197" t="s">
        <v>94</v>
      </c>
      <c r="B197" s="10">
        <v>45839</v>
      </c>
      <c r="C197" s="3">
        <v>3500</v>
      </c>
    </row>
    <row r="198" spans="1:3" x14ac:dyDescent="0.25">
      <c r="A198" t="s">
        <v>94</v>
      </c>
      <c r="B198" s="10">
        <v>45870</v>
      </c>
      <c r="C198" s="3">
        <v>2700</v>
      </c>
    </row>
    <row r="199" spans="1:3" x14ac:dyDescent="0.25">
      <c r="A199" t="s">
        <v>94</v>
      </c>
      <c r="B199" s="10">
        <v>45901</v>
      </c>
      <c r="C199" s="3">
        <v>4800</v>
      </c>
    </row>
    <row r="200" spans="1:3" x14ac:dyDescent="0.25">
      <c r="A200" t="s">
        <v>94</v>
      </c>
      <c r="B200" s="10">
        <v>45931</v>
      </c>
      <c r="C200" s="3">
        <v>4500</v>
      </c>
    </row>
    <row r="201" spans="1:3" x14ac:dyDescent="0.25">
      <c r="A201" t="s">
        <v>94</v>
      </c>
      <c r="B201" s="10">
        <v>45962</v>
      </c>
      <c r="C201" s="3">
        <v>4800</v>
      </c>
    </row>
    <row r="202" spans="1:3" x14ac:dyDescent="0.25">
      <c r="A202" t="s">
        <v>94</v>
      </c>
      <c r="B202" s="10">
        <v>45992</v>
      </c>
      <c r="C202" s="3">
        <v>5500</v>
      </c>
    </row>
    <row r="203" spans="1:3" x14ac:dyDescent="0.25">
      <c r="A203" t="s">
        <v>94</v>
      </c>
      <c r="B203" s="10">
        <v>46023</v>
      </c>
      <c r="C203" s="3">
        <v>4000</v>
      </c>
    </row>
    <row r="204" spans="1:3" x14ac:dyDescent="0.25">
      <c r="A204" t="s">
        <v>94</v>
      </c>
      <c r="B204" s="10">
        <v>46054</v>
      </c>
      <c r="C204" s="3">
        <v>4200</v>
      </c>
    </row>
    <row r="205" spans="1:3" x14ac:dyDescent="0.25">
      <c r="A205" t="s">
        <v>94</v>
      </c>
      <c r="B205" s="10">
        <v>46082</v>
      </c>
      <c r="C205" s="3">
        <v>4600</v>
      </c>
    </row>
    <row r="206" spans="1:3" x14ac:dyDescent="0.25">
      <c r="A206" t="s">
        <v>94</v>
      </c>
      <c r="B206" s="10">
        <v>46113</v>
      </c>
      <c r="C206" s="3">
        <v>4500</v>
      </c>
    </row>
    <row r="207" spans="1:3" x14ac:dyDescent="0.25">
      <c r="A207" t="s">
        <v>94</v>
      </c>
      <c r="B207" s="10">
        <v>46143</v>
      </c>
      <c r="C207" s="3">
        <v>4400</v>
      </c>
    </row>
    <row r="208" spans="1:3" x14ac:dyDescent="0.25">
      <c r="A208" t="s">
        <v>94</v>
      </c>
      <c r="B208" s="10">
        <v>46174</v>
      </c>
      <c r="C208" s="3">
        <v>4600</v>
      </c>
    </row>
    <row r="209" spans="1:3" x14ac:dyDescent="0.25">
      <c r="A209" t="s">
        <v>94</v>
      </c>
      <c r="B209" s="10">
        <v>46204</v>
      </c>
      <c r="C209" s="3">
        <v>3900</v>
      </c>
    </row>
    <row r="210" spans="1:3" x14ac:dyDescent="0.25">
      <c r="A210" t="s">
        <v>94</v>
      </c>
      <c r="B210" s="10">
        <v>46235</v>
      </c>
      <c r="C210" s="3">
        <v>2700</v>
      </c>
    </row>
    <row r="211" spans="1:3" x14ac:dyDescent="0.25">
      <c r="A211" t="s">
        <v>94</v>
      </c>
      <c r="B211" s="10">
        <v>46266</v>
      </c>
      <c r="C211" s="3">
        <v>4700</v>
      </c>
    </row>
    <row r="212" spans="1:3" x14ac:dyDescent="0.25">
      <c r="A212" t="s">
        <v>46</v>
      </c>
      <c r="B212" s="10">
        <v>45658</v>
      </c>
      <c r="C212" s="3">
        <v>5700</v>
      </c>
    </row>
    <row r="213" spans="1:3" x14ac:dyDescent="0.25">
      <c r="A213" t="s">
        <v>46</v>
      </c>
      <c r="B213" s="10">
        <v>45689</v>
      </c>
      <c r="C213" s="3">
        <v>6300</v>
      </c>
    </row>
    <row r="214" spans="1:3" x14ac:dyDescent="0.25">
      <c r="A214" t="s">
        <v>46</v>
      </c>
      <c r="B214" s="10">
        <v>45717</v>
      </c>
      <c r="C214" s="3">
        <v>6700</v>
      </c>
    </row>
    <row r="215" spans="1:3" x14ac:dyDescent="0.25">
      <c r="A215" t="s">
        <v>46</v>
      </c>
      <c r="B215" s="10">
        <v>45748</v>
      </c>
      <c r="C215" s="3">
        <v>6800</v>
      </c>
    </row>
    <row r="216" spans="1:3" x14ac:dyDescent="0.25">
      <c r="A216" t="s">
        <v>46</v>
      </c>
      <c r="B216" s="10">
        <v>45778</v>
      </c>
      <c r="C216" s="3">
        <v>6400</v>
      </c>
    </row>
    <row r="217" spans="1:3" x14ac:dyDescent="0.25">
      <c r="A217" t="s">
        <v>46</v>
      </c>
      <c r="B217" s="10">
        <v>45809</v>
      </c>
      <c r="C217" s="3">
        <v>6400</v>
      </c>
    </row>
    <row r="218" spans="1:3" x14ac:dyDescent="0.25">
      <c r="A218" t="s">
        <v>46</v>
      </c>
      <c r="B218" s="10">
        <v>45839</v>
      </c>
      <c r="C218" s="3">
        <v>5900</v>
      </c>
    </row>
    <row r="219" spans="1:3" x14ac:dyDescent="0.25">
      <c r="A219" t="s">
        <v>46</v>
      </c>
      <c r="B219" s="10">
        <v>45870</v>
      </c>
      <c r="C219" s="3">
        <v>4100</v>
      </c>
    </row>
    <row r="220" spans="1:3" x14ac:dyDescent="0.25">
      <c r="A220" t="s">
        <v>46</v>
      </c>
      <c r="B220" s="10">
        <v>45901</v>
      </c>
      <c r="C220" s="3">
        <v>7000</v>
      </c>
    </row>
    <row r="221" spans="1:3" x14ac:dyDescent="0.25">
      <c r="A221" t="s">
        <v>46</v>
      </c>
      <c r="B221" s="10">
        <v>45931</v>
      </c>
      <c r="C221" s="3">
        <v>6500</v>
      </c>
    </row>
    <row r="222" spans="1:3" x14ac:dyDescent="0.25">
      <c r="A222" t="s">
        <v>46</v>
      </c>
      <c r="B222" s="10">
        <v>45962</v>
      </c>
      <c r="C222" s="3">
        <v>7500</v>
      </c>
    </row>
    <row r="223" spans="1:3" x14ac:dyDescent="0.25">
      <c r="A223" t="s">
        <v>46</v>
      </c>
      <c r="B223" s="10">
        <v>45992</v>
      </c>
      <c r="C223" s="3">
        <v>8100</v>
      </c>
    </row>
    <row r="224" spans="1:3" x14ac:dyDescent="0.25">
      <c r="A224" t="s">
        <v>46</v>
      </c>
      <c r="B224" s="10">
        <v>46023</v>
      </c>
      <c r="C224" s="3">
        <v>6200</v>
      </c>
    </row>
    <row r="225" spans="1:3" x14ac:dyDescent="0.25">
      <c r="A225" t="s">
        <v>46</v>
      </c>
      <c r="B225" s="10">
        <v>46054</v>
      </c>
      <c r="C225" s="3">
        <v>6300</v>
      </c>
    </row>
    <row r="226" spans="1:3" x14ac:dyDescent="0.25">
      <c r="A226" t="s">
        <v>46</v>
      </c>
      <c r="B226" s="10">
        <v>46082</v>
      </c>
      <c r="C226" s="3">
        <v>7100</v>
      </c>
    </row>
    <row r="227" spans="1:3" x14ac:dyDescent="0.25">
      <c r="A227" t="s">
        <v>46</v>
      </c>
      <c r="B227" s="10">
        <v>46113</v>
      </c>
      <c r="C227" s="3">
        <v>6900</v>
      </c>
    </row>
    <row r="228" spans="1:3" x14ac:dyDescent="0.25">
      <c r="A228" t="s">
        <v>46</v>
      </c>
      <c r="B228" s="10">
        <v>46143</v>
      </c>
      <c r="C228" s="3">
        <v>6400</v>
      </c>
    </row>
    <row r="229" spans="1:3" x14ac:dyDescent="0.25">
      <c r="A229" t="s">
        <v>46</v>
      </c>
      <c r="B229" s="10">
        <v>46174</v>
      </c>
      <c r="C229" s="3">
        <v>7000</v>
      </c>
    </row>
    <row r="230" spans="1:3" x14ac:dyDescent="0.25">
      <c r="A230" t="s">
        <v>46</v>
      </c>
      <c r="B230" s="10">
        <v>46204</v>
      </c>
      <c r="C230" s="3">
        <v>5900</v>
      </c>
    </row>
    <row r="231" spans="1:3" x14ac:dyDescent="0.25">
      <c r="A231" t="s">
        <v>46</v>
      </c>
      <c r="B231" s="10">
        <v>46235</v>
      </c>
      <c r="C231" s="3">
        <v>4200</v>
      </c>
    </row>
    <row r="232" spans="1:3" x14ac:dyDescent="0.25">
      <c r="A232" t="s">
        <v>46</v>
      </c>
      <c r="B232" s="10">
        <v>46266</v>
      </c>
      <c r="C232" s="3">
        <v>7300</v>
      </c>
    </row>
    <row r="233" spans="1:3" x14ac:dyDescent="0.25">
      <c r="A233" t="s">
        <v>55</v>
      </c>
      <c r="B233" s="10">
        <v>45658</v>
      </c>
      <c r="C233" s="3">
        <v>4200</v>
      </c>
    </row>
    <row r="234" spans="1:3" x14ac:dyDescent="0.25">
      <c r="A234" t="s">
        <v>55</v>
      </c>
      <c r="B234" s="10">
        <v>45689</v>
      </c>
      <c r="C234" s="3">
        <v>4600</v>
      </c>
    </row>
    <row r="235" spans="1:3" x14ac:dyDescent="0.25">
      <c r="A235" t="s">
        <v>55</v>
      </c>
      <c r="B235" s="10">
        <v>45717</v>
      </c>
      <c r="C235" s="3">
        <v>4500</v>
      </c>
    </row>
    <row r="236" spans="1:3" x14ac:dyDescent="0.25">
      <c r="A236" t="s">
        <v>55</v>
      </c>
      <c r="B236" s="10">
        <v>45748</v>
      </c>
      <c r="C236" s="3">
        <v>4200</v>
      </c>
    </row>
    <row r="237" spans="1:3" x14ac:dyDescent="0.25">
      <c r="A237" t="s">
        <v>55</v>
      </c>
      <c r="B237" s="10">
        <v>45778</v>
      </c>
      <c r="C237" s="3">
        <v>4300</v>
      </c>
    </row>
    <row r="238" spans="1:3" x14ac:dyDescent="0.25">
      <c r="A238" t="s">
        <v>55</v>
      </c>
      <c r="B238" s="10">
        <v>45809</v>
      </c>
      <c r="C238" s="3">
        <v>4600</v>
      </c>
    </row>
    <row r="239" spans="1:3" x14ac:dyDescent="0.25">
      <c r="A239" t="s">
        <v>55</v>
      </c>
      <c r="B239" s="10">
        <v>45839</v>
      </c>
      <c r="C239" s="3">
        <v>4000</v>
      </c>
    </row>
    <row r="240" spans="1:3" x14ac:dyDescent="0.25">
      <c r="A240" t="s">
        <v>55</v>
      </c>
      <c r="B240" s="10">
        <v>45870</v>
      </c>
      <c r="C240" s="3">
        <v>2900</v>
      </c>
    </row>
    <row r="241" spans="1:3" x14ac:dyDescent="0.25">
      <c r="A241" t="s">
        <v>55</v>
      </c>
      <c r="B241" s="10">
        <v>45901</v>
      </c>
      <c r="C241" s="3">
        <v>4800</v>
      </c>
    </row>
    <row r="242" spans="1:3" x14ac:dyDescent="0.25">
      <c r="A242" t="s">
        <v>55</v>
      </c>
      <c r="B242" s="10">
        <v>45931</v>
      </c>
      <c r="C242" s="3">
        <v>4500</v>
      </c>
    </row>
    <row r="243" spans="1:3" x14ac:dyDescent="0.25">
      <c r="A243" t="s">
        <v>55</v>
      </c>
      <c r="B243" s="10">
        <v>45962</v>
      </c>
      <c r="C243" s="3">
        <v>5200</v>
      </c>
    </row>
    <row r="244" spans="1:3" x14ac:dyDescent="0.25">
      <c r="A244" t="s">
        <v>55</v>
      </c>
      <c r="B244" s="10">
        <v>45992</v>
      </c>
      <c r="C244" s="3">
        <v>5500</v>
      </c>
    </row>
    <row r="245" spans="1:3" x14ac:dyDescent="0.25">
      <c r="A245" t="s">
        <v>55</v>
      </c>
      <c r="B245" s="10">
        <v>46023</v>
      </c>
      <c r="C245" s="3">
        <v>4300</v>
      </c>
    </row>
    <row r="246" spans="1:3" x14ac:dyDescent="0.25">
      <c r="A246" t="s">
        <v>55</v>
      </c>
      <c r="B246" s="10">
        <v>46054</v>
      </c>
      <c r="C246" s="3">
        <v>4600</v>
      </c>
    </row>
    <row r="247" spans="1:3" x14ac:dyDescent="0.25">
      <c r="A247" t="s">
        <v>55</v>
      </c>
      <c r="B247" s="10">
        <v>46082</v>
      </c>
      <c r="C247" s="3">
        <v>4900</v>
      </c>
    </row>
    <row r="248" spans="1:3" x14ac:dyDescent="0.25">
      <c r="A248" t="s">
        <v>55</v>
      </c>
      <c r="B248" s="10">
        <v>46113</v>
      </c>
      <c r="C248" s="3">
        <v>4600</v>
      </c>
    </row>
    <row r="249" spans="1:3" x14ac:dyDescent="0.25">
      <c r="A249" t="s">
        <v>55</v>
      </c>
      <c r="B249" s="10">
        <v>46143</v>
      </c>
      <c r="C249" s="3">
        <v>4600</v>
      </c>
    </row>
    <row r="250" spans="1:3" x14ac:dyDescent="0.25">
      <c r="A250" t="s">
        <v>55</v>
      </c>
      <c r="B250" s="10">
        <v>46174</v>
      </c>
      <c r="C250" s="3">
        <v>5000</v>
      </c>
    </row>
    <row r="251" spans="1:3" x14ac:dyDescent="0.25">
      <c r="A251" t="s">
        <v>55</v>
      </c>
      <c r="B251" s="10">
        <v>46204</v>
      </c>
      <c r="C251" s="3">
        <v>4000</v>
      </c>
    </row>
    <row r="252" spans="1:3" x14ac:dyDescent="0.25">
      <c r="A252" t="s">
        <v>55</v>
      </c>
      <c r="B252" s="10">
        <v>46235</v>
      </c>
      <c r="C252" s="3">
        <v>2900</v>
      </c>
    </row>
    <row r="253" spans="1:3" x14ac:dyDescent="0.25">
      <c r="A253" t="s">
        <v>55</v>
      </c>
      <c r="B253" s="10">
        <v>46266</v>
      </c>
      <c r="C253" s="3">
        <v>5100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Commandes</vt:lpstr>
      <vt:lpstr>Quarantaine</vt:lpstr>
      <vt:lpstr>Clients</vt:lpstr>
      <vt:lpstr>Produits</vt:lpstr>
      <vt:lpstr>Agences</vt:lpstr>
      <vt:lpstr>Objectifs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Norvane Équipement — service commercial</dc:creator>
  <dc:title/>
  <dc:subject/>
  <dc:description/>
  <cp:keywords/>
  <cp:category/>
  <cp:lastModifiedBy>Unknown</cp:lastModifiedBy>
  <dcterms:created xsi:type="dcterms:W3CDTF">2026-10-09T07:00:00Z</dcterms:created>
  <dcterms:modified xsi:type="dcterms:W3CDTF">2026-10-09T07:00:00Z</dcterms:modified>
</cp:coreProperties>
</file>